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Trap Data Collection &amp; Harmonization\BarcelonaCity\"/>
    </mc:Choice>
  </mc:AlternateContent>
  <xr:revisionPtr revIDLastSave="0" documentId="13_ncr:1_{C8666124-618E-410F-98FD-463503EB6701}" xr6:coauthVersionLast="47" xr6:coauthVersionMax="47" xr10:uidLastSave="{00000000-0000-0000-0000-000000000000}"/>
  <bookViews>
    <workbookView xWindow="-120" yWindow="-120" windowWidth="24240" windowHeight="13140" xr2:uid="{050EF604-40F9-4E0A-B14E-0B7CE283C96E}"/>
  </bookViews>
  <sheets>
    <sheet name="2020_BG_BarcelonaCity" sheetId="1" r:id="rId1"/>
  </sheets>
  <definedNames>
    <definedName name="_xlnm._FilterDatabase" localSheetId="0" hidden="1">'2020_BG_BarcelonaCity'!$A$4:$AG$4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2" i="1" l="1"/>
  <c r="X352" i="1"/>
  <c r="O352" i="1"/>
  <c r="L352" i="1"/>
  <c r="L352" i="1" a="1"/>
  <c r="K352" i="1" a="1"/>
  <c r="K352" i="1" s="1"/>
  <c r="J352" i="1"/>
  <c r="J352" i="1" a="1"/>
  <c r="I352" i="1" a="1"/>
  <c r="I352" i="1" s="1"/>
  <c r="H352" i="1"/>
  <c r="H352" i="1" a="1"/>
  <c r="F352" i="1" a="1"/>
  <c r="F352" i="1" s="1"/>
  <c r="AA351" i="1"/>
  <c r="X351" i="1"/>
  <c r="O351" i="1"/>
  <c r="L351" i="1" a="1"/>
  <c r="L351" i="1" s="1"/>
  <c r="K351" i="1"/>
  <c r="K351" i="1" a="1"/>
  <c r="J351" i="1" a="1"/>
  <c r="J351" i="1" s="1"/>
  <c r="I351" i="1"/>
  <c r="I351" i="1" a="1"/>
  <c r="H351" i="1" a="1"/>
  <c r="H351" i="1" s="1"/>
  <c r="F351" i="1" a="1"/>
  <c r="F351" i="1" s="1"/>
  <c r="AA350" i="1"/>
  <c r="X350" i="1"/>
  <c r="O350" i="1"/>
  <c r="L350" i="1" a="1"/>
  <c r="L350" i="1" s="1"/>
  <c r="K350" i="1"/>
  <c r="K350" i="1" a="1"/>
  <c r="J350" i="1" a="1"/>
  <c r="J350" i="1" s="1"/>
  <c r="I350" i="1"/>
  <c r="I350" i="1" a="1"/>
  <c r="H350" i="1" a="1"/>
  <c r="H350" i="1" s="1"/>
  <c r="F350" i="1"/>
  <c r="F350" i="1" a="1"/>
  <c r="AA349" i="1"/>
  <c r="X349" i="1"/>
  <c r="O349" i="1"/>
  <c r="L349" i="1"/>
  <c r="L349" i="1" a="1"/>
  <c r="K349" i="1" a="1"/>
  <c r="K349" i="1" s="1"/>
  <c r="J349" i="1"/>
  <c r="J349" i="1" a="1"/>
  <c r="I349" i="1" a="1"/>
  <c r="I349" i="1" s="1"/>
  <c r="H349" i="1"/>
  <c r="H349" i="1" a="1"/>
  <c r="F349" i="1" a="1"/>
  <c r="F349" i="1" s="1"/>
  <c r="AA348" i="1"/>
  <c r="X348" i="1"/>
  <c r="O348" i="1"/>
  <c r="L348" i="1"/>
  <c r="L348" i="1" a="1"/>
  <c r="K348" i="1" a="1"/>
  <c r="K348" i="1" s="1"/>
  <c r="J348" i="1"/>
  <c r="J348" i="1" a="1"/>
  <c r="I348" i="1" a="1"/>
  <c r="I348" i="1" s="1"/>
  <c r="H348" i="1"/>
  <c r="H348" i="1" a="1"/>
  <c r="F348" i="1" a="1"/>
  <c r="F348" i="1" s="1"/>
  <c r="AA347" i="1"/>
  <c r="X347" i="1"/>
  <c r="O347" i="1"/>
  <c r="L347" i="1" a="1"/>
  <c r="L347" i="1" s="1"/>
  <c r="K347" i="1"/>
  <c r="K347" i="1" a="1"/>
  <c r="J347" i="1" a="1"/>
  <c r="J347" i="1" s="1"/>
  <c r="I347" i="1"/>
  <c r="I347" i="1" a="1"/>
  <c r="H347" i="1" a="1"/>
  <c r="H347" i="1" s="1"/>
  <c r="F347" i="1"/>
  <c r="F347" i="1" a="1"/>
  <c r="AA346" i="1"/>
  <c r="X346" i="1"/>
  <c r="O346" i="1"/>
  <c r="L346" i="1" a="1"/>
  <c r="L346" i="1" s="1"/>
  <c r="K346" i="1"/>
  <c r="K346" i="1" a="1"/>
  <c r="J346" i="1" a="1"/>
  <c r="J346" i="1" s="1"/>
  <c r="I346" i="1"/>
  <c r="I346" i="1" a="1"/>
  <c r="H346" i="1" a="1"/>
  <c r="H346" i="1" s="1"/>
  <c r="F346" i="1"/>
  <c r="F346" i="1" a="1"/>
  <c r="AA345" i="1"/>
  <c r="X345" i="1"/>
  <c r="O345" i="1"/>
  <c r="L345" i="1"/>
  <c r="L345" i="1" a="1"/>
  <c r="K345" i="1" a="1"/>
  <c r="K345" i="1" s="1"/>
  <c r="J345" i="1"/>
  <c r="J345" i="1" a="1"/>
  <c r="I345" i="1" a="1"/>
  <c r="I345" i="1" s="1"/>
  <c r="H345" i="1"/>
  <c r="H345" i="1" a="1"/>
  <c r="F345" i="1" a="1"/>
  <c r="F345" i="1" s="1"/>
  <c r="AA344" i="1"/>
  <c r="X344" i="1"/>
  <c r="O344" i="1"/>
  <c r="L344" i="1"/>
  <c r="L344" i="1" a="1"/>
  <c r="K344" i="1" a="1"/>
  <c r="K344" i="1" s="1"/>
  <c r="J344" i="1"/>
  <c r="J344" i="1" a="1"/>
  <c r="I344" i="1" a="1"/>
  <c r="I344" i="1" s="1"/>
  <c r="H344" i="1"/>
  <c r="H344" i="1" a="1"/>
  <c r="F344" i="1" a="1"/>
  <c r="F344" i="1" s="1"/>
  <c r="AA343" i="1"/>
  <c r="X343" i="1"/>
  <c r="O343" i="1"/>
  <c r="L343" i="1" a="1"/>
  <c r="L343" i="1" s="1"/>
  <c r="K343" i="1"/>
  <c r="K343" i="1" a="1"/>
  <c r="J343" i="1" a="1"/>
  <c r="J343" i="1" s="1"/>
  <c r="I343" i="1"/>
  <c r="I343" i="1" a="1"/>
  <c r="H343" i="1" a="1"/>
  <c r="H343" i="1" s="1"/>
  <c r="F343" i="1"/>
  <c r="F343" i="1" a="1"/>
  <c r="AA342" i="1"/>
  <c r="X342" i="1"/>
  <c r="O342" i="1"/>
  <c r="L342" i="1" a="1"/>
  <c r="L342" i="1" s="1"/>
  <c r="K342" i="1"/>
  <c r="K342" i="1" a="1"/>
  <c r="J342" i="1" a="1"/>
  <c r="J342" i="1" s="1"/>
  <c r="I342" i="1"/>
  <c r="I342" i="1" a="1"/>
  <c r="H342" i="1" a="1"/>
  <c r="H342" i="1" s="1"/>
  <c r="F342" i="1"/>
  <c r="F342" i="1" a="1"/>
  <c r="AA341" i="1"/>
  <c r="X341" i="1"/>
  <c r="O341" i="1"/>
  <c r="L341" i="1"/>
  <c r="L341" i="1" a="1"/>
  <c r="K341" i="1" a="1"/>
  <c r="K341" i="1" s="1"/>
  <c r="J341" i="1"/>
  <c r="J341" i="1" a="1"/>
  <c r="I341" i="1" a="1"/>
  <c r="I341" i="1" s="1"/>
  <c r="H341" i="1"/>
  <c r="H341" i="1" a="1"/>
  <c r="F341" i="1" a="1"/>
  <c r="F341" i="1" s="1"/>
  <c r="AA340" i="1"/>
  <c r="X340" i="1"/>
  <c r="O340" i="1"/>
  <c r="L340" i="1"/>
  <c r="L340" i="1" a="1"/>
  <c r="K340" i="1" a="1"/>
  <c r="K340" i="1" s="1"/>
  <c r="J340" i="1"/>
  <c r="J340" i="1" a="1"/>
  <c r="I340" i="1" a="1"/>
  <c r="I340" i="1" s="1"/>
  <c r="H340" i="1"/>
  <c r="H340" i="1" a="1"/>
  <c r="F340" i="1" a="1"/>
  <c r="F340" i="1" s="1"/>
  <c r="AA339" i="1"/>
  <c r="X339" i="1"/>
  <c r="O339" i="1"/>
  <c r="L339" i="1" a="1"/>
  <c r="L339" i="1" s="1"/>
  <c r="K339" i="1"/>
  <c r="K339" i="1" a="1"/>
  <c r="J339" i="1" a="1"/>
  <c r="J339" i="1" s="1"/>
  <c r="I339" i="1"/>
  <c r="I339" i="1" a="1"/>
  <c r="H339" i="1" a="1"/>
  <c r="H339" i="1" s="1"/>
  <c r="F339" i="1"/>
  <c r="F339" i="1" a="1"/>
  <c r="AA338" i="1"/>
  <c r="X338" i="1"/>
  <c r="O338" i="1"/>
  <c r="L338" i="1" a="1"/>
  <c r="L338" i="1" s="1"/>
  <c r="K338" i="1"/>
  <c r="K338" i="1" a="1"/>
  <c r="J338" i="1" a="1"/>
  <c r="J338" i="1" s="1"/>
  <c r="I338" i="1"/>
  <c r="I338" i="1" a="1"/>
  <c r="H338" i="1" a="1"/>
  <c r="H338" i="1" s="1"/>
  <c r="F338" i="1"/>
  <c r="F338" i="1" a="1"/>
  <c r="AA337" i="1"/>
  <c r="X337" i="1"/>
  <c r="O337" i="1"/>
  <c r="L337" i="1"/>
  <c r="L337" i="1" a="1"/>
  <c r="K337" i="1" a="1"/>
  <c r="K337" i="1" s="1"/>
  <c r="J337" i="1"/>
  <c r="J337" i="1" a="1"/>
  <c r="I337" i="1" a="1"/>
  <c r="I337" i="1" s="1"/>
  <c r="H337" i="1"/>
  <c r="H337" i="1" a="1"/>
  <c r="F337" i="1" a="1"/>
  <c r="F337" i="1" s="1"/>
  <c r="AA336" i="1"/>
  <c r="X336" i="1"/>
  <c r="O336" i="1"/>
  <c r="L336" i="1"/>
  <c r="L336" i="1" a="1"/>
  <c r="K336" i="1" a="1"/>
  <c r="K336" i="1" s="1"/>
  <c r="J336" i="1"/>
  <c r="J336" i="1" a="1"/>
  <c r="I336" i="1" a="1"/>
  <c r="I336" i="1" s="1"/>
  <c r="H336" i="1"/>
  <c r="H336" i="1" a="1"/>
  <c r="F336" i="1" a="1"/>
  <c r="F336" i="1" s="1"/>
  <c r="AA335" i="1"/>
  <c r="X335" i="1"/>
  <c r="O335" i="1"/>
  <c r="L335" i="1" a="1"/>
  <c r="L335" i="1" s="1"/>
  <c r="K335" i="1"/>
  <c r="K335" i="1" a="1"/>
  <c r="J335" i="1" a="1"/>
  <c r="J335" i="1" s="1"/>
  <c r="I335" i="1"/>
  <c r="I335" i="1" a="1"/>
  <c r="H335" i="1" a="1"/>
  <c r="H335" i="1" s="1"/>
  <c r="F335" i="1"/>
  <c r="F335" i="1" a="1"/>
  <c r="AA334" i="1"/>
  <c r="X334" i="1"/>
  <c r="O334" i="1"/>
  <c r="L334" i="1" a="1"/>
  <c r="L334" i="1" s="1"/>
  <c r="K334" i="1"/>
  <c r="K334" i="1" a="1"/>
  <c r="J334" i="1" a="1"/>
  <c r="J334" i="1" s="1"/>
  <c r="I334" i="1"/>
  <c r="I334" i="1" a="1"/>
  <c r="H334" i="1" a="1"/>
  <c r="H334" i="1" s="1"/>
  <c r="F334" i="1"/>
  <c r="F334" i="1" a="1"/>
  <c r="AA333" i="1"/>
  <c r="X333" i="1"/>
  <c r="O333" i="1"/>
  <c r="L333" i="1"/>
  <c r="L333" i="1" a="1"/>
  <c r="K333" i="1" a="1"/>
  <c r="K333" i="1" s="1"/>
  <c r="J333" i="1"/>
  <c r="J333" i="1" a="1"/>
  <c r="I333" i="1" a="1"/>
  <c r="I333" i="1" s="1"/>
  <c r="H333" i="1"/>
  <c r="H333" i="1" a="1"/>
  <c r="F333" i="1" a="1"/>
  <c r="F333" i="1" s="1"/>
  <c r="AA332" i="1"/>
  <c r="X332" i="1"/>
  <c r="O332" i="1"/>
  <c r="L332" i="1"/>
  <c r="L332" i="1" a="1"/>
  <c r="K332" i="1" a="1"/>
  <c r="K332" i="1" s="1"/>
  <c r="J332" i="1"/>
  <c r="J332" i="1" a="1"/>
  <c r="I332" i="1" a="1"/>
  <c r="I332" i="1" s="1"/>
  <c r="H332" i="1"/>
  <c r="H332" i="1" a="1"/>
  <c r="F332" i="1" a="1"/>
  <c r="F332" i="1" s="1"/>
  <c r="AA331" i="1"/>
  <c r="X331" i="1"/>
  <c r="O331" i="1"/>
  <c r="L331" i="1" a="1"/>
  <c r="L331" i="1" s="1"/>
  <c r="K331" i="1" a="1"/>
  <c r="K331" i="1" s="1"/>
  <c r="J331" i="1" a="1"/>
  <c r="J331" i="1" s="1"/>
  <c r="I331" i="1" a="1"/>
  <c r="I331" i="1" s="1"/>
  <c r="H331" i="1" a="1"/>
  <c r="H331" i="1" s="1"/>
  <c r="F331" i="1" a="1"/>
  <c r="F331" i="1" s="1"/>
  <c r="AA330" i="1"/>
  <c r="X330" i="1"/>
  <c r="O330" i="1"/>
  <c r="L330" i="1"/>
  <c r="L330" i="1" a="1"/>
  <c r="K330" i="1"/>
  <c r="K330" i="1" a="1"/>
  <c r="J330" i="1"/>
  <c r="J330" i="1" a="1"/>
  <c r="I330" i="1"/>
  <c r="I330" i="1" a="1"/>
  <c r="H330" i="1"/>
  <c r="H330" i="1" a="1"/>
  <c r="F330" i="1"/>
  <c r="F330" i="1" a="1"/>
  <c r="AA329" i="1"/>
  <c r="X329" i="1"/>
  <c r="O329" i="1"/>
  <c r="L329" i="1" a="1"/>
  <c r="L329" i="1" s="1"/>
  <c r="K329" i="1" a="1"/>
  <c r="K329" i="1" s="1"/>
  <c r="J329" i="1" a="1"/>
  <c r="J329" i="1" s="1"/>
  <c r="I329" i="1" a="1"/>
  <c r="I329" i="1" s="1"/>
  <c r="H329" i="1" a="1"/>
  <c r="H329" i="1" s="1"/>
  <c r="F329" i="1" a="1"/>
  <c r="F329" i="1" s="1"/>
  <c r="AA328" i="1"/>
  <c r="X328" i="1"/>
  <c r="O328" i="1"/>
  <c r="L328" i="1"/>
  <c r="L328" i="1" a="1"/>
  <c r="K328" i="1"/>
  <c r="K328" i="1" a="1"/>
  <c r="J328" i="1"/>
  <c r="J328" i="1" a="1"/>
  <c r="I328" i="1"/>
  <c r="I328" i="1" a="1"/>
  <c r="H328" i="1"/>
  <c r="H328" i="1" a="1"/>
  <c r="F328" i="1"/>
  <c r="F328" i="1" a="1"/>
  <c r="AA327" i="1"/>
  <c r="X327" i="1"/>
  <c r="O327" i="1"/>
  <c r="L327" i="1" a="1"/>
  <c r="L327" i="1" s="1"/>
  <c r="K327" i="1" a="1"/>
  <c r="K327" i="1" s="1"/>
  <c r="J327" i="1" a="1"/>
  <c r="J327" i="1" s="1"/>
  <c r="I327" i="1" a="1"/>
  <c r="I327" i="1" s="1"/>
  <c r="H327" i="1" a="1"/>
  <c r="H327" i="1" s="1"/>
  <c r="F327" i="1" a="1"/>
  <c r="F327" i="1" s="1"/>
  <c r="AA326" i="1"/>
  <c r="X326" i="1"/>
  <c r="O326" i="1"/>
  <c r="L326" i="1"/>
  <c r="L326" i="1" a="1"/>
  <c r="K326" i="1"/>
  <c r="K326" i="1" a="1"/>
  <c r="J326" i="1"/>
  <c r="J326" i="1" a="1"/>
  <c r="I326" i="1"/>
  <c r="I326" i="1" a="1"/>
  <c r="H326" i="1"/>
  <c r="H326" i="1" a="1"/>
  <c r="F326" i="1"/>
  <c r="F326" i="1" a="1"/>
  <c r="AA325" i="1"/>
  <c r="X325" i="1"/>
  <c r="O325" i="1"/>
  <c r="L325" i="1" a="1"/>
  <c r="L325" i="1" s="1"/>
  <c r="K325" i="1" a="1"/>
  <c r="K325" i="1" s="1"/>
  <c r="J325" i="1" a="1"/>
  <c r="J325" i="1" s="1"/>
  <c r="I325" i="1" a="1"/>
  <c r="I325" i="1" s="1"/>
  <c r="H325" i="1" a="1"/>
  <c r="H325" i="1" s="1"/>
  <c r="F325" i="1" a="1"/>
  <c r="F325" i="1" s="1"/>
  <c r="AA324" i="1"/>
  <c r="X324" i="1"/>
  <c r="O324" i="1"/>
  <c r="L324" i="1"/>
  <c r="L324" i="1" a="1"/>
  <c r="K324" i="1"/>
  <c r="K324" i="1" a="1"/>
  <c r="J324" i="1"/>
  <c r="J324" i="1" a="1"/>
  <c r="I324" i="1"/>
  <c r="I324" i="1" a="1"/>
  <c r="H324" i="1"/>
  <c r="H324" i="1" a="1"/>
  <c r="F324" i="1"/>
  <c r="F324" i="1" a="1"/>
  <c r="AA323" i="1"/>
  <c r="X323" i="1"/>
  <c r="O323" i="1"/>
  <c r="L323" i="1" a="1"/>
  <c r="L323" i="1" s="1"/>
  <c r="K323" i="1" a="1"/>
  <c r="K323" i="1" s="1"/>
  <c r="J323" i="1" a="1"/>
  <c r="J323" i="1" s="1"/>
  <c r="I323" i="1" a="1"/>
  <c r="I323" i="1" s="1"/>
  <c r="H323" i="1" a="1"/>
  <c r="H323" i="1" s="1"/>
  <c r="F323" i="1" a="1"/>
  <c r="F323" i="1" s="1"/>
  <c r="AA322" i="1"/>
  <c r="X322" i="1"/>
  <c r="O322" i="1"/>
  <c r="L322" i="1"/>
  <c r="L322" i="1" a="1"/>
  <c r="K322" i="1"/>
  <c r="K322" i="1" a="1"/>
  <c r="J322" i="1"/>
  <c r="J322" i="1" a="1"/>
  <c r="I322" i="1"/>
  <c r="I322" i="1" a="1"/>
  <c r="H322" i="1"/>
  <c r="H322" i="1" a="1"/>
  <c r="F322" i="1"/>
  <c r="F322" i="1" a="1"/>
  <c r="AA321" i="1"/>
  <c r="X321" i="1"/>
  <c r="O321" i="1"/>
  <c r="L321" i="1" a="1"/>
  <c r="L321" i="1" s="1"/>
  <c r="K321" i="1" a="1"/>
  <c r="K321" i="1" s="1"/>
  <c r="J321" i="1" a="1"/>
  <c r="J321" i="1" s="1"/>
  <c r="I321" i="1" a="1"/>
  <c r="I321" i="1" s="1"/>
  <c r="H321" i="1" a="1"/>
  <c r="H321" i="1" s="1"/>
  <c r="F321" i="1" a="1"/>
  <c r="F321" i="1" s="1"/>
  <c r="AA320" i="1"/>
  <c r="X320" i="1"/>
  <c r="O320" i="1"/>
  <c r="L320" i="1"/>
  <c r="L320" i="1" a="1"/>
  <c r="K320" i="1"/>
  <c r="K320" i="1" a="1"/>
  <c r="J320" i="1"/>
  <c r="J320" i="1" a="1"/>
  <c r="I320" i="1"/>
  <c r="I320" i="1" a="1"/>
  <c r="H320" i="1"/>
  <c r="H320" i="1" a="1"/>
  <c r="F320" i="1"/>
  <c r="F320" i="1" a="1"/>
  <c r="AA319" i="1"/>
  <c r="X319" i="1"/>
  <c r="O319" i="1"/>
  <c r="L319" i="1" a="1"/>
  <c r="L319" i="1" s="1"/>
  <c r="K319" i="1" a="1"/>
  <c r="K319" i="1" s="1"/>
  <c r="J319" i="1" a="1"/>
  <c r="J319" i="1" s="1"/>
  <c r="I319" i="1" a="1"/>
  <c r="I319" i="1" s="1"/>
  <c r="H319" i="1" a="1"/>
  <c r="H319" i="1" s="1"/>
  <c r="F319" i="1" a="1"/>
  <c r="F319" i="1" s="1"/>
  <c r="AA318" i="1"/>
  <c r="X318" i="1"/>
  <c r="O318" i="1"/>
  <c r="L318" i="1"/>
  <c r="L318" i="1" a="1"/>
  <c r="K318" i="1"/>
  <c r="K318" i="1" a="1"/>
  <c r="J318" i="1"/>
  <c r="J318" i="1" a="1"/>
  <c r="I318" i="1"/>
  <c r="I318" i="1" a="1"/>
  <c r="H318" i="1"/>
  <c r="H318" i="1" a="1"/>
  <c r="F318" i="1"/>
  <c r="F318" i="1" a="1"/>
  <c r="AA317" i="1"/>
  <c r="X317" i="1"/>
  <c r="O317" i="1"/>
  <c r="L317" i="1" a="1"/>
  <c r="L317" i="1" s="1"/>
  <c r="K317" i="1" a="1"/>
  <c r="K317" i="1" s="1"/>
  <c r="J317" i="1" a="1"/>
  <c r="J317" i="1" s="1"/>
  <c r="I317" i="1" a="1"/>
  <c r="I317" i="1" s="1"/>
  <c r="H317" i="1" a="1"/>
  <c r="H317" i="1" s="1"/>
  <c r="F317" i="1" a="1"/>
  <c r="F317" i="1" s="1"/>
  <c r="AA316" i="1"/>
  <c r="X316" i="1"/>
  <c r="O316" i="1"/>
  <c r="L316" i="1"/>
  <c r="L316" i="1" a="1"/>
  <c r="K316" i="1"/>
  <c r="K316" i="1" a="1"/>
  <c r="J316" i="1"/>
  <c r="J316" i="1" a="1"/>
  <c r="I316" i="1"/>
  <c r="I316" i="1" a="1"/>
  <c r="H316" i="1"/>
  <c r="H316" i="1" a="1"/>
  <c r="F316" i="1"/>
  <c r="F316" i="1" a="1"/>
  <c r="AA315" i="1"/>
  <c r="X315" i="1"/>
  <c r="O315" i="1"/>
  <c r="L315" i="1" a="1"/>
  <c r="L315" i="1" s="1"/>
  <c r="K315" i="1" a="1"/>
  <c r="K315" i="1" s="1"/>
  <c r="J315" i="1" a="1"/>
  <c r="J315" i="1" s="1"/>
  <c r="I315" i="1" a="1"/>
  <c r="I315" i="1" s="1"/>
  <c r="H315" i="1" a="1"/>
  <c r="H315" i="1" s="1"/>
  <c r="F315" i="1" a="1"/>
  <c r="F315" i="1" s="1"/>
  <c r="AA314" i="1"/>
  <c r="X314" i="1"/>
  <c r="O314" i="1"/>
  <c r="L314" i="1"/>
  <c r="L314" i="1" a="1"/>
  <c r="K314" i="1"/>
  <c r="K314" i="1" a="1"/>
  <c r="J314" i="1"/>
  <c r="J314" i="1" a="1"/>
  <c r="I314" i="1"/>
  <c r="I314" i="1" a="1"/>
  <c r="H314" i="1"/>
  <c r="H314" i="1" a="1"/>
  <c r="F314" i="1"/>
  <c r="F314" i="1" a="1"/>
  <c r="AA313" i="1"/>
  <c r="X313" i="1"/>
  <c r="O313" i="1"/>
  <c r="L313" i="1" a="1"/>
  <c r="L313" i="1" s="1"/>
  <c r="K313" i="1" a="1"/>
  <c r="K313" i="1" s="1"/>
  <c r="J313" i="1" a="1"/>
  <c r="J313" i="1" s="1"/>
  <c r="I313" i="1" a="1"/>
  <c r="I313" i="1" s="1"/>
  <c r="H313" i="1" a="1"/>
  <c r="H313" i="1" s="1"/>
  <c r="F313" i="1" a="1"/>
  <c r="F313" i="1" s="1"/>
  <c r="AA312" i="1"/>
  <c r="X312" i="1"/>
  <c r="O312" i="1"/>
  <c r="L312" i="1"/>
  <c r="L312" i="1" a="1"/>
  <c r="K312" i="1"/>
  <c r="K312" i="1" a="1"/>
  <c r="J312" i="1"/>
  <c r="J312" i="1" a="1"/>
  <c r="I312" i="1"/>
  <c r="I312" i="1" a="1"/>
  <c r="H312" i="1"/>
  <c r="H312" i="1" a="1"/>
  <c r="F312" i="1"/>
  <c r="F312" i="1" a="1"/>
  <c r="AA311" i="1"/>
  <c r="X311" i="1"/>
  <c r="O311" i="1"/>
  <c r="L311" i="1" a="1"/>
  <c r="L311" i="1" s="1"/>
  <c r="K311" i="1" a="1"/>
  <c r="K311" i="1" s="1"/>
  <c r="J311" i="1" a="1"/>
  <c r="J311" i="1" s="1"/>
  <c r="I311" i="1" a="1"/>
  <c r="I311" i="1" s="1"/>
  <c r="H311" i="1" a="1"/>
  <c r="H311" i="1" s="1"/>
  <c r="F311" i="1" a="1"/>
  <c r="F311" i="1" s="1"/>
  <c r="AA310" i="1"/>
  <c r="X310" i="1"/>
  <c r="O310" i="1"/>
  <c r="L310" i="1"/>
  <c r="L310" i="1" a="1"/>
  <c r="K310" i="1"/>
  <c r="K310" i="1" a="1"/>
  <c r="J310" i="1"/>
  <c r="J310" i="1" a="1"/>
  <c r="I310" i="1"/>
  <c r="I310" i="1" a="1"/>
  <c r="H310" i="1"/>
  <c r="H310" i="1" a="1"/>
  <c r="F310" i="1"/>
  <c r="F310" i="1" a="1"/>
  <c r="AA309" i="1"/>
  <c r="X309" i="1"/>
  <c r="O309" i="1"/>
  <c r="L309" i="1" a="1"/>
  <c r="L309" i="1" s="1"/>
  <c r="K309" i="1" a="1"/>
  <c r="K309" i="1" s="1"/>
  <c r="J309" i="1" a="1"/>
  <c r="J309" i="1" s="1"/>
  <c r="I309" i="1" a="1"/>
  <c r="I309" i="1" s="1"/>
  <c r="H309" i="1" a="1"/>
  <c r="H309" i="1" s="1"/>
  <c r="F309" i="1" a="1"/>
  <c r="F309" i="1" s="1"/>
  <c r="AA308" i="1"/>
  <c r="X308" i="1"/>
  <c r="O308" i="1"/>
  <c r="L308" i="1"/>
  <c r="L308" i="1" a="1"/>
  <c r="K308" i="1"/>
  <c r="K308" i="1" a="1"/>
  <c r="J308" i="1"/>
  <c r="J308" i="1" a="1"/>
  <c r="I308" i="1"/>
  <c r="I308" i="1" a="1"/>
  <c r="H308" i="1"/>
  <c r="H308" i="1" a="1"/>
  <c r="F308" i="1"/>
  <c r="F308" i="1" a="1"/>
  <c r="AA307" i="1"/>
  <c r="X307" i="1"/>
  <c r="O307" i="1"/>
  <c r="L307" i="1" a="1"/>
  <c r="L307" i="1" s="1"/>
  <c r="K307" i="1" a="1"/>
  <c r="K307" i="1" s="1"/>
  <c r="J307" i="1" a="1"/>
  <c r="J307" i="1" s="1"/>
  <c r="I307" i="1" a="1"/>
  <c r="I307" i="1" s="1"/>
  <c r="H307" i="1" a="1"/>
  <c r="H307" i="1" s="1"/>
  <c r="F307" i="1" a="1"/>
  <c r="F307" i="1" s="1"/>
  <c r="AA306" i="1"/>
  <c r="X306" i="1"/>
  <c r="O306" i="1"/>
  <c r="L306" i="1"/>
  <c r="L306" i="1" a="1"/>
  <c r="K306" i="1"/>
  <c r="K306" i="1" a="1"/>
  <c r="J306" i="1"/>
  <c r="J306" i="1" a="1"/>
  <c r="I306" i="1"/>
  <c r="I306" i="1" a="1"/>
  <c r="H306" i="1"/>
  <c r="H306" i="1" a="1"/>
  <c r="F306" i="1"/>
  <c r="F306" i="1" a="1"/>
  <c r="AA305" i="1"/>
  <c r="X305" i="1"/>
  <c r="O305" i="1"/>
  <c r="L305" i="1" a="1"/>
  <c r="L305" i="1" s="1"/>
  <c r="K305" i="1" a="1"/>
  <c r="K305" i="1" s="1"/>
  <c r="J305" i="1" a="1"/>
  <c r="J305" i="1" s="1"/>
  <c r="I305" i="1" a="1"/>
  <c r="I305" i="1" s="1"/>
  <c r="H305" i="1" a="1"/>
  <c r="H305" i="1" s="1"/>
  <c r="F305" i="1" a="1"/>
  <c r="F305" i="1" s="1"/>
  <c r="AA304" i="1"/>
  <c r="X304" i="1"/>
  <c r="O304" i="1"/>
  <c r="L304" i="1"/>
  <c r="L304" i="1" a="1"/>
  <c r="K304" i="1"/>
  <c r="K304" i="1" a="1"/>
  <c r="J304" i="1"/>
  <c r="J304" i="1" a="1"/>
  <c r="I304" i="1"/>
  <c r="I304" i="1" a="1"/>
  <c r="H304" i="1"/>
  <c r="H304" i="1" a="1"/>
  <c r="F304" i="1"/>
  <c r="F304" i="1" a="1"/>
  <c r="AA303" i="1"/>
  <c r="X303" i="1"/>
  <c r="O303" i="1"/>
  <c r="L303" i="1" a="1"/>
  <c r="L303" i="1" s="1"/>
  <c r="K303" i="1" a="1"/>
  <c r="K303" i="1" s="1"/>
  <c r="J303" i="1" a="1"/>
  <c r="J303" i="1" s="1"/>
  <c r="I303" i="1" a="1"/>
  <c r="I303" i="1" s="1"/>
  <c r="H303" i="1" a="1"/>
  <c r="H303" i="1" s="1"/>
  <c r="F303" i="1" a="1"/>
  <c r="F303" i="1" s="1"/>
  <c r="AA302" i="1"/>
  <c r="X302" i="1"/>
  <c r="O302" i="1"/>
  <c r="L302" i="1"/>
  <c r="L302" i="1" a="1"/>
  <c r="K302" i="1"/>
  <c r="K302" i="1" a="1"/>
  <c r="J302" i="1"/>
  <c r="J302" i="1" a="1"/>
  <c r="I302" i="1"/>
  <c r="I302" i="1" a="1"/>
  <c r="H302" i="1"/>
  <c r="H302" i="1" a="1"/>
  <c r="F302" i="1"/>
  <c r="F302" i="1" a="1"/>
  <c r="AA301" i="1"/>
  <c r="X301" i="1"/>
  <c r="O301" i="1"/>
  <c r="L301" i="1" a="1"/>
  <c r="L301" i="1" s="1"/>
  <c r="K301" i="1" a="1"/>
  <c r="K301" i="1" s="1"/>
  <c r="J301" i="1" a="1"/>
  <c r="J301" i="1" s="1"/>
  <c r="I301" i="1" a="1"/>
  <c r="I301" i="1" s="1"/>
  <c r="H301" i="1" a="1"/>
  <c r="H301" i="1" s="1"/>
  <c r="F301" i="1" a="1"/>
  <c r="F301" i="1" s="1"/>
  <c r="AA300" i="1"/>
  <c r="X300" i="1"/>
  <c r="O300" i="1"/>
  <c r="L300" i="1"/>
  <c r="L300" i="1" a="1"/>
  <c r="K300" i="1"/>
  <c r="K300" i="1" a="1"/>
  <c r="J300" i="1"/>
  <c r="J300" i="1" a="1"/>
  <c r="I300" i="1"/>
  <c r="I300" i="1" a="1"/>
  <c r="H300" i="1"/>
  <c r="H300" i="1" a="1"/>
  <c r="F300" i="1"/>
  <c r="F300" i="1" a="1"/>
  <c r="AA299" i="1"/>
  <c r="X299" i="1"/>
  <c r="O299" i="1"/>
  <c r="L299" i="1" a="1"/>
  <c r="L299" i="1" s="1"/>
  <c r="K299" i="1" a="1"/>
  <c r="K299" i="1" s="1"/>
  <c r="J299" i="1" a="1"/>
  <c r="J299" i="1" s="1"/>
  <c r="I299" i="1" a="1"/>
  <c r="I299" i="1" s="1"/>
  <c r="H299" i="1" a="1"/>
  <c r="H299" i="1" s="1"/>
  <c r="F299" i="1" a="1"/>
  <c r="F299" i="1" s="1"/>
  <c r="AA298" i="1"/>
  <c r="X298" i="1"/>
  <c r="O298" i="1"/>
  <c r="L298" i="1"/>
  <c r="L298" i="1" a="1"/>
  <c r="K298" i="1"/>
  <c r="K298" i="1" a="1"/>
  <c r="J298" i="1"/>
  <c r="J298" i="1" a="1"/>
  <c r="I298" i="1"/>
  <c r="I298" i="1" a="1"/>
  <c r="H298" i="1"/>
  <c r="H298" i="1" a="1"/>
  <c r="F298" i="1"/>
  <c r="F298" i="1" a="1"/>
  <c r="AA297" i="1"/>
  <c r="X297" i="1"/>
  <c r="O297" i="1"/>
  <c r="L297" i="1" a="1"/>
  <c r="L297" i="1" s="1"/>
  <c r="K297" i="1" a="1"/>
  <c r="K297" i="1" s="1"/>
  <c r="J297" i="1" a="1"/>
  <c r="J297" i="1" s="1"/>
  <c r="I297" i="1" a="1"/>
  <c r="I297" i="1" s="1"/>
  <c r="H297" i="1" a="1"/>
  <c r="H297" i="1" s="1"/>
  <c r="F297" i="1" a="1"/>
  <c r="F297" i="1" s="1"/>
  <c r="AA296" i="1"/>
  <c r="X296" i="1"/>
  <c r="O296" i="1"/>
  <c r="L296" i="1"/>
  <c r="L296" i="1" a="1"/>
  <c r="K296" i="1"/>
  <c r="K296" i="1" a="1"/>
  <c r="J296" i="1"/>
  <c r="J296" i="1" a="1"/>
  <c r="I296" i="1"/>
  <c r="I296" i="1" a="1"/>
  <c r="H296" i="1"/>
  <c r="H296" i="1" a="1"/>
  <c r="F296" i="1"/>
  <c r="F296" i="1" a="1"/>
  <c r="AA295" i="1"/>
  <c r="X295" i="1"/>
  <c r="O295" i="1"/>
  <c r="L295" i="1" a="1"/>
  <c r="L295" i="1" s="1"/>
  <c r="K295" i="1" a="1"/>
  <c r="K295" i="1" s="1"/>
  <c r="J295" i="1" a="1"/>
  <c r="J295" i="1" s="1"/>
  <c r="I295" i="1" a="1"/>
  <c r="I295" i="1" s="1"/>
  <c r="H295" i="1"/>
  <c r="H295" i="1" a="1"/>
  <c r="F295" i="1" a="1"/>
  <c r="F295" i="1" s="1"/>
  <c r="AA294" i="1"/>
  <c r="X294" i="1"/>
  <c r="O294" i="1"/>
  <c r="L294" i="1"/>
  <c r="L294" i="1" a="1"/>
  <c r="K294" i="1"/>
  <c r="K294" i="1" a="1"/>
  <c r="J294" i="1"/>
  <c r="J294" i="1" a="1"/>
  <c r="I294" i="1"/>
  <c r="I294" i="1" a="1"/>
  <c r="H294" i="1"/>
  <c r="H294" i="1" a="1"/>
  <c r="F294" i="1"/>
  <c r="F294" i="1" a="1"/>
  <c r="AA293" i="1"/>
  <c r="X293" i="1"/>
  <c r="O293" i="1"/>
  <c r="L293" i="1" a="1"/>
  <c r="L293" i="1" s="1"/>
  <c r="K293" i="1" a="1"/>
  <c r="K293" i="1" s="1"/>
  <c r="J293" i="1" a="1"/>
  <c r="J293" i="1" s="1"/>
  <c r="I293" i="1" a="1"/>
  <c r="I293" i="1" s="1"/>
  <c r="H293" i="1" a="1"/>
  <c r="H293" i="1" s="1"/>
  <c r="F293" i="1" a="1"/>
  <c r="F293" i="1" s="1"/>
  <c r="AA292" i="1"/>
  <c r="X292" i="1"/>
  <c r="O292" i="1"/>
  <c r="L292" i="1"/>
  <c r="L292" i="1" a="1"/>
  <c r="K292" i="1"/>
  <c r="K292" i="1" a="1"/>
  <c r="J292" i="1"/>
  <c r="J292" i="1" a="1"/>
  <c r="I292" i="1"/>
  <c r="I292" i="1" a="1"/>
  <c r="H292" i="1"/>
  <c r="H292" i="1" a="1"/>
  <c r="F292" i="1"/>
  <c r="F292" i="1" a="1"/>
  <c r="AA291" i="1"/>
  <c r="X291" i="1"/>
  <c r="O291" i="1"/>
  <c r="L291" i="1" a="1"/>
  <c r="L291" i="1" s="1"/>
  <c r="K291" i="1" a="1"/>
  <c r="K291" i="1" s="1"/>
  <c r="J291" i="1" a="1"/>
  <c r="J291" i="1" s="1"/>
  <c r="I291" i="1" a="1"/>
  <c r="I291" i="1" s="1"/>
  <c r="H291" i="1" a="1"/>
  <c r="H291" i="1" s="1"/>
  <c r="F291" i="1" a="1"/>
  <c r="F291" i="1" s="1"/>
  <c r="AA290" i="1"/>
  <c r="X290" i="1"/>
  <c r="O290" i="1"/>
  <c r="L290" i="1"/>
  <c r="L290" i="1" a="1"/>
  <c r="K290" i="1"/>
  <c r="K290" i="1" a="1"/>
  <c r="J290" i="1"/>
  <c r="J290" i="1" a="1"/>
  <c r="I290" i="1"/>
  <c r="I290" i="1" a="1"/>
  <c r="H290" i="1"/>
  <c r="H290" i="1" a="1"/>
  <c r="F290" i="1"/>
  <c r="F290" i="1" a="1"/>
  <c r="AA289" i="1"/>
  <c r="X289" i="1"/>
  <c r="O289" i="1"/>
  <c r="L289" i="1" a="1"/>
  <c r="L289" i="1" s="1"/>
  <c r="K289" i="1" a="1"/>
  <c r="K289" i="1" s="1"/>
  <c r="J289" i="1" a="1"/>
  <c r="J289" i="1" s="1"/>
  <c r="I289" i="1" a="1"/>
  <c r="I289" i="1" s="1"/>
  <c r="H289" i="1" a="1"/>
  <c r="H289" i="1" s="1"/>
  <c r="F289" i="1" a="1"/>
  <c r="F289" i="1" s="1"/>
  <c r="AA288" i="1"/>
  <c r="X288" i="1"/>
  <c r="O288" i="1"/>
  <c r="L288" i="1"/>
  <c r="L288" i="1" a="1"/>
  <c r="K288" i="1"/>
  <c r="K288" i="1" a="1"/>
  <c r="J288" i="1"/>
  <c r="J288" i="1" a="1"/>
  <c r="I288" i="1"/>
  <c r="I288" i="1" a="1"/>
  <c r="H288" i="1"/>
  <c r="H288" i="1" a="1"/>
  <c r="F288" i="1"/>
  <c r="F288" i="1" a="1"/>
  <c r="AA287" i="1"/>
  <c r="X287" i="1"/>
  <c r="O287" i="1"/>
  <c r="L287" i="1" a="1"/>
  <c r="L287" i="1" s="1"/>
  <c r="K287" i="1" a="1"/>
  <c r="K287" i="1" s="1"/>
  <c r="J287" i="1" a="1"/>
  <c r="J287" i="1" s="1"/>
  <c r="I287" i="1" a="1"/>
  <c r="I287" i="1" s="1"/>
  <c r="H287" i="1" a="1"/>
  <c r="H287" i="1" s="1"/>
  <c r="F287" i="1" a="1"/>
  <c r="F287" i="1" s="1"/>
  <c r="AA286" i="1"/>
  <c r="X286" i="1"/>
  <c r="O286" i="1"/>
  <c r="L286" i="1"/>
  <c r="L286" i="1" a="1"/>
  <c r="K286" i="1"/>
  <c r="K286" i="1" a="1"/>
  <c r="J286" i="1"/>
  <c r="J286" i="1" a="1"/>
  <c r="I286" i="1"/>
  <c r="I286" i="1" a="1"/>
  <c r="H286" i="1"/>
  <c r="H286" i="1" a="1"/>
  <c r="F286" i="1"/>
  <c r="F286" i="1" a="1"/>
  <c r="AA285" i="1"/>
  <c r="X285" i="1"/>
  <c r="O285" i="1"/>
  <c r="L285" i="1" a="1"/>
  <c r="L285" i="1" s="1"/>
  <c r="K285" i="1" a="1"/>
  <c r="K285" i="1" s="1"/>
  <c r="J285" i="1" a="1"/>
  <c r="J285" i="1" s="1"/>
  <c r="I285" i="1" a="1"/>
  <c r="I285" i="1" s="1"/>
  <c r="H285" i="1" a="1"/>
  <c r="H285" i="1" s="1"/>
  <c r="F285" i="1" a="1"/>
  <c r="F285" i="1" s="1"/>
  <c r="AA284" i="1"/>
  <c r="X284" i="1"/>
  <c r="O284" i="1"/>
  <c r="L284" i="1"/>
  <c r="L284" i="1" a="1"/>
  <c r="K284" i="1"/>
  <c r="K284" i="1" a="1"/>
  <c r="J284" i="1"/>
  <c r="J284" i="1" a="1"/>
  <c r="I284" i="1"/>
  <c r="I284" i="1" a="1"/>
  <c r="H284" i="1"/>
  <c r="H284" i="1" a="1"/>
  <c r="F284" i="1"/>
  <c r="F284" i="1" a="1"/>
  <c r="AA283" i="1"/>
  <c r="X283" i="1"/>
  <c r="O283" i="1"/>
  <c r="L283" i="1" a="1"/>
  <c r="L283" i="1" s="1"/>
  <c r="K283" i="1" a="1"/>
  <c r="K283" i="1" s="1"/>
  <c r="J283" i="1" a="1"/>
  <c r="J283" i="1" s="1"/>
  <c r="I283" i="1" a="1"/>
  <c r="I283" i="1" s="1"/>
  <c r="H283" i="1" a="1"/>
  <c r="H283" i="1" s="1"/>
  <c r="F283" i="1" a="1"/>
  <c r="F283" i="1" s="1"/>
  <c r="AA282" i="1"/>
  <c r="X282" i="1"/>
  <c r="O282" i="1"/>
  <c r="L282" i="1"/>
  <c r="L282" i="1" a="1"/>
  <c r="K282" i="1"/>
  <c r="K282" i="1" a="1"/>
  <c r="J282" i="1"/>
  <c r="J282" i="1" a="1"/>
  <c r="I282" i="1"/>
  <c r="I282" i="1" a="1"/>
  <c r="H282" i="1"/>
  <c r="H282" i="1" a="1"/>
  <c r="F282" i="1"/>
  <c r="F282" i="1" a="1"/>
  <c r="AA281" i="1"/>
  <c r="X281" i="1"/>
  <c r="O281" i="1"/>
  <c r="L281" i="1" a="1"/>
  <c r="L281" i="1" s="1"/>
  <c r="K281" i="1" a="1"/>
  <c r="K281" i="1" s="1"/>
  <c r="J281" i="1" a="1"/>
  <c r="J281" i="1" s="1"/>
  <c r="I281" i="1" a="1"/>
  <c r="I281" i="1" s="1"/>
  <c r="H281" i="1" a="1"/>
  <c r="H281" i="1" s="1"/>
  <c r="F281" i="1" a="1"/>
  <c r="F281" i="1" s="1"/>
  <c r="AA280" i="1"/>
  <c r="X280" i="1"/>
  <c r="O280" i="1"/>
  <c r="L280" i="1"/>
  <c r="L280" i="1" a="1"/>
  <c r="K280" i="1"/>
  <c r="K280" i="1" a="1"/>
  <c r="J280" i="1"/>
  <c r="J280" i="1" a="1"/>
  <c r="I280" i="1"/>
  <c r="I280" i="1" a="1"/>
  <c r="H280" i="1"/>
  <c r="H280" i="1" a="1"/>
  <c r="F280" i="1"/>
  <c r="F280" i="1" a="1"/>
  <c r="AA279" i="1"/>
  <c r="X279" i="1"/>
  <c r="O279" i="1"/>
  <c r="L279" i="1" a="1"/>
  <c r="L279" i="1" s="1"/>
  <c r="K279" i="1" a="1"/>
  <c r="K279" i="1" s="1"/>
  <c r="J279" i="1" a="1"/>
  <c r="J279" i="1" s="1"/>
  <c r="I279" i="1" a="1"/>
  <c r="I279" i="1" s="1"/>
  <c r="H279" i="1" a="1"/>
  <c r="H279" i="1" s="1"/>
  <c r="F279" i="1" a="1"/>
  <c r="F279" i="1" s="1"/>
  <c r="AA278" i="1"/>
  <c r="X278" i="1"/>
  <c r="O278" i="1"/>
  <c r="L278" i="1"/>
  <c r="L278" i="1" a="1"/>
  <c r="K278" i="1"/>
  <c r="K278" i="1" a="1"/>
  <c r="J278" i="1"/>
  <c r="J278" i="1" a="1"/>
  <c r="I278" i="1"/>
  <c r="I278" i="1" a="1"/>
  <c r="H278" i="1"/>
  <c r="H278" i="1" a="1"/>
  <c r="F278" i="1"/>
  <c r="F278" i="1" a="1"/>
  <c r="AA277" i="1"/>
  <c r="X277" i="1"/>
  <c r="O277" i="1"/>
  <c r="L277" i="1" a="1"/>
  <c r="L277" i="1" s="1"/>
  <c r="K277" i="1" a="1"/>
  <c r="K277" i="1" s="1"/>
  <c r="J277" i="1" a="1"/>
  <c r="J277" i="1" s="1"/>
  <c r="I277" i="1" a="1"/>
  <c r="I277" i="1" s="1"/>
  <c r="H277" i="1" a="1"/>
  <c r="H277" i="1" s="1"/>
  <c r="F277" i="1" a="1"/>
  <c r="F277" i="1" s="1"/>
  <c r="AA276" i="1"/>
  <c r="X276" i="1"/>
  <c r="O276" i="1"/>
  <c r="L276" i="1"/>
  <c r="L276" i="1" a="1"/>
  <c r="K276" i="1"/>
  <c r="K276" i="1" a="1"/>
  <c r="J276" i="1"/>
  <c r="J276" i="1" a="1"/>
  <c r="I276" i="1"/>
  <c r="I276" i="1" a="1"/>
  <c r="H276" i="1"/>
  <c r="H276" i="1" a="1"/>
  <c r="F276" i="1"/>
  <c r="F276" i="1" a="1"/>
  <c r="AA275" i="1"/>
  <c r="X275" i="1"/>
  <c r="O275" i="1"/>
  <c r="L275" i="1" a="1"/>
  <c r="L275" i="1" s="1"/>
  <c r="K275" i="1" a="1"/>
  <c r="K275" i="1" s="1"/>
  <c r="J275" i="1" a="1"/>
  <c r="J275" i="1" s="1"/>
  <c r="I275" i="1" a="1"/>
  <c r="I275" i="1" s="1"/>
  <c r="H275" i="1" a="1"/>
  <c r="H275" i="1" s="1"/>
  <c r="F275" i="1" a="1"/>
  <c r="F275" i="1" s="1"/>
  <c r="AA274" i="1"/>
  <c r="X274" i="1"/>
  <c r="O274" i="1"/>
  <c r="L274" i="1"/>
  <c r="L274" i="1" a="1"/>
  <c r="K274" i="1"/>
  <c r="K274" i="1" a="1"/>
  <c r="J274" i="1"/>
  <c r="J274" i="1" a="1"/>
  <c r="I274" i="1"/>
  <c r="I274" i="1" a="1"/>
  <c r="H274" i="1"/>
  <c r="H274" i="1" a="1"/>
  <c r="F274" i="1"/>
  <c r="F274" i="1" a="1"/>
  <c r="AA273" i="1"/>
  <c r="X273" i="1"/>
  <c r="O273" i="1"/>
  <c r="L273" i="1" a="1"/>
  <c r="L273" i="1" s="1"/>
  <c r="K273" i="1" a="1"/>
  <c r="K273" i="1" s="1"/>
  <c r="J273" i="1" a="1"/>
  <c r="J273" i="1" s="1"/>
  <c r="I273" i="1" a="1"/>
  <c r="I273" i="1" s="1"/>
  <c r="H273" i="1" a="1"/>
  <c r="H273" i="1" s="1"/>
  <c r="F273" i="1" a="1"/>
  <c r="F273" i="1" s="1"/>
  <c r="AA272" i="1"/>
  <c r="X272" i="1"/>
  <c r="O272" i="1"/>
  <c r="L272" i="1"/>
  <c r="L272" i="1" a="1"/>
  <c r="K272" i="1"/>
  <c r="K272" i="1" a="1"/>
  <c r="J272" i="1"/>
  <c r="J272" i="1" a="1"/>
  <c r="I272" i="1"/>
  <c r="I272" i="1" a="1"/>
  <c r="H272" i="1"/>
  <c r="H272" i="1" a="1"/>
  <c r="F272" i="1"/>
  <c r="F272" i="1" a="1"/>
  <c r="AA271" i="1"/>
  <c r="X271" i="1"/>
  <c r="O271" i="1"/>
  <c r="L271" i="1" a="1"/>
  <c r="L271" i="1" s="1"/>
  <c r="K271" i="1" a="1"/>
  <c r="K271" i="1" s="1"/>
  <c r="J271" i="1" a="1"/>
  <c r="J271" i="1" s="1"/>
  <c r="I271" i="1" a="1"/>
  <c r="I271" i="1" s="1"/>
  <c r="H271" i="1" a="1"/>
  <c r="H271" i="1" s="1"/>
  <c r="F271" i="1" a="1"/>
  <c r="F271" i="1" s="1"/>
  <c r="AA270" i="1"/>
  <c r="X270" i="1"/>
  <c r="O270" i="1"/>
  <c r="L270" i="1"/>
  <c r="L270" i="1" a="1"/>
  <c r="K270" i="1"/>
  <c r="K270" i="1" a="1"/>
  <c r="J270" i="1"/>
  <c r="J270" i="1" a="1"/>
  <c r="I270" i="1"/>
  <c r="I270" i="1" a="1"/>
  <c r="H270" i="1"/>
  <c r="H270" i="1" a="1"/>
  <c r="F270" i="1"/>
  <c r="F270" i="1" a="1"/>
  <c r="AA269" i="1"/>
  <c r="X269" i="1"/>
  <c r="O269" i="1"/>
  <c r="L269" i="1" a="1"/>
  <c r="L269" i="1" s="1"/>
  <c r="K269" i="1" a="1"/>
  <c r="K269" i="1" s="1"/>
  <c r="J269" i="1" a="1"/>
  <c r="J269" i="1" s="1"/>
  <c r="I269" i="1" a="1"/>
  <c r="I269" i="1" s="1"/>
  <c r="H269" i="1" a="1"/>
  <c r="H269" i="1" s="1"/>
  <c r="F269" i="1" a="1"/>
  <c r="F269" i="1" s="1"/>
  <c r="AA268" i="1"/>
  <c r="X268" i="1"/>
  <c r="O268" i="1"/>
  <c r="L268" i="1"/>
  <c r="L268" i="1" a="1"/>
  <c r="K268" i="1"/>
  <c r="K268" i="1" a="1"/>
  <c r="J268" i="1"/>
  <c r="J268" i="1" a="1"/>
  <c r="I268" i="1"/>
  <c r="I268" i="1" a="1"/>
  <c r="H268" i="1"/>
  <c r="H268" i="1" a="1"/>
  <c r="F268" i="1"/>
  <c r="F268" i="1" a="1"/>
  <c r="AA267" i="1"/>
  <c r="X267" i="1"/>
  <c r="O267" i="1"/>
  <c r="L267" i="1" a="1"/>
  <c r="L267" i="1" s="1"/>
  <c r="K267" i="1" a="1"/>
  <c r="K267" i="1" s="1"/>
  <c r="J267" i="1" a="1"/>
  <c r="J267" i="1" s="1"/>
  <c r="I267" i="1" a="1"/>
  <c r="I267" i="1" s="1"/>
  <c r="H267" i="1" a="1"/>
  <c r="H267" i="1" s="1"/>
  <c r="F267" i="1" a="1"/>
  <c r="F267" i="1" s="1"/>
  <c r="AA266" i="1"/>
  <c r="X266" i="1"/>
  <c r="O266" i="1"/>
  <c r="L266" i="1"/>
  <c r="L266" i="1" a="1"/>
  <c r="K266" i="1"/>
  <c r="K266" i="1" a="1"/>
  <c r="J266" i="1"/>
  <c r="J266" i="1" a="1"/>
  <c r="I266" i="1"/>
  <c r="I266" i="1" a="1"/>
  <c r="H266" i="1"/>
  <c r="H266" i="1" a="1"/>
  <c r="F266" i="1"/>
  <c r="F266" i="1" a="1"/>
  <c r="AA265" i="1"/>
  <c r="X265" i="1"/>
  <c r="O265" i="1"/>
  <c r="L265" i="1" a="1"/>
  <c r="L265" i="1" s="1"/>
  <c r="K265" i="1" a="1"/>
  <c r="K265" i="1" s="1"/>
  <c r="J265" i="1" a="1"/>
  <c r="J265" i="1" s="1"/>
  <c r="I265" i="1" a="1"/>
  <c r="I265" i="1" s="1"/>
  <c r="H265" i="1" a="1"/>
  <c r="H265" i="1" s="1"/>
  <c r="F265" i="1" a="1"/>
  <c r="F265" i="1" s="1"/>
  <c r="AA264" i="1"/>
  <c r="X264" i="1"/>
  <c r="O264" i="1"/>
  <c r="L264" i="1"/>
  <c r="L264" i="1" a="1"/>
  <c r="K264" i="1"/>
  <c r="K264" i="1" a="1"/>
  <c r="J264" i="1"/>
  <c r="J264" i="1" a="1"/>
  <c r="I264" i="1"/>
  <c r="I264" i="1" a="1"/>
  <c r="H264" i="1"/>
  <c r="H264" i="1" a="1"/>
  <c r="F264" i="1"/>
  <c r="F264" i="1" a="1"/>
  <c r="AA263" i="1"/>
  <c r="X263" i="1"/>
  <c r="O263" i="1"/>
  <c r="L263" i="1" a="1"/>
  <c r="L263" i="1" s="1"/>
  <c r="K263" i="1" a="1"/>
  <c r="K263" i="1" s="1"/>
  <c r="J263" i="1" a="1"/>
  <c r="J263" i="1" s="1"/>
  <c r="I263" i="1" a="1"/>
  <c r="I263" i="1" s="1"/>
  <c r="H263" i="1" a="1"/>
  <c r="H263" i="1" s="1"/>
  <c r="F263" i="1" a="1"/>
  <c r="F263" i="1" s="1"/>
  <c r="AA262" i="1"/>
  <c r="X262" i="1"/>
  <c r="O262" i="1"/>
  <c r="L262" i="1"/>
  <c r="L262" i="1" a="1"/>
  <c r="K262" i="1"/>
  <c r="K262" i="1" a="1"/>
  <c r="J262" i="1"/>
  <c r="J262" i="1" a="1"/>
  <c r="I262" i="1"/>
  <c r="I262" i="1" a="1"/>
  <c r="H262" i="1"/>
  <c r="H262" i="1" a="1"/>
  <c r="F262" i="1"/>
  <c r="F262" i="1" a="1"/>
  <c r="AA261" i="1"/>
  <c r="X261" i="1"/>
  <c r="O261" i="1"/>
  <c r="L261" i="1" a="1"/>
  <c r="L261" i="1" s="1"/>
  <c r="K261" i="1" a="1"/>
  <c r="K261" i="1" s="1"/>
  <c r="J261" i="1" a="1"/>
  <c r="J261" i="1" s="1"/>
  <c r="I261" i="1" a="1"/>
  <c r="I261" i="1" s="1"/>
  <c r="H261" i="1" a="1"/>
  <c r="H261" i="1" s="1"/>
  <c r="F261" i="1" a="1"/>
  <c r="F261" i="1" s="1"/>
  <c r="AA260" i="1"/>
  <c r="X260" i="1"/>
  <c r="O260" i="1"/>
  <c r="L260" i="1"/>
  <c r="L260" i="1" a="1"/>
  <c r="K260" i="1"/>
  <c r="K260" i="1" a="1"/>
  <c r="J260" i="1"/>
  <c r="J260" i="1" a="1"/>
  <c r="I260" i="1"/>
  <c r="I260" i="1" a="1"/>
  <c r="H260" i="1"/>
  <c r="H260" i="1" a="1"/>
  <c r="F260" i="1"/>
  <c r="F260" i="1" a="1"/>
  <c r="AA259" i="1"/>
  <c r="X259" i="1"/>
  <c r="O259" i="1"/>
  <c r="L259" i="1" a="1"/>
  <c r="L259" i="1" s="1"/>
  <c r="K259" i="1" a="1"/>
  <c r="K259" i="1" s="1"/>
  <c r="J259" i="1" a="1"/>
  <c r="J259" i="1" s="1"/>
  <c r="I259" i="1" a="1"/>
  <c r="I259" i="1" s="1"/>
  <c r="H259" i="1" a="1"/>
  <c r="H259" i="1" s="1"/>
  <c r="F259" i="1" a="1"/>
  <c r="F259" i="1" s="1"/>
  <c r="AA258" i="1"/>
  <c r="X258" i="1"/>
  <c r="O258" i="1"/>
  <c r="L258" i="1"/>
  <c r="L258" i="1" a="1"/>
  <c r="K258" i="1"/>
  <c r="K258" i="1" a="1"/>
  <c r="J258" i="1"/>
  <c r="J258" i="1" a="1"/>
  <c r="I258" i="1"/>
  <c r="I258" i="1" a="1"/>
  <c r="H258" i="1"/>
  <c r="H258" i="1" a="1"/>
  <c r="F258" i="1"/>
  <c r="F258" i="1" a="1"/>
  <c r="AA257" i="1"/>
  <c r="X257" i="1"/>
  <c r="O257" i="1"/>
  <c r="L257" i="1" a="1"/>
  <c r="L257" i="1" s="1"/>
  <c r="K257" i="1" a="1"/>
  <c r="K257" i="1" s="1"/>
  <c r="J257" i="1" a="1"/>
  <c r="J257" i="1" s="1"/>
  <c r="I257" i="1" a="1"/>
  <c r="I257" i="1" s="1"/>
  <c r="H257" i="1" a="1"/>
  <c r="H257" i="1" s="1"/>
  <c r="F257" i="1" a="1"/>
  <c r="F257" i="1" s="1"/>
  <c r="AA256" i="1"/>
  <c r="X256" i="1"/>
  <c r="O256" i="1"/>
  <c r="L256" i="1"/>
  <c r="L256" i="1" a="1"/>
  <c r="K256" i="1"/>
  <c r="K256" i="1" a="1"/>
  <c r="J256" i="1"/>
  <c r="J256" i="1" a="1"/>
  <c r="I256" i="1"/>
  <c r="I256" i="1" a="1"/>
  <c r="H256" i="1"/>
  <c r="H256" i="1" a="1"/>
  <c r="F256" i="1"/>
  <c r="F256" i="1" a="1"/>
  <c r="AA255" i="1"/>
  <c r="X255" i="1"/>
  <c r="O255" i="1"/>
  <c r="L255" i="1" a="1"/>
  <c r="L255" i="1" s="1"/>
  <c r="K255" i="1" a="1"/>
  <c r="K255" i="1" s="1"/>
  <c r="J255" i="1" a="1"/>
  <c r="J255" i="1" s="1"/>
  <c r="I255" i="1" a="1"/>
  <c r="I255" i="1" s="1"/>
  <c r="H255" i="1" a="1"/>
  <c r="H255" i="1" s="1"/>
  <c r="F255" i="1" a="1"/>
  <c r="F255" i="1" s="1"/>
  <c r="AA254" i="1"/>
  <c r="X254" i="1"/>
  <c r="O254" i="1"/>
  <c r="L254" i="1"/>
  <c r="L254" i="1" a="1"/>
  <c r="K254" i="1"/>
  <c r="K254" i="1" a="1"/>
  <c r="J254" i="1"/>
  <c r="J254" i="1" a="1"/>
  <c r="I254" i="1"/>
  <c r="I254" i="1" a="1"/>
  <c r="H254" i="1"/>
  <c r="H254" i="1" a="1"/>
  <c r="F254" i="1"/>
  <c r="F254" i="1" a="1"/>
  <c r="AA253" i="1"/>
  <c r="X253" i="1"/>
  <c r="O253" i="1"/>
  <c r="L253" i="1" a="1"/>
  <c r="L253" i="1" s="1"/>
  <c r="K253" i="1" a="1"/>
  <c r="K253" i="1" s="1"/>
  <c r="J253" i="1" a="1"/>
  <c r="J253" i="1" s="1"/>
  <c r="I253" i="1" a="1"/>
  <c r="I253" i="1" s="1"/>
  <c r="H253" i="1" a="1"/>
  <c r="H253" i="1" s="1"/>
  <c r="F253" i="1" a="1"/>
  <c r="F253" i="1" s="1"/>
  <c r="AA252" i="1"/>
  <c r="X252" i="1"/>
  <c r="O252" i="1"/>
  <c r="L252" i="1"/>
  <c r="L252" i="1" a="1"/>
  <c r="K252" i="1"/>
  <c r="K252" i="1" a="1"/>
  <c r="J252" i="1"/>
  <c r="J252" i="1" a="1"/>
  <c r="I252" i="1"/>
  <c r="I252" i="1" a="1"/>
  <c r="H252" i="1"/>
  <c r="H252" i="1" a="1"/>
  <c r="F252" i="1"/>
  <c r="F252" i="1" a="1"/>
  <c r="AA251" i="1"/>
  <c r="X251" i="1"/>
  <c r="O251" i="1"/>
  <c r="L251" i="1" a="1"/>
  <c r="L251" i="1" s="1"/>
  <c r="K251" i="1" a="1"/>
  <c r="K251" i="1" s="1"/>
  <c r="J251" i="1" a="1"/>
  <c r="J251" i="1" s="1"/>
  <c r="I251" i="1" a="1"/>
  <c r="I251" i="1" s="1"/>
  <c r="H251" i="1" a="1"/>
  <c r="H251" i="1" s="1"/>
  <c r="F251" i="1" a="1"/>
  <c r="F251" i="1" s="1"/>
  <c r="AA250" i="1"/>
  <c r="X250" i="1"/>
  <c r="O250" i="1"/>
  <c r="L250" i="1"/>
  <c r="L250" i="1" a="1"/>
  <c r="K250" i="1"/>
  <c r="K250" i="1" a="1"/>
  <c r="J250" i="1"/>
  <c r="J250" i="1" a="1"/>
  <c r="I250" i="1"/>
  <c r="I250" i="1" a="1"/>
  <c r="H250" i="1"/>
  <c r="H250" i="1" a="1"/>
  <c r="F250" i="1"/>
  <c r="F250" i="1" a="1"/>
  <c r="AA249" i="1"/>
  <c r="X249" i="1"/>
  <c r="O249" i="1"/>
  <c r="L249" i="1" a="1"/>
  <c r="L249" i="1" s="1"/>
  <c r="K249" i="1" a="1"/>
  <c r="K249" i="1" s="1"/>
  <c r="J249" i="1" a="1"/>
  <c r="J249" i="1" s="1"/>
  <c r="I249" i="1" a="1"/>
  <c r="I249" i="1" s="1"/>
  <c r="H249" i="1" a="1"/>
  <c r="H249" i="1" s="1"/>
  <c r="F249" i="1" a="1"/>
  <c r="F249" i="1" s="1"/>
  <c r="AA248" i="1"/>
  <c r="X248" i="1"/>
  <c r="O248" i="1"/>
  <c r="L248" i="1"/>
  <c r="L248" i="1" a="1"/>
  <c r="K248" i="1"/>
  <c r="K248" i="1" a="1"/>
  <c r="J248" i="1"/>
  <c r="J248" i="1" a="1"/>
  <c r="I248" i="1"/>
  <c r="I248" i="1" a="1"/>
  <c r="H248" i="1"/>
  <c r="H248" i="1" a="1"/>
  <c r="F248" i="1"/>
  <c r="F248" i="1" a="1"/>
  <c r="AA247" i="1"/>
  <c r="X247" i="1"/>
  <c r="O247" i="1"/>
  <c r="L247" i="1" a="1"/>
  <c r="L247" i="1" s="1"/>
  <c r="K247" i="1" a="1"/>
  <c r="K247" i="1" s="1"/>
  <c r="J247" i="1" a="1"/>
  <c r="J247" i="1" s="1"/>
  <c r="I247" i="1" a="1"/>
  <c r="I247" i="1" s="1"/>
  <c r="H247" i="1" a="1"/>
  <c r="H247" i="1" s="1"/>
  <c r="F247" i="1" a="1"/>
  <c r="F247" i="1" s="1"/>
  <c r="AA246" i="1"/>
  <c r="X246" i="1"/>
  <c r="O246" i="1"/>
  <c r="L246" i="1"/>
  <c r="L246" i="1" a="1"/>
  <c r="K246" i="1"/>
  <c r="K246" i="1" a="1"/>
  <c r="J246" i="1"/>
  <c r="J246" i="1" a="1"/>
  <c r="I246" i="1"/>
  <c r="I246" i="1" a="1"/>
  <c r="H246" i="1"/>
  <c r="H246" i="1" a="1"/>
  <c r="F246" i="1"/>
  <c r="F246" i="1" a="1"/>
  <c r="AA245" i="1"/>
  <c r="X245" i="1"/>
  <c r="O245" i="1"/>
  <c r="L245" i="1" a="1"/>
  <c r="L245" i="1" s="1"/>
  <c r="K245" i="1" a="1"/>
  <c r="K245" i="1" s="1"/>
  <c r="J245" i="1" a="1"/>
  <c r="J245" i="1" s="1"/>
  <c r="I245" i="1" a="1"/>
  <c r="I245" i="1" s="1"/>
  <c r="H245" i="1" a="1"/>
  <c r="H245" i="1" s="1"/>
  <c r="F245" i="1" a="1"/>
  <c r="F245" i="1" s="1"/>
  <c r="AA244" i="1"/>
  <c r="X244" i="1"/>
  <c r="O244" i="1"/>
  <c r="L244" i="1"/>
  <c r="L244" i="1" a="1"/>
  <c r="K244" i="1"/>
  <c r="K244" i="1" a="1"/>
  <c r="J244" i="1"/>
  <c r="J244" i="1" a="1"/>
  <c r="I244" i="1"/>
  <c r="I244" i="1" a="1"/>
  <c r="H244" i="1"/>
  <c r="H244" i="1" a="1"/>
  <c r="F244" i="1"/>
  <c r="F244" i="1" a="1"/>
  <c r="AA243" i="1"/>
  <c r="X243" i="1"/>
  <c r="O243" i="1"/>
  <c r="L243" i="1"/>
  <c r="L243" i="1" a="1"/>
  <c r="K243" i="1" a="1"/>
  <c r="K243" i="1" s="1"/>
  <c r="J243" i="1" a="1"/>
  <c r="J243" i="1" s="1"/>
  <c r="I243" i="1" a="1"/>
  <c r="I243" i="1" s="1"/>
  <c r="H243" i="1" a="1"/>
  <c r="H243" i="1" s="1"/>
  <c r="F243" i="1" a="1"/>
  <c r="F243" i="1" s="1"/>
  <c r="AA242" i="1"/>
  <c r="X242" i="1"/>
  <c r="O242" i="1"/>
  <c r="L242" i="1"/>
  <c r="L242" i="1" a="1"/>
  <c r="K242" i="1"/>
  <c r="K242" i="1" a="1"/>
  <c r="J242" i="1"/>
  <c r="J242" i="1" a="1"/>
  <c r="I242" i="1"/>
  <c r="I242" i="1" a="1"/>
  <c r="H242" i="1"/>
  <c r="H242" i="1" a="1"/>
  <c r="F242" i="1"/>
  <c r="F242" i="1" a="1"/>
  <c r="AA241" i="1"/>
  <c r="X241" i="1"/>
  <c r="O241" i="1"/>
  <c r="L241" i="1" a="1"/>
  <c r="L241" i="1" s="1"/>
  <c r="K241" i="1"/>
  <c r="K241" i="1" a="1"/>
  <c r="J241" i="1" a="1"/>
  <c r="J241" i="1" s="1"/>
  <c r="I241" i="1" a="1"/>
  <c r="I241" i="1" s="1"/>
  <c r="H241" i="1" a="1"/>
  <c r="H241" i="1" s="1"/>
  <c r="F241" i="1" a="1"/>
  <c r="F241" i="1" s="1"/>
  <c r="AA240" i="1"/>
  <c r="X240" i="1"/>
  <c r="O240" i="1"/>
  <c r="L240" i="1"/>
  <c r="L240" i="1" a="1"/>
  <c r="K240" i="1"/>
  <c r="K240" i="1" a="1"/>
  <c r="J240" i="1"/>
  <c r="J240" i="1" a="1"/>
  <c r="I240" i="1"/>
  <c r="I240" i="1" a="1"/>
  <c r="H240" i="1"/>
  <c r="H240" i="1" a="1"/>
  <c r="F240" i="1"/>
  <c r="F240" i="1" a="1"/>
  <c r="AA239" i="1"/>
  <c r="X239" i="1"/>
  <c r="O239" i="1"/>
  <c r="L239" i="1" a="1"/>
  <c r="L239" i="1" s="1"/>
  <c r="K239" i="1" a="1"/>
  <c r="K239" i="1" s="1"/>
  <c r="J239" i="1"/>
  <c r="J239" i="1" a="1"/>
  <c r="I239" i="1" a="1"/>
  <c r="I239" i="1" s="1"/>
  <c r="H239" i="1"/>
  <c r="H239" i="1" a="1"/>
  <c r="F239" i="1" a="1"/>
  <c r="F239" i="1" s="1"/>
  <c r="AA238" i="1"/>
  <c r="X238" i="1"/>
  <c r="O238" i="1"/>
  <c r="L238" i="1" a="1"/>
  <c r="L238" i="1" s="1"/>
  <c r="K238" i="1"/>
  <c r="K238" i="1" a="1"/>
  <c r="J238" i="1" a="1"/>
  <c r="J238" i="1" s="1"/>
  <c r="I238" i="1"/>
  <c r="I238" i="1" a="1"/>
  <c r="H238" i="1" a="1"/>
  <c r="H238" i="1" s="1"/>
  <c r="F238" i="1"/>
  <c r="F238" i="1" a="1"/>
  <c r="AA237" i="1"/>
  <c r="X237" i="1"/>
  <c r="O237" i="1"/>
  <c r="L237" i="1"/>
  <c r="L237" i="1" a="1"/>
  <c r="K237" i="1" a="1"/>
  <c r="K237" i="1" s="1"/>
  <c r="J237" i="1"/>
  <c r="J237" i="1" a="1"/>
  <c r="I237" i="1" a="1"/>
  <c r="I237" i="1" s="1"/>
  <c r="H237" i="1"/>
  <c r="H237" i="1" a="1"/>
  <c r="F237" i="1" a="1"/>
  <c r="F237" i="1" s="1"/>
  <c r="AA236" i="1"/>
  <c r="X236" i="1"/>
  <c r="O236" i="1"/>
  <c r="L236" i="1"/>
  <c r="L236" i="1" a="1"/>
  <c r="K236" i="1" a="1"/>
  <c r="K236" i="1" s="1"/>
  <c r="J236" i="1"/>
  <c r="J236" i="1" a="1"/>
  <c r="I236" i="1" a="1"/>
  <c r="I236" i="1" s="1"/>
  <c r="H236" i="1"/>
  <c r="H236" i="1" a="1"/>
  <c r="F236" i="1" a="1"/>
  <c r="F236" i="1" s="1"/>
  <c r="AA235" i="1"/>
  <c r="X235" i="1"/>
  <c r="O235" i="1"/>
  <c r="L235" i="1" a="1"/>
  <c r="L235" i="1" s="1"/>
  <c r="K235" i="1"/>
  <c r="K235" i="1" a="1"/>
  <c r="J235" i="1" a="1"/>
  <c r="J235" i="1" s="1"/>
  <c r="I235" i="1"/>
  <c r="I235" i="1" a="1"/>
  <c r="H235" i="1" a="1"/>
  <c r="H235" i="1" s="1"/>
  <c r="F235" i="1"/>
  <c r="F235" i="1" a="1"/>
  <c r="AA234" i="1"/>
  <c r="X234" i="1"/>
  <c r="O234" i="1"/>
  <c r="L234" i="1" a="1"/>
  <c r="L234" i="1" s="1"/>
  <c r="K234" i="1"/>
  <c r="K234" i="1" a="1"/>
  <c r="J234" i="1" a="1"/>
  <c r="J234" i="1" s="1"/>
  <c r="I234" i="1"/>
  <c r="I234" i="1" a="1"/>
  <c r="H234" i="1" a="1"/>
  <c r="H234" i="1" s="1"/>
  <c r="F234" i="1"/>
  <c r="F234" i="1" a="1"/>
  <c r="AA233" i="1"/>
  <c r="X233" i="1"/>
  <c r="O233" i="1"/>
  <c r="L233" i="1"/>
  <c r="L233" i="1" a="1"/>
  <c r="K233" i="1" a="1"/>
  <c r="K233" i="1" s="1"/>
  <c r="J233" i="1"/>
  <c r="J233" i="1" a="1"/>
  <c r="I233" i="1" a="1"/>
  <c r="I233" i="1" s="1"/>
  <c r="H233" i="1"/>
  <c r="H233" i="1" a="1"/>
  <c r="F233" i="1" a="1"/>
  <c r="F233" i="1" s="1"/>
  <c r="AA232" i="1"/>
  <c r="X232" i="1"/>
  <c r="O232" i="1"/>
  <c r="L232" i="1"/>
  <c r="L232" i="1" a="1"/>
  <c r="K232" i="1" a="1"/>
  <c r="K232" i="1" s="1"/>
  <c r="J232" i="1"/>
  <c r="J232" i="1" a="1"/>
  <c r="I232" i="1" a="1"/>
  <c r="I232" i="1" s="1"/>
  <c r="H232" i="1"/>
  <c r="H232" i="1" a="1"/>
  <c r="F232" i="1" a="1"/>
  <c r="F232" i="1" s="1"/>
  <c r="AA231" i="1"/>
  <c r="X231" i="1"/>
  <c r="O231" i="1"/>
  <c r="L231" i="1" a="1"/>
  <c r="L231" i="1" s="1"/>
  <c r="K231" i="1"/>
  <c r="K231" i="1" a="1"/>
  <c r="J231" i="1" a="1"/>
  <c r="J231" i="1" s="1"/>
  <c r="I231" i="1"/>
  <c r="I231" i="1" a="1"/>
  <c r="H231" i="1" a="1"/>
  <c r="H231" i="1" s="1"/>
  <c r="F231" i="1"/>
  <c r="F231" i="1" a="1"/>
  <c r="AA230" i="1"/>
  <c r="X230" i="1"/>
  <c r="O230" i="1"/>
  <c r="L230" i="1" a="1"/>
  <c r="L230" i="1" s="1"/>
  <c r="K230" i="1"/>
  <c r="K230" i="1" a="1"/>
  <c r="J230" i="1" a="1"/>
  <c r="J230" i="1" s="1"/>
  <c r="I230" i="1"/>
  <c r="I230" i="1" a="1"/>
  <c r="H230" i="1" a="1"/>
  <c r="H230" i="1" s="1"/>
  <c r="F230" i="1"/>
  <c r="F230" i="1" a="1"/>
  <c r="AA229" i="1"/>
  <c r="X229" i="1"/>
  <c r="O229" i="1"/>
  <c r="L229" i="1"/>
  <c r="L229" i="1" a="1"/>
  <c r="K229" i="1" a="1"/>
  <c r="K229" i="1" s="1"/>
  <c r="J229" i="1"/>
  <c r="J229" i="1" a="1"/>
  <c r="I229" i="1" a="1"/>
  <c r="I229" i="1" s="1"/>
  <c r="H229" i="1"/>
  <c r="H229" i="1" a="1"/>
  <c r="F229" i="1" a="1"/>
  <c r="F229" i="1" s="1"/>
  <c r="AA228" i="1"/>
  <c r="X228" i="1"/>
  <c r="O228" i="1"/>
  <c r="L228" i="1"/>
  <c r="L228" i="1" a="1"/>
  <c r="K228" i="1" a="1"/>
  <c r="K228" i="1" s="1"/>
  <c r="J228" i="1"/>
  <c r="J228" i="1" a="1"/>
  <c r="I228" i="1" a="1"/>
  <c r="I228" i="1" s="1"/>
  <c r="H228" i="1"/>
  <c r="H228" i="1" a="1"/>
  <c r="F228" i="1" a="1"/>
  <c r="F228" i="1" s="1"/>
  <c r="AA227" i="1"/>
  <c r="X227" i="1"/>
  <c r="O227" i="1"/>
  <c r="L227" i="1" a="1"/>
  <c r="L227" i="1" s="1"/>
  <c r="K227" i="1"/>
  <c r="K227" i="1" a="1"/>
  <c r="J227" i="1" a="1"/>
  <c r="J227" i="1" s="1"/>
  <c r="I227" i="1"/>
  <c r="I227" i="1" a="1"/>
  <c r="H227" i="1" a="1"/>
  <c r="H227" i="1" s="1"/>
  <c r="F227" i="1"/>
  <c r="F227" i="1" a="1"/>
  <c r="AA226" i="1"/>
  <c r="X226" i="1"/>
  <c r="O226" i="1"/>
  <c r="L226" i="1" a="1"/>
  <c r="L226" i="1" s="1"/>
  <c r="K226" i="1"/>
  <c r="K226" i="1" a="1"/>
  <c r="J226" i="1" a="1"/>
  <c r="J226" i="1" s="1"/>
  <c r="I226" i="1"/>
  <c r="I226" i="1" a="1"/>
  <c r="H226" i="1" a="1"/>
  <c r="H226" i="1" s="1"/>
  <c r="F226" i="1"/>
  <c r="F226" i="1" a="1"/>
  <c r="AA225" i="1"/>
  <c r="X225" i="1"/>
  <c r="O225" i="1"/>
  <c r="L225" i="1"/>
  <c r="L225" i="1" a="1"/>
  <c r="K225" i="1" a="1"/>
  <c r="K225" i="1" s="1"/>
  <c r="J225" i="1"/>
  <c r="J225" i="1" a="1"/>
  <c r="I225" i="1" a="1"/>
  <c r="I225" i="1" s="1"/>
  <c r="H225" i="1"/>
  <c r="H225" i="1" a="1"/>
  <c r="F225" i="1" a="1"/>
  <c r="F225" i="1" s="1"/>
  <c r="AA224" i="1"/>
  <c r="X224" i="1"/>
  <c r="O224" i="1"/>
  <c r="L224" i="1"/>
  <c r="L224" i="1" a="1"/>
  <c r="K224" i="1" a="1"/>
  <c r="K224" i="1" s="1"/>
  <c r="J224" i="1"/>
  <c r="J224" i="1" a="1"/>
  <c r="I224" i="1" a="1"/>
  <c r="I224" i="1" s="1"/>
  <c r="H224" i="1"/>
  <c r="H224" i="1" a="1"/>
  <c r="F224" i="1" a="1"/>
  <c r="F224" i="1" s="1"/>
  <c r="AA223" i="1"/>
  <c r="X223" i="1"/>
  <c r="O223" i="1"/>
  <c r="L223" i="1" a="1"/>
  <c r="L223" i="1" s="1"/>
  <c r="K223" i="1"/>
  <c r="K223" i="1" a="1"/>
  <c r="J223" i="1" a="1"/>
  <c r="J223" i="1" s="1"/>
  <c r="I223" i="1"/>
  <c r="I223" i="1" a="1"/>
  <c r="H223" i="1" a="1"/>
  <c r="H223" i="1" s="1"/>
  <c r="F223" i="1"/>
  <c r="F223" i="1" a="1"/>
  <c r="AA222" i="1"/>
  <c r="X222" i="1"/>
  <c r="O222" i="1"/>
  <c r="L222" i="1" a="1"/>
  <c r="L222" i="1" s="1"/>
  <c r="K222" i="1"/>
  <c r="K222" i="1" a="1"/>
  <c r="J222" i="1" a="1"/>
  <c r="J222" i="1" s="1"/>
  <c r="I222" i="1"/>
  <c r="I222" i="1" a="1"/>
  <c r="H222" i="1" a="1"/>
  <c r="H222" i="1" s="1"/>
  <c r="F222" i="1"/>
  <c r="F222" i="1" a="1"/>
  <c r="AA221" i="1"/>
  <c r="X221" i="1"/>
  <c r="O221" i="1"/>
  <c r="L221" i="1"/>
  <c r="L221" i="1" a="1"/>
  <c r="K221" i="1" a="1"/>
  <c r="K221" i="1" s="1"/>
  <c r="J221" i="1"/>
  <c r="J221" i="1" a="1"/>
  <c r="I221" i="1" a="1"/>
  <c r="I221" i="1" s="1"/>
  <c r="H221" i="1"/>
  <c r="H221" i="1" a="1"/>
  <c r="F221" i="1" a="1"/>
  <c r="F221" i="1" s="1"/>
  <c r="AA220" i="1"/>
  <c r="X220" i="1"/>
  <c r="O220" i="1"/>
  <c r="L220" i="1"/>
  <c r="L220" i="1" a="1"/>
  <c r="K220" i="1" a="1"/>
  <c r="K220" i="1" s="1"/>
  <c r="J220" i="1"/>
  <c r="J220" i="1" a="1"/>
  <c r="I220" i="1" a="1"/>
  <c r="I220" i="1" s="1"/>
  <c r="H220" i="1"/>
  <c r="H220" i="1" a="1"/>
  <c r="F220" i="1" a="1"/>
  <c r="F220" i="1" s="1"/>
  <c r="AA219" i="1"/>
  <c r="X219" i="1"/>
  <c r="O219" i="1"/>
  <c r="L219" i="1" a="1"/>
  <c r="L219" i="1" s="1"/>
  <c r="K219" i="1"/>
  <c r="K219" i="1" a="1"/>
  <c r="J219" i="1" a="1"/>
  <c r="J219" i="1" s="1"/>
  <c r="I219" i="1"/>
  <c r="I219" i="1" a="1"/>
  <c r="H219" i="1" a="1"/>
  <c r="H219" i="1" s="1"/>
  <c r="F219" i="1"/>
  <c r="F219" i="1" a="1"/>
  <c r="AA218" i="1"/>
  <c r="X218" i="1"/>
  <c r="O218" i="1"/>
  <c r="L218" i="1" a="1"/>
  <c r="L218" i="1" s="1"/>
  <c r="K218" i="1"/>
  <c r="K218" i="1" a="1"/>
  <c r="J218" i="1" a="1"/>
  <c r="J218" i="1" s="1"/>
  <c r="I218" i="1"/>
  <c r="I218" i="1" a="1"/>
  <c r="H218" i="1" a="1"/>
  <c r="H218" i="1" s="1"/>
  <c r="F218" i="1"/>
  <c r="F218" i="1" a="1"/>
  <c r="AA217" i="1"/>
  <c r="X217" i="1"/>
  <c r="O217" i="1"/>
  <c r="L217" i="1"/>
  <c r="L217" i="1" a="1"/>
  <c r="K217" i="1" a="1"/>
  <c r="K217" i="1" s="1"/>
  <c r="J217" i="1"/>
  <c r="J217" i="1" a="1"/>
  <c r="I217" i="1" a="1"/>
  <c r="I217" i="1" s="1"/>
  <c r="H217" i="1"/>
  <c r="H217" i="1" a="1"/>
  <c r="F217" i="1" a="1"/>
  <c r="F217" i="1" s="1"/>
  <c r="AA216" i="1"/>
  <c r="X216" i="1"/>
  <c r="O216" i="1"/>
  <c r="L216" i="1"/>
  <c r="L216" i="1" a="1"/>
  <c r="K216" i="1" a="1"/>
  <c r="K216" i="1" s="1"/>
  <c r="J216" i="1"/>
  <c r="J216" i="1" a="1"/>
  <c r="I216" i="1" a="1"/>
  <c r="I216" i="1" s="1"/>
  <c r="H216" i="1"/>
  <c r="H216" i="1" a="1"/>
  <c r="F216" i="1" a="1"/>
  <c r="F216" i="1" s="1"/>
  <c r="AA215" i="1"/>
  <c r="X215" i="1"/>
  <c r="O215" i="1"/>
  <c r="L215" i="1" a="1"/>
  <c r="L215" i="1" s="1"/>
  <c r="K215" i="1"/>
  <c r="K215" i="1" a="1"/>
  <c r="J215" i="1" a="1"/>
  <c r="J215" i="1" s="1"/>
  <c r="I215" i="1"/>
  <c r="I215" i="1" a="1"/>
  <c r="H215" i="1" a="1"/>
  <c r="H215" i="1" s="1"/>
  <c r="F215" i="1"/>
  <c r="F215" i="1" a="1"/>
  <c r="AA214" i="1"/>
  <c r="X214" i="1"/>
  <c r="O214" i="1"/>
  <c r="L214" i="1" a="1"/>
  <c r="L214" i="1" s="1"/>
  <c r="K214" i="1"/>
  <c r="K214" i="1" a="1"/>
  <c r="J214" i="1" a="1"/>
  <c r="J214" i="1" s="1"/>
  <c r="I214" i="1"/>
  <c r="I214" i="1" a="1"/>
  <c r="H214" i="1" a="1"/>
  <c r="H214" i="1" s="1"/>
  <c r="F214" i="1"/>
  <c r="F214" i="1" a="1"/>
  <c r="AA213" i="1"/>
  <c r="X213" i="1"/>
  <c r="O213" i="1"/>
  <c r="L213" i="1"/>
  <c r="L213" i="1" a="1"/>
  <c r="K213" i="1" a="1"/>
  <c r="K213" i="1" s="1"/>
  <c r="J213" i="1"/>
  <c r="J213" i="1" a="1"/>
  <c r="I213" i="1" a="1"/>
  <c r="I213" i="1" s="1"/>
  <c r="H213" i="1"/>
  <c r="H213" i="1" a="1"/>
  <c r="F213" i="1" a="1"/>
  <c r="F213" i="1" s="1"/>
  <c r="AA212" i="1"/>
  <c r="X212" i="1"/>
  <c r="O212" i="1"/>
  <c r="L212" i="1"/>
  <c r="L212" i="1" a="1"/>
  <c r="K212" i="1" a="1"/>
  <c r="K212" i="1" s="1"/>
  <c r="J212" i="1"/>
  <c r="J212" i="1" a="1"/>
  <c r="I212" i="1" a="1"/>
  <c r="I212" i="1" s="1"/>
  <c r="H212" i="1"/>
  <c r="H212" i="1" a="1"/>
  <c r="F212" i="1" a="1"/>
  <c r="F212" i="1" s="1"/>
  <c r="AA211" i="1"/>
  <c r="X211" i="1"/>
  <c r="O211" i="1"/>
  <c r="L211" i="1" a="1"/>
  <c r="L211" i="1" s="1"/>
  <c r="K211" i="1"/>
  <c r="K211" i="1" a="1"/>
  <c r="J211" i="1" a="1"/>
  <c r="J211" i="1" s="1"/>
  <c r="I211" i="1"/>
  <c r="I211" i="1" a="1"/>
  <c r="H211" i="1" a="1"/>
  <c r="H211" i="1" s="1"/>
  <c r="F211" i="1"/>
  <c r="F211" i="1" a="1"/>
  <c r="AA210" i="1"/>
  <c r="X210" i="1"/>
  <c r="O210" i="1"/>
  <c r="L210" i="1" a="1"/>
  <c r="L210" i="1" s="1"/>
  <c r="K210" i="1"/>
  <c r="K210" i="1" a="1"/>
  <c r="J210" i="1" a="1"/>
  <c r="J210" i="1" s="1"/>
  <c r="I210" i="1"/>
  <c r="I210" i="1" a="1"/>
  <c r="H210" i="1" a="1"/>
  <c r="H210" i="1" s="1"/>
  <c r="F210" i="1"/>
  <c r="F210" i="1" a="1"/>
  <c r="AA209" i="1"/>
  <c r="X209" i="1"/>
  <c r="O209" i="1"/>
  <c r="L209" i="1"/>
  <c r="L209" i="1" a="1"/>
  <c r="K209" i="1" a="1"/>
  <c r="K209" i="1" s="1"/>
  <c r="J209" i="1"/>
  <c r="J209" i="1" a="1"/>
  <c r="I209" i="1" a="1"/>
  <c r="I209" i="1" s="1"/>
  <c r="H209" i="1"/>
  <c r="H209" i="1" a="1"/>
  <c r="F209" i="1" a="1"/>
  <c r="F209" i="1" s="1"/>
  <c r="AA208" i="1"/>
  <c r="X208" i="1"/>
  <c r="O208" i="1"/>
  <c r="L208" i="1"/>
  <c r="L208" i="1" a="1"/>
  <c r="K208" i="1" a="1"/>
  <c r="K208" i="1" s="1"/>
  <c r="J208" i="1"/>
  <c r="J208" i="1" a="1"/>
  <c r="I208" i="1" a="1"/>
  <c r="I208" i="1" s="1"/>
  <c r="H208" i="1"/>
  <c r="H208" i="1" a="1"/>
  <c r="F208" i="1" a="1"/>
  <c r="F208" i="1" s="1"/>
  <c r="AA207" i="1"/>
  <c r="X207" i="1"/>
  <c r="O207" i="1"/>
  <c r="L207" i="1" a="1"/>
  <c r="L207" i="1" s="1"/>
  <c r="K207" i="1"/>
  <c r="K207" i="1" a="1"/>
  <c r="J207" i="1" a="1"/>
  <c r="J207" i="1" s="1"/>
  <c r="I207" i="1"/>
  <c r="I207" i="1" a="1"/>
  <c r="H207" i="1" a="1"/>
  <c r="H207" i="1" s="1"/>
  <c r="F207" i="1"/>
  <c r="F207" i="1" a="1"/>
  <c r="AA206" i="1"/>
  <c r="X206" i="1"/>
  <c r="O206" i="1"/>
  <c r="L206" i="1" a="1"/>
  <c r="L206" i="1" s="1"/>
  <c r="K206" i="1"/>
  <c r="K206" i="1" a="1"/>
  <c r="J206" i="1" a="1"/>
  <c r="J206" i="1" s="1"/>
  <c r="I206" i="1"/>
  <c r="I206" i="1" a="1"/>
  <c r="H206" i="1" a="1"/>
  <c r="H206" i="1" s="1"/>
  <c r="F206" i="1"/>
  <c r="F206" i="1" a="1"/>
  <c r="AA205" i="1"/>
  <c r="X205" i="1"/>
  <c r="O205" i="1"/>
  <c r="L205" i="1"/>
  <c r="L205" i="1" a="1"/>
  <c r="K205" i="1" a="1"/>
  <c r="K205" i="1" s="1"/>
  <c r="J205" i="1"/>
  <c r="J205" i="1" a="1"/>
  <c r="I205" i="1" a="1"/>
  <c r="I205" i="1" s="1"/>
  <c r="H205" i="1"/>
  <c r="H205" i="1" a="1"/>
  <c r="F205" i="1" a="1"/>
  <c r="F205" i="1" s="1"/>
  <c r="AA204" i="1"/>
  <c r="X204" i="1"/>
  <c r="O204" i="1"/>
  <c r="L204" i="1"/>
  <c r="L204" i="1" a="1"/>
  <c r="K204" i="1" a="1"/>
  <c r="K204" i="1" s="1"/>
  <c r="J204" i="1"/>
  <c r="J204" i="1" a="1"/>
  <c r="I204" i="1" a="1"/>
  <c r="I204" i="1" s="1"/>
  <c r="H204" i="1"/>
  <c r="H204" i="1" a="1"/>
  <c r="F204" i="1" a="1"/>
  <c r="F204" i="1" s="1"/>
  <c r="AA203" i="1"/>
  <c r="X203" i="1"/>
  <c r="O203" i="1"/>
  <c r="L203" i="1" a="1"/>
  <c r="L203" i="1" s="1"/>
  <c r="K203" i="1"/>
  <c r="K203" i="1" a="1"/>
  <c r="J203" i="1" a="1"/>
  <c r="J203" i="1" s="1"/>
  <c r="I203" i="1"/>
  <c r="I203" i="1" a="1"/>
  <c r="H203" i="1" a="1"/>
  <c r="H203" i="1" s="1"/>
  <c r="F203" i="1"/>
  <c r="F203" i="1" a="1"/>
  <c r="AA202" i="1"/>
  <c r="X202" i="1"/>
  <c r="O202" i="1"/>
  <c r="L202" i="1" a="1"/>
  <c r="L202" i="1" s="1"/>
  <c r="K202" i="1"/>
  <c r="K202" i="1" a="1"/>
  <c r="J202" i="1" a="1"/>
  <c r="J202" i="1" s="1"/>
  <c r="I202" i="1"/>
  <c r="I202" i="1" a="1"/>
  <c r="H202" i="1" a="1"/>
  <c r="H202" i="1" s="1"/>
  <c r="F202" i="1"/>
  <c r="F202" i="1" a="1"/>
  <c r="AA201" i="1"/>
  <c r="X201" i="1"/>
  <c r="O201" i="1"/>
  <c r="L201" i="1"/>
  <c r="L201" i="1" a="1"/>
  <c r="K201" i="1" a="1"/>
  <c r="K201" i="1" s="1"/>
  <c r="J201" i="1"/>
  <c r="J201" i="1" a="1"/>
  <c r="I201" i="1" a="1"/>
  <c r="I201" i="1" s="1"/>
  <c r="H201" i="1"/>
  <c r="H201" i="1" a="1"/>
  <c r="F201" i="1" a="1"/>
  <c r="F201" i="1" s="1"/>
  <c r="AA200" i="1"/>
  <c r="X200" i="1"/>
  <c r="O200" i="1"/>
  <c r="L200" i="1"/>
  <c r="L200" i="1" a="1"/>
  <c r="K200" i="1" a="1"/>
  <c r="K200" i="1" s="1"/>
  <c r="J200" i="1"/>
  <c r="J200" i="1" a="1"/>
  <c r="I200" i="1" a="1"/>
  <c r="I200" i="1" s="1"/>
  <c r="H200" i="1"/>
  <c r="H200" i="1" a="1"/>
  <c r="F200" i="1" a="1"/>
  <c r="F200" i="1" s="1"/>
  <c r="AA199" i="1"/>
  <c r="X199" i="1"/>
  <c r="O199" i="1"/>
  <c r="L199" i="1"/>
  <c r="L199" i="1" a="1"/>
  <c r="K199" i="1"/>
  <c r="K199" i="1" a="1"/>
  <c r="J199" i="1"/>
  <c r="J199" i="1" a="1"/>
  <c r="I199" i="1"/>
  <c r="I199" i="1" a="1"/>
  <c r="H199" i="1"/>
  <c r="H199" i="1" a="1"/>
  <c r="F199" i="1"/>
  <c r="F199" i="1" a="1"/>
  <c r="AA198" i="1"/>
  <c r="X198" i="1"/>
  <c r="O198" i="1"/>
  <c r="L198" i="1" a="1"/>
  <c r="L198" i="1" s="1"/>
  <c r="K198" i="1"/>
  <c r="K198" i="1" a="1"/>
  <c r="J198" i="1" a="1"/>
  <c r="J198" i="1" s="1"/>
  <c r="I198" i="1"/>
  <c r="I198" i="1" a="1"/>
  <c r="H198" i="1" a="1"/>
  <c r="H198" i="1" s="1"/>
  <c r="F198" i="1"/>
  <c r="F198" i="1" a="1"/>
  <c r="AA197" i="1"/>
  <c r="X197" i="1"/>
  <c r="O197" i="1"/>
  <c r="L197" i="1"/>
  <c r="L197" i="1" a="1"/>
  <c r="K197" i="1"/>
  <c r="K197" i="1" a="1"/>
  <c r="J197" i="1"/>
  <c r="J197" i="1" a="1"/>
  <c r="I197" i="1"/>
  <c r="I197" i="1" a="1"/>
  <c r="H197" i="1"/>
  <c r="H197" i="1" a="1"/>
  <c r="F197" i="1"/>
  <c r="F197" i="1" a="1"/>
  <c r="AA196" i="1"/>
  <c r="X196" i="1"/>
  <c r="O196" i="1"/>
  <c r="L196" i="1"/>
  <c r="L196" i="1" a="1"/>
  <c r="K196" i="1" a="1"/>
  <c r="K196" i="1" s="1"/>
  <c r="J196" i="1"/>
  <c r="J196" i="1" a="1"/>
  <c r="I196" i="1" a="1"/>
  <c r="I196" i="1" s="1"/>
  <c r="H196" i="1"/>
  <c r="H196" i="1" a="1"/>
  <c r="F196" i="1" a="1"/>
  <c r="F196" i="1" s="1"/>
  <c r="AA195" i="1"/>
  <c r="X195" i="1"/>
  <c r="O195" i="1"/>
  <c r="L195" i="1" a="1"/>
  <c r="L195" i="1" s="1"/>
  <c r="K195" i="1"/>
  <c r="K195" i="1" a="1"/>
  <c r="J195" i="1" a="1"/>
  <c r="J195" i="1" s="1"/>
  <c r="I195" i="1"/>
  <c r="I195" i="1" a="1"/>
  <c r="H195" i="1" a="1"/>
  <c r="H195" i="1" s="1"/>
  <c r="F195" i="1"/>
  <c r="F195" i="1" a="1"/>
  <c r="AA194" i="1"/>
  <c r="X194" i="1"/>
  <c r="O194" i="1"/>
  <c r="L194" i="1" a="1"/>
  <c r="L194" i="1" s="1"/>
  <c r="K194" i="1"/>
  <c r="K194" i="1" a="1"/>
  <c r="J194" i="1" a="1"/>
  <c r="J194" i="1" s="1"/>
  <c r="I194" i="1"/>
  <c r="I194" i="1" a="1"/>
  <c r="H194" i="1" a="1"/>
  <c r="H194" i="1" s="1"/>
  <c r="F194" i="1"/>
  <c r="F194" i="1" a="1"/>
  <c r="AA193" i="1"/>
  <c r="X193" i="1"/>
  <c r="O193" i="1"/>
  <c r="L193" i="1"/>
  <c r="L193" i="1" a="1"/>
  <c r="K193" i="1" a="1"/>
  <c r="K193" i="1" s="1"/>
  <c r="J193" i="1"/>
  <c r="J193" i="1" a="1"/>
  <c r="I193" i="1" a="1"/>
  <c r="I193" i="1" s="1"/>
  <c r="H193" i="1"/>
  <c r="H193" i="1" a="1"/>
  <c r="F193" i="1" a="1"/>
  <c r="F193" i="1" s="1"/>
  <c r="AA192" i="1"/>
  <c r="X192" i="1"/>
  <c r="O192" i="1"/>
  <c r="L192" i="1"/>
  <c r="L192" i="1" a="1"/>
  <c r="K192" i="1" a="1"/>
  <c r="K192" i="1" s="1"/>
  <c r="J192" i="1"/>
  <c r="J192" i="1" a="1"/>
  <c r="I192" i="1" a="1"/>
  <c r="I192" i="1" s="1"/>
  <c r="H192" i="1"/>
  <c r="H192" i="1" a="1"/>
  <c r="F192" i="1" a="1"/>
  <c r="F192" i="1" s="1"/>
  <c r="AA191" i="1"/>
  <c r="X191" i="1"/>
  <c r="O191" i="1"/>
  <c r="L191" i="1"/>
  <c r="L191" i="1" a="1"/>
  <c r="K191" i="1"/>
  <c r="K191" i="1" a="1"/>
  <c r="J191" i="1"/>
  <c r="J191" i="1" a="1"/>
  <c r="I191" i="1"/>
  <c r="I191" i="1" a="1"/>
  <c r="H191" i="1"/>
  <c r="H191" i="1" a="1"/>
  <c r="F191" i="1"/>
  <c r="F191" i="1" a="1"/>
  <c r="AA190" i="1"/>
  <c r="X190" i="1"/>
  <c r="O190" i="1"/>
  <c r="L190" i="1" a="1"/>
  <c r="L190" i="1" s="1"/>
  <c r="K190" i="1"/>
  <c r="K190" i="1" a="1"/>
  <c r="J190" i="1" a="1"/>
  <c r="J190" i="1" s="1"/>
  <c r="I190" i="1"/>
  <c r="I190" i="1" a="1"/>
  <c r="H190" i="1" a="1"/>
  <c r="H190" i="1" s="1"/>
  <c r="F190" i="1"/>
  <c r="F190" i="1" a="1"/>
  <c r="AA189" i="1"/>
  <c r="X189" i="1"/>
  <c r="O189" i="1"/>
  <c r="L189" i="1"/>
  <c r="L189" i="1" a="1"/>
  <c r="K189" i="1"/>
  <c r="K189" i="1" a="1"/>
  <c r="J189" i="1"/>
  <c r="J189" i="1" a="1"/>
  <c r="I189" i="1"/>
  <c r="I189" i="1" a="1"/>
  <c r="H189" i="1"/>
  <c r="H189" i="1" a="1"/>
  <c r="F189" i="1"/>
  <c r="F189" i="1" a="1"/>
  <c r="AA188" i="1"/>
  <c r="X188" i="1"/>
  <c r="O188" i="1"/>
  <c r="L188" i="1" a="1"/>
  <c r="L188" i="1" s="1"/>
  <c r="K188" i="1" a="1"/>
  <c r="K188" i="1" s="1"/>
  <c r="J188" i="1"/>
  <c r="J188" i="1" a="1"/>
  <c r="I188" i="1" a="1"/>
  <c r="I188" i="1" s="1"/>
  <c r="H188" i="1"/>
  <c r="H188" i="1" a="1"/>
  <c r="F188" i="1" a="1"/>
  <c r="F188" i="1" s="1"/>
  <c r="AA187" i="1"/>
  <c r="X187" i="1"/>
  <c r="O187" i="1"/>
  <c r="L187" i="1" a="1"/>
  <c r="L187" i="1" s="1"/>
  <c r="K187" i="1"/>
  <c r="K187" i="1" a="1"/>
  <c r="J187" i="1" a="1"/>
  <c r="J187" i="1" s="1"/>
  <c r="I187" i="1"/>
  <c r="I187" i="1" a="1"/>
  <c r="H187" i="1" a="1"/>
  <c r="H187" i="1" s="1"/>
  <c r="F187" i="1"/>
  <c r="F187" i="1" a="1"/>
  <c r="AA186" i="1"/>
  <c r="X186" i="1"/>
  <c r="O186" i="1"/>
  <c r="L186" i="1" a="1"/>
  <c r="L186" i="1" s="1"/>
  <c r="K186" i="1" a="1"/>
  <c r="K186" i="1" s="1"/>
  <c r="J186" i="1" a="1"/>
  <c r="J186" i="1" s="1"/>
  <c r="I186" i="1"/>
  <c r="I186" i="1" a="1"/>
  <c r="H186" i="1" a="1"/>
  <c r="H186" i="1" s="1"/>
  <c r="F186" i="1"/>
  <c r="F186" i="1" a="1"/>
  <c r="AA185" i="1"/>
  <c r="X185" i="1"/>
  <c r="O185" i="1"/>
  <c r="L185" i="1"/>
  <c r="L185" i="1" a="1"/>
  <c r="K185" i="1" a="1"/>
  <c r="K185" i="1" s="1"/>
  <c r="J185" i="1"/>
  <c r="J185" i="1" a="1"/>
  <c r="I185" i="1" a="1"/>
  <c r="I185" i="1" s="1"/>
  <c r="H185" i="1"/>
  <c r="H185" i="1" a="1"/>
  <c r="F185" i="1" a="1"/>
  <c r="F185" i="1" s="1"/>
  <c r="AA184" i="1"/>
  <c r="X184" i="1"/>
  <c r="O184" i="1"/>
  <c r="L184" i="1"/>
  <c r="L184" i="1" a="1"/>
  <c r="K184" i="1" a="1"/>
  <c r="K184" i="1" s="1"/>
  <c r="J184" i="1" a="1"/>
  <c r="J184" i="1" s="1"/>
  <c r="I184" i="1"/>
  <c r="I184" i="1" a="1"/>
  <c r="H184" i="1" a="1"/>
  <c r="H184" i="1" s="1"/>
  <c r="F184" i="1"/>
  <c r="F184" i="1" a="1"/>
  <c r="AA183" i="1"/>
  <c r="X183" i="1"/>
  <c r="O183" i="1"/>
  <c r="L183" i="1" a="1"/>
  <c r="L183" i="1" s="1"/>
  <c r="K183" i="1"/>
  <c r="K183" i="1" a="1"/>
  <c r="J183" i="1" a="1"/>
  <c r="J183" i="1" s="1"/>
  <c r="I183" i="1"/>
  <c r="I183" i="1" a="1"/>
  <c r="H183" i="1" a="1"/>
  <c r="H183" i="1" s="1"/>
  <c r="F183" i="1"/>
  <c r="F183" i="1" a="1"/>
  <c r="AA182" i="1"/>
  <c r="X182" i="1"/>
  <c r="O182" i="1"/>
  <c r="L182" i="1"/>
  <c r="L182" i="1" a="1"/>
  <c r="K182" i="1" a="1"/>
  <c r="K182" i="1" s="1"/>
  <c r="J182" i="1"/>
  <c r="J182" i="1" a="1"/>
  <c r="I182" i="1" a="1"/>
  <c r="I182" i="1" s="1"/>
  <c r="H182" i="1"/>
  <c r="H182" i="1" a="1"/>
  <c r="F182" i="1" a="1"/>
  <c r="F182" i="1" s="1"/>
  <c r="AA181" i="1"/>
  <c r="X181" i="1"/>
  <c r="O181" i="1"/>
  <c r="L181" i="1"/>
  <c r="L181" i="1" a="1"/>
  <c r="K181" i="1" a="1"/>
  <c r="K181" i="1" s="1"/>
  <c r="J181" i="1"/>
  <c r="J181" i="1" a="1"/>
  <c r="I181" i="1" a="1"/>
  <c r="I181" i="1" s="1"/>
  <c r="H181" i="1"/>
  <c r="H181" i="1" a="1"/>
  <c r="F181" i="1" a="1"/>
  <c r="F181" i="1" s="1"/>
  <c r="AA180" i="1"/>
  <c r="X180" i="1"/>
  <c r="O180" i="1"/>
  <c r="L180" i="1" a="1"/>
  <c r="L180" i="1" s="1"/>
  <c r="K180" i="1"/>
  <c r="K180" i="1" a="1"/>
  <c r="J180" i="1" a="1"/>
  <c r="J180" i="1" s="1"/>
  <c r="I180" i="1"/>
  <c r="I180" i="1" a="1"/>
  <c r="H180" i="1" a="1"/>
  <c r="H180" i="1" s="1"/>
  <c r="F180" i="1"/>
  <c r="F180" i="1" a="1"/>
  <c r="AA179" i="1"/>
  <c r="X179" i="1"/>
  <c r="O179" i="1"/>
  <c r="L179" i="1" a="1"/>
  <c r="L179" i="1" s="1"/>
  <c r="K179" i="1"/>
  <c r="K179" i="1" a="1"/>
  <c r="J179" i="1" a="1"/>
  <c r="J179" i="1" s="1"/>
  <c r="I179" i="1"/>
  <c r="I179" i="1" a="1"/>
  <c r="H179" i="1" a="1"/>
  <c r="H179" i="1" s="1"/>
  <c r="F179" i="1"/>
  <c r="F179" i="1" a="1"/>
  <c r="AA178" i="1"/>
  <c r="X178" i="1"/>
  <c r="O178" i="1"/>
  <c r="L178" i="1"/>
  <c r="L178" i="1" a="1"/>
  <c r="K178" i="1" a="1"/>
  <c r="K178" i="1" s="1"/>
  <c r="J178" i="1"/>
  <c r="J178" i="1" a="1"/>
  <c r="I178" i="1" a="1"/>
  <c r="I178" i="1" s="1"/>
  <c r="H178" i="1"/>
  <c r="H178" i="1" a="1"/>
  <c r="F178" i="1" a="1"/>
  <c r="F178" i="1" s="1"/>
  <c r="AA177" i="1"/>
  <c r="X177" i="1"/>
  <c r="O177" i="1"/>
  <c r="L177" i="1"/>
  <c r="L177" i="1" a="1"/>
  <c r="K177" i="1" a="1"/>
  <c r="K177" i="1" s="1"/>
  <c r="J177" i="1"/>
  <c r="J177" i="1" a="1"/>
  <c r="I177" i="1" a="1"/>
  <c r="I177" i="1" s="1"/>
  <c r="H177" i="1"/>
  <c r="H177" i="1" a="1"/>
  <c r="F177" i="1" a="1"/>
  <c r="F177" i="1" s="1"/>
  <c r="AA176" i="1"/>
  <c r="X176" i="1"/>
  <c r="O176" i="1"/>
  <c r="L176" i="1" a="1"/>
  <c r="L176" i="1" s="1"/>
  <c r="K176" i="1"/>
  <c r="K176" i="1" a="1"/>
  <c r="J176" i="1" a="1"/>
  <c r="J176" i="1" s="1"/>
  <c r="I176" i="1"/>
  <c r="I176" i="1" a="1"/>
  <c r="H176" i="1" a="1"/>
  <c r="H176" i="1" s="1"/>
  <c r="F176" i="1"/>
  <c r="F176" i="1" a="1"/>
  <c r="AA175" i="1"/>
  <c r="X175" i="1"/>
  <c r="O175" i="1"/>
  <c r="L175" i="1" a="1"/>
  <c r="L175" i="1" s="1"/>
  <c r="K175" i="1"/>
  <c r="K175" i="1" a="1"/>
  <c r="J175" i="1" a="1"/>
  <c r="J175" i="1" s="1"/>
  <c r="I175" i="1"/>
  <c r="I175" i="1" a="1"/>
  <c r="H175" i="1" a="1"/>
  <c r="H175" i="1" s="1"/>
  <c r="F175" i="1"/>
  <c r="F175" i="1" a="1"/>
  <c r="AA174" i="1"/>
  <c r="X174" i="1"/>
  <c r="O174" i="1"/>
  <c r="L174" i="1"/>
  <c r="L174" i="1" a="1"/>
  <c r="K174" i="1" a="1"/>
  <c r="K174" i="1" s="1"/>
  <c r="J174" i="1"/>
  <c r="J174" i="1" a="1"/>
  <c r="I174" i="1" a="1"/>
  <c r="I174" i="1" s="1"/>
  <c r="H174" i="1"/>
  <c r="H174" i="1" a="1"/>
  <c r="F174" i="1" a="1"/>
  <c r="F174" i="1" s="1"/>
  <c r="AA173" i="1"/>
  <c r="X173" i="1"/>
  <c r="O173" i="1"/>
  <c r="L173" i="1"/>
  <c r="L173" i="1" a="1"/>
  <c r="K173" i="1" a="1"/>
  <c r="K173" i="1" s="1"/>
  <c r="J173" i="1"/>
  <c r="J173" i="1" a="1"/>
  <c r="I173" i="1" a="1"/>
  <c r="I173" i="1" s="1"/>
  <c r="H173" i="1"/>
  <c r="H173" i="1" a="1"/>
  <c r="F173" i="1" a="1"/>
  <c r="F173" i="1" s="1"/>
  <c r="AA172" i="1"/>
  <c r="X172" i="1"/>
  <c r="O172" i="1"/>
  <c r="L172" i="1" a="1"/>
  <c r="L172" i="1" s="1"/>
  <c r="K172" i="1"/>
  <c r="K172" i="1" a="1"/>
  <c r="J172" i="1" a="1"/>
  <c r="J172" i="1" s="1"/>
  <c r="I172" i="1"/>
  <c r="I172" i="1" a="1"/>
  <c r="H172" i="1" a="1"/>
  <c r="H172" i="1" s="1"/>
  <c r="F172" i="1"/>
  <c r="F172" i="1" a="1"/>
  <c r="AA171" i="1"/>
  <c r="X171" i="1"/>
  <c r="O171" i="1"/>
  <c r="L171" i="1" a="1"/>
  <c r="L171" i="1" s="1"/>
  <c r="K171" i="1"/>
  <c r="K171" i="1" a="1"/>
  <c r="J171" i="1" a="1"/>
  <c r="J171" i="1" s="1"/>
  <c r="I171" i="1"/>
  <c r="I171" i="1" a="1"/>
  <c r="H171" i="1" a="1"/>
  <c r="H171" i="1" s="1"/>
  <c r="F171" i="1"/>
  <c r="F171" i="1" a="1"/>
  <c r="AA170" i="1"/>
  <c r="X170" i="1"/>
  <c r="O170" i="1"/>
  <c r="L170" i="1"/>
  <c r="L170" i="1" a="1"/>
  <c r="K170" i="1" a="1"/>
  <c r="K170" i="1" s="1"/>
  <c r="J170" i="1"/>
  <c r="J170" i="1" a="1"/>
  <c r="I170" i="1" a="1"/>
  <c r="I170" i="1" s="1"/>
  <c r="H170" i="1"/>
  <c r="H170" i="1" a="1"/>
  <c r="F170" i="1" a="1"/>
  <c r="F170" i="1" s="1"/>
  <c r="AA169" i="1"/>
  <c r="X169" i="1"/>
  <c r="O169" i="1"/>
  <c r="L169" i="1"/>
  <c r="L169" i="1" a="1"/>
  <c r="K169" i="1" a="1"/>
  <c r="K169" i="1" s="1"/>
  <c r="J169" i="1"/>
  <c r="J169" i="1" a="1"/>
  <c r="I169" i="1" a="1"/>
  <c r="I169" i="1" s="1"/>
  <c r="H169" i="1"/>
  <c r="H169" i="1" a="1"/>
  <c r="F169" i="1" a="1"/>
  <c r="F169" i="1" s="1"/>
  <c r="AA168" i="1"/>
  <c r="X168" i="1"/>
  <c r="O168" i="1"/>
  <c r="L168" i="1" a="1"/>
  <c r="L168" i="1" s="1"/>
  <c r="K168" i="1"/>
  <c r="K168" i="1" a="1"/>
  <c r="J168" i="1" a="1"/>
  <c r="J168" i="1" s="1"/>
  <c r="I168" i="1"/>
  <c r="I168" i="1" a="1"/>
  <c r="H168" i="1" a="1"/>
  <c r="H168" i="1" s="1"/>
  <c r="F168" i="1"/>
  <c r="F168" i="1" a="1"/>
  <c r="AA167" i="1"/>
  <c r="X167" i="1"/>
  <c r="O167" i="1"/>
  <c r="L167" i="1" a="1"/>
  <c r="L167" i="1" s="1"/>
  <c r="K167" i="1"/>
  <c r="K167" i="1" a="1"/>
  <c r="J167" i="1" a="1"/>
  <c r="J167" i="1" s="1"/>
  <c r="I167" i="1"/>
  <c r="I167" i="1" a="1"/>
  <c r="H167" i="1" a="1"/>
  <c r="H167" i="1" s="1"/>
  <c r="F167" i="1"/>
  <c r="F167" i="1" a="1"/>
  <c r="AA166" i="1"/>
  <c r="X166" i="1"/>
  <c r="O166" i="1"/>
  <c r="L166" i="1"/>
  <c r="L166" i="1" a="1"/>
  <c r="K166" i="1" a="1"/>
  <c r="K166" i="1" s="1"/>
  <c r="J166" i="1"/>
  <c r="J166" i="1" a="1"/>
  <c r="I166" i="1" a="1"/>
  <c r="I166" i="1" s="1"/>
  <c r="H166" i="1"/>
  <c r="H166" i="1" a="1"/>
  <c r="F166" i="1" a="1"/>
  <c r="F166" i="1" s="1"/>
  <c r="AA165" i="1"/>
  <c r="X165" i="1"/>
  <c r="O165" i="1"/>
  <c r="L165" i="1"/>
  <c r="L165" i="1" a="1"/>
  <c r="K165" i="1" a="1"/>
  <c r="K165" i="1" s="1"/>
  <c r="J165" i="1"/>
  <c r="J165" i="1" a="1"/>
  <c r="I165" i="1" a="1"/>
  <c r="I165" i="1" s="1"/>
  <c r="H165" i="1"/>
  <c r="H165" i="1" a="1"/>
  <c r="F165" i="1" a="1"/>
  <c r="F165" i="1" s="1"/>
  <c r="AA164" i="1"/>
  <c r="X164" i="1"/>
  <c r="O164" i="1"/>
  <c r="L164" i="1" a="1"/>
  <c r="L164" i="1" s="1"/>
  <c r="K164" i="1"/>
  <c r="K164" i="1" a="1"/>
  <c r="J164" i="1" a="1"/>
  <c r="J164" i="1" s="1"/>
  <c r="I164" i="1"/>
  <c r="I164" i="1" a="1"/>
  <c r="H164" i="1" a="1"/>
  <c r="H164" i="1" s="1"/>
  <c r="F164" i="1" a="1"/>
  <c r="F164" i="1" s="1"/>
  <c r="AA163" i="1"/>
  <c r="X163" i="1"/>
  <c r="O163" i="1"/>
  <c r="L163" i="1" a="1"/>
  <c r="L163" i="1" s="1"/>
  <c r="K163" i="1"/>
  <c r="K163" i="1" a="1"/>
  <c r="J163" i="1" a="1"/>
  <c r="J163" i="1" s="1"/>
  <c r="I163" i="1"/>
  <c r="I163" i="1" a="1"/>
  <c r="H163" i="1" a="1"/>
  <c r="H163" i="1" s="1"/>
  <c r="F163" i="1"/>
  <c r="F163" i="1" a="1"/>
  <c r="AA162" i="1"/>
  <c r="X162" i="1"/>
  <c r="O162" i="1"/>
  <c r="L162" i="1"/>
  <c r="L162" i="1" a="1"/>
  <c r="K162" i="1" a="1"/>
  <c r="K162" i="1" s="1"/>
  <c r="J162" i="1"/>
  <c r="J162" i="1" a="1"/>
  <c r="I162" i="1" a="1"/>
  <c r="I162" i="1" s="1"/>
  <c r="H162" i="1"/>
  <c r="H162" i="1" a="1"/>
  <c r="F162" i="1" a="1"/>
  <c r="F162" i="1" s="1"/>
  <c r="AA161" i="1"/>
  <c r="X161" i="1"/>
  <c r="O161" i="1"/>
  <c r="L161" i="1"/>
  <c r="L161" i="1" a="1"/>
  <c r="K161" i="1" a="1"/>
  <c r="K161" i="1" s="1"/>
  <c r="J161" i="1"/>
  <c r="J161" i="1" a="1"/>
  <c r="I161" i="1" a="1"/>
  <c r="I161" i="1" s="1"/>
  <c r="H161" i="1"/>
  <c r="H161" i="1" a="1"/>
  <c r="F161" i="1" a="1"/>
  <c r="F161" i="1" s="1"/>
  <c r="AA160" i="1"/>
  <c r="X160" i="1"/>
  <c r="O160" i="1"/>
  <c r="L160" i="1" a="1"/>
  <c r="L160" i="1" s="1"/>
  <c r="K160" i="1"/>
  <c r="K160" i="1" a="1"/>
  <c r="J160" i="1" a="1"/>
  <c r="J160" i="1" s="1"/>
  <c r="I160" i="1" a="1"/>
  <c r="I160" i="1" s="1"/>
  <c r="H160" i="1" a="1"/>
  <c r="H160" i="1" s="1"/>
  <c r="F160" i="1" a="1"/>
  <c r="F160" i="1" s="1"/>
  <c r="AA159" i="1"/>
  <c r="X159" i="1"/>
  <c r="O159" i="1"/>
  <c r="L159" i="1" a="1"/>
  <c r="L159" i="1" s="1"/>
  <c r="K159" i="1"/>
  <c r="K159" i="1" a="1"/>
  <c r="J159" i="1" a="1"/>
  <c r="J159" i="1" s="1"/>
  <c r="I159" i="1"/>
  <c r="I159" i="1" a="1"/>
  <c r="H159" i="1" a="1"/>
  <c r="H159" i="1" s="1"/>
  <c r="F159" i="1"/>
  <c r="F159" i="1" a="1"/>
  <c r="AA158" i="1"/>
  <c r="X158" i="1"/>
  <c r="O158" i="1"/>
  <c r="L158" i="1"/>
  <c r="L158" i="1" a="1"/>
  <c r="K158" i="1" a="1"/>
  <c r="K158" i="1" s="1"/>
  <c r="J158" i="1"/>
  <c r="J158" i="1" a="1"/>
  <c r="I158" i="1" a="1"/>
  <c r="I158" i="1" s="1"/>
  <c r="H158" i="1"/>
  <c r="H158" i="1" a="1"/>
  <c r="F158" i="1" a="1"/>
  <c r="F158" i="1" s="1"/>
  <c r="AA157" i="1"/>
  <c r="X157" i="1"/>
  <c r="O157" i="1"/>
  <c r="L157" i="1"/>
  <c r="L157" i="1" a="1"/>
  <c r="K157" i="1" a="1"/>
  <c r="K157" i="1" s="1"/>
  <c r="J157" i="1"/>
  <c r="J157" i="1" a="1"/>
  <c r="I157" i="1" a="1"/>
  <c r="I157" i="1" s="1"/>
  <c r="H157" i="1"/>
  <c r="H157" i="1" a="1"/>
  <c r="F157" i="1" a="1"/>
  <c r="F157" i="1" s="1"/>
  <c r="AA156" i="1"/>
  <c r="X156" i="1"/>
  <c r="O156" i="1"/>
  <c r="L156" i="1" a="1"/>
  <c r="L156" i="1" s="1"/>
  <c r="K156" i="1" a="1"/>
  <c r="K156" i="1" s="1"/>
  <c r="J156" i="1" a="1"/>
  <c r="J156" i="1" s="1"/>
  <c r="I156" i="1" a="1"/>
  <c r="I156" i="1" s="1"/>
  <c r="H156" i="1" a="1"/>
  <c r="H156" i="1" s="1"/>
  <c r="F156" i="1" a="1"/>
  <c r="F156" i="1" s="1"/>
  <c r="AA155" i="1"/>
  <c r="X155" i="1"/>
  <c r="O155" i="1"/>
  <c r="L155" i="1" a="1"/>
  <c r="L155" i="1" s="1"/>
  <c r="K155" i="1"/>
  <c r="K155" i="1" a="1"/>
  <c r="J155" i="1" a="1"/>
  <c r="J155" i="1" s="1"/>
  <c r="I155" i="1"/>
  <c r="I155" i="1" a="1"/>
  <c r="H155" i="1" a="1"/>
  <c r="H155" i="1" s="1"/>
  <c r="F155" i="1"/>
  <c r="F155" i="1" a="1"/>
  <c r="AA154" i="1"/>
  <c r="X154" i="1"/>
  <c r="O154" i="1"/>
  <c r="L154" i="1"/>
  <c r="L154" i="1" a="1"/>
  <c r="K154" i="1" a="1"/>
  <c r="K154" i="1" s="1"/>
  <c r="J154" i="1"/>
  <c r="J154" i="1" a="1"/>
  <c r="I154" i="1" a="1"/>
  <c r="I154" i="1" s="1"/>
  <c r="H154" i="1"/>
  <c r="H154" i="1" a="1"/>
  <c r="F154" i="1" a="1"/>
  <c r="F154" i="1" s="1"/>
  <c r="AA153" i="1"/>
  <c r="X153" i="1"/>
  <c r="O153" i="1"/>
  <c r="L153" i="1"/>
  <c r="L153" i="1" a="1"/>
  <c r="K153" i="1" a="1"/>
  <c r="K153" i="1" s="1"/>
  <c r="J153" i="1"/>
  <c r="J153" i="1" a="1"/>
  <c r="I153" i="1" a="1"/>
  <c r="I153" i="1" s="1"/>
  <c r="H153" i="1"/>
  <c r="H153" i="1" a="1"/>
  <c r="F153" i="1" a="1"/>
  <c r="F153" i="1" s="1"/>
  <c r="AA152" i="1"/>
  <c r="X152" i="1"/>
  <c r="O152" i="1"/>
  <c r="L152" i="1" a="1"/>
  <c r="L152" i="1" s="1"/>
  <c r="K152" i="1" a="1"/>
  <c r="K152" i="1" s="1"/>
  <c r="J152" i="1" a="1"/>
  <c r="J152" i="1" s="1"/>
  <c r="I152" i="1" a="1"/>
  <c r="I152" i="1" s="1"/>
  <c r="H152" i="1" a="1"/>
  <c r="H152" i="1" s="1"/>
  <c r="F152" i="1" a="1"/>
  <c r="F152" i="1" s="1"/>
  <c r="AA151" i="1"/>
  <c r="X151" i="1"/>
  <c r="O151" i="1"/>
  <c r="L151" i="1" a="1"/>
  <c r="L151" i="1" s="1"/>
  <c r="K151" i="1"/>
  <c r="K151" i="1" a="1"/>
  <c r="J151" i="1" a="1"/>
  <c r="J151" i="1" s="1"/>
  <c r="I151" i="1"/>
  <c r="I151" i="1" a="1"/>
  <c r="H151" i="1" a="1"/>
  <c r="H151" i="1" s="1"/>
  <c r="F151" i="1"/>
  <c r="F151" i="1" a="1"/>
  <c r="AA150" i="1"/>
  <c r="X150" i="1"/>
  <c r="O150" i="1"/>
  <c r="L150" i="1"/>
  <c r="L150" i="1" a="1"/>
  <c r="K150" i="1" a="1"/>
  <c r="K150" i="1" s="1"/>
  <c r="J150" i="1"/>
  <c r="J150" i="1" a="1"/>
  <c r="I150" i="1" a="1"/>
  <c r="I150" i="1" s="1"/>
  <c r="H150" i="1"/>
  <c r="H150" i="1" a="1"/>
  <c r="F150" i="1" a="1"/>
  <c r="F150" i="1" s="1"/>
  <c r="AA149" i="1"/>
  <c r="X149" i="1"/>
  <c r="O149" i="1"/>
  <c r="L149" i="1"/>
  <c r="L149" i="1" a="1"/>
  <c r="K149" i="1" a="1"/>
  <c r="K149" i="1" s="1"/>
  <c r="J149" i="1"/>
  <c r="J149" i="1" a="1"/>
  <c r="I149" i="1" a="1"/>
  <c r="I149" i="1" s="1"/>
  <c r="H149" i="1"/>
  <c r="H149" i="1" a="1"/>
  <c r="F149" i="1" a="1"/>
  <c r="F149" i="1" s="1"/>
  <c r="AA148" i="1"/>
  <c r="X148" i="1"/>
  <c r="O148" i="1"/>
  <c r="L148" i="1" a="1"/>
  <c r="L148" i="1" s="1"/>
  <c r="K148" i="1" a="1"/>
  <c r="K148" i="1" s="1"/>
  <c r="J148" i="1" a="1"/>
  <c r="J148" i="1" s="1"/>
  <c r="I148" i="1" a="1"/>
  <c r="I148" i="1" s="1"/>
  <c r="H148" i="1" a="1"/>
  <c r="H148" i="1" s="1"/>
  <c r="F148" i="1" a="1"/>
  <c r="F148" i="1" s="1"/>
  <c r="AA147" i="1"/>
  <c r="X147" i="1"/>
  <c r="O147" i="1"/>
  <c r="L147" i="1" a="1"/>
  <c r="L147" i="1" s="1"/>
  <c r="K147" i="1"/>
  <c r="K147" i="1" a="1"/>
  <c r="J147" i="1" a="1"/>
  <c r="J147" i="1" s="1"/>
  <c r="I147" i="1"/>
  <c r="I147" i="1" a="1"/>
  <c r="H147" i="1" a="1"/>
  <c r="H147" i="1" s="1"/>
  <c r="F147" i="1"/>
  <c r="F147" i="1" a="1"/>
  <c r="AA146" i="1"/>
  <c r="X146" i="1"/>
  <c r="O146" i="1"/>
  <c r="L146" i="1"/>
  <c r="L146" i="1" a="1"/>
  <c r="K146" i="1" a="1"/>
  <c r="K146" i="1" s="1"/>
  <c r="J146" i="1"/>
  <c r="J146" i="1" a="1"/>
  <c r="I146" i="1" a="1"/>
  <c r="I146" i="1" s="1"/>
  <c r="H146" i="1"/>
  <c r="H146" i="1" a="1"/>
  <c r="F146" i="1" a="1"/>
  <c r="F146" i="1" s="1"/>
  <c r="AA145" i="1"/>
  <c r="X145" i="1"/>
  <c r="O145" i="1"/>
  <c r="L145" i="1"/>
  <c r="L145" i="1" a="1"/>
  <c r="K145" i="1" a="1"/>
  <c r="K145" i="1" s="1"/>
  <c r="J145" i="1"/>
  <c r="J145" i="1" a="1"/>
  <c r="I145" i="1" a="1"/>
  <c r="I145" i="1" s="1"/>
  <c r="H145" i="1"/>
  <c r="H145" i="1" a="1"/>
  <c r="F145" i="1" a="1"/>
  <c r="F145" i="1" s="1"/>
  <c r="AA144" i="1"/>
  <c r="X144" i="1"/>
  <c r="O144" i="1"/>
  <c r="L144" i="1" a="1"/>
  <c r="L144" i="1" s="1"/>
  <c r="K144" i="1" a="1"/>
  <c r="K144" i="1" s="1"/>
  <c r="J144" i="1" a="1"/>
  <c r="J144" i="1" s="1"/>
  <c r="I144" i="1" a="1"/>
  <c r="I144" i="1" s="1"/>
  <c r="H144" i="1" a="1"/>
  <c r="H144" i="1" s="1"/>
  <c r="F144" i="1" a="1"/>
  <c r="F144" i="1" s="1"/>
  <c r="AA143" i="1"/>
  <c r="X143" i="1"/>
  <c r="O143" i="1"/>
  <c r="L143" i="1" a="1"/>
  <c r="L143" i="1" s="1"/>
  <c r="K143" i="1"/>
  <c r="K143" i="1" a="1"/>
  <c r="J143" i="1" a="1"/>
  <c r="J143" i="1" s="1"/>
  <c r="I143" i="1"/>
  <c r="I143" i="1" a="1"/>
  <c r="H143" i="1" a="1"/>
  <c r="H143" i="1" s="1"/>
  <c r="F143" i="1"/>
  <c r="F143" i="1" a="1"/>
  <c r="AA142" i="1"/>
  <c r="X142" i="1"/>
  <c r="O142" i="1"/>
  <c r="L142" i="1"/>
  <c r="L142" i="1" a="1"/>
  <c r="K142" i="1" a="1"/>
  <c r="K142" i="1" s="1"/>
  <c r="J142" i="1"/>
  <c r="J142" i="1" a="1"/>
  <c r="I142" i="1" a="1"/>
  <c r="I142" i="1" s="1"/>
  <c r="H142" i="1"/>
  <c r="H142" i="1" a="1"/>
  <c r="F142" i="1" a="1"/>
  <c r="F142" i="1" s="1"/>
  <c r="AA141" i="1"/>
  <c r="X141" i="1"/>
  <c r="O141" i="1"/>
  <c r="L141" i="1"/>
  <c r="L141" i="1" a="1"/>
  <c r="K141" i="1" a="1"/>
  <c r="K141" i="1" s="1"/>
  <c r="J141" i="1"/>
  <c r="J141" i="1" a="1"/>
  <c r="I141" i="1" a="1"/>
  <c r="I141" i="1" s="1"/>
  <c r="H141" i="1"/>
  <c r="H141" i="1" a="1"/>
  <c r="F141" i="1" a="1"/>
  <c r="F141" i="1" s="1"/>
  <c r="AA140" i="1"/>
  <c r="X140" i="1"/>
  <c r="O140" i="1"/>
  <c r="L140" i="1" a="1"/>
  <c r="L140" i="1" s="1"/>
  <c r="K140" i="1" a="1"/>
  <c r="K140" i="1" s="1"/>
  <c r="J140" i="1" a="1"/>
  <c r="J140" i="1" s="1"/>
  <c r="I140" i="1" a="1"/>
  <c r="I140" i="1" s="1"/>
  <c r="H140" i="1" a="1"/>
  <c r="H140" i="1" s="1"/>
  <c r="F140" i="1" a="1"/>
  <c r="F140" i="1" s="1"/>
  <c r="AA139" i="1"/>
  <c r="X139" i="1"/>
  <c r="O139" i="1"/>
  <c r="L139" i="1" a="1"/>
  <c r="L139" i="1" s="1"/>
  <c r="K139" i="1"/>
  <c r="K139" i="1" a="1"/>
  <c r="J139" i="1" a="1"/>
  <c r="J139" i="1" s="1"/>
  <c r="I139" i="1"/>
  <c r="I139" i="1" a="1"/>
  <c r="H139" i="1" a="1"/>
  <c r="H139" i="1" s="1"/>
  <c r="F139" i="1"/>
  <c r="F139" i="1" a="1"/>
  <c r="AA138" i="1"/>
  <c r="X138" i="1"/>
  <c r="O138" i="1"/>
  <c r="L138" i="1"/>
  <c r="L138" i="1" a="1"/>
  <c r="K138" i="1" a="1"/>
  <c r="K138" i="1" s="1"/>
  <c r="J138" i="1"/>
  <c r="J138" i="1" a="1"/>
  <c r="I138" i="1" a="1"/>
  <c r="I138" i="1" s="1"/>
  <c r="H138" i="1" a="1"/>
  <c r="H138" i="1" s="1"/>
  <c r="F138" i="1" a="1"/>
  <c r="F138" i="1" s="1"/>
  <c r="AA137" i="1"/>
  <c r="X137" i="1"/>
  <c r="O137" i="1"/>
  <c r="L137" i="1"/>
  <c r="L137" i="1" a="1"/>
  <c r="K137" i="1" a="1"/>
  <c r="K137" i="1" s="1"/>
  <c r="J137" i="1"/>
  <c r="J137" i="1" a="1"/>
  <c r="I137" i="1" a="1"/>
  <c r="I137" i="1" s="1"/>
  <c r="H137" i="1"/>
  <c r="H137" i="1" a="1"/>
  <c r="F137" i="1" a="1"/>
  <c r="F137" i="1" s="1"/>
  <c r="AA136" i="1"/>
  <c r="X136" i="1"/>
  <c r="O136" i="1"/>
  <c r="L136" i="1" a="1"/>
  <c r="L136" i="1" s="1"/>
  <c r="K136" i="1" a="1"/>
  <c r="K136" i="1" s="1"/>
  <c r="J136" i="1" a="1"/>
  <c r="J136" i="1" s="1"/>
  <c r="I136" i="1" a="1"/>
  <c r="I136" i="1" s="1"/>
  <c r="H136" i="1" a="1"/>
  <c r="H136" i="1" s="1"/>
  <c r="F136" i="1" a="1"/>
  <c r="F136" i="1" s="1"/>
  <c r="AA135" i="1"/>
  <c r="X135" i="1"/>
  <c r="O135" i="1"/>
  <c r="L135" i="1" a="1"/>
  <c r="L135" i="1" s="1"/>
  <c r="K135" i="1"/>
  <c r="K135" i="1" a="1"/>
  <c r="J135" i="1" a="1"/>
  <c r="J135" i="1" s="1"/>
  <c r="I135" i="1"/>
  <c r="I135" i="1" a="1"/>
  <c r="H135" i="1" a="1"/>
  <c r="H135" i="1" s="1"/>
  <c r="F135" i="1"/>
  <c r="F135" i="1" a="1"/>
  <c r="AA134" i="1"/>
  <c r="X134" i="1"/>
  <c r="O134" i="1"/>
  <c r="L134" i="1"/>
  <c r="L134" i="1" a="1"/>
  <c r="K134" i="1" a="1"/>
  <c r="K134" i="1" s="1"/>
  <c r="J134" i="1" a="1"/>
  <c r="J134" i="1" s="1"/>
  <c r="I134" i="1" a="1"/>
  <c r="I134" i="1" s="1"/>
  <c r="H134" i="1" a="1"/>
  <c r="H134" i="1" s="1"/>
  <c r="F134" i="1" a="1"/>
  <c r="F134" i="1" s="1"/>
  <c r="AA133" i="1"/>
  <c r="X133" i="1"/>
  <c r="O133" i="1"/>
  <c r="L133" i="1"/>
  <c r="L133" i="1" a="1"/>
  <c r="K133" i="1" a="1"/>
  <c r="K133" i="1" s="1"/>
  <c r="J133" i="1"/>
  <c r="J133" i="1" a="1"/>
  <c r="I133" i="1" a="1"/>
  <c r="I133" i="1" s="1"/>
  <c r="H133" i="1"/>
  <c r="H133" i="1" a="1"/>
  <c r="F133" i="1" a="1"/>
  <c r="F133" i="1" s="1"/>
  <c r="AA132" i="1"/>
  <c r="X132" i="1"/>
  <c r="O132" i="1"/>
  <c r="L132" i="1" a="1"/>
  <c r="L132" i="1" s="1"/>
  <c r="K132" i="1" a="1"/>
  <c r="K132" i="1" s="1"/>
  <c r="J132" i="1" a="1"/>
  <c r="J132" i="1" s="1"/>
  <c r="I132" i="1" a="1"/>
  <c r="I132" i="1" s="1"/>
  <c r="H132" i="1" a="1"/>
  <c r="H132" i="1" s="1"/>
  <c r="F132" i="1" a="1"/>
  <c r="F132" i="1" s="1"/>
  <c r="AA131" i="1"/>
  <c r="X131" i="1"/>
  <c r="O131" i="1"/>
  <c r="L131" i="1" a="1"/>
  <c r="L131" i="1" s="1"/>
  <c r="K131" i="1"/>
  <c r="K131" i="1" a="1"/>
  <c r="J131" i="1" a="1"/>
  <c r="J131" i="1" s="1"/>
  <c r="I131" i="1"/>
  <c r="I131" i="1" a="1"/>
  <c r="H131" i="1" a="1"/>
  <c r="H131" i="1" s="1"/>
  <c r="F131" i="1"/>
  <c r="F131" i="1" a="1"/>
  <c r="AA130" i="1"/>
  <c r="X130" i="1"/>
  <c r="O130" i="1"/>
  <c r="L130" i="1" a="1"/>
  <c r="L130" i="1" s="1"/>
  <c r="K130" i="1" a="1"/>
  <c r="K130" i="1" s="1"/>
  <c r="J130" i="1" a="1"/>
  <c r="J130" i="1" s="1"/>
  <c r="I130" i="1" a="1"/>
  <c r="I130" i="1" s="1"/>
  <c r="H130" i="1" a="1"/>
  <c r="H130" i="1" s="1"/>
  <c r="F130" i="1" a="1"/>
  <c r="F130" i="1" s="1"/>
  <c r="AA129" i="1"/>
  <c r="X129" i="1"/>
  <c r="O129" i="1"/>
  <c r="L129" i="1"/>
  <c r="L129" i="1" a="1"/>
  <c r="K129" i="1" a="1"/>
  <c r="K129" i="1" s="1"/>
  <c r="J129" i="1"/>
  <c r="J129" i="1" a="1"/>
  <c r="I129" i="1" a="1"/>
  <c r="I129" i="1" s="1"/>
  <c r="H129" i="1"/>
  <c r="H129" i="1" a="1"/>
  <c r="F129" i="1" a="1"/>
  <c r="F129" i="1" s="1"/>
  <c r="AA128" i="1"/>
  <c r="X128" i="1"/>
  <c r="O128" i="1"/>
  <c r="L128" i="1" a="1"/>
  <c r="L128" i="1" s="1"/>
  <c r="K128" i="1" a="1"/>
  <c r="K128" i="1" s="1"/>
  <c r="J128" i="1" a="1"/>
  <c r="J128" i="1" s="1"/>
  <c r="I128" i="1" a="1"/>
  <c r="I128" i="1" s="1"/>
  <c r="H128" i="1" a="1"/>
  <c r="H128" i="1" s="1"/>
  <c r="F128" i="1" a="1"/>
  <c r="F128" i="1" s="1"/>
  <c r="AA127" i="1"/>
  <c r="X127" i="1"/>
  <c r="O127" i="1"/>
  <c r="L127" i="1" a="1"/>
  <c r="L127" i="1" s="1"/>
  <c r="K127" i="1"/>
  <c r="K127" i="1" a="1"/>
  <c r="J127" i="1" a="1"/>
  <c r="J127" i="1" s="1"/>
  <c r="I127" i="1"/>
  <c r="I127" i="1" a="1"/>
  <c r="H127" i="1" a="1"/>
  <c r="H127" i="1" s="1"/>
  <c r="F127" i="1"/>
  <c r="F127" i="1" a="1"/>
  <c r="AA126" i="1"/>
  <c r="X126" i="1"/>
  <c r="O126" i="1"/>
  <c r="L126" i="1" a="1"/>
  <c r="L126" i="1" s="1"/>
  <c r="K126" i="1" a="1"/>
  <c r="K126" i="1" s="1"/>
  <c r="J126" i="1" a="1"/>
  <c r="J126" i="1" s="1"/>
  <c r="I126" i="1" a="1"/>
  <c r="I126" i="1" s="1"/>
  <c r="H126" i="1" a="1"/>
  <c r="H126" i="1" s="1"/>
  <c r="F126" i="1" a="1"/>
  <c r="F126" i="1" s="1"/>
  <c r="AA125" i="1"/>
  <c r="X125" i="1"/>
  <c r="O125" i="1"/>
  <c r="L125" i="1"/>
  <c r="L125" i="1" a="1"/>
  <c r="K125" i="1" a="1"/>
  <c r="K125" i="1" s="1"/>
  <c r="J125" i="1"/>
  <c r="J125" i="1" a="1"/>
  <c r="I125" i="1" a="1"/>
  <c r="I125" i="1" s="1"/>
  <c r="H125" i="1"/>
  <c r="H125" i="1" a="1"/>
  <c r="F125" i="1" a="1"/>
  <c r="F125" i="1" s="1"/>
  <c r="AA124" i="1"/>
  <c r="X124" i="1"/>
  <c r="O124" i="1"/>
  <c r="L124" i="1" a="1"/>
  <c r="L124" i="1" s="1"/>
  <c r="K124" i="1" a="1"/>
  <c r="K124" i="1" s="1"/>
  <c r="J124" i="1" a="1"/>
  <c r="J124" i="1" s="1"/>
  <c r="I124" i="1" a="1"/>
  <c r="I124" i="1" s="1"/>
  <c r="H124" i="1" a="1"/>
  <c r="H124" i="1" s="1"/>
  <c r="F124" i="1" a="1"/>
  <c r="F124" i="1" s="1"/>
  <c r="AA123" i="1"/>
  <c r="X123" i="1"/>
  <c r="O123" i="1"/>
  <c r="L123" i="1" a="1"/>
  <c r="L123" i="1" s="1"/>
  <c r="K123" i="1"/>
  <c r="K123" i="1" a="1"/>
  <c r="J123" i="1" a="1"/>
  <c r="J123" i="1" s="1"/>
  <c r="I123" i="1"/>
  <c r="I123" i="1" a="1"/>
  <c r="H123" i="1" a="1"/>
  <c r="H123" i="1" s="1"/>
  <c r="F123" i="1"/>
  <c r="F123" i="1" a="1"/>
  <c r="AA122" i="1"/>
  <c r="X122" i="1"/>
  <c r="O122" i="1"/>
  <c r="L122" i="1" a="1"/>
  <c r="L122" i="1" s="1"/>
  <c r="K122" i="1" a="1"/>
  <c r="K122" i="1" s="1"/>
  <c r="J122" i="1" a="1"/>
  <c r="J122" i="1" s="1"/>
  <c r="I122" i="1" a="1"/>
  <c r="I122" i="1" s="1"/>
  <c r="H122" i="1" a="1"/>
  <c r="H122" i="1" s="1"/>
  <c r="F122" i="1" a="1"/>
  <c r="F122" i="1" s="1"/>
  <c r="AA121" i="1"/>
  <c r="X121" i="1"/>
  <c r="O121" i="1"/>
  <c r="L121" i="1"/>
  <c r="L121" i="1" a="1"/>
  <c r="K121" i="1" a="1"/>
  <c r="K121" i="1" s="1"/>
  <c r="J121" i="1"/>
  <c r="J121" i="1" a="1"/>
  <c r="I121" i="1" a="1"/>
  <c r="I121" i="1" s="1"/>
  <c r="H121" i="1"/>
  <c r="H121" i="1" a="1"/>
  <c r="F121" i="1" a="1"/>
  <c r="F121" i="1" s="1"/>
  <c r="AA120" i="1"/>
  <c r="X120" i="1"/>
  <c r="O120" i="1"/>
  <c r="L120" i="1" a="1"/>
  <c r="L120" i="1" s="1"/>
  <c r="K120" i="1" a="1"/>
  <c r="K120" i="1" s="1"/>
  <c r="J120" i="1" a="1"/>
  <c r="J120" i="1" s="1"/>
  <c r="I120" i="1" a="1"/>
  <c r="I120" i="1" s="1"/>
  <c r="H120" i="1" a="1"/>
  <c r="H120" i="1" s="1"/>
  <c r="F120" i="1" a="1"/>
  <c r="F120" i="1" s="1"/>
  <c r="AA119" i="1"/>
  <c r="X119" i="1"/>
  <c r="O119" i="1"/>
  <c r="L119" i="1"/>
  <c r="L119" i="1" a="1"/>
  <c r="K119" i="1"/>
  <c r="K119" i="1" a="1"/>
  <c r="J119" i="1" a="1"/>
  <c r="J119" i="1" s="1"/>
  <c r="I119" i="1"/>
  <c r="I119" i="1" a="1"/>
  <c r="H119" i="1" a="1"/>
  <c r="H119" i="1" s="1"/>
  <c r="F119" i="1"/>
  <c r="F119" i="1" a="1"/>
  <c r="AA118" i="1"/>
  <c r="X118" i="1"/>
  <c r="O118" i="1"/>
  <c r="L118" i="1" a="1"/>
  <c r="L118" i="1" s="1"/>
  <c r="K118" i="1" a="1"/>
  <c r="K118" i="1" s="1"/>
  <c r="J118" i="1" a="1"/>
  <c r="J118" i="1" s="1"/>
  <c r="I118" i="1" a="1"/>
  <c r="I118" i="1" s="1"/>
  <c r="H118" i="1" a="1"/>
  <c r="H118" i="1" s="1"/>
  <c r="F118" i="1" a="1"/>
  <c r="F118" i="1" s="1"/>
  <c r="AA117" i="1"/>
  <c r="X117" i="1"/>
  <c r="O117" i="1"/>
  <c r="L117" i="1"/>
  <c r="L117" i="1" a="1"/>
  <c r="K117" i="1" a="1"/>
  <c r="K117" i="1" s="1"/>
  <c r="J117" i="1"/>
  <c r="J117" i="1" a="1"/>
  <c r="I117" i="1" a="1"/>
  <c r="I117" i="1" s="1"/>
  <c r="H117" i="1"/>
  <c r="H117" i="1" a="1"/>
  <c r="F117" i="1" a="1"/>
  <c r="F117" i="1" s="1"/>
  <c r="AA116" i="1"/>
  <c r="X116" i="1"/>
  <c r="O116" i="1"/>
  <c r="L116" i="1" a="1"/>
  <c r="L116" i="1" s="1"/>
  <c r="K116" i="1" a="1"/>
  <c r="K116" i="1" s="1"/>
  <c r="J116" i="1" a="1"/>
  <c r="J116" i="1" s="1"/>
  <c r="I116" i="1" a="1"/>
  <c r="I116" i="1" s="1"/>
  <c r="H116" i="1" a="1"/>
  <c r="H116" i="1" s="1"/>
  <c r="F116" i="1" a="1"/>
  <c r="F116" i="1" s="1"/>
  <c r="AA115" i="1"/>
  <c r="X115" i="1"/>
  <c r="O115" i="1"/>
  <c r="L115" i="1"/>
  <c r="L115" i="1" a="1"/>
  <c r="K115" i="1"/>
  <c r="K115" i="1" a="1"/>
  <c r="J115" i="1" a="1"/>
  <c r="J115" i="1" s="1"/>
  <c r="I115" i="1"/>
  <c r="I115" i="1" a="1"/>
  <c r="H115" i="1" a="1"/>
  <c r="H115" i="1" s="1"/>
  <c r="F115" i="1"/>
  <c r="F115" i="1" a="1"/>
  <c r="AA114" i="1"/>
  <c r="X114" i="1"/>
  <c r="O114" i="1"/>
  <c r="L114" i="1" a="1"/>
  <c r="L114" i="1" s="1"/>
  <c r="K114" i="1" a="1"/>
  <c r="K114" i="1" s="1"/>
  <c r="J114" i="1" a="1"/>
  <c r="J114" i="1" s="1"/>
  <c r="I114" i="1" a="1"/>
  <c r="I114" i="1" s="1"/>
  <c r="H114" i="1" a="1"/>
  <c r="H114" i="1" s="1"/>
  <c r="F114" i="1" a="1"/>
  <c r="F114" i="1" s="1"/>
  <c r="AA113" i="1"/>
  <c r="X113" i="1"/>
  <c r="O113" i="1"/>
  <c r="L113" i="1"/>
  <c r="L113" i="1" a="1"/>
  <c r="K113" i="1" a="1"/>
  <c r="K113" i="1" s="1"/>
  <c r="J113" i="1"/>
  <c r="J113" i="1" a="1"/>
  <c r="I113" i="1" a="1"/>
  <c r="I113" i="1" s="1"/>
  <c r="H113" i="1"/>
  <c r="H113" i="1" a="1"/>
  <c r="F113" i="1" a="1"/>
  <c r="F113" i="1" s="1"/>
  <c r="AA112" i="1"/>
  <c r="X112" i="1"/>
  <c r="O112" i="1"/>
  <c r="L112" i="1" a="1"/>
  <c r="L112" i="1" s="1"/>
  <c r="K112" i="1" a="1"/>
  <c r="K112" i="1" s="1"/>
  <c r="J112" i="1" a="1"/>
  <c r="J112" i="1" s="1"/>
  <c r="I112" i="1" a="1"/>
  <c r="I112" i="1" s="1"/>
  <c r="H112" i="1" a="1"/>
  <c r="H112" i="1" s="1"/>
  <c r="F112" i="1" a="1"/>
  <c r="F112" i="1" s="1"/>
  <c r="AA111" i="1"/>
  <c r="X111" i="1"/>
  <c r="O111" i="1"/>
  <c r="L111" i="1"/>
  <c r="L111" i="1" a="1"/>
  <c r="K111" i="1"/>
  <c r="K111" i="1" a="1"/>
  <c r="J111" i="1"/>
  <c r="J111" i="1" a="1"/>
  <c r="I111" i="1"/>
  <c r="I111" i="1" a="1"/>
  <c r="H111" i="1" a="1"/>
  <c r="H111" i="1" s="1"/>
  <c r="F111" i="1"/>
  <c r="F111" i="1" a="1"/>
  <c r="AA110" i="1"/>
  <c r="X110" i="1"/>
  <c r="O110" i="1"/>
  <c r="L110" i="1" a="1"/>
  <c r="L110" i="1" s="1"/>
  <c r="K110" i="1" a="1"/>
  <c r="K110" i="1" s="1"/>
  <c r="J110" i="1" a="1"/>
  <c r="J110" i="1" s="1"/>
  <c r="I110" i="1" a="1"/>
  <c r="I110" i="1" s="1"/>
  <c r="H110" i="1" a="1"/>
  <c r="H110" i="1" s="1"/>
  <c r="F110" i="1" a="1"/>
  <c r="F110" i="1" s="1"/>
  <c r="AA109" i="1"/>
  <c r="X109" i="1"/>
  <c r="O109" i="1"/>
  <c r="L109" i="1"/>
  <c r="L109" i="1" a="1"/>
  <c r="K109" i="1" a="1"/>
  <c r="K109" i="1" s="1"/>
  <c r="J109" i="1"/>
  <c r="J109" i="1" a="1"/>
  <c r="I109" i="1" a="1"/>
  <c r="I109" i="1" s="1"/>
  <c r="H109" i="1"/>
  <c r="H109" i="1" a="1"/>
  <c r="F109" i="1" a="1"/>
  <c r="F109" i="1" s="1"/>
  <c r="AA108" i="1"/>
  <c r="X108" i="1"/>
  <c r="O108" i="1"/>
  <c r="L108" i="1" a="1"/>
  <c r="L108" i="1" s="1"/>
  <c r="K108" i="1" a="1"/>
  <c r="K108" i="1" s="1"/>
  <c r="J108" i="1" a="1"/>
  <c r="J108" i="1" s="1"/>
  <c r="I108" i="1" a="1"/>
  <c r="I108" i="1" s="1"/>
  <c r="H108" i="1" a="1"/>
  <c r="H108" i="1" s="1"/>
  <c r="F108" i="1" a="1"/>
  <c r="F108" i="1" s="1"/>
  <c r="AA107" i="1"/>
  <c r="X107" i="1"/>
  <c r="O107" i="1"/>
  <c r="L107" i="1"/>
  <c r="L107" i="1" a="1"/>
  <c r="K107" i="1"/>
  <c r="K107" i="1" a="1"/>
  <c r="J107" i="1"/>
  <c r="J107" i="1" a="1"/>
  <c r="I107" i="1"/>
  <c r="I107" i="1" a="1"/>
  <c r="H107" i="1"/>
  <c r="H107" i="1" a="1"/>
  <c r="F107" i="1"/>
  <c r="F107" i="1" a="1"/>
  <c r="AA106" i="1"/>
  <c r="X106" i="1"/>
  <c r="O106" i="1"/>
  <c r="L106" i="1" a="1"/>
  <c r="L106" i="1" s="1"/>
  <c r="K106" i="1" a="1"/>
  <c r="K106" i="1" s="1"/>
  <c r="J106" i="1" a="1"/>
  <c r="J106" i="1" s="1"/>
  <c r="I106" i="1" a="1"/>
  <c r="I106" i="1" s="1"/>
  <c r="H106" i="1" a="1"/>
  <c r="H106" i="1" s="1"/>
  <c r="F106" i="1" a="1"/>
  <c r="F106" i="1" s="1"/>
  <c r="AA105" i="1"/>
  <c r="X105" i="1"/>
  <c r="O105" i="1"/>
  <c r="L105" i="1"/>
  <c r="L105" i="1" a="1"/>
  <c r="K105" i="1" a="1"/>
  <c r="K105" i="1" s="1"/>
  <c r="J105" i="1"/>
  <c r="J105" i="1" a="1"/>
  <c r="I105" i="1" a="1"/>
  <c r="I105" i="1" s="1"/>
  <c r="H105" i="1"/>
  <c r="H105" i="1" a="1"/>
  <c r="F105" i="1" a="1"/>
  <c r="F105" i="1" s="1"/>
  <c r="AA104" i="1"/>
  <c r="X104" i="1"/>
  <c r="O104" i="1"/>
  <c r="L104" i="1" a="1"/>
  <c r="L104" i="1" s="1"/>
  <c r="K104" i="1" a="1"/>
  <c r="K104" i="1" s="1"/>
  <c r="J104" i="1" a="1"/>
  <c r="J104" i="1" s="1"/>
  <c r="I104" i="1" a="1"/>
  <c r="I104" i="1" s="1"/>
  <c r="H104" i="1" a="1"/>
  <c r="H104" i="1" s="1"/>
  <c r="F104" i="1" a="1"/>
  <c r="F104" i="1" s="1"/>
  <c r="AA103" i="1"/>
  <c r="X103" i="1"/>
  <c r="O103" i="1"/>
  <c r="L103" i="1"/>
  <c r="L103" i="1" a="1"/>
  <c r="K103" i="1"/>
  <c r="K103" i="1" a="1"/>
  <c r="J103" i="1"/>
  <c r="J103" i="1" a="1"/>
  <c r="I103" i="1"/>
  <c r="I103" i="1" a="1"/>
  <c r="H103" i="1"/>
  <c r="H103" i="1" a="1"/>
  <c r="F103" i="1"/>
  <c r="F103" i="1" a="1"/>
  <c r="AA102" i="1"/>
  <c r="X102" i="1"/>
  <c r="O102" i="1"/>
  <c r="L102" i="1" a="1"/>
  <c r="L102" i="1" s="1"/>
  <c r="K102" i="1" a="1"/>
  <c r="K102" i="1" s="1"/>
  <c r="J102" i="1" a="1"/>
  <c r="J102" i="1" s="1"/>
  <c r="I102" i="1" a="1"/>
  <c r="I102" i="1" s="1"/>
  <c r="H102" i="1" a="1"/>
  <c r="H102" i="1" s="1"/>
  <c r="F102" i="1" a="1"/>
  <c r="F102" i="1" s="1"/>
  <c r="AA101" i="1"/>
  <c r="X101" i="1"/>
  <c r="O101" i="1"/>
  <c r="L101" i="1"/>
  <c r="L101" i="1" a="1"/>
  <c r="K101" i="1" a="1"/>
  <c r="K101" i="1" s="1"/>
  <c r="J101" i="1"/>
  <c r="J101" i="1" a="1"/>
  <c r="I101" i="1" a="1"/>
  <c r="I101" i="1" s="1"/>
  <c r="H101" i="1"/>
  <c r="H101" i="1" a="1"/>
  <c r="F101" i="1" a="1"/>
  <c r="F101" i="1" s="1"/>
  <c r="AA100" i="1"/>
  <c r="X100" i="1"/>
  <c r="O100" i="1"/>
  <c r="L100" i="1" a="1"/>
  <c r="L100" i="1" s="1"/>
  <c r="K100" i="1" a="1"/>
  <c r="K100" i="1" s="1"/>
  <c r="J100" i="1" a="1"/>
  <c r="J100" i="1" s="1"/>
  <c r="I100" i="1" a="1"/>
  <c r="I100" i="1" s="1"/>
  <c r="H100" i="1" a="1"/>
  <c r="H100" i="1" s="1"/>
  <c r="F100" i="1" a="1"/>
  <c r="F100" i="1" s="1"/>
  <c r="AA99" i="1"/>
  <c r="X99" i="1"/>
  <c r="O99" i="1"/>
  <c r="L99" i="1"/>
  <c r="L99" i="1" a="1"/>
  <c r="K99" i="1"/>
  <c r="K99" i="1" a="1"/>
  <c r="J99" i="1"/>
  <c r="J99" i="1" a="1"/>
  <c r="I99" i="1"/>
  <c r="I99" i="1" a="1"/>
  <c r="H99" i="1"/>
  <c r="H99" i="1" a="1"/>
  <c r="F99" i="1"/>
  <c r="F99" i="1" a="1"/>
  <c r="AA98" i="1"/>
  <c r="X98" i="1"/>
  <c r="O98" i="1"/>
  <c r="L98" i="1" a="1"/>
  <c r="L98" i="1" s="1"/>
  <c r="K98" i="1" a="1"/>
  <c r="K98" i="1" s="1"/>
  <c r="J98" i="1" a="1"/>
  <c r="J98" i="1" s="1"/>
  <c r="I98" i="1" a="1"/>
  <c r="I98" i="1" s="1"/>
  <c r="H98" i="1" a="1"/>
  <c r="H98" i="1" s="1"/>
  <c r="F98" i="1" a="1"/>
  <c r="F98" i="1" s="1"/>
  <c r="AA97" i="1"/>
  <c r="X97" i="1"/>
  <c r="O97" i="1"/>
  <c r="L97" i="1"/>
  <c r="L97" i="1" a="1"/>
  <c r="K97" i="1" a="1"/>
  <c r="K97" i="1" s="1"/>
  <c r="J97" i="1"/>
  <c r="J97" i="1" a="1"/>
  <c r="I97" i="1" a="1"/>
  <c r="I97" i="1" s="1"/>
  <c r="H97" i="1"/>
  <c r="H97" i="1" a="1"/>
  <c r="F97" i="1" a="1"/>
  <c r="F97" i="1" s="1"/>
  <c r="AA96" i="1"/>
  <c r="X96" i="1"/>
  <c r="O96" i="1"/>
  <c r="L96" i="1" a="1"/>
  <c r="L96" i="1" s="1"/>
  <c r="K96" i="1" a="1"/>
  <c r="K96" i="1" s="1"/>
  <c r="J96" i="1" a="1"/>
  <c r="J96" i="1" s="1"/>
  <c r="I96" i="1" a="1"/>
  <c r="I96" i="1" s="1"/>
  <c r="H96" i="1" a="1"/>
  <c r="H96" i="1" s="1"/>
  <c r="F96" i="1" a="1"/>
  <c r="F96" i="1" s="1"/>
  <c r="AA95" i="1"/>
  <c r="X95" i="1"/>
  <c r="O95" i="1"/>
  <c r="L95" i="1"/>
  <c r="L95" i="1" a="1"/>
  <c r="K95" i="1"/>
  <c r="K95" i="1" a="1"/>
  <c r="J95" i="1"/>
  <c r="J95" i="1" a="1"/>
  <c r="I95" i="1"/>
  <c r="I95" i="1" a="1"/>
  <c r="H95" i="1"/>
  <c r="H95" i="1" a="1"/>
  <c r="F95" i="1"/>
  <c r="F95" i="1" a="1"/>
  <c r="AA94" i="1"/>
  <c r="X94" i="1"/>
  <c r="O94" i="1"/>
  <c r="L94" i="1" a="1"/>
  <c r="L94" i="1" s="1"/>
  <c r="K94" i="1" a="1"/>
  <c r="K94" i="1" s="1"/>
  <c r="J94" i="1" a="1"/>
  <c r="J94" i="1" s="1"/>
  <c r="I94" i="1" a="1"/>
  <c r="I94" i="1" s="1"/>
  <c r="H94" i="1" a="1"/>
  <c r="H94" i="1" s="1"/>
  <c r="F94" i="1" a="1"/>
  <c r="F94" i="1" s="1"/>
  <c r="AA93" i="1"/>
  <c r="X93" i="1"/>
  <c r="O93" i="1"/>
  <c r="L93" i="1"/>
  <c r="L93" i="1" a="1"/>
  <c r="K93" i="1" a="1"/>
  <c r="K93" i="1" s="1"/>
  <c r="J93" i="1"/>
  <c r="J93" i="1" a="1"/>
  <c r="I93" i="1" a="1"/>
  <c r="I93" i="1" s="1"/>
  <c r="H93" i="1"/>
  <c r="H93" i="1" a="1"/>
  <c r="F93" i="1" a="1"/>
  <c r="F93" i="1" s="1"/>
  <c r="AA92" i="1"/>
  <c r="X92" i="1"/>
  <c r="O92" i="1"/>
  <c r="L92" i="1" a="1"/>
  <c r="L92" i="1" s="1"/>
  <c r="K92" i="1" a="1"/>
  <c r="K92" i="1" s="1"/>
  <c r="J92" i="1" a="1"/>
  <c r="J92" i="1" s="1"/>
  <c r="I92" i="1" a="1"/>
  <c r="I92" i="1" s="1"/>
  <c r="H92" i="1" a="1"/>
  <c r="H92" i="1" s="1"/>
  <c r="F92" i="1" a="1"/>
  <c r="F92" i="1" s="1"/>
  <c r="AA91" i="1"/>
  <c r="X91" i="1"/>
  <c r="O91" i="1"/>
  <c r="L91" i="1"/>
  <c r="L91" i="1" a="1"/>
  <c r="K91" i="1"/>
  <c r="K91" i="1" a="1"/>
  <c r="J91" i="1"/>
  <c r="J91" i="1" a="1"/>
  <c r="I91" i="1"/>
  <c r="I91" i="1" a="1"/>
  <c r="H91" i="1"/>
  <c r="H91" i="1" a="1"/>
  <c r="F91" i="1"/>
  <c r="F91" i="1" a="1"/>
  <c r="AA90" i="1"/>
  <c r="X90" i="1"/>
  <c r="O90" i="1"/>
  <c r="L90" i="1" a="1"/>
  <c r="L90" i="1" s="1"/>
  <c r="K90" i="1" a="1"/>
  <c r="K90" i="1" s="1"/>
  <c r="J90" i="1" a="1"/>
  <c r="J90" i="1" s="1"/>
  <c r="I90" i="1" a="1"/>
  <c r="I90" i="1" s="1"/>
  <c r="H90" i="1" a="1"/>
  <c r="H90" i="1" s="1"/>
  <c r="F90" i="1" a="1"/>
  <c r="F90" i="1" s="1"/>
  <c r="AA89" i="1"/>
  <c r="X89" i="1"/>
  <c r="O89" i="1"/>
  <c r="L89" i="1"/>
  <c r="L89" i="1" a="1"/>
  <c r="K89" i="1" a="1"/>
  <c r="K89" i="1" s="1"/>
  <c r="J89" i="1"/>
  <c r="J89" i="1" a="1"/>
  <c r="I89" i="1" a="1"/>
  <c r="I89" i="1" s="1"/>
  <c r="H89" i="1"/>
  <c r="H89" i="1" a="1"/>
  <c r="F89" i="1" a="1"/>
  <c r="F89" i="1" s="1"/>
  <c r="AA88" i="1"/>
  <c r="X88" i="1"/>
  <c r="O88" i="1"/>
  <c r="L88" i="1" a="1"/>
  <c r="L88" i="1" s="1"/>
  <c r="K88" i="1" a="1"/>
  <c r="K88" i="1" s="1"/>
  <c r="J88" i="1" a="1"/>
  <c r="J88" i="1" s="1"/>
  <c r="I88" i="1" a="1"/>
  <c r="I88" i="1" s="1"/>
  <c r="H88" i="1" a="1"/>
  <c r="H88" i="1" s="1"/>
  <c r="F88" i="1" a="1"/>
  <c r="F88" i="1" s="1"/>
  <c r="AA87" i="1"/>
  <c r="X87" i="1"/>
  <c r="O87" i="1"/>
  <c r="L87" i="1"/>
  <c r="L87" i="1" a="1"/>
  <c r="K87" i="1"/>
  <c r="K87" i="1" a="1"/>
  <c r="J87" i="1"/>
  <c r="J87" i="1" a="1"/>
  <c r="I87" i="1"/>
  <c r="I87" i="1" a="1"/>
  <c r="H87" i="1"/>
  <c r="H87" i="1" a="1"/>
  <c r="F87" i="1"/>
  <c r="F87" i="1" a="1"/>
  <c r="AA86" i="1"/>
  <c r="X86" i="1"/>
  <c r="O86" i="1"/>
  <c r="L86" i="1" a="1"/>
  <c r="L86" i="1" s="1"/>
  <c r="K86" i="1" a="1"/>
  <c r="K86" i="1" s="1"/>
  <c r="J86" i="1" a="1"/>
  <c r="J86" i="1" s="1"/>
  <c r="I86" i="1" a="1"/>
  <c r="I86" i="1" s="1"/>
  <c r="H86" i="1" a="1"/>
  <c r="H86" i="1" s="1"/>
  <c r="F86" i="1" a="1"/>
  <c r="F86" i="1" s="1"/>
  <c r="AA85" i="1"/>
  <c r="X85" i="1"/>
  <c r="O85" i="1"/>
  <c r="L85" i="1"/>
  <c r="L85" i="1" a="1"/>
  <c r="K85" i="1" a="1"/>
  <c r="K85" i="1" s="1"/>
  <c r="J85" i="1"/>
  <c r="J85" i="1" a="1"/>
  <c r="I85" i="1" a="1"/>
  <c r="I85" i="1" s="1"/>
  <c r="H85" i="1"/>
  <c r="H85" i="1" a="1"/>
  <c r="F85" i="1" a="1"/>
  <c r="F85" i="1" s="1"/>
  <c r="AA84" i="1"/>
  <c r="X84" i="1"/>
  <c r="O84" i="1"/>
  <c r="L84" i="1" a="1"/>
  <c r="L84" i="1" s="1"/>
  <c r="K84" i="1" a="1"/>
  <c r="K84" i="1" s="1"/>
  <c r="J84" i="1" a="1"/>
  <c r="J84" i="1" s="1"/>
  <c r="I84" i="1" a="1"/>
  <c r="I84" i="1" s="1"/>
  <c r="H84" i="1" a="1"/>
  <c r="H84" i="1" s="1"/>
  <c r="F84" i="1" a="1"/>
  <c r="F84" i="1" s="1"/>
  <c r="AA83" i="1"/>
  <c r="X83" i="1"/>
  <c r="O83" i="1"/>
  <c r="L83" i="1"/>
  <c r="L83" i="1" a="1"/>
  <c r="K83" i="1"/>
  <c r="K83" i="1" a="1"/>
  <c r="J83" i="1"/>
  <c r="J83" i="1" a="1"/>
  <c r="I83" i="1"/>
  <c r="I83" i="1" a="1"/>
  <c r="H83" i="1"/>
  <c r="H83" i="1" a="1"/>
  <c r="F83" i="1"/>
  <c r="F83" i="1" a="1"/>
  <c r="AA82" i="1"/>
  <c r="X82" i="1"/>
  <c r="O82" i="1"/>
  <c r="L82" i="1" a="1"/>
  <c r="L82" i="1" s="1"/>
  <c r="K82" i="1" a="1"/>
  <c r="K82" i="1" s="1"/>
  <c r="J82" i="1" a="1"/>
  <c r="J82" i="1" s="1"/>
  <c r="I82" i="1" a="1"/>
  <c r="I82" i="1" s="1"/>
  <c r="H82" i="1" a="1"/>
  <c r="H82" i="1" s="1"/>
  <c r="F82" i="1" a="1"/>
  <c r="F82" i="1" s="1"/>
  <c r="AA81" i="1"/>
  <c r="X81" i="1"/>
  <c r="O81" i="1"/>
  <c r="L81" i="1"/>
  <c r="L81" i="1" a="1"/>
  <c r="K81" i="1"/>
  <c r="K81" i="1" a="1"/>
  <c r="J81" i="1"/>
  <c r="J81" i="1" a="1"/>
  <c r="I81" i="1" a="1"/>
  <c r="I81" i="1" s="1"/>
  <c r="H81" i="1"/>
  <c r="H81" i="1" a="1"/>
  <c r="F81" i="1" a="1"/>
  <c r="F81" i="1" s="1"/>
  <c r="AA80" i="1"/>
  <c r="X80" i="1"/>
  <c r="O80" i="1"/>
  <c r="L80" i="1" a="1"/>
  <c r="L80" i="1" s="1"/>
  <c r="K80" i="1" a="1"/>
  <c r="K80" i="1" s="1"/>
  <c r="J80" i="1" a="1"/>
  <c r="J80" i="1" s="1"/>
  <c r="I80" i="1" a="1"/>
  <c r="I80" i="1" s="1"/>
  <c r="H80" i="1" a="1"/>
  <c r="H80" i="1" s="1"/>
  <c r="F80" i="1" a="1"/>
  <c r="F80" i="1" s="1"/>
  <c r="AA79" i="1"/>
  <c r="X79" i="1"/>
  <c r="O79" i="1"/>
  <c r="L79" i="1"/>
  <c r="L79" i="1" a="1"/>
  <c r="K79" i="1"/>
  <c r="K79" i="1" a="1"/>
  <c r="J79" i="1"/>
  <c r="J79" i="1" a="1"/>
  <c r="I79" i="1"/>
  <c r="I79" i="1" a="1"/>
  <c r="H79" i="1"/>
  <c r="H79" i="1" a="1"/>
  <c r="F79" i="1"/>
  <c r="F79" i="1" a="1"/>
  <c r="AA78" i="1"/>
  <c r="X78" i="1"/>
  <c r="O78" i="1"/>
  <c r="L78" i="1" a="1"/>
  <c r="L78" i="1" s="1"/>
  <c r="K78" i="1" a="1"/>
  <c r="K78" i="1" s="1"/>
  <c r="J78" i="1"/>
  <c r="J78" i="1" a="1"/>
  <c r="I78" i="1" a="1"/>
  <c r="I78" i="1" s="1"/>
  <c r="H78" i="1" a="1"/>
  <c r="H78" i="1" s="1"/>
  <c r="F78" i="1" a="1"/>
  <c r="F78" i="1" s="1"/>
  <c r="AA77" i="1"/>
  <c r="X77" i="1"/>
  <c r="O77" i="1"/>
  <c r="L77" i="1" a="1"/>
  <c r="L77" i="1" s="1"/>
  <c r="K77" i="1" a="1"/>
  <c r="K77" i="1" s="1"/>
  <c r="J77" i="1" a="1"/>
  <c r="J77" i="1" s="1"/>
  <c r="I77" i="1" a="1"/>
  <c r="I77" i="1" s="1"/>
  <c r="H77" i="1" a="1"/>
  <c r="H77" i="1" s="1"/>
  <c r="F77" i="1" a="1"/>
  <c r="F77" i="1" s="1"/>
  <c r="AA76" i="1"/>
  <c r="X76" i="1"/>
  <c r="O76" i="1"/>
  <c r="L76" i="1"/>
  <c r="L76" i="1" a="1"/>
  <c r="K76" i="1"/>
  <c r="K76" i="1" a="1"/>
  <c r="J76" i="1"/>
  <c r="J76" i="1" a="1"/>
  <c r="I76" i="1"/>
  <c r="I76" i="1" a="1"/>
  <c r="H76" i="1"/>
  <c r="H76" i="1" a="1"/>
  <c r="F76" i="1"/>
  <c r="F76" i="1" a="1"/>
  <c r="AA75" i="1"/>
  <c r="X75" i="1"/>
  <c r="O75" i="1"/>
  <c r="L75" i="1" a="1"/>
  <c r="L75" i="1" s="1"/>
  <c r="K75" i="1" a="1"/>
  <c r="K75" i="1" s="1"/>
  <c r="J75" i="1" a="1"/>
  <c r="J75" i="1" s="1"/>
  <c r="I75" i="1" a="1"/>
  <c r="I75" i="1" s="1"/>
  <c r="H75" i="1" a="1"/>
  <c r="H75" i="1" s="1"/>
  <c r="F75" i="1" a="1"/>
  <c r="F75" i="1" s="1"/>
  <c r="AA74" i="1"/>
  <c r="X74" i="1"/>
  <c r="O74" i="1"/>
  <c r="L74" i="1"/>
  <c r="L74" i="1" a="1"/>
  <c r="K74" i="1"/>
  <c r="K74" i="1" a="1"/>
  <c r="J74" i="1"/>
  <c r="J74" i="1" a="1"/>
  <c r="I74" i="1"/>
  <c r="I74" i="1" a="1"/>
  <c r="H74" i="1"/>
  <c r="H74" i="1" a="1"/>
  <c r="F74" i="1"/>
  <c r="F74" i="1" a="1"/>
  <c r="AA73" i="1"/>
  <c r="X73" i="1"/>
  <c r="O73" i="1"/>
  <c r="L73" i="1" a="1"/>
  <c r="L73" i="1" s="1"/>
  <c r="K73" i="1" a="1"/>
  <c r="K73" i="1" s="1"/>
  <c r="J73" i="1" a="1"/>
  <c r="J73" i="1" s="1"/>
  <c r="I73" i="1" a="1"/>
  <c r="I73" i="1" s="1"/>
  <c r="H73" i="1" a="1"/>
  <c r="H73" i="1" s="1"/>
  <c r="F73" i="1" a="1"/>
  <c r="F73" i="1" s="1"/>
  <c r="AA72" i="1"/>
  <c r="X72" i="1"/>
  <c r="O72" i="1"/>
  <c r="L72" i="1"/>
  <c r="L72" i="1" a="1"/>
  <c r="K72" i="1"/>
  <c r="K72" i="1" a="1"/>
  <c r="J72" i="1"/>
  <c r="J72" i="1" a="1"/>
  <c r="I72" i="1"/>
  <c r="I72" i="1" a="1"/>
  <c r="H72" i="1"/>
  <c r="H72" i="1" a="1"/>
  <c r="F72" i="1"/>
  <c r="F72" i="1" a="1"/>
  <c r="AA71" i="1"/>
  <c r="X71" i="1"/>
  <c r="O71" i="1"/>
  <c r="L71" i="1" a="1"/>
  <c r="L71" i="1" s="1"/>
  <c r="K71" i="1" a="1"/>
  <c r="K71" i="1" s="1"/>
  <c r="J71" i="1" a="1"/>
  <c r="J71" i="1" s="1"/>
  <c r="I71" i="1" a="1"/>
  <c r="I71" i="1" s="1"/>
  <c r="H71" i="1" a="1"/>
  <c r="H71" i="1" s="1"/>
  <c r="F71" i="1" a="1"/>
  <c r="F71" i="1" s="1"/>
  <c r="AA70" i="1"/>
  <c r="X70" i="1"/>
  <c r="O70" i="1"/>
  <c r="L70" i="1"/>
  <c r="L70" i="1" a="1"/>
  <c r="K70" i="1"/>
  <c r="K70" i="1" a="1"/>
  <c r="J70" i="1"/>
  <c r="J70" i="1" a="1"/>
  <c r="I70" i="1"/>
  <c r="I70" i="1" a="1"/>
  <c r="H70" i="1"/>
  <c r="H70" i="1" a="1"/>
  <c r="F70" i="1"/>
  <c r="F70" i="1" a="1"/>
  <c r="AA69" i="1"/>
  <c r="X69" i="1"/>
  <c r="O69" i="1"/>
  <c r="L69" i="1" a="1"/>
  <c r="L69" i="1" s="1"/>
  <c r="K69" i="1" a="1"/>
  <c r="K69" i="1" s="1"/>
  <c r="J69" i="1" a="1"/>
  <c r="J69" i="1" s="1"/>
  <c r="I69" i="1" a="1"/>
  <c r="I69" i="1" s="1"/>
  <c r="H69" i="1" a="1"/>
  <c r="H69" i="1" s="1"/>
  <c r="F69" i="1" a="1"/>
  <c r="F69" i="1" s="1"/>
  <c r="AA68" i="1"/>
  <c r="X68" i="1"/>
  <c r="O68" i="1"/>
  <c r="L68" i="1"/>
  <c r="L68" i="1" a="1"/>
  <c r="K68" i="1"/>
  <c r="K68" i="1" a="1"/>
  <c r="J68" i="1"/>
  <c r="J68" i="1" a="1"/>
  <c r="I68" i="1"/>
  <c r="I68" i="1" a="1"/>
  <c r="H68" i="1"/>
  <c r="H68" i="1" a="1"/>
  <c r="F68" i="1"/>
  <c r="F68" i="1" a="1"/>
  <c r="AA67" i="1"/>
  <c r="X67" i="1"/>
  <c r="O67" i="1"/>
  <c r="L67" i="1" a="1"/>
  <c r="L67" i="1" s="1"/>
  <c r="K67" i="1" a="1"/>
  <c r="K67" i="1" s="1"/>
  <c r="J67" i="1" a="1"/>
  <c r="J67" i="1" s="1"/>
  <c r="I67" i="1" a="1"/>
  <c r="I67" i="1" s="1"/>
  <c r="H67" i="1" a="1"/>
  <c r="H67" i="1" s="1"/>
  <c r="F67" i="1" a="1"/>
  <c r="F67" i="1" s="1"/>
  <c r="AA66" i="1"/>
  <c r="X66" i="1"/>
  <c r="O66" i="1"/>
  <c r="L66" i="1"/>
  <c r="L66" i="1" a="1"/>
  <c r="K66" i="1"/>
  <c r="K66" i="1" a="1"/>
  <c r="J66" i="1"/>
  <c r="J66" i="1" a="1"/>
  <c r="I66" i="1"/>
  <c r="I66" i="1" a="1"/>
  <c r="H66" i="1"/>
  <c r="H66" i="1" a="1"/>
  <c r="F66" i="1"/>
  <c r="F66" i="1" a="1"/>
  <c r="AA65" i="1"/>
  <c r="X65" i="1"/>
  <c r="O65" i="1"/>
  <c r="L65" i="1" a="1"/>
  <c r="L65" i="1" s="1"/>
  <c r="K65" i="1" a="1"/>
  <c r="K65" i="1" s="1"/>
  <c r="J65" i="1" a="1"/>
  <c r="J65" i="1" s="1"/>
  <c r="I65" i="1" a="1"/>
  <c r="I65" i="1" s="1"/>
  <c r="H65" i="1" a="1"/>
  <c r="H65" i="1" s="1"/>
  <c r="F65" i="1" a="1"/>
  <c r="F65" i="1" s="1"/>
  <c r="AA64" i="1"/>
  <c r="X64" i="1"/>
  <c r="O64" i="1"/>
  <c r="L64" i="1"/>
  <c r="L64" i="1" a="1"/>
  <c r="K64" i="1"/>
  <c r="K64" i="1" a="1"/>
  <c r="J64" i="1"/>
  <c r="J64" i="1" a="1"/>
  <c r="I64" i="1"/>
  <c r="I64" i="1" a="1"/>
  <c r="H64" i="1"/>
  <c r="H64" i="1" a="1"/>
  <c r="F64" i="1"/>
  <c r="F64" i="1" a="1"/>
  <c r="AA63" i="1"/>
  <c r="X63" i="1"/>
  <c r="O63" i="1"/>
  <c r="L63" i="1" a="1"/>
  <c r="L63" i="1" s="1"/>
  <c r="K63" i="1" a="1"/>
  <c r="K63" i="1" s="1"/>
  <c r="J63" i="1" a="1"/>
  <c r="J63" i="1" s="1"/>
  <c r="I63" i="1" a="1"/>
  <c r="I63" i="1" s="1"/>
  <c r="H63" i="1" a="1"/>
  <c r="H63" i="1" s="1"/>
  <c r="F63" i="1" a="1"/>
  <c r="F63" i="1" s="1"/>
  <c r="AA62" i="1"/>
  <c r="X62" i="1"/>
  <c r="O62" i="1"/>
  <c r="L62" i="1"/>
  <c r="L62" i="1" a="1"/>
  <c r="K62" i="1"/>
  <c r="K62" i="1" a="1"/>
  <c r="J62" i="1"/>
  <c r="J62" i="1" a="1"/>
  <c r="I62" i="1"/>
  <c r="I62" i="1" a="1"/>
  <c r="H62" i="1"/>
  <c r="H62" i="1" a="1"/>
  <c r="F62" i="1"/>
  <c r="F62" i="1" a="1"/>
  <c r="AA61" i="1"/>
  <c r="X61" i="1"/>
  <c r="O61" i="1"/>
  <c r="L61" i="1" a="1"/>
  <c r="L61" i="1" s="1"/>
  <c r="K61" i="1" a="1"/>
  <c r="K61" i="1" s="1"/>
  <c r="J61" i="1" a="1"/>
  <c r="J61" i="1" s="1"/>
  <c r="I61" i="1" a="1"/>
  <c r="I61" i="1" s="1"/>
  <c r="H61" i="1" a="1"/>
  <c r="H61" i="1" s="1"/>
  <c r="F61" i="1" a="1"/>
  <c r="F61" i="1" s="1"/>
  <c r="AA60" i="1"/>
  <c r="X60" i="1"/>
  <c r="O60" i="1"/>
  <c r="L60" i="1"/>
  <c r="L60" i="1" a="1"/>
  <c r="K60" i="1"/>
  <c r="K60" i="1" a="1"/>
  <c r="J60" i="1"/>
  <c r="J60" i="1" a="1"/>
  <c r="I60" i="1"/>
  <c r="I60" i="1" a="1"/>
  <c r="H60" i="1"/>
  <c r="H60" i="1" a="1"/>
  <c r="F60" i="1"/>
  <c r="F60" i="1" a="1"/>
  <c r="AA59" i="1"/>
  <c r="X59" i="1"/>
  <c r="O59" i="1"/>
  <c r="L59" i="1" a="1"/>
  <c r="L59" i="1" s="1"/>
  <c r="K59" i="1" a="1"/>
  <c r="K59" i="1" s="1"/>
  <c r="J59" i="1" a="1"/>
  <c r="J59" i="1" s="1"/>
  <c r="I59" i="1" a="1"/>
  <c r="I59" i="1" s="1"/>
  <c r="H59" i="1" a="1"/>
  <c r="H59" i="1" s="1"/>
  <c r="F59" i="1" a="1"/>
  <c r="F59" i="1" s="1"/>
  <c r="AA58" i="1"/>
  <c r="X58" i="1"/>
  <c r="O58" i="1"/>
  <c r="L58" i="1"/>
  <c r="L58" i="1" a="1"/>
  <c r="K58" i="1"/>
  <c r="K58" i="1" a="1"/>
  <c r="J58" i="1"/>
  <c r="J58" i="1" a="1"/>
  <c r="I58" i="1"/>
  <c r="I58" i="1" a="1"/>
  <c r="H58" i="1"/>
  <c r="H58" i="1" a="1"/>
  <c r="F58" i="1"/>
  <c r="F58" i="1" a="1"/>
  <c r="AA57" i="1"/>
  <c r="X57" i="1"/>
  <c r="O57" i="1"/>
  <c r="L57" i="1" a="1"/>
  <c r="L57" i="1" s="1"/>
  <c r="K57" i="1" a="1"/>
  <c r="K57" i="1" s="1"/>
  <c r="J57" i="1" a="1"/>
  <c r="J57" i="1" s="1"/>
  <c r="I57" i="1" a="1"/>
  <c r="I57" i="1" s="1"/>
  <c r="H57" i="1" a="1"/>
  <c r="H57" i="1" s="1"/>
  <c r="F57" i="1" a="1"/>
  <c r="F57" i="1" s="1"/>
  <c r="AA56" i="1"/>
  <c r="X56" i="1"/>
  <c r="O56" i="1"/>
  <c r="L56" i="1"/>
  <c r="L56" i="1" a="1"/>
  <c r="K56" i="1"/>
  <c r="K56" i="1" a="1"/>
  <c r="J56" i="1"/>
  <c r="J56" i="1" a="1"/>
  <c r="I56" i="1"/>
  <c r="I56" i="1" a="1"/>
  <c r="H56" i="1"/>
  <c r="H56" i="1" a="1"/>
  <c r="F56" i="1"/>
  <c r="F56" i="1" a="1"/>
  <c r="AA55" i="1"/>
  <c r="X55" i="1"/>
  <c r="O55" i="1"/>
  <c r="L55" i="1" a="1"/>
  <c r="L55" i="1" s="1"/>
  <c r="K55" i="1" a="1"/>
  <c r="K55" i="1" s="1"/>
  <c r="J55" i="1" a="1"/>
  <c r="J55" i="1" s="1"/>
  <c r="I55" i="1" a="1"/>
  <c r="I55" i="1" s="1"/>
  <c r="H55" i="1" a="1"/>
  <c r="H55" i="1" s="1"/>
  <c r="F55" i="1" a="1"/>
  <c r="F55" i="1" s="1"/>
  <c r="AA54" i="1"/>
  <c r="X54" i="1"/>
  <c r="O54" i="1"/>
  <c r="L54" i="1"/>
  <c r="L54" i="1" a="1"/>
  <c r="K54" i="1"/>
  <c r="K54" i="1" a="1"/>
  <c r="J54" i="1"/>
  <c r="J54" i="1" a="1"/>
  <c r="I54" i="1"/>
  <c r="I54" i="1" a="1"/>
  <c r="H54" i="1"/>
  <c r="H54" i="1" a="1"/>
  <c r="F54" i="1" a="1"/>
  <c r="F54" i="1" s="1"/>
  <c r="AA53" i="1"/>
  <c r="X53" i="1"/>
  <c r="O53" i="1"/>
  <c r="L53" i="1" a="1"/>
  <c r="L53" i="1" s="1"/>
  <c r="K53" i="1" a="1"/>
  <c r="K53" i="1" s="1"/>
  <c r="J53" i="1" a="1"/>
  <c r="J53" i="1" s="1"/>
  <c r="I53" i="1" a="1"/>
  <c r="I53" i="1" s="1"/>
  <c r="H53" i="1" a="1"/>
  <c r="H53" i="1" s="1"/>
  <c r="F53" i="1" a="1"/>
  <c r="F53" i="1" s="1"/>
  <c r="AA52" i="1"/>
  <c r="X52" i="1"/>
  <c r="O52" i="1"/>
  <c r="L52" i="1"/>
  <c r="L52" i="1" a="1"/>
  <c r="K52" i="1"/>
  <c r="K52" i="1" a="1"/>
  <c r="J52" i="1"/>
  <c r="J52" i="1" a="1"/>
  <c r="I52" i="1"/>
  <c r="I52" i="1" a="1"/>
  <c r="H52" i="1"/>
  <c r="H52" i="1" a="1"/>
  <c r="F52" i="1"/>
  <c r="F52" i="1" a="1"/>
  <c r="AA51" i="1"/>
  <c r="X51" i="1"/>
  <c r="O51" i="1"/>
  <c r="L51" i="1" a="1"/>
  <c r="L51" i="1" s="1"/>
  <c r="K51" i="1" a="1"/>
  <c r="K51" i="1" s="1"/>
  <c r="J51" i="1" a="1"/>
  <c r="J51" i="1" s="1"/>
  <c r="I51" i="1" a="1"/>
  <c r="I51" i="1" s="1"/>
  <c r="H51" i="1" a="1"/>
  <c r="H51" i="1" s="1"/>
  <c r="F51" i="1" a="1"/>
  <c r="F51" i="1" s="1"/>
  <c r="AA50" i="1"/>
  <c r="X50" i="1"/>
  <c r="O50" i="1"/>
  <c r="L50" i="1"/>
  <c r="L50" i="1" a="1"/>
  <c r="K50" i="1"/>
  <c r="K50" i="1" a="1"/>
  <c r="J50" i="1"/>
  <c r="J50" i="1" a="1"/>
  <c r="I50" i="1"/>
  <c r="I50" i="1" a="1"/>
  <c r="H50" i="1"/>
  <c r="H50" i="1" a="1"/>
  <c r="F50" i="1" a="1"/>
  <c r="F50" i="1" s="1"/>
  <c r="AA49" i="1"/>
  <c r="X49" i="1"/>
  <c r="O49" i="1"/>
  <c r="L49" i="1" a="1"/>
  <c r="L49" i="1" s="1"/>
  <c r="K49" i="1" a="1"/>
  <c r="K49" i="1" s="1"/>
  <c r="J49" i="1" a="1"/>
  <c r="J49" i="1" s="1"/>
  <c r="I49" i="1" a="1"/>
  <c r="I49" i="1" s="1"/>
  <c r="H49" i="1" a="1"/>
  <c r="H49" i="1" s="1"/>
  <c r="F49" i="1" a="1"/>
  <c r="F49" i="1" s="1"/>
  <c r="AA48" i="1"/>
  <c r="X48" i="1"/>
  <c r="O48" i="1"/>
  <c r="L48" i="1"/>
  <c r="L48" i="1" a="1"/>
  <c r="K48" i="1"/>
  <c r="K48" i="1" a="1"/>
  <c r="J48" i="1"/>
  <c r="J48" i="1" a="1"/>
  <c r="I48" i="1"/>
  <c r="I48" i="1" a="1"/>
  <c r="H48" i="1"/>
  <c r="H48" i="1" a="1"/>
  <c r="F48" i="1"/>
  <c r="F48" i="1" a="1"/>
  <c r="AA47" i="1"/>
  <c r="X47" i="1"/>
  <c r="O47" i="1"/>
  <c r="L47" i="1" a="1"/>
  <c r="L47" i="1" s="1"/>
  <c r="K47" i="1" a="1"/>
  <c r="K47" i="1" s="1"/>
  <c r="J47" i="1" a="1"/>
  <c r="J47" i="1" s="1"/>
  <c r="I47" i="1" a="1"/>
  <c r="I47" i="1" s="1"/>
  <c r="H47" i="1" a="1"/>
  <c r="H47" i="1" s="1"/>
  <c r="F47" i="1" a="1"/>
  <c r="F47" i="1" s="1"/>
  <c r="AA46" i="1"/>
  <c r="X46" i="1"/>
  <c r="O46" i="1"/>
  <c r="L46" i="1"/>
  <c r="L46" i="1" a="1"/>
  <c r="K46" i="1"/>
  <c r="K46" i="1" a="1"/>
  <c r="J46" i="1"/>
  <c r="J46" i="1" a="1"/>
  <c r="I46" i="1" a="1"/>
  <c r="I46" i="1" s="1"/>
  <c r="H46" i="1"/>
  <c r="H46" i="1" a="1"/>
  <c r="F46" i="1" a="1"/>
  <c r="F46" i="1" s="1"/>
  <c r="AA45" i="1"/>
  <c r="X45" i="1"/>
  <c r="O45" i="1"/>
  <c r="L45" i="1" a="1"/>
  <c r="L45" i="1" s="1"/>
  <c r="K45" i="1" a="1"/>
  <c r="K45" i="1" s="1"/>
  <c r="J45" i="1" a="1"/>
  <c r="J45" i="1" s="1"/>
  <c r="I45" i="1" a="1"/>
  <c r="I45" i="1" s="1"/>
  <c r="H45" i="1" a="1"/>
  <c r="H45" i="1" s="1"/>
  <c r="F45" i="1" a="1"/>
  <c r="F45" i="1" s="1"/>
  <c r="AA44" i="1"/>
  <c r="X44" i="1"/>
  <c r="O44" i="1"/>
  <c r="L44" i="1"/>
  <c r="L44" i="1" a="1"/>
  <c r="K44" i="1"/>
  <c r="K44" i="1" a="1"/>
  <c r="J44" i="1"/>
  <c r="J44" i="1" a="1"/>
  <c r="I44" i="1"/>
  <c r="I44" i="1" a="1"/>
  <c r="H44" i="1"/>
  <c r="H44" i="1" a="1"/>
  <c r="F44" i="1"/>
  <c r="F44" i="1" a="1"/>
  <c r="AA43" i="1"/>
  <c r="X43" i="1"/>
  <c r="O43" i="1"/>
  <c r="L43" i="1" a="1"/>
  <c r="L43" i="1" s="1"/>
  <c r="K43" i="1" a="1"/>
  <c r="K43" i="1" s="1"/>
  <c r="J43" i="1" a="1"/>
  <c r="J43" i="1" s="1"/>
  <c r="I43" i="1" a="1"/>
  <c r="I43" i="1" s="1"/>
  <c r="H43" i="1" a="1"/>
  <c r="H43" i="1" s="1"/>
  <c r="F43" i="1" a="1"/>
  <c r="F43" i="1" s="1"/>
  <c r="AA42" i="1"/>
  <c r="X42" i="1"/>
  <c r="O42" i="1"/>
  <c r="L42" i="1"/>
  <c r="L42" i="1" a="1"/>
  <c r="K42" i="1"/>
  <c r="K42" i="1" a="1"/>
  <c r="J42" i="1"/>
  <c r="J42" i="1" a="1"/>
  <c r="I42" i="1" a="1"/>
  <c r="I42" i="1" s="1"/>
  <c r="H42" i="1"/>
  <c r="H42" i="1" a="1"/>
  <c r="F42" i="1" a="1"/>
  <c r="F42" i="1" s="1"/>
  <c r="AA41" i="1"/>
  <c r="X41" i="1"/>
  <c r="O41" i="1"/>
  <c r="L41" i="1" a="1"/>
  <c r="L41" i="1" s="1"/>
  <c r="K41" i="1" a="1"/>
  <c r="K41" i="1" s="1"/>
  <c r="J41" i="1" a="1"/>
  <c r="J41" i="1" s="1"/>
  <c r="I41" i="1" a="1"/>
  <c r="I41" i="1" s="1"/>
  <c r="H41" i="1" a="1"/>
  <c r="H41" i="1" s="1"/>
  <c r="F41" i="1" a="1"/>
  <c r="F41" i="1" s="1"/>
  <c r="AA40" i="1"/>
  <c r="X40" i="1"/>
  <c r="O40" i="1"/>
  <c r="L40" i="1"/>
  <c r="L40" i="1" a="1"/>
  <c r="K40" i="1"/>
  <c r="K40" i="1" a="1"/>
  <c r="J40" i="1"/>
  <c r="J40" i="1" a="1"/>
  <c r="I40" i="1"/>
  <c r="I40" i="1" a="1"/>
  <c r="H40" i="1"/>
  <c r="H40" i="1" a="1"/>
  <c r="F40" i="1"/>
  <c r="F40" i="1" a="1"/>
  <c r="AA39" i="1"/>
  <c r="X39" i="1"/>
  <c r="O39" i="1"/>
  <c r="L39" i="1" a="1"/>
  <c r="L39" i="1" s="1"/>
  <c r="K39" i="1" a="1"/>
  <c r="K39" i="1" s="1"/>
  <c r="J39" i="1" a="1"/>
  <c r="J39" i="1" s="1"/>
  <c r="I39" i="1" a="1"/>
  <c r="I39" i="1" s="1"/>
  <c r="H39" i="1" a="1"/>
  <c r="H39" i="1" s="1"/>
  <c r="F39" i="1" a="1"/>
  <c r="F39" i="1" s="1"/>
  <c r="AA38" i="1"/>
  <c r="X38" i="1"/>
  <c r="O38" i="1"/>
  <c r="L38" i="1"/>
  <c r="L38" i="1" a="1"/>
  <c r="K38" i="1" a="1"/>
  <c r="K38" i="1" s="1"/>
  <c r="J38" i="1"/>
  <c r="J38" i="1" a="1"/>
  <c r="I38" i="1" a="1"/>
  <c r="I38" i="1" s="1"/>
  <c r="H38" i="1"/>
  <c r="H38" i="1" a="1"/>
  <c r="F38" i="1" a="1"/>
  <c r="F38" i="1" s="1"/>
  <c r="AA37" i="1"/>
  <c r="X37" i="1"/>
  <c r="O37" i="1"/>
  <c r="L37" i="1" a="1"/>
  <c r="L37" i="1" s="1"/>
  <c r="K37" i="1" a="1"/>
  <c r="K37" i="1" s="1"/>
  <c r="J37" i="1" a="1"/>
  <c r="J37" i="1" s="1"/>
  <c r="I37" i="1" a="1"/>
  <c r="I37" i="1" s="1"/>
  <c r="H37" i="1" a="1"/>
  <c r="H37" i="1" s="1"/>
  <c r="F37" i="1" a="1"/>
  <c r="F37" i="1" s="1"/>
  <c r="AA36" i="1"/>
  <c r="X36" i="1"/>
  <c r="O36" i="1"/>
  <c r="AA35" i="1"/>
  <c r="X35" i="1"/>
  <c r="O35" i="1"/>
  <c r="AA34" i="1"/>
  <c r="X34" i="1"/>
  <c r="O34" i="1"/>
  <c r="AA33" i="1"/>
  <c r="X33" i="1"/>
  <c r="O33" i="1"/>
  <c r="AA32" i="1"/>
  <c r="X32" i="1"/>
  <c r="O32" i="1"/>
  <c r="AA31" i="1"/>
  <c r="X31" i="1"/>
  <c r="O31" i="1"/>
  <c r="AA30" i="1"/>
  <c r="X30" i="1"/>
  <c r="O30" i="1"/>
  <c r="AA29" i="1"/>
  <c r="X29" i="1"/>
  <c r="O29" i="1"/>
  <c r="AA28" i="1"/>
  <c r="X28" i="1"/>
  <c r="O28" i="1"/>
  <c r="AA27" i="1"/>
  <c r="X27" i="1"/>
  <c r="O27" i="1"/>
  <c r="AA26" i="1"/>
  <c r="X26" i="1"/>
  <c r="O26" i="1"/>
  <c r="AA25" i="1"/>
  <c r="X25" i="1"/>
  <c r="O25" i="1"/>
  <c r="AA24" i="1"/>
  <c r="X24" i="1"/>
  <c r="O24" i="1"/>
  <c r="AA23" i="1"/>
  <c r="X23" i="1"/>
  <c r="O23" i="1"/>
  <c r="AA22" i="1"/>
  <c r="X22" i="1"/>
  <c r="O22" i="1"/>
  <c r="AA21" i="1"/>
  <c r="X21" i="1"/>
  <c r="O21" i="1"/>
  <c r="AA20" i="1"/>
  <c r="X20" i="1"/>
  <c r="O20" i="1"/>
  <c r="AA19" i="1"/>
  <c r="X19" i="1"/>
  <c r="O19" i="1"/>
  <c r="AA18" i="1"/>
  <c r="X18" i="1"/>
  <c r="O18" i="1"/>
  <c r="AA17" i="1"/>
  <c r="X17" i="1"/>
  <c r="O17" i="1"/>
  <c r="AA16" i="1"/>
  <c r="X16" i="1"/>
  <c r="O16" i="1"/>
  <c r="AA15" i="1"/>
  <c r="X15" i="1"/>
  <c r="O15" i="1"/>
  <c r="AA14" i="1"/>
  <c r="X14" i="1"/>
  <c r="O14" i="1"/>
  <c r="AA13" i="1"/>
  <c r="X13" i="1"/>
  <c r="O13" i="1"/>
  <c r="AA12" i="1"/>
  <c r="X12" i="1"/>
  <c r="O12" i="1"/>
  <c r="AA11" i="1"/>
  <c r="X11" i="1"/>
  <c r="O11" i="1"/>
  <c r="AA10" i="1"/>
  <c r="X10" i="1"/>
  <c r="O10" i="1"/>
  <c r="AA9" i="1"/>
  <c r="X9" i="1"/>
  <c r="O9" i="1"/>
  <c r="AA8" i="1"/>
  <c r="X8" i="1"/>
  <c r="O8" i="1"/>
  <c r="AA7" i="1"/>
  <c r="X7" i="1"/>
  <c r="O7" i="1"/>
  <c r="AA6" i="1"/>
  <c r="X6" i="1"/>
  <c r="O6" i="1"/>
  <c r="AA5" i="1"/>
  <c r="X5" i="1"/>
  <c r="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tc={9AD44570-0898-46B6-A447-1DB649839823}</author>
    <author>tc={72B3DA00-5566-482A-8861-41472340A2CC}</author>
    <author>tc={584B02D0-55EB-4D7A-844A-8E514658205B}</author>
    <author>tc={A6CA7C62-8FB6-487F-9E99-0D059068888E}</author>
    <author>tc={BC520003-ED40-4088-A5A2-4CE1FAA2AE9C}</author>
    <author>tc={DD0A5FFE-9DFA-4E84-96F2-2A36FD3EDE06}</author>
    <author>tc={6E275E77-9CA0-45E0-B53F-75F55D18B9F4}</author>
    <author>tc={012ACB32-1DF5-49AD-B2E6-3E0A6FF0D38C}</author>
    <author>tc={400D7F9D-2D21-41A7-B1F5-86739C48D8B8}</author>
    <author>tc={C5EB6FCE-DA38-474C-B782-347DC9856E2A}</author>
    <author>tc={007C9011-AA6F-4483-AC68-116C020F1BD1}</author>
  </authors>
  <commentList>
    <comment ref="J9" authorId="0" shapeId="0" xr:uid="{9AD44570-0898-46B6-A447-1DB6498398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Calculated from ground altitude + 1 floor (5m approx) because the trap is installed in a balcony of the museum building.</t>
      </text>
    </comment>
    <comment ref="J10" authorId="1" shapeId="0" xr:uid="{72B3DA00-5566-482A-8861-41472340A2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Calculated from ground altitude + 2 floors (9m approx) because the trap is installed in a terrace of the building.</t>
      </text>
    </comment>
    <comment ref="J15" authorId="2" shapeId="0" xr:uid="{584B02D0-55EB-4D7A-844A-8E51465820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Calculated from ground altitude + 1.5 floors (5m approx) because the trap is installed in a terrace of the building.</t>
      </text>
    </comment>
    <comment ref="J25" authorId="3" shapeId="0" xr:uid="{A6CA7C62-8FB6-487F-9E99-0D05906888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Calculated from ground altitude + 1 floor (5m approx) because the trap is installed in a balcony of the museum building.</t>
      </text>
    </comment>
    <comment ref="J26" authorId="4" shapeId="0" xr:uid="{BC520003-ED40-4088-A5A2-4CE1FAA2AE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Calculated from ground altitude + 2 floors (9m approx) because the trap is installed in a terrace of the building.</t>
      </text>
    </comment>
    <comment ref="V167" authorId="5" shapeId="0" xr:uid="{DD0A5FFE-9DFA-4E84-96F2-2A36FD3EDE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person working there told me they have mosquitoes in the ground floor.</t>
      </text>
    </comment>
    <comment ref="V184" authorId="6" shapeId="0" xr:uid="{6E275E77-9CA0-45E0-B53F-75F55D18B9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person working there told me they have quite a lot of mosquitoes in the basement, entering by the windows.</t>
      </text>
    </comment>
    <comment ref="V198" authorId="7" shapeId="0" xr:uid="{012ACB32-1DF5-49AD-B2E6-3E0A6FF0D3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We had send them an email (from ASPB) warning about this situation (this is the 3rd time). That day I talked to one of the people in charge to let him know as well - he told me he is going to send a notice to all the staff.</t>
      </text>
    </comment>
    <comment ref="AC297" authorId="8" shapeId="0" xr:uid="{400D7F9D-2D21-41A7-B1F5-86739C48D8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1 female I considered was Aedes spp, it was finally a Culex (after Roger revision).</t>
      </text>
    </comment>
    <comment ref="Z308" authorId="9" shapeId="0" xr:uid="{C5EB6FCE-DA38-474C-B782-347DC9856E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1 female mosquito I considered was Aedes spp, was finally Culex (after Roger revision).</t>
      </text>
    </comment>
    <comment ref="Z314" authorId="10" shapeId="0" xr:uid="{007C9011-AA6F-4483-AC68-116C020F1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 3 adult mosquitoes I considered were Aedes spp, were finally Culex (after Roger revision).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<sst xmlns="http://schemas.openxmlformats.org/spreadsheetml/2006/main" count="3224" uniqueCount="108">
  <si>
    <t>TO BE COMPLETED BEFORE THE FIELD TRIP - information about the location</t>
  </si>
  <si>
    <t>TO BE COMPLETED IN THE FIELD</t>
  </si>
  <si>
    <t>TO BE COMPLETED IN THE LAB</t>
  </si>
  <si>
    <t>THE FIRST FIELD TRIP - information about the trap</t>
  </si>
  <si>
    <t>EVERY FIELD TRIP - information about the sample</t>
  </si>
  <si>
    <t>#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</si>
  <si>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</si>
  <si>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</si>
  <si>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</si>
  <si>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</si>
  <si>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</si>
  <si>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</si>
  <si>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</si>
  <si>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</si>
  <si>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</si>
  <si>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</si>
  <si>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</si>
  <si>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</si>
  <si>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</si>
  <si>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</si>
  <si>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</si>
  <si>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</si>
  <si>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</si>
  <si>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</si>
  <si>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</si>
  <si>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</si>
  <si>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</si>
  <si>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</si>
  <si>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</si>
  <si>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 eggs on tongue depressor</t>
  </si>
  <si>
    <t>Mosquito species</t>
  </si>
  <si>
    <t>Number per species 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</si>
  <si>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</si>
  <si>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</si>
  <si>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</si>
  <si>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</si>
  <si>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</si>
  <si>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</si>
  <si>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</si>
  <si>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</si>
  <si>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</si>
  <si>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</si>
  <si>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</si>
  <si>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</si>
  <si>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</si>
  <si>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</si>
  <si>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</si>
  <si>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</si>
  <si>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</si>
  <si>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</si>
  <si>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</si>
  <si>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</si>
  <si>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</si>
  <si>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</si>
  <si>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</si>
  <si>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</si>
  <si>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</si>
  <si>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</si>
  <si>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</si>
  <si>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Comments classification</t>
  </si>
  <si>
    <t>SP_BCN</t>
  </si>
  <si>
    <t>Spain</t>
  </si>
  <si>
    <t>Barcelona</t>
  </si>
  <si>
    <t>A_SP_BCN_1</t>
  </si>
  <si>
    <t>BG sentinel + BG lure7</t>
  </si>
  <si>
    <t>Urban habitat</t>
  </si>
  <si>
    <t>Good</t>
  </si>
  <si>
    <t>It is weird there is only 9 albopictus, when we were installing the trap we had seen many of them - we are wondering if maybe electric fluid was cut at some moment (we are going t try to check with the responsible person at that period)</t>
  </si>
  <si>
    <t>Aedes albopictus</t>
  </si>
  <si>
    <t>Adult</t>
  </si>
  <si>
    <t>Morphological</t>
  </si>
  <si>
    <t>A_SP_BCN_2</t>
  </si>
  <si>
    <t>A_SP_BCN_3</t>
  </si>
  <si>
    <t>A_SP_BCN_4</t>
  </si>
  <si>
    <t>A_SP_BCN_5</t>
  </si>
  <si>
    <t>Culex pipiens</t>
  </si>
  <si>
    <t>A_SP_BCN_6</t>
  </si>
  <si>
    <t>A_SP_BCN_7</t>
  </si>
  <si>
    <t>A_SP_BCN_8</t>
  </si>
  <si>
    <t>Other</t>
  </si>
  <si>
    <t>Plant nursery</t>
  </si>
  <si>
    <t>A_SP_BCN_9</t>
  </si>
  <si>
    <t>Public garden</t>
  </si>
  <si>
    <t>A_SP_BCN_10</t>
  </si>
  <si>
    <t>Culiseta longiareolata</t>
  </si>
  <si>
    <t>A_SP_BCN_11</t>
  </si>
  <si>
    <t>A_SP_BCN_12</t>
  </si>
  <si>
    <t>There was no electricity when sampling- trap connected few hours afterwards.</t>
  </si>
  <si>
    <t>Bag and funnel found out of the trap, do not know since when!</t>
  </si>
  <si>
    <t>3 blood fed females</t>
  </si>
  <si>
    <t>Does not seems at all the trap has been connected for a month - with a very high probability the trap has been disconnected for a long period - was connected when sampled though</t>
  </si>
  <si>
    <t>Traps, from the moment I installed the new bag, was stopped for 45 min at max because electrical work.</t>
  </si>
  <si>
    <t>1 blood fed female</t>
  </si>
  <si>
    <t>3 blood females</t>
  </si>
  <si>
    <t>Due to the rain, the trap had cumulated water and the intake as not 100% open, mosquitoes could still enter</t>
  </si>
  <si>
    <t>Breeding site just besides (photo); Due to the rain, the trap had cumulated water and the intake as not 100% open, mosquitoes could still enter</t>
  </si>
  <si>
    <t>Blood fed female</t>
  </si>
  <si>
    <t>No electricty, stopped trap. Restarted with the new bag. Due to the rain, the trap had cumulated water and when restarted, the intake as not 100% open, mosquitoes could still enter</t>
  </si>
  <si>
    <t>The mosquitoes were not preserved - in bad state due to the rain</t>
  </si>
  <si>
    <t>Disconnected trap (do not know since when)! Restarted with the new bag</t>
  </si>
  <si>
    <t>Breeding sites (3 black buckets) just besides the trap - I warned the manager to empty them</t>
  </si>
  <si>
    <t>1 blood fed female (?)</t>
  </si>
  <si>
    <t>Breeding sites (3 black buckets) retired</t>
  </si>
  <si>
    <t>2 blood fed female (?)</t>
  </si>
  <si>
    <t>Trap, funnel and bag fallen sometime during the weekend (due to the wind &amp; rain) - trap was picked up and put again into operation on Tuesday that week</t>
  </si>
  <si>
    <t>The trap had falled during the week (picked up by the concierge)</t>
  </si>
  <si>
    <t>Bag and funnel found out of the trap, do not know since when, but still alive insects where inside the bag.</t>
  </si>
  <si>
    <t>Disconnected trap (do not know since when) - cable was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</si>
</sst>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[$-1241A]dd/mm/yyyy;@"/>
    <numFmt numFmtId="166" formatCode="00000"/>
    <numFmt numFmtId="167" formatCode="0.000000"/>
    <numFmt numFmtId="168" formatCode="hh:mm"/>
  </numFmts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53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164" fontId="4" fillId="4" borderId="10" xfId="1" applyNumberFormat="1" applyFont="1" applyFill="1" applyBorder="1" applyAlignment="1">
      <alignment horizontal="center" vertical="center" wrapText="1"/>
    </xf>
    <xf numFmtId="165" fontId="4" fillId="4" borderId="10" xfId="1" applyNumberFormat="1" applyFont="1" applyFill="1" applyBorder="1" applyAlignment="1">
      <alignment horizontal="center" vertical="center" wrapText="1"/>
    </xf>
    <xf numFmtId="165" fontId="4" fillId="4" borderId="10" xfId="1" applyNumberFormat="1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4" borderId="0" xfId="0" quotePrefix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/>
    <xf numFmtId="0" fontId="7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quotePrefix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6" fillId="4" borderId="0" xfId="0" quotePrefix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6" fillId="4" borderId="0" xfId="0" applyFont="1" applyFill="1" applyAlignment="1">
      <alignment horizontal="center" vertic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is Sanpera Calbet" id="{6C138F20-A29F-4FE6-B730-1F06235A3C71}" userId="2dc9aff2a9b6fa9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0-12-22T13:51:17.09" personId="{6C138F20-A29F-4FE6-B730-1F06235A3C71}" id="{9AD44570-0898-46B6-A447-1DB649839823}">
    <text>Calculated from ground altitude + 1 floor (5m approx) because the trap is installed in a balcony of the museum building.</text>
  </threadedComment>
  <threadedComment ref="J10" dT="2020-12-22T16:52:23.63" personId="{6C138F20-A29F-4FE6-B730-1F06235A3C71}" id="{72B3DA00-5566-482A-8861-41472340A2CC}">
    <text>Calculated from ground altitude + 2 floors (9m approx) because the trap is installed in a terrace of the building.</text>
  </threadedComment>
  <threadedComment ref="J15" dT="2020-12-22T16:59:42.13" personId="{6C138F20-A29F-4FE6-B730-1F06235A3C71}" id="{584B02D0-55EB-4D7A-844A-8E514658205B}">
    <text>Calculated from ground altitude + 1.5 floors (5m approx) because the trap is installed in a terrace of the building.</text>
  </threadedComment>
  <threadedComment ref="J25" dT="2020-12-22T13:51:17.09" personId="{6C138F20-A29F-4FE6-B730-1F06235A3C71}" id="{A6CA7C62-8FB6-487F-9E99-0D059068888E}">
    <text>Calculated from ground altitude + 1 floor (5m approx) because the trap is installed in a balcony of the museum building.</text>
  </threadedComment>
  <threadedComment ref="J26" dT="2020-12-22T16:52:23.63" personId="{6C138F20-A29F-4FE6-B730-1F06235A3C71}" id="{BC520003-ED40-4088-A5A2-4CE1FAA2AE9C}">
    <text>Calculated from ground altitude + 2 floors (9m approx) because the trap is installed in a terrace of the building.</text>
  </threadedComment>
  <threadedComment ref="V167" dT="2020-10-26T12:12:52.59" personId="{6C138F20-A29F-4FE6-B730-1F06235A3C71}" id="{DD0A5FFE-9DFA-4E84-96F2-2A36FD3EDE06}">
    <text>A person working there told me they have mosquitoes in the ground floor.</text>
  </threadedComment>
  <threadedComment ref="V184" dT="2020-10-26T12:19:39.94" personId="{6C138F20-A29F-4FE6-B730-1F06235A3C71}" id="{6E275E77-9CA0-45E0-B53F-75F55D18B9F4}">
    <text>A person working there told me they have quite a lot of mosquitoes in the basement, entering by the windows.</text>
  </threadedComment>
  <threadedComment ref="V198" dT="2020-10-26T12:39:26.35" personId="{6C138F20-A29F-4FE6-B730-1F06235A3C71}" id="{012ACB32-1DF5-49AD-B2E6-3E0A6FF0D38C}">
    <text>We had send them an email (from ASPB) warning about this situation (this is the 3rd time). That day I talked to one of the people in charge to let him know as well - he told me he is going to send a notice to all the staff.</text>
  </threadedComment>
  <threadedComment ref="AC297" dT="2021-01-13T11:48:55.28" personId="{6C138F20-A29F-4FE6-B730-1F06235A3C71}" id="{400D7F9D-2D21-41A7-B1F5-86739C48D8B8}">
    <text>The 1 female I considered was Aedes spp, it was finally a Culex (after Roger revision).</text>
  </threadedComment>
  <threadedComment ref="Z308" dT="2021-01-14T11:34:59.18" personId="{6C138F20-A29F-4FE6-B730-1F06235A3C71}" id="{C5EB6FCE-DA38-474C-B782-347DC9856E2A}">
    <text>The 1 female mosquito I considered was Aedes spp, was finally Culex (after Roger revision).</text>
  </threadedComment>
  <threadedComment ref="Z314" dT="2021-01-13T11:56:17.63" personId="{6C138F20-A29F-4FE6-B730-1F06235A3C71}" id="{007C9011-AA6F-4483-AC68-116C020F1BD1}">
    <text>The 3 adult mosquitoes I considered were Aedes spp, were finally Culex (after Roger revision).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97B2-BA34-45D8-A07F-E6F36BA5D48C}">
  <dimension ref="A1:AG352"/>
  <sheetViews>
    <sheetView tabSelected="1" topLeftCell="M3" zoomScaleNormal="100" workbookViewId="0">
      <selection activeCell="A4" sqref="A4:XFD4"/>
    </sheetView>
  </sheetViews>
  <sheetFormatPr baseColWidth="10" defaultColWidth="8.85546875" defaultRowHeight="15" x14ac:dyDescent="0.25"/>
  <cols>
    <col min="2" max="2" width="14.28515625" bestFit="1" customWidth="1"/>
    <col min="3" max="3" width="8.140625" style="29" customWidth="1"/>
    <col min="4" max="6" width="11.7109375" style="29" customWidth="1"/>
    <col min="7" max="10" width="13.42578125" style="29" customWidth="1"/>
    <col min="11" max="11" width="20.42578125" style="29" customWidth="1"/>
    <col min="12" max="12" width="14.7109375" style="29" customWidth="1"/>
    <col min="13" max="13" width="12.7109375" style="29" bestFit="1" customWidth="1"/>
    <col min="14" max="14" width="10.42578125" style="29" customWidth="1"/>
    <col min="15" max="15" width="20.42578125" style="29" customWidth="1"/>
    <col min="16" max="16" width="14.5703125" style="36" customWidth="1"/>
    <col min="17" max="17" width="10.28515625" style="29" customWidth="1"/>
    <col min="18" max="18" width="13.42578125" style="29" customWidth="1"/>
    <col min="19" max="19" width="13.42578125" style="36" customWidth="1"/>
    <col min="20" max="20" width="10.5703125" style="29" customWidth="1"/>
    <col min="21" max="21" width="14.28515625" style="29" customWidth="1"/>
    <col min="22" max="22" width="18.140625" style="29" customWidth="1"/>
    <col min="23" max="23" width="17.42578125" style="39" customWidth="1"/>
    <col min="24" max="24" width="12.28515625" style="29" customWidth="1"/>
    <col min="25" max="25" width="14.28515625" style="29" customWidth="1"/>
    <col min="26" max="26" width="20.140625" style="29" customWidth="1"/>
    <col min="27" max="27" width="27.140625" style="29" customWidth="1"/>
    <col min="28" max="29" width="11.140625" style="29" customWidth="1"/>
    <col min="30" max="30" width="10.85546875" style="29" customWidth="1"/>
    <col min="31" max="31" width="13.5703125" style="29" customWidth="1"/>
    <col min="32" max="32" width="12.5703125" customWidth="1"/>
  </cols>
  <sheetData>
    <row r="1" spans="1:33" ht="14.45" customHeight="1" x14ac:dyDescent="0.2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6" t="s">
        <v>2</v>
      </c>
      <c r="Z1" s="7"/>
      <c r="AA1" s="7"/>
      <c r="AB1" s="7"/>
      <c r="AC1" s="7"/>
      <c r="AD1" s="7"/>
      <c r="AE1" s="8"/>
    </row>
    <row r="2" spans="1:33" ht="24" customHeight="1" x14ac:dyDescent="0.25">
      <c r="A2" s="9"/>
      <c r="B2" s="9"/>
      <c r="C2" s="9"/>
      <c r="D2" s="9"/>
      <c r="E2" s="9"/>
      <c r="F2" s="9"/>
      <c r="G2" s="10" t="s">
        <v>3</v>
      </c>
      <c r="H2" s="11"/>
      <c r="I2" s="11"/>
      <c r="J2" s="11"/>
      <c r="K2" s="11"/>
      <c r="L2" s="11"/>
      <c r="M2" s="11"/>
      <c r="N2" s="12"/>
      <c r="O2" s="2" t="s">
        <v>4</v>
      </c>
      <c r="P2" s="3"/>
      <c r="Q2" s="3"/>
      <c r="R2" s="3"/>
      <c r="S2" s="3"/>
      <c r="T2" s="3"/>
      <c r="U2" s="3"/>
      <c r="V2" s="3"/>
      <c r="W2" s="4"/>
      <c r="X2" s="13"/>
      <c r="Y2" s="14"/>
      <c r="Z2" s="15"/>
      <c r="AA2" s="15"/>
      <c r="AB2" s="15"/>
      <c r="AC2" s="15"/>
      <c r="AD2" s="15"/>
      <c r="AE2" s="16"/>
    </row>
    <row r="3" spans="1:33" ht="189" customHeight="1" x14ac:dyDescent="0.25">
      <c r="A3" s="17" t="s">
        <v>5</v>
      </c>
      <c r="B3" s="18" t="s">
        <v>6</v>
      </c>
      <c r="C3" s="17" t="s">
        <v>7</v>
      </c>
      <c r="D3" s="18" t="s">
        <v>8</v>
      </c>
      <c r="E3" s="18" t="s">
        <v>9</v>
      </c>
      <c r="F3" s="19" t="s">
        <v>10</v>
      </c>
      <c r="G3" s="20" t="s">
        <v>11</v>
      </c>
      <c r="H3" s="20" t="s">
        <v>12</v>
      </c>
      <c r="I3" s="20" t="s">
        <v>13</v>
      </c>
      <c r="J3" s="21" t="s">
        <v>14</v>
      </c>
      <c r="K3" s="20" t="s">
        <v>15</v>
      </c>
      <c r="L3" s="21" t="s">
        <v>16</v>
      </c>
      <c r="M3" s="20" t="s">
        <v>17</v>
      </c>
      <c r="N3" s="21" t="s">
        <v>18</v>
      </c>
      <c r="O3" s="20" t="s">
        <v>19</v>
      </c>
      <c r="P3" s="22" t="s">
        <v>20</v>
      </c>
      <c r="Q3" s="23" t="s">
        <v>21</v>
      </c>
      <c r="R3" s="23" t="s">
        <v>22</v>
      </c>
      <c r="S3" s="22" t="s">
        <v>23</v>
      </c>
      <c r="T3" s="23" t="s">
        <v>24</v>
      </c>
      <c r="U3" s="23" t="s">
        <v>25</v>
      </c>
      <c r="V3" s="23" t="s">
        <v>26</v>
      </c>
      <c r="W3" s="24" t="s">
        <v>27</v>
      </c>
      <c r="X3" s="23" t="s">
        <v>28</v>
      </c>
      <c r="Y3" s="25" t="s">
        <v>29</v>
      </c>
      <c r="Z3" s="26" t="s">
        <v>30</v>
      </c>
      <c r="AA3" s="25" t="s">
        <v>31</v>
      </c>
      <c r="AB3" s="25" t="s">
        <v>32</v>
      </c>
      <c r="AC3" s="25" t="s">
        <v>33</v>
      </c>
      <c r="AD3" s="25" t="s">
        <v>34</v>
      </c>
      <c r="AE3" s="25" t="s">
        <v>35</v>
      </c>
      <c r="AF3" s="25" t="s">
        <v>36</v>
      </c>
    </row>
    <row r="4" spans="1:33" ht="30" x14ac:dyDescent="0.25">
      <c r="A4" s="17"/>
      <c r="B4" s="18" t="s">
        <v>37</v>
      </c>
      <c r="C4" s="17" t="s">
        <v>38</v>
      </c>
      <c r="D4" s="18" t="s">
        <v>39</v>
      </c>
      <c r="E4" s="18" t="s">
        <v>40</v>
      </c>
      <c r="F4" s="19" t="s">
        <v>10</v>
      </c>
      <c r="G4" s="20" t="s">
        <v>41</v>
      </c>
      <c r="H4" s="20" t="s">
        <v>12</v>
      </c>
      <c r="I4" s="20" t="s">
        <v>13</v>
      </c>
      <c r="J4" s="21" t="s">
        <v>14</v>
      </c>
      <c r="K4" s="20" t="s">
        <v>42</v>
      </c>
      <c r="L4" s="21" t="s">
        <v>43</v>
      </c>
      <c r="M4" s="20" t="s">
        <v>44</v>
      </c>
      <c r="N4" s="21" t="s">
        <v>45</v>
      </c>
      <c r="O4" s="20" t="s">
        <v>46</v>
      </c>
      <c r="P4" s="22" t="s">
        <v>20</v>
      </c>
      <c r="Q4" s="23" t="s">
        <v>21</v>
      </c>
      <c r="R4" s="23" t="s">
        <v>47</v>
      </c>
      <c r="S4" s="22" t="s">
        <v>23</v>
      </c>
      <c r="T4" s="23" t="s">
        <v>24</v>
      </c>
      <c r="U4" s="23" t="s">
        <v>48</v>
      </c>
      <c r="V4" s="23" t="s">
        <v>49</v>
      </c>
      <c r="W4" s="24" t="s">
        <v>50</v>
      </c>
      <c r="X4" s="23" t="s">
        <v>51</v>
      </c>
      <c r="Y4" s="25" t="s">
        <v>52</v>
      </c>
      <c r="Z4" s="26" t="s">
        <v>53</v>
      </c>
      <c r="AA4" s="25" t="s">
        <v>54</v>
      </c>
      <c r="AB4" s="25" t="s">
        <v>55</v>
      </c>
      <c r="AC4" s="25" t="s">
        <v>56</v>
      </c>
      <c r="AD4" s="25" t="s">
        <v>57</v>
      </c>
      <c r="AE4" s="25" t="s">
        <v>58</v>
      </c>
      <c r="AF4" s="27" t="s">
        <v>59</v>
      </c>
    </row>
    <row r="5" spans="1:33" x14ac:dyDescent="0.25">
      <c r="A5" s="28">
        <v>1</v>
      </c>
      <c r="B5" s="29" t="s">
        <v>60</v>
      </c>
      <c r="C5" s="29" t="s">
        <v>61</v>
      </c>
      <c r="D5" s="29" t="s">
        <v>62</v>
      </c>
      <c r="E5" s="29" t="s">
        <v>62</v>
      </c>
      <c r="F5" s="30">
        <v>8024</v>
      </c>
      <c r="G5" s="29" t="s">
        <v>63</v>
      </c>
      <c r="H5" s="31">
        <v>41.413573999999997</v>
      </c>
      <c r="I5" s="31">
        <v>2.1520730000000001</v>
      </c>
      <c r="J5" s="29">
        <v>141</v>
      </c>
      <c r="K5" s="29" t="s">
        <v>64</v>
      </c>
      <c r="L5" s="29" t="s">
        <v>65</v>
      </c>
      <c r="O5" s="32" t="str">
        <f>G5&amp;"_"&amp;TEXT(P5,"AAMMDD")</f>
        <v>A_SP_BCN_1_200722</v>
      </c>
      <c r="P5" s="33">
        <v>44034</v>
      </c>
      <c r="Q5" s="34">
        <v>0.40625</v>
      </c>
      <c r="R5" s="35"/>
      <c r="S5" s="36">
        <v>44041</v>
      </c>
      <c r="T5" s="37">
        <v>0.57638888888888895</v>
      </c>
      <c r="U5" s="38"/>
      <c r="V5" s="39" t="s">
        <v>66</v>
      </c>
      <c r="W5" s="39" t="s">
        <v>67</v>
      </c>
      <c r="X5" s="29">
        <f t="shared" ref="X5:X61" si="0">S5-P5</f>
        <v>7</v>
      </c>
      <c r="Y5" s="38"/>
      <c r="Z5" s="29" t="s">
        <v>68</v>
      </c>
      <c r="AA5" s="29">
        <f>SUM(AC5:AD5)</f>
        <v>9</v>
      </c>
      <c r="AB5" s="29" t="s">
        <v>69</v>
      </c>
      <c r="AC5" s="29">
        <v>2</v>
      </c>
      <c r="AD5" s="29">
        <v>7</v>
      </c>
      <c r="AE5" s="29" t="s">
        <v>70</v>
      </c>
      <c r="AF5">
        <v>2</v>
      </c>
      <c r="AG5" s="40"/>
    </row>
    <row r="6" spans="1:33" x14ac:dyDescent="0.25">
      <c r="A6" s="28">
        <v>2</v>
      </c>
      <c r="B6" s="29" t="s">
        <v>60</v>
      </c>
      <c r="C6" s="29" t="s">
        <v>61</v>
      </c>
      <c r="D6" s="29" t="s">
        <v>62</v>
      </c>
      <c r="E6" s="29" t="s">
        <v>62</v>
      </c>
      <c r="F6" s="30">
        <v>8035</v>
      </c>
      <c r="G6" s="29" t="s">
        <v>71</v>
      </c>
      <c r="H6" s="31">
        <v>41.424387000000003</v>
      </c>
      <c r="I6" s="31">
        <v>2.1431439999999999</v>
      </c>
      <c r="J6" s="29">
        <v>160</v>
      </c>
      <c r="K6" s="29" t="s">
        <v>64</v>
      </c>
      <c r="L6" s="29" t="s">
        <v>65</v>
      </c>
      <c r="O6" s="32" t="str">
        <f t="shared" ref="O6:O16" si="1">G6&amp;"_"&amp;TEXT(P6,"AAMMDD")</f>
        <v>A_SP_BCN_2_200722</v>
      </c>
      <c r="P6" s="33">
        <v>44034</v>
      </c>
      <c r="Q6" s="34">
        <v>0.43055555555555558</v>
      </c>
      <c r="R6" s="35"/>
      <c r="S6" s="36">
        <v>44041</v>
      </c>
      <c r="T6" s="37">
        <v>0.54861111111111105</v>
      </c>
      <c r="U6" s="38"/>
      <c r="V6" s="39" t="s">
        <v>66</v>
      </c>
      <c r="X6" s="29">
        <f t="shared" si="0"/>
        <v>7</v>
      </c>
      <c r="Y6" s="38"/>
      <c r="Z6" s="29" t="s">
        <v>68</v>
      </c>
      <c r="AA6" s="29">
        <f t="shared" ref="AA6:AA69" si="2">SUM(AC6:AD6)</f>
        <v>12</v>
      </c>
      <c r="AB6" s="29" t="s">
        <v>69</v>
      </c>
      <c r="AC6" s="29">
        <v>11</v>
      </c>
      <c r="AD6" s="29">
        <v>1</v>
      </c>
      <c r="AE6" s="29" t="s">
        <v>70</v>
      </c>
      <c r="AF6">
        <v>4</v>
      </c>
      <c r="AG6" s="40"/>
    </row>
    <row r="7" spans="1:33" x14ac:dyDescent="0.25">
      <c r="A7" s="28">
        <v>3</v>
      </c>
      <c r="B7" s="29" t="s">
        <v>60</v>
      </c>
      <c r="C7" s="29" t="s">
        <v>61</v>
      </c>
      <c r="D7" s="29" t="s">
        <v>62</v>
      </c>
      <c r="E7" s="29" t="s">
        <v>62</v>
      </c>
      <c r="F7" s="30">
        <v>8016</v>
      </c>
      <c r="G7" s="29" t="s">
        <v>72</v>
      </c>
      <c r="H7" s="31">
        <v>41.437435000000001</v>
      </c>
      <c r="I7" s="31">
        <v>2.1812779999999998</v>
      </c>
      <c r="J7" s="29">
        <v>47</v>
      </c>
      <c r="K7" s="29" t="s">
        <v>64</v>
      </c>
      <c r="L7" s="29" t="s">
        <v>65</v>
      </c>
      <c r="O7" s="32" t="str">
        <f t="shared" si="1"/>
        <v>A_SP_BCN_3_200722</v>
      </c>
      <c r="P7" s="33">
        <v>44034</v>
      </c>
      <c r="Q7" s="34">
        <v>0.45833333333333331</v>
      </c>
      <c r="R7" s="35"/>
      <c r="S7" s="36">
        <v>44041</v>
      </c>
      <c r="T7" s="37">
        <v>0.53125</v>
      </c>
      <c r="U7" s="38"/>
      <c r="V7" s="39" t="s">
        <v>66</v>
      </c>
      <c r="X7" s="29">
        <f t="shared" si="0"/>
        <v>7</v>
      </c>
      <c r="Y7" s="38"/>
      <c r="Z7" s="29" t="s">
        <v>68</v>
      </c>
      <c r="AA7" s="29">
        <f t="shared" si="2"/>
        <v>7</v>
      </c>
      <c r="AB7" s="29" t="s">
        <v>69</v>
      </c>
      <c r="AC7" s="29">
        <v>5</v>
      </c>
      <c r="AD7" s="29">
        <v>2</v>
      </c>
      <c r="AE7" s="29" t="s">
        <v>70</v>
      </c>
      <c r="AF7">
        <v>4</v>
      </c>
      <c r="AG7" s="40"/>
    </row>
    <row r="8" spans="1:33" x14ac:dyDescent="0.25">
      <c r="A8" s="28">
        <v>4</v>
      </c>
      <c r="B8" s="29" t="s">
        <v>60</v>
      </c>
      <c r="C8" s="29" t="s">
        <v>61</v>
      </c>
      <c r="D8" s="29" t="s">
        <v>62</v>
      </c>
      <c r="E8" s="29" t="s">
        <v>62</v>
      </c>
      <c r="F8" s="30">
        <v>8018</v>
      </c>
      <c r="G8" s="29" t="s">
        <v>73</v>
      </c>
      <c r="H8" s="31">
        <v>41.404924999999999</v>
      </c>
      <c r="I8" s="31">
        <v>2.1987909999999999</v>
      </c>
      <c r="J8" s="29">
        <v>4</v>
      </c>
      <c r="K8" s="29" t="s">
        <v>64</v>
      </c>
      <c r="L8" s="29" t="s">
        <v>65</v>
      </c>
      <c r="O8" s="32" t="str">
        <f t="shared" si="1"/>
        <v>A_SP_BCN_4_200722</v>
      </c>
      <c r="P8" s="33">
        <v>44034</v>
      </c>
      <c r="Q8" s="34">
        <v>0.50347222222222221</v>
      </c>
      <c r="R8" s="35"/>
      <c r="S8" s="36">
        <v>44041</v>
      </c>
      <c r="T8" s="37">
        <v>0.49305555555555558</v>
      </c>
      <c r="U8" s="38"/>
      <c r="V8" s="39" t="s">
        <v>66</v>
      </c>
      <c r="X8" s="29">
        <f t="shared" si="0"/>
        <v>7</v>
      </c>
      <c r="Y8" s="38"/>
      <c r="Z8" s="29" t="s">
        <v>68</v>
      </c>
      <c r="AA8" s="29">
        <f t="shared" si="2"/>
        <v>17</v>
      </c>
      <c r="AB8" s="29" t="s">
        <v>69</v>
      </c>
      <c r="AC8" s="29">
        <v>8</v>
      </c>
      <c r="AD8" s="29">
        <v>9</v>
      </c>
      <c r="AE8" s="29" t="s">
        <v>70</v>
      </c>
      <c r="AF8">
        <v>4</v>
      </c>
    </row>
    <row r="9" spans="1:33" x14ac:dyDescent="0.25">
      <c r="A9" s="28">
        <v>5</v>
      </c>
      <c r="B9" s="29" t="s">
        <v>60</v>
      </c>
      <c r="C9" s="29" t="s">
        <v>61</v>
      </c>
      <c r="D9" s="29" t="s">
        <v>62</v>
      </c>
      <c r="E9" s="29" t="s">
        <v>62</v>
      </c>
      <c r="F9" s="30">
        <v>8019</v>
      </c>
      <c r="G9" s="29" t="s">
        <v>74</v>
      </c>
      <c r="H9" s="31">
        <v>41.410684000000003</v>
      </c>
      <c r="I9" s="31">
        <v>2.2208019999999999</v>
      </c>
      <c r="J9" s="29">
        <v>18</v>
      </c>
      <c r="K9" s="29" t="s">
        <v>64</v>
      </c>
      <c r="L9" s="29" t="s">
        <v>65</v>
      </c>
      <c r="O9" s="32" t="str">
        <f t="shared" si="1"/>
        <v>A_SP_BCN_5_200722</v>
      </c>
      <c r="P9" s="33">
        <v>44034</v>
      </c>
      <c r="Q9" s="34">
        <v>0.53125</v>
      </c>
      <c r="R9" s="35"/>
      <c r="S9" s="36">
        <v>44041</v>
      </c>
      <c r="T9" s="37">
        <v>0.45833333333333331</v>
      </c>
      <c r="U9" s="38"/>
      <c r="V9" s="39" t="s">
        <v>66</v>
      </c>
      <c r="X9" s="29">
        <f t="shared" si="0"/>
        <v>7</v>
      </c>
      <c r="Y9" s="38"/>
      <c r="Z9" s="29" t="s">
        <v>75</v>
      </c>
      <c r="AA9" s="29">
        <f t="shared" si="2"/>
        <v>1</v>
      </c>
      <c r="AB9" s="29" t="s">
        <v>69</v>
      </c>
      <c r="AC9" s="29">
        <v>1</v>
      </c>
      <c r="AD9" s="29">
        <v>0</v>
      </c>
      <c r="AE9" s="29" t="s">
        <v>70</v>
      </c>
      <c r="AF9">
        <v>4</v>
      </c>
    </row>
    <row r="10" spans="1:33" x14ac:dyDescent="0.25">
      <c r="A10" s="28">
        <v>6</v>
      </c>
      <c r="B10" s="29" t="s">
        <v>60</v>
      </c>
      <c r="C10" s="29" t="s">
        <v>61</v>
      </c>
      <c r="D10" s="29" t="s">
        <v>62</v>
      </c>
      <c r="E10" s="29" t="s">
        <v>62</v>
      </c>
      <c r="F10" s="30">
        <v>8002</v>
      </c>
      <c r="G10" s="29" t="s">
        <v>76</v>
      </c>
      <c r="H10" s="31">
        <v>41.382339999999999</v>
      </c>
      <c r="I10" s="31">
        <v>2.1714790000000002</v>
      </c>
      <c r="J10" s="29">
        <v>19</v>
      </c>
      <c r="K10" s="29" t="s">
        <v>64</v>
      </c>
      <c r="L10" s="29" t="s">
        <v>65</v>
      </c>
      <c r="O10" s="32" t="str">
        <f t="shared" si="1"/>
        <v>A_SP_BCN_6_200723</v>
      </c>
      <c r="P10" s="33">
        <v>44035</v>
      </c>
      <c r="Q10" s="34">
        <v>0.3923611111111111</v>
      </c>
      <c r="R10" s="35"/>
      <c r="S10" s="36">
        <v>44041</v>
      </c>
      <c r="T10" s="37">
        <v>0.4201388888888889</v>
      </c>
      <c r="U10" s="38"/>
      <c r="V10" s="39" t="s">
        <v>66</v>
      </c>
      <c r="X10" s="29">
        <f t="shared" si="0"/>
        <v>6</v>
      </c>
      <c r="Y10" s="38"/>
      <c r="AA10" s="29">
        <f t="shared" si="2"/>
        <v>0</v>
      </c>
      <c r="AF10">
        <v>4</v>
      </c>
    </row>
    <row r="11" spans="1:33" x14ac:dyDescent="0.25">
      <c r="A11" s="28">
        <v>7</v>
      </c>
      <c r="B11" s="29" t="s">
        <v>60</v>
      </c>
      <c r="C11" s="29" t="s">
        <v>61</v>
      </c>
      <c r="D11" s="29" t="s">
        <v>62</v>
      </c>
      <c r="E11" s="29" t="s">
        <v>62</v>
      </c>
      <c r="F11" s="30">
        <v>8038</v>
      </c>
      <c r="G11" s="29" t="s">
        <v>77</v>
      </c>
      <c r="H11" s="31">
        <v>41.371864000000002</v>
      </c>
      <c r="I11" s="31">
        <v>2.173899</v>
      </c>
      <c r="J11" s="29">
        <v>5</v>
      </c>
      <c r="K11" s="29" t="s">
        <v>64</v>
      </c>
      <c r="L11" s="29" t="s">
        <v>65</v>
      </c>
      <c r="O11" s="32" t="str">
        <f t="shared" si="1"/>
        <v>A_SP_BCN_7_200723</v>
      </c>
      <c r="P11" s="33">
        <v>44035</v>
      </c>
      <c r="Q11" s="34">
        <v>0.4375</v>
      </c>
      <c r="R11" s="35"/>
      <c r="S11" s="36">
        <v>44041</v>
      </c>
      <c r="T11" s="37">
        <v>0.65277777777777779</v>
      </c>
      <c r="U11" s="38"/>
      <c r="V11" s="39" t="s">
        <v>66</v>
      </c>
      <c r="X11" s="29">
        <f t="shared" si="0"/>
        <v>6</v>
      </c>
      <c r="Y11" s="38"/>
      <c r="Z11" s="29" t="s">
        <v>68</v>
      </c>
      <c r="AA11" s="29">
        <f t="shared" si="2"/>
        <v>19</v>
      </c>
      <c r="AB11" s="29" t="s">
        <v>69</v>
      </c>
      <c r="AC11" s="29">
        <v>17</v>
      </c>
      <c r="AD11" s="29">
        <v>2</v>
      </c>
      <c r="AE11" s="29" t="s">
        <v>70</v>
      </c>
      <c r="AF11">
        <v>4</v>
      </c>
    </row>
    <row r="12" spans="1:33" x14ac:dyDescent="0.25">
      <c r="A12" s="28">
        <v>8</v>
      </c>
      <c r="B12" s="29" t="s">
        <v>60</v>
      </c>
      <c r="C12" s="29" t="s">
        <v>61</v>
      </c>
      <c r="D12" s="29" t="s">
        <v>62</v>
      </c>
      <c r="E12" s="29" t="s">
        <v>62</v>
      </c>
      <c r="F12" s="30">
        <v>8038</v>
      </c>
      <c r="G12" s="29" t="s">
        <v>77</v>
      </c>
      <c r="H12" s="31">
        <v>41.371864000000002</v>
      </c>
      <c r="I12" s="31">
        <v>2.173899</v>
      </c>
      <c r="J12" s="29">
        <v>5</v>
      </c>
      <c r="K12" s="29" t="s">
        <v>64</v>
      </c>
      <c r="L12" s="29" t="s">
        <v>65</v>
      </c>
      <c r="O12" s="32" t="str">
        <f>G12&amp;"_"&amp;TEXT(P12,"AAMMDD")</f>
        <v>A_SP_BCN_7_200723</v>
      </c>
      <c r="P12" s="33">
        <v>44035</v>
      </c>
      <c r="Q12" s="34">
        <v>0.4375</v>
      </c>
      <c r="R12" s="35"/>
      <c r="S12" s="36">
        <v>44041</v>
      </c>
      <c r="T12" s="37">
        <v>0.65277777777777779</v>
      </c>
      <c r="U12" s="38"/>
      <c r="V12" s="39" t="s">
        <v>66</v>
      </c>
      <c r="X12" s="29">
        <f t="shared" si="0"/>
        <v>6</v>
      </c>
      <c r="Y12" s="38"/>
      <c r="Z12" s="29" t="s">
        <v>75</v>
      </c>
      <c r="AA12" s="29">
        <f t="shared" si="2"/>
        <v>4</v>
      </c>
      <c r="AB12" s="29" t="s">
        <v>69</v>
      </c>
      <c r="AC12" s="29">
        <v>4</v>
      </c>
      <c r="AD12" s="29">
        <v>0</v>
      </c>
      <c r="AE12" s="29" t="s">
        <v>70</v>
      </c>
      <c r="AF12">
        <v>4</v>
      </c>
    </row>
    <row r="13" spans="1:33" x14ac:dyDescent="0.25">
      <c r="A13" s="28">
        <v>9</v>
      </c>
      <c r="B13" s="29" t="s">
        <v>60</v>
      </c>
      <c r="C13" s="29" t="s">
        <v>61</v>
      </c>
      <c r="D13" s="29" t="s">
        <v>62</v>
      </c>
      <c r="E13" s="29" t="s">
        <v>62</v>
      </c>
      <c r="F13" s="30">
        <v>8038</v>
      </c>
      <c r="G13" s="29" t="s">
        <v>78</v>
      </c>
      <c r="H13" s="31">
        <v>41.368589</v>
      </c>
      <c r="I13" s="31">
        <v>2.1620900000000001</v>
      </c>
      <c r="J13" s="29">
        <v>95</v>
      </c>
      <c r="K13" s="29" t="s">
        <v>64</v>
      </c>
      <c r="L13" s="29" t="s">
        <v>79</v>
      </c>
      <c r="M13" s="29" t="s">
        <v>80</v>
      </c>
      <c r="O13" s="32" t="str">
        <f t="shared" si="1"/>
        <v>A_SP_BCN_8_200723</v>
      </c>
      <c r="P13" s="33">
        <v>44035</v>
      </c>
      <c r="Q13" s="34">
        <v>0.47361111111111115</v>
      </c>
      <c r="R13" s="35"/>
      <c r="S13" s="36">
        <v>44041</v>
      </c>
      <c r="T13" s="37">
        <v>0.625</v>
      </c>
      <c r="U13" s="38"/>
      <c r="V13" s="39" t="s">
        <v>66</v>
      </c>
      <c r="X13" s="29">
        <f t="shared" si="0"/>
        <v>6</v>
      </c>
      <c r="Y13" s="38"/>
      <c r="Z13" s="29" t="s">
        <v>68</v>
      </c>
      <c r="AA13" s="29">
        <f t="shared" si="2"/>
        <v>60</v>
      </c>
      <c r="AB13" s="29" t="s">
        <v>69</v>
      </c>
      <c r="AC13" s="29">
        <v>51</v>
      </c>
      <c r="AD13" s="29">
        <v>9</v>
      </c>
      <c r="AE13" s="29" t="s">
        <v>70</v>
      </c>
      <c r="AF13">
        <v>4</v>
      </c>
    </row>
    <row r="14" spans="1:33" x14ac:dyDescent="0.25">
      <c r="A14" s="28">
        <v>10</v>
      </c>
      <c r="B14" s="29" t="s">
        <v>60</v>
      </c>
      <c r="C14" s="29" t="s">
        <v>61</v>
      </c>
      <c r="D14" s="29" t="s">
        <v>62</v>
      </c>
      <c r="E14" s="29" t="s">
        <v>62</v>
      </c>
      <c r="F14" s="30">
        <v>8038</v>
      </c>
      <c r="G14" s="29" t="s">
        <v>78</v>
      </c>
      <c r="H14" s="31">
        <v>41.368589</v>
      </c>
      <c r="I14" s="31">
        <v>2.1620900000000001</v>
      </c>
      <c r="J14" s="29">
        <v>95</v>
      </c>
      <c r="K14" s="29" t="s">
        <v>64</v>
      </c>
      <c r="L14" s="29" t="s">
        <v>79</v>
      </c>
      <c r="M14" s="29" t="s">
        <v>80</v>
      </c>
      <c r="O14" s="32" t="str">
        <f>G14&amp;"_"&amp;TEXT(P14,"AAMMDD")</f>
        <v>A_SP_BCN_8_200723</v>
      </c>
      <c r="P14" s="33">
        <v>44035</v>
      </c>
      <c r="Q14" s="34">
        <v>0.47361111111111115</v>
      </c>
      <c r="R14" s="35"/>
      <c r="S14" s="36">
        <v>44041</v>
      </c>
      <c r="T14" s="37">
        <v>0.625</v>
      </c>
      <c r="U14" s="38"/>
      <c r="V14" s="39" t="s">
        <v>66</v>
      </c>
      <c r="X14" s="29">
        <f t="shared" si="0"/>
        <v>6</v>
      </c>
      <c r="Y14" s="38"/>
      <c r="Z14" s="29" t="s">
        <v>75</v>
      </c>
      <c r="AA14" s="29">
        <f t="shared" si="2"/>
        <v>5</v>
      </c>
      <c r="AB14" s="29" t="s">
        <v>69</v>
      </c>
      <c r="AC14" s="29">
        <v>5</v>
      </c>
      <c r="AD14" s="29">
        <v>0</v>
      </c>
      <c r="AE14" s="29" t="s">
        <v>70</v>
      </c>
      <c r="AF14">
        <v>4</v>
      </c>
    </row>
    <row r="15" spans="1:33" x14ac:dyDescent="0.25">
      <c r="A15" s="28">
        <v>11</v>
      </c>
      <c r="B15" s="29" t="s">
        <v>60</v>
      </c>
      <c r="C15" s="29" t="s">
        <v>61</v>
      </c>
      <c r="D15" s="29" t="s">
        <v>62</v>
      </c>
      <c r="E15" s="29" t="s">
        <v>62</v>
      </c>
      <c r="F15" s="30">
        <v>8034</v>
      </c>
      <c r="G15" s="29" t="s">
        <v>81</v>
      </c>
      <c r="H15" s="31">
        <v>41.393644999999999</v>
      </c>
      <c r="I15" s="31">
        <v>2.1216780000000002</v>
      </c>
      <c r="J15" s="29">
        <v>98</v>
      </c>
      <c r="K15" s="29" t="s">
        <v>64</v>
      </c>
      <c r="L15" s="29" t="s">
        <v>79</v>
      </c>
      <c r="M15" s="29" t="s">
        <v>82</v>
      </c>
      <c r="O15" s="32" t="str">
        <f t="shared" si="1"/>
        <v>A_SP_BCN_9_200723</v>
      </c>
      <c r="P15" s="33">
        <v>44035</v>
      </c>
      <c r="Q15" s="34">
        <v>0.53125</v>
      </c>
      <c r="R15" s="35"/>
      <c r="S15" s="36">
        <v>44041</v>
      </c>
      <c r="T15" s="37">
        <v>0.60416666666666663</v>
      </c>
      <c r="U15" s="38"/>
      <c r="V15" s="39" t="s">
        <v>66</v>
      </c>
      <c r="X15" s="29">
        <f t="shared" si="0"/>
        <v>6</v>
      </c>
      <c r="Y15" s="38"/>
      <c r="Z15" s="29" t="s">
        <v>68</v>
      </c>
      <c r="AA15" s="29">
        <f t="shared" si="2"/>
        <v>1</v>
      </c>
      <c r="AB15" s="29" t="s">
        <v>69</v>
      </c>
      <c r="AC15" s="29">
        <v>1</v>
      </c>
      <c r="AD15" s="29">
        <v>0</v>
      </c>
      <c r="AE15" s="29" t="s">
        <v>70</v>
      </c>
      <c r="AF15">
        <v>4</v>
      </c>
    </row>
    <row r="16" spans="1:33" x14ac:dyDescent="0.25">
      <c r="A16" s="28">
        <v>12</v>
      </c>
      <c r="B16" s="29" t="s">
        <v>60</v>
      </c>
      <c r="C16" s="29" t="s">
        <v>61</v>
      </c>
      <c r="D16" s="29" t="s">
        <v>62</v>
      </c>
      <c r="E16" s="29" t="s">
        <v>62</v>
      </c>
      <c r="F16" s="30">
        <v>8040</v>
      </c>
      <c r="G16" s="29" t="s">
        <v>83</v>
      </c>
      <c r="H16" s="31">
        <v>41.343685000000001</v>
      </c>
      <c r="I16" s="31">
        <v>2.1441490000000001</v>
      </c>
      <c r="J16" s="29">
        <v>4</v>
      </c>
      <c r="K16" s="29" t="s">
        <v>64</v>
      </c>
      <c r="L16" s="29" t="s">
        <v>65</v>
      </c>
      <c r="O16" s="32" t="str">
        <f t="shared" si="1"/>
        <v>A_SP_BCN_10_200723</v>
      </c>
      <c r="P16" s="33">
        <v>44035</v>
      </c>
      <c r="Q16" s="34">
        <v>0.56111111111111112</v>
      </c>
      <c r="R16" s="35"/>
      <c r="S16" s="36">
        <v>44041</v>
      </c>
      <c r="T16" s="37">
        <v>0.66666666666666663</v>
      </c>
      <c r="U16" s="38"/>
      <c r="V16" s="39" t="s">
        <v>66</v>
      </c>
      <c r="X16" s="29">
        <f t="shared" si="0"/>
        <v>6</v>
      </c>
      <c r="Y16" s="38"/>
      <c r="Z16" s="29" t="s">
        <v>68</v>
      </c>
      <c r="AA16" s="29">
        <f t="shared" si="2"/>
        <v>41</v>
      </c>
      <c r="AB16" s="29" t="s">
        <v>69</v>
      </c>
      <c r="AC16" s="29">
        <v>23</v>
      </c>
      <c r="AD16" s="29">
        <v>18</v>
      </c>
      <c r="AE16" s="29" t="s">
        <v>70</v>
      </c>
      <c r="AF16">
        <v>4</v>
      </c>
    </row>
    <row r="17" spans="1:33" x14ac:dyDescent="0.25">
      <c r="A17" s="28">
        <v>13</v>
      </c>
      <c r="B17" s="29" t="s">
        <v>60</v>
      </c>
      <c r="C17" s="29" t="s">
        <v>61</v>
      </c>
      <c r="D17" s="29" t="s">
        <v>62</v>
      </c>
      <c r="E17" s="29" t="s">
        <v>62</v>
      </c>
      <c r="F17" s="30">
        <v>8040</v>
      </c>
      <c r="G17" s="29" t="s">
        <v>83</v>
      </c>
      <c r="H17" s="31">
        <v>41.343685000000001</v>
      </c>
      <c r="I17" s="31">
        <v>2.1441490000000001</v>
      </c>
      <c r="J17" s="29">
        <v>4</v>
      </c>
      <c r="K17" s="29" t="s">
        <v>64</v>
      </c>
      <c r="L17" s="29" t="s">
        <v>65</v>
      </c>
      <c r="O17" s="32" t="str">
        <f>G17&amp;"_"&amp;TEXT(P17,"AAMMDD")</f>
        <v>A_SP_BCN_10_200723</v>
      </c>
      <c r="P17" s="33">
        <v>44035</v>
      </c>
      <c r="Q17" s="34">
        <v>0.56111111111111112</v>
      </c>
      <c r="R17" s="35"/>
      <c r="S17" s="36">
        <v>44041</v>
      </c>
      <c r="T17" s="37">
        <v>0.66666666666666663</v>
      </c>
      <c r="U17" s="38"/>
      <c r="V17" s="39" t="s">
        <v>66</v>
      </c>
      <c r="X17" s="29">
        <f t="shared" si="0"/>
        <v>6</v>
      </c>
      <c r="Y17" s="38"/>
      <c r="Z17" s="29" t="s">
        <v>75</v>
      </c>
      <c r="AA17" s="29">
        <f t="shared" si="2"/>
        <v>2</v>
      </c>
      <c r="AB17" s="29" t="s">
        <v>69</v>
      </c>
      <c r="AC17" s="29">
        <v>2</v>
      </c>
      <c r="AD17" s="29">
        <v>0</v>
      </c>
      <c r="AE17" s="29" t="s">
        <v>70</v>
      </c>
      <c r="AF17">
        <v>4</v>
      </c>
    </row>
    <row r="18" spans="1:33" x14ac:dyDescent="0.25">
      <c r="A18" s="28">
        <v>14</v>
      </c>
      <c r="B18" s="29" t="s">
        <v>60</v>
      </c>
      <c r="C18" s="29" t="s">
        <v>61</v>
      </c>
      <c r="D18" s="29" t="s">
        <v>62</v>
      </c>
      <c r="E18" s="29" t="s">
        <v>62</v>
      </c>
      <c r="F18" s="30">
        <v>8035</v>
      </c>
      <c r="G18" s="29" t="s">
        <v>71</v>
      </c>
      <c r="H18" s="31">
        <v>41.424387000000003</v>
      </c>
      <c r="I18" s="31">
        <v>2.1431439999999999</v>
      </c>
      <c r="J18" s="29">
        <v>160</v>
      </c>
      <c r="K18" s="29" t="s">
        <v>64</v>
      </c>
      <c r="L18" s="29" t="s">
        <v>65</v>
      </c>
      <c r="O18" s="32" t="str">
        <f t="shared" ref="O18:O81" si="3">G18&amp;"_"&amp;TEXT(P18,"AAMMDD")</f>
        <v>A_SP_BCN_2_200729</v>
      </c>
      <c r="P18" s="33">
        <v>44041</v>
      </c>
      <c r="Q18" s="34">
        <v>0.54861111111111105</v>
      </c>
      <c r="R18" s="35"/>
      <c r="S18" s="36">
        <v>44048</v>
      </c>
      <c r="T18" s="37">
        <v>0.58333333333333337</v>
      </c>
      <c r="U18" s="38"/>
      <c r="V18" s="39" t="s">
        <v>66</v>
      </c>
      <c r="X18" s="29">
        <f t="shared" si="0"/>
        <v>7</v>
      </c>
      <c r="Y18" s="38"/>
      <c r="Z18" s="29" t="s">
        <v>68</v>
      </c>
      <c r="AA18" s="29">
        <f t="shared" si="2"/>
        <v>10</v>
      </c>
      <c r="AB18" s="29" t="s">
        <v>69</v>
      </c>
      <c r="AC18" s="29">
        <v>9</v>
      </c>
      <c r="AD18" s="29">
        <v>1</v>
      </c>
      <c r="AE18" s="29" t="s">
        <v>70</v>
      </c>
      <c r="AF18">
        <v>4</v>
      </c>
      <c r="AG18" s="40"/>
    </row>
    <row r="19" spans="1:33" x14ac:dyDescent="0.25">
      <c r="A19" s="28">
        <v>15</v>
      </c>
      <c r="B19" s="29" t="s">
        <v>60</v>
      </c>
      <c r="C19" s="29" t="s">
        <v>61</v>
      </c>
      <c r="D19" s="29" t="s">
        <v>62</v>
      </c>
      <c r="E19" s="29" t="s">
        <v>62</v>
      </c>
      <c r="F19" s="30">
        <v>8016</v>
      </c>
      <c r="G19" s="29" t="s">
        <v>72</v>
      </c>
      <c r="H19" s="31">
        <v>41.437435000000001</v>
      </c>
      <c r="I19" s="31">
        <v>2.1812779999999998</v>
      </c>
      <c r="J19" s="29">
        <v>47</v>
      </c>
      <c r="K19" s="29" t="s">
        <v>64</v>
      </c>
      <c r="L19" s="29" t="s">
        <v>65</v>
      </c>
      <c r="O19" s="32" t="str">
        <f t="shared" si="3"/>
        <v>A_SP_BCN_3_200729</v>
      </c>
      <c r="P19" s="33">
        <v>44041</v>
      </c>
      <c r="Q19" s="34">
        <v>0.53125</v>
      </c>
      <c r="R19" s="35"/>
      <c r="S19" s="36">
        <v>44048</v>
      </c>
      <c r="T19" s="37">
        <v>0.54166666666666663</v>
      </c>
      <c r="U19" s="38"/>
      <c r="V19" s="39" t="s">
        <v>66</v>
      </c>
      <c r="X19" s="29">
        <f t="shared" si="0"/>
        <v>7</v>
      </c>
      <c r="Y19" s="38"/>
      <c r="Z19" s="29" t="s">
        <v>68</v>
      </c>
      <c r="AA19" s="29">
        <f t="shared" si="2"/>
        <v>39</v>
      </c>
      <c r="AB19" s="29" t="s">
        <v>69</v>
      </c>
      <c r="AC19" s="29">
        <v>13</v>
      </c>
      <c r="AD19" s="29">
        <v>26</v>
      </c>
      <c r="AE19" s="29" t="s">
        <v>70</v>
      </c>
      <c r="AF19">
        <v>4</v>
      </c>
      <c r="AG19" s="40"/>
    </row>
    <row r="20" spans="1:33" x14ac:dyDescent="0.25">
      <c r="A20" s="28">
        <v>16</v>
      </c>
      <c r="B20" s="29" t="s">
        <v>60</v>
      </c>
      <c r="C20" s="29" t="s">
        <v>61</v>
      </c>
      <c r="D20" s="29" t="s">
        <v>62</v>
      </c>
      <c r="E20" s="29" t="s">
        <v>62</v>
      </c>
      <c r="F20" s="30">
        <v>8016</v>
      </c>
      <c r="G20" s="29" t="s">
        <v>72</v>
      </c>
      <c r="H20" s="31">
        <v>41.437435000000001</v>
      </c>
      <c r="I20" s="31">
        <v>2.1812779999999998</v>
      </c>
      <c r="J20" s="29">
        <v>47</v>
      </c>
      <c r="K20" s="29" t="s">
        <v>64</v>
      </c>
      <c r="L20" s="29" t="s">
        <v>65</v>
      </c>
      <c r="O20" s="32" t="str">
        <f>G20&amp;"_"&amp;TEXT(P20,"AAMMDD")</f>
        <v>A_SP_BCN_3_200729</v>
      </c>
      <c r="P20" s="33">
        <v>44041</v>
      </c>
      <c r="Q20" s="34">
        <v>0.53125</v>
      </c>
      <c r="R20" s="35"/>
      <c r="S20" s="36">
        <v>44048</v>
      </c>
      <c r="T20" s="37">
        <v>0.54166666666666663</v>
      </c>
      <c r="U20" s="38"/>
      <c r="V20" s="39" t="s">
        <v>66</v>
      </c>
      <c r="X20" s="29">
        <f t="shared" si="0"/>
        <v>7</v>
      </c>
      <c r="Y20" s="38"/>
      <c r="Z20" s="29" t="s">
        <v>75</v>
      </c>
      <c r="AA20" s="29">
        <f t="shared" si="2"/>
        <v>33</v>
      </c>
      <c r="AB20" s="29" t="s">
        <v>69</v>
      </c>
      <c r="AC20" s="29">
        <v>13</v>
      </c>
      <c r="AD20" s="29">
        <v>20</v>
      </c>
      <c r="AE20" s="29" t="s">
        <v>70</v>
      </c>
      <c r="AF20">
        <v>4</v>
      </c>
      <c r="AG20" s="40"/>
    </row>
    <row r="21" spans="1:33" x14ac:dyDescent="0.25">
      <c r="A21" s="28">
        <v>17</v>
      </c>
      <c r="B21" s="29" t="s">
        <v>60</v>
      </c>
      <c r="C21" s="29" t="s">
        <v>61</v>
      </c>
      <c r="D21" s="29" t="s">
        <v>62</v>
      </c>
      <c r="E21" s="29" t="s">
        <v>62</v>
      </c>
      <c r="F21" s="30">
        <v>8016</v>
      </c>
      <c r="G21" s="29" t="s">
        <v>72</v>
      </c>
      <c r="H21" s="31">
        <v>41.437435000000001</v>
      </c>
      <c r="I21" s="31">
        <v>2.1812779999999998</v>
      </c>
      <c r="J21" s="29">
        <v>47</v>
      </c>
      <c r="K21" s="29" t="s">
        <v>64</v>
      </c>
      <c r="L21" s="29" t="s">
        <v>65</v>
      </c>
      <c r="O21" s="32" t="str">
        <f>G21&amp;"_"&amp;TEXT(P21,"AAMMDD")</f>
        <v>A_SP_BCN_3_200729</v>
      </c>
      <c r="P21" s="33">
        <v>44041</v>
      </c>
      <c r="Q21" s="34">
        <v>0.53125</v>
      </c>
      <c r="R21" s="35"/>
      <c r="S21" s="36">
        <v>44048</v>
      </c>
      <c r="T21" s="37">
        <v>0.54166666666666663</v>
      </c>
      <c r="U21" s="38"/>
      <c r="V21" s="39" t="s">
        <v>66</v>
      </c>
      <c r="X21" s="29">
        <f t="shared" si="0"/>
        <v>7</v>
      </c>
      <c r="Y21" s="38"/>
      <c r="Z21" s="29" t="s">
        <v>84</v>
      </c>
      <c r="AA21" s="29">
        <f t="shared" si="2"/>
        <v>2</v>
      </c>
      <c r="AB21" s="29" t="s">
        <v>69</v>
      </c>
      <c r="AC21" s="29">
        <v>2</v>
      </c>
      <c r="AD21" s="29">
        <v>0</v>
      </c>
      <c r="AE21" s="29" t="s">
        <v>70</v>
      </c>
      <c r="AF21">
        <v>4</v>
      </c>
    </row>
    <row r="22" spans="1:33" x14ac:dyDescent="0.25">
      <c r="A22" s="28">
        <v>18</v>
      </c>
      <c r="B22" s="29" t="s">
        <v>60</v>
      </c>
      <c r="C22" s="29" t="s">
        <v>61</v>
      </c>
      <c r="D22" s="29" t="s">
        <v>62</v>
      </c>
      <c r="E22" s="29" t="s">
        <v>62</v>
      </c>
      <c r="F22" s="30">
        <v>8018</v>
      </c>
      <c r="G22" s="29" t="s">
        <v>73</v>
      </c>
      <c r="H22" s="31">
        <v>41.404924999999999</v>
      </c>
      <c r="I22" s="31">
        <v>2.1987909999999999</v>
      </c>
      <c r="J22" s="29">
        <v>4</v>
      </c>
      <c r="K22" s="29" t="s">
        <v>64</v>
      </c>
      <c r="L22" s="29" t="s">
        <v>65</v>
      </c>
      <c r="O22" s="32" t="str">
        <f t="shared" si="3"/>
        <v>A_SP_BCN_4_200729</v>
      </c>
      <c r="P22" s="33">
        <v>44041</v>
      </c>
      <c r="Q22" s="34">
        <v>0.49305555555555558</v>
      </c>
      <c r="R22" s="35"/>
      <c r="S22" s="36">
        <v>44048</v>
      </c>
      <c r="T22" s="37">
        <v>0.47916666666666669</v>
      </c>
      <c r="U22" s="38"/>
      <c r="V22" s="39" t="s">
        <v>66</v>
      </c>
      <c r="X22" s="29">
        <f t="shared" si="0"/>
        <v>7</v>
      </c>
      <c r="Y22" s="38"/>
      <c r="Z22" s="29" t="s">
        <v>68</v>
      </c>
      <c r="AA22" s="29">
        <f t="shared" si="2"/>
        <v>29</v>
      </c>
      <c r="AB22" s="29" t="s">
        <v>69</v>
      </c>
      <c r="AC22" s="29">
        <v>23</v>
      </c>
      <c r="AD22" s="29">
        <v>6</v>
      </c>
      <c r="AE22" s="29" t="s">
        <v>70</v>
      </c>
      <c r="AF22">
        <v>4</v>
      </c>
    </row>
    <row r="23" spans="1:33" x14ac:dyDescent="0.25">
      <c r="A23" s="28">
        <v>19</v>
      </c>
      <c r="B23" s="29" t="s">
        <v>60</v>
      </c>
      <c r="C23" s="29" t="s">
        <v>61</v>
      </c>
      <c r="D23" s="29" t="s">
        <v>62</v>
      </c>
      <c r="E23" s="29" t="s">
        <v>62</v>
      </c>
      <c r="F23" s="30">
        <v>8018</v>
      </c>
      <c r="G23" s="29" t="s">
        <v>73</v>
      </c>
      <c r="H23" s="31">
        <v>41.404924999999999</v>
      </c>
      <c r="I23" s="31">
        <v>2.1987909999999999</v>
      </c>
      <c r="J23" s="29">
        <v>4</v>
      </c>
      <c r="K23" s="29" t="s">
        <v>64</v>
      </c>
      <c r="L23" s="29" t="s">
        <v>65</v>
      </c>
      <c r="O23" s="32" t="str">
        <f>G23&amp;"_"&amp;TEXT(P23,"AAMMDD")</f>
        <v>A_SP_BCN_4_200729</v>
      </c>
      <c r="P23" s="33">
        <v>44041</v>
      </c>
      <c r="Q23" s="34">
        <v>0.49305555555555558</v>
      </c>
      <c r="R23" s="35"/>
      <c r="S23" s="36">
        <v>44048</v>
      </c>
      <c r="T23" s="37">
        <v>0.47916666666666669</v>
      </c>
      <c r="U23" s="38"/>
      <c r="V23" s="39" t="s">
        <v>66</v>
      </c>
      <c r="X23" s="29">
        <f t="shared" si="0"/>
        <v>7</v>
      </c>
      <c r="Y23" s="38"/>
      <c r="Z23" s="29" t="s">
        <v>75</v>
      </c>
      <c r="AA23" s="29">
        <f t="shared" si="2"/>
        <v>3</v>
      </c>
      <c r="AB23" s="29" t="s">
        <v>69</v>
      </c>
      <c r="AC23" s="29">
        <v>3</v>
      </c>
      <c r="AD23" s="29">
        <v>0</v>
      </c>
      <c r="AE23" s="29" t="s">
        <v>70</v>
      </c>
      <c r="AF23">
        <v>4</v>
      </c>
    </row>
    <row r="24" spans="1:33" x14ac:dyDescent="0.25">
      <c r="A24" s="28">
        <v>20</v>
      </c>
      <c r="B24" s="29" t="s">
        <v>60</v>
      </c>
      <c r="C24" s="29" t="s">
        <v>61</v>
      </c>
      <c r="D24" s="29" t="s">
        <v>62</v>
      </c>
      <c r="E24" s="29" t="s">
        <v>62</v>
      </c>
      <c r="F24" s="30">
        <v>8018</v>
      </c>
      <c r="G24" s="29" t="s">
        <v>73</v>
      </c>
      <c r="H24" s="31">
        <v>41.404924999999999</v>
      </c>
      <c r="I24" s="31">
        <v>2.1987909999999999</v>
      </c>
      <c r="J24" s="29">
        <v>4</v>
      </c>
      <c r="K24" s="29" t="s">
        <v>64</v>
      </c>
      <c r="L24" s="29" t="s">
        <v>65</v>
      </c>
      <c r="O24" s="32" t="str">
        <f>G24&amp;"_"&amp;TEXT(P24,"AAMMDD")</f>
        <v>A_SP_BCN_4_200729</v>
      </c>
      <c r="P24" s="33">
        <v>44041</v>
      </c>
      <c r="Q24" s="34">
        <v>0.49305555555555558</v>
      </c>
      <c r="R24" s="35"/>
      <c r="S24" s="36">
        <v>44048</v>
      </c>
      <c r="T24" s="37">
        <v>0.47916666666666669</v>
      </c>
      <c r="U24" s="38"/>
      <c r="V24" s="39" t="s">
        <v>66</v>
      </c>
      <c r="X24" s="29">
        <f t="shared" si="0"/>
        <v>7</v>
      </c>
      <c r="Y24" s="38"/>
      <c r="Z24" s="29" t="s">
        <v>84</v>
      </c>
      <c r="AA24" s="29">
        <f t="shared" si="2"/>
        <v>1</v>
      </c>
      <c r="AB24" s="29" t="s">
        <v>69</v>
      </c>
      <c r="AC24" s="29">
        <v>0</v>
      </c>
      <c r="AD24" s="29">
        <v>1</v>
      </c>
      <c r="AE24" s="29" t="s">
        <v>70</v>
      </c>
      <c r="AF24">
        <v>4</v>
      </c>
    </row>
    <row r="25" spans="1:33" x14ac:dyDescent="0.25">
      <c r="A25" s="28">
        <v>21</v>
      </c>
      <c r="B25" s="29" t="s">
        <v>60</v>
      </c>
      <c r="C25" s="29" t="s">
        <v>61</v>
      </c>
      <c r="D25" s="29" t="s">
        <v>62</v>
      </c>
      <c r="E25" s="29" t="s">
        <v>62</v>
      </c>
      <c r="F25" s="30">
        <v>8019</v>
      </c>
      <c r="G25" s="29" t="s">
        <v>74</v>
      </c>
      <c r="H25" s="31">
        <v>41.410684000000003</v>
      </c>
      <c r="I25" s="31">
        <v>2.2208019999999999</v>
      </c>
      <c r="J25" s="29">
        <v>18</v>
      </c>
      <c r="K25" s="29" t="s">
        <v>64</v>
      </c>
      <c r="L25" s="29" t="s">
        <v>65</v>
      </c>
      <c r="O25" s="32" t="str">
        <f t="shared" si="3"/>
        <v>A_SP_BCN_5_200729</v>
      </c>
      <c r="P25" s="33">
        <v>44041</v>
      </c>
      <c r="Q25" s="34">
        <v>0.45833333333333331</v>
      </c>
      <c r="R25" s="35"/>
      <c r="S25" s="36">
        <v>44048</v>
      </c>
      <c r="T25" s="37">
        <v>0.50694444444444442</v>
      </c>
      <c r="U25" s="38"/>
      <c r="V25" s="39" t="s">
        <v>66</v>
      </c>
      <c r="X25" s="29">
        <f t="shared" si="0"/>
        <v>7</v>
      </c>
      <c r="Y25" s="38"/>
      <c r="Z25" s="29" t="s">
        <v>75</v>
      </c>
      <c r="AA25" s="29">
        <f t="shared" si="2"/>
        <v>6</v>
      </c>
      <c r="AB25" s="29" t="s">
        <v>69</v>
      </c>
      <c r="AC25" s="29">
        <v>4</v>
      </c>
      <c r="AD25" s="29">
        <v>2</v>
      </c>
      <c r="AE25" s="29" t="s">
        <v>70</v>
      </c>
      <c r="AF25">
        <v>4</v>
      </c>
    </row>
    <row r="26" spans="1:33" x14ac:dyDescent="0.25">
      <c r="A26" s="28">
        <v>22</v>
      </c>
      <c r="B26" s="29" t="s">
        <v>60</v>
      </c>
      <c r="C26" s="29" t="s">
        <v>61</v>
      </c>
      <c r="D26" s="29" t="s">
        <v>62</v>
      </c>
      <c r="E26" s="29" t="s">
        <v>62</v>
      </c>
      <c r="F26" s="30">
        <v>8002</v>
      </c>
      <c r="G26" s="29" t="s">
        <v>76</v>
      </c>
      <c r="H26" s="31">
        <v>41.382339999999999</v>
      </c>
      <c r="I26" s="31">
        <v>2.1714790000000002</v>
      </c>
      <c r="J26" s="29">
        <v>19</v>
      </c>
      <c r="K26" s="29" t="s">
        <v>64</v>
      </c>
      <c r="L26" s="29" t="s">
        <v>65</v>
      </c>
      <c r="O26" s="32" t="str">
        <f t="shared" si="3"/>
        <v>A_SP_BCN_6_200729</v>
      </c>
      <c r="P26" s="33">
        <v>44041</v>
      </c>
      <c r="Q26" s="34">
        <v>0.4201388888888889</v>
      </c>
      <c r="R26" s="35"/>
      <c r="S26" s="36">
        <v>44048</v>
      </c>
      <c r="T26" s="37">
        <v>0.44444444444444442</v>
      </c>
      <c r="U26" s="38"/>
      <c r="V26" s="39" t="s">
        <v>66</v>
      </c>
      <c r="X26" s="29">
        <f t="shared" si="0"/>
        <v>7</v>
      </c>
      <c r="Y26" s="38"/>
      <c r="Z26" s="29" t="s">
        <v>68</v>
      </c>
      <c r="AA26" s="29">
        <f t="shared" si="2"/>
        <v>4</v>
      </c>
      <c r="AB26" s="29" t="s">
        <v>69</v>
      </c>
      <c r="AC26" s="29">
        <v>3</v>
      </c>
      <c r="AD26" s="29">
        <v>1</v>
      </c>
      <c r="AE26" s="29" t="s">
        <v>70</v>
      </c>
      <c r="AF26">
        <v>4</v>
      </c>
    </row>
    <row r="27" spans="1:33" x14ac:dyDescent="0.25">
      <c r="A27" s="28">
        <v>23</v>
      </c>
      <c r="B27" s="29" t="s">
        <v>60</v>
      </c>
      <c r="C27" s="29" t="s">
        <v>61</v>
      </c>
      <c r="D27" s="29" t="s">
        <v>62</v>
      </c>
      <c r="E27" s="29" t="s">
        <v>62</v>
      </c>
      <c r="F27" s="30">
        <v>8038</v>
      </c>
      <c r="G27" s="29" t="s">
        <v>77</v>
      </c>
      <c r="H27" s="31">
        <v>41.371864000000002</v>
      </c>
      <c r="I27" s="31">
        <v>2.173899</v>
      </c>
      <c r="J27" s="29">
        <v>5</v>
      </c>
      <c r="K27" s="29" t="s">
        <v>64</v>
      </c>
      <c r="L27" s="29" t="s">
        <v>65</v>
      </c>
      <c r="O27" s="32" t="str">
        <f t="shared" si="3"/>
        <v>A_SP_BCN_7_200729</v>
      </c>
      <c r="P27" s="33">
        <v>44041</v>
      </c>
      <c r="Q27" s="34">
        <v>0.65277777777777779</v>
      </c>
      <c r="R27" s="35"/>
      <c r="S27" s="36">
        <v>44048</v>
      </c>
      <c r="T27" s="37">
        <v>0.6875</v>
      </c>
      <c r="U27" s="38"/>
      <c r="V27" s="39" t="s">
        <v>66</v>
      </c>
      <c r="X27" s="29">
        <f t="shared" si="0"/>
        <v>7</v>
      </c>
      <c r="Y27" s="38"/>
      <c r="Z27" s="29" t="s">
        <v>68</v>
      </c>
      <c r="AA27" s="29">
        <f t="shared" si="2"/>
        <v>40</v>
      </c>
      <c r="AB27" s="29" t="s">
        <v>69</v>
      </c>
      <c r="AC27" s="29">
        <v>29</v>
      </c>
      <c r="AD27" s="29">
        <v>11</v>
      </c>
      <c r="AE27" s="29" t="s">
        <v>70</v>
      </c>
      <c r="AF27">
        <v>4</v>
      </c>
    </row>
    <row r="28" spans="1:33" x14ac:dyDescent="0.25">
      <c r="A28" s="28">
        <v>24</v>
      </c>
      <c r="B28" s="29" t="s">
        <v>60</v>
      </c>
      <c r="C28" s="29" t="s">
        <v>61</v>
      </c>
      <c r="D28" s="29" t="s">
        <v>62</v>
      </c>
      <c r="E28" s="29" t="s">
        <v>62</v>
      </c>
      <c r="F28" s="30">
        <v>8038</v>
      </c>
      <c r="G28" s="29" t="s">
        <v>77</v>
      </c>
      <c r="H28" s="31">
        <v>41.371864000000002</v>
      </c>
      <c r="I28" s="31">
        <v>2.173899</v>
      </c>
      <c r="J28" s="29">
        <v>5</v>
      </c>
      <c r="K28" s="29" t="s">
        <v>64</v>
      </c>
      <c r="L28" s="29" t="s">
        <v>65</v>
      </c>
      <c r="O28" s="32" t="str">
        <f>G28&amp;"_"&amp;TEXT(P28,"AAMMDD")</f>
        <v>A_SP_BCN_7_200729</v>
      </c>
      <c r="P28" s="33">
        <v>44041</v>
      </c>
      <c r="Q28" s="34">
        <v>0.65277777777777779</v>
      </c>
      <c r="R28" s="35"/>
      <c r="S28" s="36">
        <v>44048</v>
      </c>
      <c r="T28" s="37">
        <v>0.6875</v>
      </c>
      <c r="U28" s="38"/>
      <c r="V28" s="39" t="s">
        <v>66</v>
      </c>
      <c r="X28" s="29">
        <f t="shared" si="0"/>
        <v>7</v>
      </c>
      <c r="Y28" s="38"/>
      <c r="Z28" s="29" t="s">
        <v>75</v>
      </c>
      <c r="AA28" s="29">
        <f t="shared" si="2"/>
        <v>3</v>
      </c>
      <c r="AB28" s="29" t="s">
        <v>69</v>
      </c>
      <c r="AC28" s="29">
        <v>3</v>
      </c>
      <c r="AD28" s="29">
        <v>0</v>
      </c>
      <c r="AE28" s="29" t="s">
        <v>70</v>
      </c>
      <c r="AF28">
        <v>4</v>
      </c>
    </row>
    <row r="29" spans="1:33" x14ac:dyDescent="0.25">
      <c r="A29" s="28">
        <v>25</v>
      </c>
      <c r="B29" s="29" t="s">
        <v>60</v>
      </c>
      <c r="C29" s="29" t="s">
        <v>61</v>
      </c>
      <c r="D29" s="29" t="s">
        <v>62</v>
      </c>
      <c r="E29" s="29" t="s">
        <v>62</v>
      </c>
      <c r="F29" s="30">
        <v>8038</v>
      </c>
      <c r="G29" s="29" t="s">
        <v>78</v>
      </c>
      <c r="H29" s="31">
        <v>41.368589</v>
      </c>
      <c r="I29" s="31">
        <v>2.1620900000000001</v>
      </c>
      <c r="J29" s="29">
        <v>95</v>
      </c>
      <c r="K29" s="29" t="s">
        <v>64</v>
      </c>
      <c r="L29" s="29" t="s">
        <v>79</v>
      </c>
      <c r="M29" s="29" t="s">
        <v>80</v>
      </c>
      <c r="O29" s="32" t="str">
        <f t="shared" si="3"/>
        <v>A_SP_BCN_8_200729</v>
      </c>
      <c r="P29" s="33">
        <v>44041</v>
      </c>
      <c r="Q29" s="34">
        <v>0.625</v>
      </c>
      <c r="R29" s="35"/>
      <c r="S29" s="36">
        <v>44048</v>
      </c>
      <c r="T29" s="37">
        <v>0.63888888888888895</v>
      </c>
      <c r="U29" s="38"/>
      <c r="V29" s="39" t="s">
        <v>66</v>
      </c>
      <c r="X29" s="29">
        <f t="shared" si="0"/>
        <v>7</v>
      </c>
      <c r="Y29" s="38"/>
      <c r="Z29" s="29" t="s">
        <v>68</v>
      </c>
      <c r="AA29" s="29">
        <f t="shared" si="2"/>
        <v>121</v>
      </c>
      <c r="AB29" s="29" t="s">
        <v>69</v>
      </c>
      <c r="AC29" s="29">
        <v>85</v>
      </c>
      <c r="AD29" s="29">
        <v>36</v>
      </c>
      <c r="AE29" s="29" t="s">
        <v>70</v>
      </c>
      <c r="AF29">
        <v>4</v>
      </c>
    </row>
    <row r="30" spans="1:33" x14ac:dyDescent="0.25">
      <c r="A30" s="28">
        <v>26</v>
      </c>
      <c r="B30" s="29" t="s">
        <v>60</v>
      </c>
      <c r="C30" s="29" t="s">
        <v>61</v>
      </c>
      <c r="D30" s="29" t="s">
        <v>62</v>
      </c>
      <c r="E30" s="29" t="s">
        <v>62</v>
      </c>
      <c r="F30" s="30">
        <v>8038</v>
      </c>
      <c r="G30" s="29" t="s">
        <v>78</v>
      </c>
      <c r="H30" s="31">
        <v>41.368589</v>
      </c>
      <c r="I30" s="31">
        <v>2.1620900000000001</v>
      </c>
      <c r="J30" s="29">
        <v>95</v>
      </c>
      <c r="K30" s="29" t="s">
        <v>64</v>
      </c>
      <c r="L30" s="29" t="s">
        <v>79</v>
      </c>
      <c r="M30" s="29" t="s">
        <v>80</v>
      </c>
      <c r="O30" s="32" t="str">
        <f>G30&amp;"_"&amp;TEXT(P30,"AAMMDD")</f>
        <v>A_SP_BCN_8_200729</v>
      </c>
      <c r="P30" s="33">
        <v>44041</v>
      </c>
      <c r="Q30" s="34">
        <v>0.625</v>
      </c>
      <c r="R30" s="35"/>
      <c r="S30" s="36">
        <v>44048</v>
      </c>
      <c r="T30" s="37">
        <v>0.63888888888888895</v>
      </c>
      <c r="U30" s="38"/>
      <c r="V30" s="39" t="s">
        <v>66</v>
      </c>
      <c r="X30" s="29">
        <f t="shared" si="0"/>
        <v>7</v>
      </c>
      <c r="Y30" s="38"/>
      <c r="Z30" s="29" t="s">
        <v>75</v>
      </c>
      <c r="AA30" s="29">
        <f t="shared" si="2"/>
        <v>16</v>
      </c>
      <c r="AB30" s="29" t="s">
        <v>69</v>
      </c>
      <c r="AC30" s="29">
        <v>15</v>
      </c>
      <c r="AD30" s="29">
        <v>1</v>
      </c>
      <c r="AE30" s="29" t="s">
        <v>70</v>
      </c>
      <c r="AF30">
        <v>4</v>
      </c>
    </row>
    <row r="31" spans="1:33" x14ac:dyDescent="0.25">
      <c r="A31" s="28">
        <v>27</v>
      </c>
      <c r="B31" s="29" t="s">
        <v>60</v>
      </c>
      <c r="C31" s="29" t="s">
        <v>61</v>
      </c>
      <c r="D31" s="29" t="s">
        <v>62</v>
      </c>
      <c r="E31" s="29" t="s">
        <v>62</v>
      </c>
      <c r="F31" s="30">
        <v>8040</v>
      </c>
      <c r="G31" s="29" t="s">
        <v>83</v>
      </c>
      <c r="H31" s="31">
        <v>41.343685000000001</v>
      </c>
      <c r="I31" s="31">
        <v>2.1441490000000001</v>
      </c>
      <c r="J31" s="29">
        <v>4</v>
      </c>
      <c r="K31" s="29" t="s">
        <v>64</v>
      </c>
      <c r="L31" s="29" t="s">
        <v>65</v>
      </c>
      <c r="O31" s="32" t="str">
        <f t="shared" si="3"/>
        <v>A_SP_BCN_10_200729</v>
      </c>
      <c r="P31" s="33">
        <v>44041</v>
      </c>
      <c r="Q31" s="34">
        <v>0.66666666666666663</v>
      </c>
      <c r="R31" s="35"/>
      <c r="S31" s="36">
        <v>44048</v>
      </c>
      <c r="T31" s="37">
        <v>0.70138888888888884</v>
      </c>
      <c r="U31" s="38"/>
      <c r="V31" s="39" t="s">
        <v>66</v>
      </c>
      <c r="X31" s="29">
        <f t="shared" si="0"/>
        <v>7</v>
      </c>
      <c r="Y31" s="38"/>
      <c r="Z31" s="29" t="s">
        <v>68</v>
      </c>
      <c r="AA31" s="29">
        <f t="shared" si="2"/>
        <v>92</v>
      </c>
      <c r="AB31" s="29" t="s">
        <v>69</v>
      </c>
      <c r="AC31" s="29">
        <v>68</v>
      </c>
      <c r="AD31" s="29">
        <v>24</v>
      </c>
      <c r="AE31" s="29" t="s">
        <v>70</v>
      </c>
      <c r="AF31">
        <v>4</v>
      </c>
    </row>
    <row r="32" spans="1:33" x14ac:dyDescent="0.25">
      <c r="A32" s="28">
        <v>28</v>
      </c>
      <c r="B32" s="29" t="s">
        <v>60</v>
      </c>
      <c r="C32" s="29" t="s">
        <v>61</v>
      </c>
      <c r="D32" s="29" t="s">
        <v>62</v>
      </c>
      <c r="E32" s="29" t="s">
        <v>62</v>
      </c>
      <c r="F32" s="30">
        <v>8040</v>
      </c>
      <c r="G32" s="29" t="s">
        <v>83</v>
      </c>
      <c r="H32" s="31">
        <v>41.343685000000001</v>
      </c>
      <c r="I32" s="31">
        <v>2.1441490000000001</v>
      </c>
      <c r="J32" s="29">
        <v>4</v>
      </c>
      <c r="K32" s="29" t="s">
        <v>64</v>
      </c>
      <c r="L32" s="29" t="s">
        <v>65</v>
      </c>
      <c r="O32" s="32" t="str">
        <f>G32&amp;"_"&amp;TEXT(P32,"AAMMDD")</f>
        <v>A_SP_BCN_10_200729</v>
      </c>
      <c r="P32" s="33">
        <v>44041</v>
      </c>
      <c r="Q32" s="34">
        <v>0.66666666666666663</v>
      </c>
      <c r="R32" s="35"/>
      <c r="S32" s="36">
        <v>44048</v>
      </c>
      <c r="T32" s="37">
        <v>0.70138888888888884</v>
      </c>
      <c r="U32" s="38"/>
      <c r="V32" s="39" t="s">
        <v>66</v>
      </c>
      <c r="X32" s="29">
        <f t="shared" si="0"/>
        <v>7</v>
      </c>
      <c r="Y32" s="38"/>
      <c r="Z32" s="29" t="s">
        <v>75</v>
      </c>
      <c r="AA32" s="29">
        <f t="shared" si="2"/>
        <v>45</v>
      </c>
      <c r="AB32" s="29" t="s">
        <v>69</v>
      </c>
      <c r="AC32" s="29">
        <v>45</v>
      </c>
      <c r="AD32" s="29">
        <v>0</v>
      </c>
      <c r="AE32" s="29" t="s">
        <v>70</v>
      </c>
      <c r="AF32">
        <v>4</v>
      </c>
    </row>
    <row r="33" spans="1:33" x14ac:dyDescent="0.25">
      <c r="A33" s="28">
        <v>29</v>
      </c>
      <c r="B33" s="29" t="s">
        <v>60</v>
      </c>
      <c r="C33" s="29" t="s">
        <v>61</v>
      </c>
      <c r="D33" s="29" t="s">
        <v>62</v>
      </c>
      <c r="E33" s="29" t="s">
        <v>62</v>
      </c>
      <c r="F33" s="30">
        <v>8038</v>
      </c>
      <c r="G33" s="29" t="s">
        <v>85</v>
      </c>
      <c r="H33" s="31">
        <v>41.367429999999999</v>
      </c>
      <c r="I33" s="31">
        <v>2.1569609999999999</v>
      </c>
      <c r="J33" s="29">
        <v>91</v>
      </c>
      <c r="K33" s="29" t="s">
        <v>64</v>
      </c>
      <c r="L33" s="29" t="s">
        <v>79</v>
      </c>
      <c r="M33" s="29" t="s">
        <v>82</v>
      </c>
      <c r="O33" s="32" t="str">
        <f t="shared" si="3"/>
        <v>A_SP_BCN_11_200728</v>
      </c>
      <c r="P33" s="33">
        <v>44040</v>
      </c>
      <c r="Q33" s="34">
        <v>0.41666666666666669</v>
      </c>
      <c r="R33" s="35"/>
      <c r="S33" s="36">
        <v>44048</v>
      </c>
      <c r="T33" s="37">
        <v>0.61458333333333337</v>
      </c>
      <c r="U33" s="38"/>
      <c r="V33" s="39" t="s">
        <v>66</v>
      </c>
      <c r="X33" s="29">
        <f t="shared" si="0"/>
        <v>8</v>
      </c>
      <c r="Y33" s="38"/>
      <c r="Z33" s="29" t="s">
        <v>68</v>
      </c>
      <c r="AA33" s="29">
        <f t="shared" si="2"/>
        <v>69</v>
      </c>
      <c r="AB33" s="29" t="s">
        <v>69</v>
      </c>
      <c r="AC33" s="29">
        <v>46</v>
      </c>
      <c r="AD33" s="29">
        <v>23</v>
      </c>
      <c r="AE33" s="29" t="s">
        <v>70</v>
      </c>
      <c r="AF33">
        <v>4</v>
      </c>
    </row>
    <row r="34" spans="1:33" x14ac:dyDescent="0.25">
      <c r="A34" s="28">
        <v>30</v>
      </c>
      <c r="B34" s="29" t="s">
        <v>60</v>
      </c>
      <c r="C34" s="29" t="s">
        <v>61</v>
      </c>
      <c r="D34" s="29" t="s">
        <v>62</v>
      </c>
      <c r="E34" s="29" t="s">
        <v>62</v>
      </c>
      <c r="F34" s="30">
        <v>8038</v>
      </c>
      <c r="G34" s="29" t="s">
        <v>86</v>
      </c>
      <c r="H34" s="31">
        <v>41.363377999999997</v>
      </c>
      <c r="I34" s="31">
        <v>2.164879</v>
      </c>
      <c r="J34" s="29">
        <v>185</v>
      </c>
      <c r="K34" s="29" t="s">
        <v>64</v>
      </c>
      <c r="L34" s="29" t="s">
        <v>79</v>
      </c>
      <c r="M34" s="29" t="s">
        <v>82</v>
      </c>
      <c r="O34" s="32" t="str">
        <f t="shared" si="3"/>
        <v>A_SP_BCN_12_200728</v>
      </c>
      <c r="P34" s="33">
        <v>44040</v>
      </c>
      <c r="Q34" s="34">
        <v>0.43402777777777773</v>
      </c>
      <c r="R34" s="35"/>
      <c r="S34" s="36">
        <v>44048</v>
      </c>
      <c r="T34" s="37">
        <v>0.66666666666666663</v>
      </c>
      <c r="U34" s="38"/>
      <c r="V34" s="39" t="s">
        <v>66</v>
      </c>
      <c r="X34" s="29">
        <f t="shared" si="0"/>
        <v>8</v>
      </c>
      <c r="Y34" s="38"/>
      <c r="Z34" s="29" t="s">
        <v>68</v>
      </c>
      <c r="AA34" s="29">
        <f t="shared" si="2"/>
        <v>24</v>
      </c>
      <c r="AB34" s="29" t="s">
        <v>69</v>
      </c>
      <c r="AC34" s="29">
        <v>17</v>
      </c>
      <c r="AD34" s="29">
        <v>7</v>
      </c>
      <c r="AE34" s="29" t="s">
        <v>70</v>
      </c>
      <c r="AF34">
        <v>4</v>
      </c>
    </row>
    <row r="35" spans="1:33" x14ac:dyDescent="0.25">
      <c r="A35" s="28">
        <v>31</v>
      </c>
      <c r="B35" s="29" t="s">
        <v>60</v>
      </c>
      <c r="C35" s="29" t="s">
        <v>61</v>
      </c>
      <c r="D35" s="29" t="s">
        <v>62</v>
      </c>
      <c r="E35" s="29" t="s">
        <v>62</v>
      </c>
      <c r="F35" s="30">
        <v>8038</v>
      </c>
      <c r="G35" s="29" t="s">
        <v>86</v>
      </c>
      <c r="H35" s="31">
        <v>41.363377999999997</v>
      </c>
      <c r="I35" s="31">
        <v>2.164879</v>
      </c>
      <c r="J35" s="29">
        <v>185</v>
      </c>
      <c r="K35" s="29" t="s">
        <v>64</v>
      </c>
      <c r="L35" s="29" t="s">
        <v>79</v>
      </c>
      <c r="M35" s="29" t="s">
        <v>82</v>
      </c>
      <c r="O35" s="32" t="str">
        <f t="shared" si="3"/>
        <v>A_SP_BCN_12_200728</v>
      </c>
      <c r="P35" s="33">
        <v>44040</v>
      </c>
      <c r="Q35" s="34">
        <v>0.43402777777777773</v>
      </c>
      <c r="R35" s="35"/>
      <c r="S35" s="36">
        <v>44048</v>
      </c>
      <c r="T35" s="37">
        <v>0.66666666666666663</v>
      </c>
      <c r="U35" s="38"/>
      <c r="V35" s="39" t="s">
        <v>66</v>
      </c>
      <c r="X35" s="29">
        <f t="shared" si="0"/>
        <v>8</v>
      </c>
      <c r="Y35" s="38"/>
      <c r="Z35" s="29" t="s">
        <v>75</v>
      </c>
      <c r="AA35" s="29">
        <f t="shared" si="2"/>
        <v>56</v>
      </c>
      <c r="AB35" s="29" t="s">
        <v>69</v>
      </c>
      <c r="AC35" s="29">
        <v>46</v>
      </c>
      <c r="AD35" s="29">
        <v>10</v>
      </c>
      <c r="AE35" s="29" t="s">
        <v>70</v>
      </c>
      <c r="AF35">
        <v>4</v>
      </c>
    </row>
    <row r="36" spans="1:33" x14ac:dyDescent="0.25">
      <c r="A36" s="28">
        <v>32</v>
      </c>
      <c r="B36" s="29" t="s">
        <v>60</v>
      </c>
      <c r="C36" s="29" t="s">
        <v>61</v>
      </c>
      <c r="D36" s="29" t="s">
        <v>62</v>
      </c>
      <c r="E36" s="29" t="s">
        <v>62</v>
      </c>
      <c r="F36" s="30">
        <v>8038</v>
      </c>
      <c r="G36" s="29" t="s">
        <v>86</v>
      </c>
      <c r="H36" s="31">
        <v>41.363377999999997</v>
      </c>
      <c r="I36" s="31">
        <v>2.164879</v>
      </c>
      <c r="J36" s="29">
        <v>185</v>
      </c>
      <c r="K36" s="29" t="s">
        <v>64</v>
      </c>
      <c r="L36" s="29" t="s">
        <v>79</v>
      </c>
      <c r="M36" s="29" t="s">
        <v>82</v>
      </c>
      <c r="O36" s="32" t="str">
        <f t="shared" si="3"/>
        <v>A_SP_BCN_12_200728</v>
      </c>
      <c r="P36" s="33">
        <v>44040</v>
      </c>
      <c r="Q36" s="34">
        <v>0.43402777777777773</v>
      </c>
      <c r="R36" s="35"/>
      <c r="S36" s="36">
        <v>44048</v>
      </c>
      <c r="T36" s="37">
        <v>0.66666666666666663</v>
      </c>
      <c r="U36" s="38"/>
      <c r="V36" s="39" t="s">
        <v>66</v>
      </c>
      <c r="X36" s="29">
        <f t="shared" si="0"/>
        <v>8</v>
      </c>
      <c r="Y36" s="38"/>
      <c r="Z36" s="29" t="s">
        <v>84</v>
      </c>
      <c r="AA36" s="29">
        <f t="shared" si="2"/>
        <v>7</v>
      </c>
      <c r="AB36" s="29" t="s">
        <v>69</v>
      </c>
      <c r="AC36" s="29">
        <v>2</v>
      </c>
      <c r="AD36" s="29">
        <v>5</v>
      </c>
      <c r="AE36" s="29" t="s">
        <v>70</v>
      </c>
      <c r="AF36">
        <v>4</v>
      </c>
    </row>
    <row r="37" spans="1:33" x14ac:dyDescent="0.25">
      <c r="A37" s="28">
        <v>33</v>
      </c>
      <c r="B37" s="29" t="s">
        <v>60</v>
      </c>
      <c r="C37" s="29" t="s">
        <v>61</v>
      </c>
      <c r="D37" s="29" t="s">
        <v>62</v>
      </c>
      <c r="E37" s="29" t="s">
        <v>62</v>
      </c>
      <c r="F37" s="30" cm="1">
        <f t="array" ref="F37">_xlfn.IFS($G37=$G$5,F$5,$G37=$G$6,F$6,$G37=$G$7,F$7,$G37=$G$8,F$8,$G37=$G$9,F$9,$G37=$G$10,F$10,$G37=$G$11,F$11,$G37=$G$13,F$13,$G37=$G$15,F$15,$G37=$G$16,F$16,$G37=$G$33,F$33,$G37=$G$34,F$34,$G37=$G$248,F$248,$G37=$G$250,F$250)</f>
        <v>8035</v>
      </c>
      <c r="G37" s="29" t="s">
        <v>71</v>
      </c>
      <c r="H37" s="31" cm="1">
        <f t="array" ref="H37">_xlfn.IFS($G37=$G$5,H$5,$G37=$G$6,H$6,$G37=$G$7,H$7,$G37=$G$8,H$8,$G37=$G$9,H$9,$G37=$G$10,H$10,$G37=$G$11,H$11,$G37=$G$13,H$13,$G37=$G$15,H$15,$G37=$G$16,H$16,$G37=$G$33,H$33,$G37=$G$34,H$34,$G37=$G$248,H$248,$G37=$G$250,H$250)</f>
        <v>41.424387000000003</v>
      </c>
      <c r="I37" s="31" cm="1">
        <f t="array" ref="I37">_xlfn.IFS($G37=$G$5,I$5,$G37=$G$6,I$6,$G37=$G$7,I$7,$G37=$G$8,I$8,$G37=$G$9,I$9,$G37=$G$10,I$10,$G37=$G$11,I$11,$G37=$G$13,I$13,$G37=$G$15,I$15,$G37=$G$16,I$16,$G37=$G$33,I$33,$G37=$G$34,I$34,$G37=$G$248,I$248,$G37=$G$250,I$250)</f>
        <v>2.1431439999999999</v>
      </c>
      <c r="J37" s="29" cm="1">
        <f t="array" ref="J37">_xlfn.IFS($G37=$G$5,J$5,$G37=$G$6,J$6,$G37=$G$7,J$7,$G37=$G$8,J$8,$G37=$G$9,J$9,$G37=$G$10,J$10,$G37=$G$11,J$11,$G37=$G$13,J$13,$G37=$G$15,J$15,$G37=$G$16,J$16,$G37=$G$33,J$33,$G37=$G$34,J$34,$G37=$G$248,J$248,$G37=$G$250,J$250)</f>
        <v>160</v>
      </c>
      <c r="K37" s="29" t="str" cm="1">
        <f t="array" ref="K37">_xlfn.IFS($G37=$G$5,K$5,$G37=$G$6,K$6,$G37=$G$7,K$7,$G37=$G$8,K$8,$G37=$G$9,K$9,$G37=$G$10,K$10,$G37=$G$11,K$11,$G37=$G$13,K$13,$G37=$G$15,K$15,$G37=$G$16,K$16,$G37=$G$33,K$33,$G37=$G$34,K$34,$G37=$G$248,K$248,$G37=$G$250,K$250)</f>
        <v>BG sentinel + BG lure7</v>
      </c>
      <c r="L37" s="29" t="str" cm="1">
        <f t="array" ref="L37">_xlfn.IFS($G37=$G$5,L$5,$G37=$G$6,L$6,$G37=$G$7,L$7,$G37=$G$8,L$8,$G37=$G$9,L$9,$G37=$G$10,L$10,$G37=$G$11,L$11,$G37=$G$13,L$13,$G37=$G$15,L$15,$G37=$G$16,L$16,$G37=$G$33,L$33,$G37=$G$34,L$34,$G37=$G$248,L$248,$G37=$G$250,L$250)</f>
        <v>Urban habitat</v>
      </c>
      <c r="O37" s="32" t="str">
        <f t="shared" si="3"/>
        <v>A_SP_BCN_2_200805</v>
      </c>
      <c r="P37" s="33">
        <v>44048</v>
      </c>
      <c r="Q37" s="34">
        <v>0.58333333333333337</v>
      </c>
      <c r="R37" s="35"/>
      <c r="S37" s="36">
        <v>44055</v>
      </c>
      <c r="T37" s="37">
        <v>0.54166666666666663</v>
      </c>
      <c r="U37" s="38"/>
      <c r="V37" s="39" t="s">
        <v>66</v>
      </c>
      <c r="X37" s="29">
        <f t="shared" si="0"/>
        <v>7</v>
      </c>
      <c r="Y37" s="38"/>
      <c r="Z37" s="29" t="s">
        <v>68</v>
      </c>
      <c r="AA37" s="29">
        <f t="shared" si="2"/>
        <v>7</v>
      </c>
      <c r="AB37" s="29" t="s">
        <v>69</v>
      </c>
      <c r="AC37" s="29">
        <v>5</v>
      </c>
      <c r="AD37" s="29">
        <v>2</v>
      </c>
      <c r="AE37" s="29" t="s">
        <v>70</v>
      </c>
      <c r="AF37">
        <v>4</v>
      </c>
      <c r="AG37" s="40"/>
    </row>
    <row r="38" spans="1:33" x14ac:dyDescent="0.25">
      <c r="A38" s="28">
        <v>34</v>
      </c>
      <c r="B38" s="29" t="s">
        <v>60</v>
      </c>
      <c r="C38" s="29" t="s">
        <v>61</v>
      </c>
      <c r="D38" s="29" t="s">
        <v>62</v>
      </c>
      <c r="E38" s="29" t="s">
        <v>62</v>
      </c>
      <c r="F38" s="30" cm="1">
        <f t="array" ref="F38">_xlfn.IFS($G38=$G$5,F$5,$G38=$G$6,F$6,$G38=$G$7,F$7,$G38=$G$8,F$8,$G38=$G$9,F$9,$G38=$G$10,F$10,$G38=$G$11,F$11,$G38=$G$13,F$13,$G38=$G$15,F$15,$G38=$G$16,F$16,$G38=$G$33,F$33,$G38=$G$34,F$34,$G38=$G$248,F$248,$G38=$G$250,F$250)</f>
        <v>8016</v>
      </c>
      <c r="G38" s="29" t="s">
        <v>72</v>
      </c>
      <c r="H38" s="31" cm="1">
        <f t="array" ref="H38">_xlfn.IFS($G38=$G$5,H$5,$G38=$G$6,H$6,$G38=$G$7,H$7,$G38=$G$8,H$8,$G38=$G$9,H$9,$G38=$G$10,H$10,$G38=$G$11,H$11,$G38=$G$13,H$13,$G38=$G$15,H$15,$G38=$G$16,H$16,$G38=$G$33,H$33,$G38=$G$34,H$34,$G38=$G$248,H$248,$G38=$G$250,H$250)</f>
        <v>41.437435000000001</v>
      </c>
      <c r="I38" s="31" cm="1">
        <f t="array" ref="I38">_xlfn.IFS($G38=$G$5,I$5,$G38=$G$6,I$6,$G38=$G$7,I$7,$G38=$G$8,I$8,$G38=$G$9,I$9,$G38=$G$10,I$10,$G38=$G$11,I$11,$G38=$G$13,I$13,$G38=$G$15,I$15,$G38=$G$16,I$16,$G38=$G$33,I$33,$G38=$G$34,I$34,$G38=$G$248,I$248,$G38=$G$250,I$250)</f>
        <v>2.1812779999999998</v>
      </c>
      <c r="J38" s="29" cm="1">
        <f t="array" ref="J38">_xlfn.IFS($G38=$G$5,J$5,$G38=$G$6,J$6,$G38=$G$7,J$7,$G38=$G$8,J$8,$G38=$G$9,J$9,$G38=$G$10,J$10,$G38=$G$11,J$11,$G38=$G$13,J$13,$G38=$G$15,J$15,$G38=$G$16,J$16,$G38=$G$33,J$33,$G38=$G$34,J$34,$G38=$G$248,J$248,$G38=$G$250,J$250)</f>
        <v>47</v>
      </c>
      <c r="K38" s="29" t="str" cm="1">
        <f t="array" ref="K38">_xlfn.IFS($G38=$G$5,K$5,$G38=$G$6,K$6,$G38=$G$7,K$7,$G38=$G$8,K$8,$G38=$G$9,K$9,$G38=$G$10,K$10,$G38=$G$11,K$11,$G38=$G$13,K$13,$G38=$G$15,K$15,$G38=$G$16,K$16,$G38=$G$33,K$33,$G38=$G$34,K$34,$G38=$G$248,K$248,$G38=$G$250,K$250)</f>
        <v>BG sentinel + BG lure7</v>
      </c>
      <c r="L38" s="29" t="str" cm="1">
        <f t="array" ref="L38">_xlfn.IFS($G38=$G$5,L$5,$G38=$G$6,L$6,$G38=$G$7,L$7,$G38=$G$8,L$8,$G38=$G$9,L$9,$G38=$G$10,L$10,$G38=$G$11,L$11,$G38=$G$13,L$13,$G38=$G$15,L$15,$G38=$G$16,L$16,$G38=$G$33,L$33,$G38=$G$34,L$34,$G38=$G$248,L$248,$G38=$G$250,L$250)</f>
        <v>Urban habitat</v>
      </c>
      <c r="O38" s="32" t="str">
        <f t="shared" si="3"/>
        <v>A_SP_BCN_3_200805</v>
      </c>
      <c r="P38" s="33">
        <v>44048</v>
      </c>
      <c r="Q38" s="34">
        <v>0.54166666666666663</v>
      </c>
      <c r="R38" s="35"/>
      <c r="S38" s="36">
        <v>44055</v>
      </c>
      <c r="T38" s="37">
        <v>0.49305555555555558</v>
      </c>
      <c r="U38" s="38"/>
      <c r="V38" s="39" t="s">
        <v>66</v>
      </c>
      <c r="X38" s="29">
        <f t="shared" si="0"/>
        <v>7</v>
      </c>
      <c r="Y38" s="38"/>
      <c r="Z38" s="29" t="s">
        <v>68</v>
      </c>
      <c r="AA38" s="29">
        <f t="shared" si="2"/>
        <v>35</v>
      </c>
      <c r="AB38" s="29" t="s">
        <v>69</v>
      </c>
      <c r="AC38" s="29">
        <v>24</v>
      </c>
      <c r="AD38" s="29">
        <v>11</v>
      </c>
      <c r="AE38" s="29" t="s">
        <v>70</v>
      </c>
      <c r="AF38">
        <v>4</v>
      </c>
      <c r="AG38" s="40"/>
    </row>
    <row r="39" spans="1:33" x14ac:dyDescent="0.25">
      <c r="A39" s="28">
        <v>35</v>
      </c>
      <c r="B39" s="29" t="s">
        <v>60</v>
      </c>
      <c r="C39" s="29" t="s">
        <v>61</v>
      </c>
      <c r="D39" s="29" t="s">
        <v>62</v>
      </c>
      <c r="E39" s="29" t="s">
        <v>62</v>
      </c>
      <c r="F39" s="30" cm="1">
        <f t="array" ref="F39">_xlfn.IFS($G39=$G$5,F$5,$G39=$G$6,F$6,$G39=$G$7,F$7,$G39=$G$8,F$8,$G39=$G$9,F$9,$G39=$G$10,F$10,$G39=$G$11,F$11,$G39=$G$13,F$13,$G39=$G$15,F$15,$G39=$G$16,F$16,$G39=$G$33,F$33,$G39=$G$34,F$34,$G39=$G$248,F$248,$G39=$G$250,F$250)</f>
        <v>8016</v>
      </c>
      <c r="G39" s="29" t="s">
        <v>72</v>
      </c>
      <c r="H39" s="31" cm="1">
        <f t="array" ref="H39">_xlfn.IFS($G39=$G$5,H$5,$G39=$G$6,H$6,$G39=$G$7,H$7,$G39=$G$8,H$8,$G39=$G$9,H$9,$G39=$G$10,H$10,$G39=$G$11,H$11,$G39=$G$13,H$13,$G39=$G$15,H$15,$G39=$G$16,H$16,$G39=$G$33,H$33,$G39=$G$34,H$34,$G39=$G$248,H$248,$G39=$G$250,H$250)</f>
        <v>41.437435000000001</v>
      </c>
      <c r="I39" s="31" cm="1">
        <f t="array" ref="I39">_xlfn.IFS($G39=$G$5,I$5,$G39=$G$6,I$6,$G39=$G$7,I$7,$G39=$G$8,I$8,$G39=$G$9,I$9,$G39=$G$10,I$10,$G39=$G$11,I$11,$G39=$G$13,I$13,$G39=$G$15,I$15,$G39=$G$16,I$16,$G39=$G$33,I$33,$G39=$G$34,I$34,$G39=$G$248,I$248,$G39=$G$250,I$250)</f>
        <v>2.1812779999999998</v>
      </c>
      <c r="J39" s="29" cm="1">
        <f t="array" ref="J39">_xlfn.IFS($G39=$G$5,J$5,$G39=$G$6,J$6,$G39=$G$7,J$7,$G39=$G$8,J$8,$G39=$G$9,J$9,$G39=$G$10,J$10,$G39=$G$11,J$11,$G39=$G$13,J$13,$G39=$G$15,J$15,$G39=$G$16,J$16,$G39=$G$33,J$33,$G39=$G$34,J$34,$G39=$G$248,J$248,$G39=$G$250,J$250)</f>
        <v>47</v>
      </c>
      <c r="K39" s="29" t="str" cm="1">
        <f t="array" ref="K39">_xlfn.IFS($G39=$G$5,K$5,$G39=$G$6,K$6,$G39=$G$7,K$7,$G39=$G$8,K$8,$G39=$G$9,K$9,$G39=$G$10,K$10,$G39=$G$11,K$11,$G39=$G$13,K$13,$G39=$G$15,K$15,$G39=$G$16,K$16,$G39=$G$33,K$33,$G39=$G$34,K$34,$G39=$G$248,K$248,$G39=$G$250,K$250)</f>
        <v>BG sentinel + BG lure7</v>
      </c>
      <c r="L39" s="29" t="str" cm="1">
        <f t="array" ref="L39">_xlfn.IFS($G39=$G$5,L$5,$G39=$G$6,L$6,$G39=$G$7,L$7,$G39=$G$8,L$8,$G39=$G$9,L$9,$G39=$G$10,L$10,$G39=$G$11,L$11,$G39=$G$13,L$13,$G39=$G$15,L$15,$G39=$G$16,L$16,$G39=$G$33,L$33,$G39=$G$34,L$34,$G39=$G$248,L$248,$G39=$G$250,L$250)</f>
        <v>Urban habitat</v>
      </c>
      <c r="O39" s="32" t="str">
        <f t="shared" si="3"/>
        <v>A_SP_BCN_3_200805</v>
      </c>
      <c r="P39" s="33">
        <v>44048</v>
      </c>
      <c r="Q39" s="34">
        <v>0.54166666666666663</v>
      </c>
      <c r="R39" s="35"/>
      <c r="S39" s="36">
        <v>44055</v>
      </c>
      <c r="T39" s="37">
        <v>0.49305555555555558</v>
      </c>
      <c r="U39" s="38"/>
      <c r="V39" s="39" t="s">
        <v>66</v>
      </c>
      <c r="X39" s="29">
        <f t="shared" si="0"/>
        <v>7</v>
      </c>
      <c r="Y39" s="38"/>
      <c r="Z39" s="29" t="s">
        <v>75</v>
      </c>
      <c r="AA39" s="29">
        <f t="shared" si="2"/>
        <v>14</v>
      </c>
      <c r="AB39" s="29" t="s">
        <v>69</v>
      </c>
      <c r="AC39" s="29">
        <v>11</v>
      </c>
      <c r="AD39" s="29">
        <v>3</v>
      </c>
      <c r="AE39" s="29" t="s">
        <v>70</v>
      </c>
      <c r="AF39">
        <v>4</v>
      </c>
      <c r="AG39" s="40"/>
    </row>
    <row r="40" spans="1:33" x14ac:dyDescent="0.25">
      <c r="A40" s="28">
        <v>36</v>
      </c>
      <c r="B40" s="29" t="s">
        <v>60</v>
      </c>
      <c r="C40" s="29" t="s">
        <v>61</v>
      </c>
      <c r="D40" s="29" t="s">
        <v>62</v>
      </c>
      <c r="E40" s="29" t="s">
        <v>62</v>
      </c>
      <c r="F40" s="30" cm="1">
        <f t="array" ref="F40">_xlfn.IFS($G40=$G$5,F$5,$G40=$G$6,F$6,$G40=$G$7,F$7,$G40=$G$8,F$8,$G40=$G$9,F$9,$G40=$G$10,F$10,$G40=$G$11,F$11,$G40=$G$13,F$13,$G40=$G$15,F$15,$G40=$G$16,F$16,$G40=$G$33,F$33,$G40=$G$34,F$34,$G40=$G$248,F$248,$G40=$G$250,F$250)</f>
        <v>8018</v>
      </c>
      <c r="G40" s="29" t="s">
        <v>73</v>
      </c>
      <c r="H40" s="31" cm="1">
        <f t="array" ref="H40">_xlfn.IFS($G40=$G$5,H$5,$G40=$G$6,H$6,$G40=$G$7,H$7,$G40=$G$8,H$8,$G40=$G$9,H$9,$G40=$G$10,H$10,$G40=$G$11,H$11,$G40=$G$13,H$13,$G40=$G$15,H$15,$G40=$G$16,H$16,$G40=$G$33,H$33,$G40=$G$34,H$34,$G40=$G$248,H$248,$G40=$G$250,H$250)</f>
        <v>41.404924999999999</v>
      </c>
      <c r="I40" s="31" cm="1">
        <f t="array" ref="I40">_xlfn.IFS($G40=$G$5,I$5,$G40=$G$6,I$6,$G40=$G$7,I$7,$G40=$G$8,I$8,$G40=$G$9,I$9,$G40=$G$10,I$10,$G40=$G$11,I$11,$G40=$G$13,I$13,$G40=$G$15,I$15,$G40=$G$16,I$16,$G40=$G$33,I$33,$G40=$G$34,I$34,$G40=$G$248,I$248,$G40=$G$250,I$250)</f>
        <v>2.1987909999999999</v>
      </c>
      <c r="J40" s="29" cm="1">
        <f t="array" ref="J40">_xlfn.IFS($G40=$G$5,J$5,$G40=$G$6,J$6,$G40=$G$7,J$7,$G40=$G$8,J$8,$G40=$G$9,J$9,$G40=$G$10,J$10,$G40=$G$11,J$11,$G40=$G$13,J$13,$G40=$G$15,J$15,$G40=$G$16,J$16,$G40=$G$33,J$33,$G40=$G$34,J$34,$G40=$G$248,J$248,$G40=$G$250,J$250)</f>
        <v>4</v>
      </c>
      <c r="K40" s="29" t="str" cm="1">
        <f t="array" ref="K40">_xlfn.IFS($G40=$G$5,K$5,$G40=$G$6,K$6,$G40=$G$7,K$7,$G40=$G$8,K$8,$G40=$G$9,K$9,$G40=$G$10,K$10,$G40=$G$11,K$11,$G40=$G$13,K$13,$G40=$G$15,K$15,$G40=$G$16,K$16,$G40=$G$33,K$33,$G40=$G$34,K$34,$G40=$G$248,K$248,$G40=$G$250,K$250)</f>
        <v>BG sentinel + BG lure7</v>
      </c>
      <c r="L40" s="29" t="str" cm="1">
        <f t="array" ref="L40">_xlfn.IFS($G40=$G$5,L$5,$G40=$G$6,L$6,$G40=$G$7,L$7,$G40=$G$8,L$8,$G40=$G$9,L$9,$G40=$G$10,L$10,$G40=$G$11,L$11,$G40=$G$13,L$13,$G40=$G$15,L$15,$G40=$G$16,L$16,$G40=$G$33,L$33,$G40=$G$34,L$34,$G40=$G$248,L$248,$G40=$G$250,L$250)</f>
        <v>Urban habitat</v>
      </c>
      <c r="O40" s="32" t="str">
        <f t="shared" si="3"/>
        <v>A_SP_BCN_4_200805</v>
      </c>
      <c r="P40" s="33">
        <v>44048</v>
      </c>
      <c r="Q40" s="34">
        <v>0.47916666666666669</v>
      </c>
      <c r="R40" s="35"/>
      <c r="S40" s="36">
        <v>44055</v>
      </c>
      <c r="T40" s="37">
        <v>0.47222222222222227</v>
      </c>
      <c r="U40" s="38"/>
      <c r="V40" s="39" t="s">
        <v>66</v>
      </c>
      <c r="X40" s="29">
        <f t="shared" si="0"/>
        <v>7</v>
      </c>
      <c r="Y40" s="38"/>
      <c r="Z40" s="29" t="s">
        <v>68</v>
      </c>
      <c r="AA40" s="29">
        <f t="shared" si="2"/>
        <v>31</v>
      </c>
      <c r="AB40" s="29" t="s">
        <v>69</v>
      </c>
      <c r="AC40" s="29">
        <v>22</v>
      </c>
      <c r="AD40" s="29">
        <v>9</v>
      </c>
      <c r="AE40" s="29" t="s">
        <v>70</v>
      </c>
      <c r="AF40">
        <v>4</v>
      </c>
    </row>
    <row r="41" spans="1:33" x14ac:dyDescent="0.25">
      <c r="A41" s="28">
        <v>37</v>
      </c>
      <c r="B41" s="29" t="s">
        <v>60</v>
      </c>
      <c r="C41" s="29" t="s">
        <v>61</v>
      </c>
      <c r="D41" s="29" t="s">
        <v>62</v>
      </c>
      <c r="E41" s="29" t="s">
        <v>62</v>
      </c>
      <c r="F41" s="30" cm="1">
        <f t="array" ref="F41">_xlfn.IFS($G41=$G$5,F$5,$G41=$G$6,F$6,$G41=$G$7,F$7,$G41=$G$8,F$8,$G41=$G$9,F$9,$G41=$G$10,F$10,$G41=$G$11,F$11,$G41=$G$13,F$13,$G41=$G$15,F$15,$G41=$G$16,F$16,$G41=$G$33,F$33,$G41=$G$34,F$34,$G41=$G$248,F$248,$G41=$G$250,F$250)</f>
        <v>8019</v>
      </c>
      <c r="G41" s="29" t="s">
        <v>74</v>
      </c>
      <c r="H41" s="31" cm="1">
        <f t="array" ref="H41">_xlfn.IFS($G41=$G$5,H$5,$G41=$G$6,H$6,$G41=$G$7,H$7,$G41=$G$8,H$8,$G41=$G$9,H$9,$G41=$G$10,H$10,$G41=$G$11,H$11,$G41=$G$13,H$13,$G41=$G$15,H$15,$G41=$G$16,H$16,$G41=$G$33,H$33,$G41=$G$34,H$34,$G41=$G$248,H$248,$G41=$G$250,H$250)</f>
        <v>41.410684000000003</v>
      </c>
      <c r="I41" s="31" cm="1">
        <f t="array" ref="I41">_xlfn.IFS($G41=$G$5,I$5,$G41=$G$6,I$6,$G41=$G$7,I$7,$G41=$G$8,I$8,$G41=$G$9,I$9,$G41=$G$10,I$10,$G41=$G$11,I$11,$G41=$G$13,I$13,$G41=$G$15,I$15,$G41=$G$16,I$16,$G41=$G$33,I$33,$G41=$G$34,I$34,$G41=$G$248,I$248,$G41=$G$250,I$250)</f>
        <v>2.2208019999999999</v>
      </c>
      <c r="J41" s="29" cm="1">
        <f t="array" ref="J41">_xlfn.IFS($G41=$G$5,J$5,$G41=$G$6,J$6,$G41=$G$7,J$7,$G41=$G$8,J$8,$G41=$G$9,J$9,$G41=$G$10,J$10,$G41=$G$11,J$11,$G41=$G$13,J$13,$G41=$G$15,J$15,$G41=$G$16,J$16,$G41=$G$33,J$33,$G41=$G$34,J$34,$G41=$G$248,J$248,$G41=$G$250,J$250)</f>
        <v>18</v>
      </c>
      <c r="K41" s="29" t="str" cm="1">
        <f t="array" ref="K41">_xlfn.IFS($G41=$G$5,K$5,$G41=$G$6,K$6,$G41=$G$7,K$7,$G41=$G$8,K$8,$G41=$G$9,K$9,$G41=$G$10,K$10,$G41=$G$11,K$11,$G41=$G$13,K$13,$G41=$G$15,K$15,$G41=$G$16,K$16,$G41=$G$33,K$33,$G41=$G$34,K$34,$G41=$G$248,K$248,$G41=$G$250,K$250)</f>
        <v>BG sentinel + BG lure7</v>
      </c>
      <c r="L41" s="29" t="str" cm="1">
        <f t="array" ref="L41">_xlfn.IFS($G41=$G$5,L$5,$G41=$G$6,L$6,$G41=$G$7,L$7,$G41=$G$8,L$8,$G41=$G$9,L$9,$G41=$G$10,L$10,$G41=$G$11,L$11,$G41=$G$13,L$13,$G41=$G$15,L$15,$G41=$G$16,L$16,$G41=$G$33,L$33,$G41=$G$34,L$34,$G41=$G$248,L$248,$G41=$G$250,L$250)</f>
        <v>Urban habitat</v>
      </c>
      <c r="O41" s="32" t="str">
        <f t="shared" si="3"/>
        <v>A_SP_BCN_5_200805</v>
      </c>
      <c r="P41" s="33">
        <v>44048</v>
      </c>
      <c r="Q41" s="34">
        <v>0.50694444444444442</v>
      </c>
      <c r="R41" s="35"/>
      <c r="S41" s="36">
        <v>44055</v>
      </c>
      <c r="T41" s="37">
        <v>0.44097222222222227</v>
      </c>
      <c r="U41" s="38"/>
      <c r="V41" s="39" t="s">
        <v>66</v>
      </c>
      <c r="X41" s="29">
        <f t="shared" si="0"/>
        <v>7</v>
      </c>
      <c r="Y41" s="38"/>
      <c r="Z41" s="29" t="s">
        <v>75</v>
      </c>
      <c r="AA41" s="29">
        <f t="shared" si="2"/>
        <v>2</v>
      </c>
      <c r="AB41" s="29" t="s">
        <v>69</v>
      </c>
      <c r="AC41" s="29">
        <v>2</v>
      </c>
      <c r="AD41" s="29">
        <v>0</v>
      </c>
      <c r="AE41" s="29" t="s">
        <v>70</v>
      </c>
      <c r="AF41">
        <v>4</v>
      </c>
    </row>
    <row r="42" spans="1:33" x14ac:dyDescent="0.25">
      <c r="A42" s="28">
        <v>38</v>
      </c>
      <c r="B42" s="29" t="s">
        <v>60</v>
      </c>
      <c r="C42" s="29" t="s">
        <v>61</v>
      </c>
      <c r="D42" s="29" t="s">
        <v>62</v>
      </c>
      <c r="E42" s="29" t="s">
        <v>62</v>
      </c>
      <c r="F42" s="30" cm="1">
        <f t="array" ref="F42">_xlfn.IFS($G42=$G$5,F$5,$G42=$G$6,F$6,$G42=$G$7,F$7,$G42=$G$8,F$8,$G42=$G$9,F$9,$G42=$G$10,F$10,$G42=$G$11,F$11,$G42=$G$13,F$13,$G42=$G$15,F$15,$G42=$G$16,F$16,$G42=$G$33,F$33,$G42=$G$34,F$34,$G42=$G$248,F$248,$G42=$G$250,F$250)</f>
        <v>8002</v>
      </c>
      <c r="G42" s="29" t="s">
        <v>76</v>
      </c>
      <c r="H42" s="31" cm="1">
        <f t="array" ref="H42">_xlfn.IFS($G42=$G$5,H$5,$G42=$G$6,H$6,$G42=$G$7,H$7,$G42=$G$8,H$8,$G42=$G$9,H$9,$G42=$G$10,H$10,$G42=$G$11,H$11,$G42=$G$13,H$13,$G42=$G$15,H$15,$G42=$G$16,H$16,$G42=$G$33,H$33,$G42=$G$34,H$34,$G42=$G$248,H$248,$G42=$G$250,H$250)</f>
        <v>41.382339999999999</v>
      </c>
      <c r="I42" s="31" cm="1">
        <f t="array" ref="I42">_xlfn.IFS($G42=$G$5,I$5,$G42=$G$6,I$6,$G42=$G$7,I$7,$G42=$G$8,I$8,$G42=$G$9,I$9,$G42=$G$10,I$10,$G42=$G$11,I$11,$G42=$G$13,I$13,$G42=$G$15,I$15,$G42=$G$16,I$16,$G42=$G$33,I$33,$G42=$G$34,I$34,$G42=$G$248,I$248,$G42=$G$250,I$250)</f>
        <v>2.1714790000000002</v>
      </c>
      <c r="J42" s="29" cm="1">
        <f t="array" ref="J42">_xlfn.IFS($G42=$G$5,J$5,$G42=$G$6,J$6,$G42=$G$7,J$7,$G42=$G$8,J$8,$G42=$G$9,J$9,$G42=$G$10,J$10,$G42=$G$11,J$11,$G42=$G$13,J$13,$G42=$G$15,J$15,$G42=$G$16,J$16,$G42=$G$33,J$33,$G42=$G$34,J$34,$G42=$G$248,J$248,$G42=$G$250,J$250)</f>
        <v>19</v>
      </c>
      <c r="K42" s="29" t="str" cm="1">
        <f t="array" ref="K42">_xlfn.IFS($G42=$G$5,K$5,$G42=$G$6,K$6,$G42=$G$7,K$7,$G42=$G$8,K$8,$G42=$G$9,K$9,$G42=$G$10,K$10,$G42=$G$11,K$11,$G42=$G$13,K$13,$G42=$G$15,K$15,$G42=$G$16,K$16,$G42=$G$33,K$33,$G42=$G$34,K$34,$G42=$G$248,K$248,$G42=$G$250,K$250)</f>
        <v>BG sentinel + BG lure7</v>
      </c>
      <c r="L42" s="29" t="str" cm="1">
        <f t="array" ref="L42">_xlfn.IFS($G42=$G$5,L$5,$G42=$G$6,L$6,$G42=$G$7,L$7,$G42=$G$8,L$8,$G42=$G$9,L$9,$G42=$G$10,L$10,$G42=$G$11,L$11,$G42=$G$13,L$13,$G42=$G$15,L$15,$G42=$G$16,L$16,$G42=$G$33,L$33,$G42=$G$34,L$34,$G42=$G$248,L$248,$G42=$G$250,L$250)</f>
        <v>Urban habitat</v>
      </c>
      <c r="O42" s="32" t="str">
        <f t="shared" si="3"/>
        <v>A_SP_BCN_6_200805</v>
      </c>
      <c r="P42" s="33">
        <v>44048</v>
      </c>
      <c r="Q42" s="34">
        <v>0.44444444444444442</v>
      </c>
      <c r="R42" s="35"/>
      <c r="S42" s="36">
        <v>44055</v>
      </c>
      <c r="T42" s="37">
        <v>0.40625</v>
      </c>
      <c r="U42" s="38"/>
      <c r="V42" s="39" t="s">
        <v>66</v>
      </c>
      <c r="X42" s="29">
        <f t="shared" si="0"/>
        <v>7</v>
      </c>
      <c r="Y42" s="38"/>
      <c r="Z42" s="29" t="s">
        <v>68</v>
      </c>
      <c r="AA42" s="29">
        <f t="shared" si="2"/>
        <v>9</v>
      </c>
      <c r="AB42" s="29" t="s">
        <v>69</v>
      </c>
      <c r="AC42" s="29">
        <v>7</v>
      </c>
      <c r="AD42" s="29">
        <v>2</v>
      </c>
      <c r="AE42" s="29" t="s">
        <v>70</v>
      </c>
      <c r="AF42">
        <v>4</v>
      </c>
    </row>
    <row r="43" spans="1:33" x14ac:dyDescent="0.25">
      <c r="A43" s="28">
        <v>39</v>
      </c>
      <c r="B43" s="29" t="s">
        <v>60</v>
      </c>
      <c r="C43" s="29" t="s">
        <v>61</v>
      </c>
      <c r="D43" s="29" t="s">
        <v>62</v>
      </c>
      <c r="E43" s="29" t="s">
        <v>62</v>
      </c>
      <c r="F43" s="30" cm="1">
        <f t="array" ref="F43">_xlfn.IFS($G43=$G$5,F$5,$G43=$G$6,F$6,$G43=$G$7,F$7,$G43=$G$8,F$8,$G43=$G$9,F$9,$G43=$G$10,F$10,$G43=$G$11,F$11,$G43=$G$13,F$13,$G43=$G$15,F$15,$G43=$G$16,F$16,$G43=$G$33,F$33,$G43=$G$34,F$34,$G43=$G$248,F$248,$G43=$G$250,F$250)</f>
        <v>8038</v>
      </c>
      <c r="G43" s="29" t="s">
        <v>77</v>
      </c>
      <c r="H43" s="31" cm="1">
        <f t="array" ref="H43">_xlfn.IFS($G43=$G$5,H$5,$G43=$G$6,H$6,$G43=$G$7,H$7,$G43=$G$8,H$8,$G43=$G$9,H$9,$G43=$G$10,H$10,$G43=$G$11,H$11,$G43=$G$13,H$13,$G43=$G$15,H$15,$G43=$G$16,H$16,$G43=$G$33,H$33,$G43=$G$34,H$34,$G43=$G$248,H$248,$G43=$G$250,H$250)</f>
        <v>41.371864000000002</v>
      </c>
      <c r="I43" s="31" cm="1">
        <f t="array" ref="I43">_xlfn.IFS($G43=$G$5,I$5,$G43=$G$6,I$6,$G43=$G$7,I$7,$G43=$G$8,I$8,$G43=$G$9,I$9,$G43=$G$10,I$10,$G43=$G$11,I$11,$G43=$G$13,I$13,$G43=$G$15,I$15,$G43=$G$16,I$16,$G43=$G$33,I$33,$G43=$G$34,I$34,$G43=$G$248,I$248,$G43=$G$250,I$250)</f>
        <v>2.173899</v>
      </c>
      <c r="J43" s="29" cm="1">
        <f t="array" ref="J43">_xlfn.IFS($G43=$G$5,J$5,$G43=$G$6,J$6,$G43=$G$7,J$7,$G43=$G$8,J$8,$G43=$G$9,J$9,$G43=$G$10,J$10,$G43=$G$11,J$11,$G43=$G$13,J$13,$G43=$G$15,J$15,$G43=$G$16,J$16,$G43=$G$33,J$33,$G43=$G$34,J$34,$G43=$G$248,J$248,$G43=$G$250,J$250)</f>
        <v>5</v>
      </c>
      <c r="K43" s="29" t="str" cm="1">
        <f t="array" ref="K43">_xlfn.IFS($G43=$G$5,K$5,$G43=$G$6,K$6,$G43=$G$7,K$7,$G43=$G$8,K$8,$G43=$G$9,K$9,$G43=$G$10,K$10,$G43=$G$11,K$11,$G43=$G$13,K$13,$G43=$G$15,K$15,$G43=$G$16,K$16,$G43=$G$33,K$33,$G43=$G$34,K$34,$G43=$G$248,K$248,$G43=$G$250,K$250)</f>
        <v>BG sentinel + BG lure7</v>
      </c>
      <c r="L43" s="29" t="str" cm="1">
        <f t="array" ref="L43">_xlfn.IFS($G43=$G$5,L$5,$G43=$G$6,L$6,$G43=$G$7,L$7,$G43=$G$8,L$8,$G43=$G$9,L$9,$G43=$G$10,L$10,$G43=$G$11,L$11,$G43=$G$13,L$13,$G43=$G$15,L$15,$G43=$G$16,L$16,$G43=$G$33,L$33,$G43=$G$34,L$34,$G43=$G$248,L$248,$G43=$G$250,L$250)</f>
        <v>Urban habitat</v>
      </c>
      <c r="O43" s="32" t="str">
        <f t="shared" si="3"/>
        <v>A_SP_BCN_7_200805</v>
      </c>
      <c r="P43" s="33">
        <v>44048</v>
      </c>
      <c r="Q43" s="34">
        <v>0.6875</v>
      </c>
      <c r="R43" s="35"/>
      <c r="S43" s="36">
        <v>44055</v>
      </c>
      <c r="T43" s="37">
        <v>0.58333333333333337</v>
      </c>
      <c r="U43" s="38"/>
      <c r="V43" s="39" t="s">
        <v>66</v>
      </c>
      <c r="X43" s="29">
        <f t="shared" si="0"/>
        <v>7</v>
      </c>
      <c r="Y43" s="38"/>
      <c r="Z43" s="29" t="s">
        <v>68</v>
      </c>
      <c r="AA43" s="29">
        <f t="shared" si="2"/>
        <v>64</v>
      </c>
      <c r="AB43" s="29" t="s">
        <v>69</v>
      </c>
      <c r="AC43" s="29">
        <v>55</v>
      </c>
      <c r="AD43" s="29">
        <v>9</v>
      </c>
      <c r="AE43" s="29" t="s">
        <v>70</v>
      </c>
      <c r="AF43">
        <v>4</v>
      </c>
    </row>
    <row r="44" spans="1:33" x14ac:dyDescent="0.25">
      <c r="A44" s="28">
        <v>40</v>
      </c>
      <c r="B44" s="29" t="s">
        <v>60</v>
      </c>
      <c r="C44" s="29" t="s">
        <v>61</v>
      </c>
      <c r="D44" s="29" t="s">
        <v>62</v>
      </c>
      <c r="E44" s="29" t="s">
        <v>62</v>
      </c>
      <c r="F44" s="30" cm="1">
        <f t="array" ref="F44">_xlfn.IFS($G44=$G$5,F$5,$G44=$G$6,F$6,$G44=$G$7,F$7,$G44=$G$8,F$8,$G44=$G$9,F$9,$G44=$G$10,F$10,$G44=$G$11,F$11,$G44=$G$13,F$13,$G44=$G$15,F$15,$G44=$G$16,F$16,$G44=$G$33,F$33,$G44=$G$34,F$34,$G44=$G$248,F$248,$G44=$G$250,F$250)</f>
        <v>8038</v>
      </c>
      <c r="G44" s="29" t="s">
        <v>77</v>
      </c>
      <c r="H44" s="31" cm="1">
        <f t="array" ref="H44">_xlfn.IFS($G44=$G$5,H$5,$G44=$G$6,H$6,$G44=$G$7,H$7,$G44=$G$8,H$8,$G44=$G$9,H$9,$G44=$G$10,H$10,$G44=$G$11,H$11,$G44=$G$13,H$13,$G44=$G$15,H$15,$G44=$G$16,H$16,$G44=$G$33,H$33,$G44=$G$34,H$34,$G44=$G$248,H$248,$G44=$G$250,H$250)</f>
        <v>41.371864000000002</v>
      </c>
      <c r="I44" s="31" cm="1">
        <f t="array" ref="I44">_xlfn.IFS($G44=$G$5,I$5,$G44=$G$6,I$6,$G44=$G$7,I$7,$G44=$G$8,I$8,$G44=$G$9,I$9,$G44=$G$10,I$10,$G44=$G$11,I$11,$G44=$G$13,I$13,$G44=$G$15,I$15,$G44=$G$16,I$16,$G44=$G$33,I$33,$G44=$G$34,I$34,$G44=$G$248,I$248,$G44=$G$250,I$250)</f>
        <v>2.173899</v>
      </c>
      <c r="J44" s="29" cm="1">
        <f t="array" ref="J44">_xlfn.IFS($G44=$G$5,J$5,$G44=$G$6,J$6,$G44=$G$7,J$7,$G44=$G$8,J$8,$G44=$G$9,J$9,$G44=$G$10,J$10,$G44=$G$11,J$11,$G44=$G$13,J$13,$G44=$G$15,J$15,$G44=$G$16,J$16,$G44=$G$33,J$33,$G44=$G$34,J$34,$G44=$G$248,J$248,$G44=$G$250,J$250)</f>
        <v>5</v>
      </c>
      <c r="K44" s="29" t="str" cm="1">
        <f t="array" ref="K44">_xlfn.IFS($G44=$G$5,K$5,$G44=$G$6,K$6,$G44=$G$7,K$7,$G44=$G$8,K$8,$G44=$G$9,K$9,$G44=$G$10,K$10,$G44=$G$11,K$11,$G44=$G$13,K$13,$G44=$G$15,K$15,$G44=$G$16,K$16,$G44=$G$33,K$33,$G44=$G$34,K$34,$G44=$G$248,K$248,$G44=$G$250,K$250)</f>
        <v>BG sentinel + BG lure7</v>
      </c>
      <c r="L44" s="29" t="str" cm="1">
        <f t="array" ref="L44">_xlfn.IFS($G44=$G$5,L$5,$G44=$G$6,L$6,$G44=$G$7,L$7,$G44=$G$8,L$8,$G44=$G$9,L$9,$G44=$G$10,L$10,$G44=$G$11,L$11,$G44=$G$13,L$13,$G44=$G$15,L$15,$G44=$G$16,L$16,$G44=$G$33,L$33,$G44=$G$34,L$34,$G44=$G$248,L$248,$G44=$G$250,L$250)</f>
        <v>Urban habitat</v>
      </c>
      <c r="O44" s="32" t="str">
        <f t="shared" si="3"/>
        <v>A_SP_BCN_7_200805</v>
      </c>
      <c r="P44" s="33">
        <v>44048</v>
      </c>
      <c r="Q44" s="34">
        <v>0.6875</v>
      </c>
      <c r="R44" s="35"/>
      <c r="S44" s="36">
        <v>44055</v>
      </c>
      <c r="T44" s="37">
        <v>0.58333333333333337</v>
      </c>
      <c r="U44" s="38"/>
      <c r="V44" s="39" t="s">
        <v>66</v>
      </c>
      <c r="X44" s="29">
        <f t="shared" si="0"/>
        <v>7</v>
      </c>
      <c r="Y44" s="38"/>
      <c r="Z44" s="29" t="s">
        <v>75</v>
      </c>
      <c r="AA44" s="29">
        <f t="shared" si="2"/>
        <v>3</v>
      </c>
      <c r="AB44" s="29" t="s">
        <v>69</v>
      </c>
      <c r="AC44" s="29">
        <v>2</v>
      </c>
      <c r="AD44" s="29">
        <v>1</v>
      </c>
      <c r="AE44" s="29" t="s">
        <v>70</v>
      </c>
      <c r="AF44">
        <v>4</v>
      </c>
    </row>
    <row r="45" spans="1:33" x14ac:dyDescent="0.25">
      <c r="A45" s="28">
        <v>41</v>
      </c>
      <c r="B45" s="29" t="s">
        <v>60</v>
      </c>
      <c r="C45" s="29" t="s">
        <v>61</v>
      </c>
      <c r="D45" s="29" t="s">
        <v>62</v>
      </c>
      <c r="E45" s="29" t="s">
        <v>62</v>
      </c>
      <c r="F45" s="30" cm="1">
        <f t="array" ref="F45">_xlfn.IFS($G45=$G$5,F$5,$G45=$G$6,F$6,$G45=$G$7,F$7,$G45=$G$8,F$8,$G45=$G$9,F$9,$G45=$G$10,F$10,$G45=$G$11,F$11,$G45=$G$13,F$13,$G45=$G$15,F$15,$G45=$G$16,F$16,$G45=$G$33,F$33,$G45=$G$34,F$34,$G45=$G$248,F$248,$G45=$G$250,F$250)</f>
        <v>8038</v>
      </c>
      <c r="G45" s="29" t="s">
        <v>78</v>
      </c>
      <c r="H45" s="31" cm="1">
        <f t="array" ref="H45">_xlfn.IFS($G45=$G$5,H$5,$G45=$G$6,H$6,$G45=$G$7,H$7,$G45=$G$8,H$8,$G45=$G$9,H$9,$G45=$G$10,H$10,$G45=$G$11,H$11,$G45=$G$13,H$13,$G45=$G$15,H$15,$G45=$G$16,H$16,$G45=$G$33,H$33,$G45=$G$34,H$34,$G45=$G$248,H$248,$G45=$G$250,H$250)</f>
        <v>41.368589</v>
      </c>
      <c r="I45" s="31" cm="1">
        <f t="array" ref="I45">_xlfn.IFS($G45=$G$5,I$5,$G45=$G$6,I$6,$G45=$G$7,I$7,$G45=$G$8,I$8,$G45=$G$9,I$9,$G45=$G$10,I$10,$G45=$G$11,I$11,$G45=$G$13,I$13,$G45=$G$15,I$15,$G45=$G$16,I$16,$G45=$G$33,I$33,$G45=$G$34,I$34,$G45=$G$248,I$248,$G45=$G$250,I$250)</f>
        <v>2.1620900000000001</v>
      </c>
      <c r="J45" s="29" cm="1">
        <f t="array" ref="J45">_xlfn.IFS($G45=$G$5,J$5,$G45=$G$6,J$6,$G45=$G$7,J$7,$G45=$G$8,J$8,$G45=$G$9,J$9,$G45=$G$10,J$10,$G45=$G$11,J$11,$G45=$G$13,J$13,$G45=$G$15,J$15,$G45=$G$16,J$16,$G45=$G$33,J$33,$G45=$G$34,J$34,$G45=$G$248,J$248,$G45=$G$250,J$250)</f>
        <v>95</v>
      </c>
      <c r="K45" s="29" t="str" cm="1">
        <f t="array" ref="K45">_xlfn.IFS($G45=$G$5,K$5,$G45=$G$6,K$6,$G45=$G$7,K$7,$G45=$G$8,K$8,$G45=$G$9,K$9,$G45=$G$10,K$10,$G45=$G$11,K$11,$G45=$G$13,K$13,$G45=$G$15,K$15,$G45=$G$16,K$16,$G45=$G$33,K$33,$G45=$G$34,K$34,$G45=$G$248,K$248,$G45=$G$250,K$250)</f>
        <v>BG sentinel + BG lure7</v>
      </c>
      <c r="L45" s="29" t="str" cm="1">
        <f t="array" ref="L45">_xlfn.IFS($G45=$G$5,L$5,$G45=$G$6,L$6,$G45=$G$7,L$7,$G45=$G$8,L$8,$G45=$G$9,L$9,$G45=$G$10,L$10,$G45=$G$11,L$11,$G45=$G$13,L$13,$G45=$G$15,L$15,$G45=$G$16,L$16,$G45=$G$33,L$33,$G45=$G$34,L$34,$G45=$G$248,L$248,$G45=$G$250,L$250)</f>
        <v>Other</v>
      </c>
      <c r="O45" s="32" t="str">
        <f t="shared" si="3"/>
        <v>A_SP_BCN_8_200805</v>
      </c>
      <c r="P45" s="33">
        <v>44048</v>
      </c>
      <c r="Q45" s="34">
        <v>0.63888888888888895</v>
      </c>
      <c r="R45" s="35"/>
      <c r="S45" s="36">
        <v>44055</v>
      </c>
      <c r="T45" s="37">
        <v>0.60763888888888895</v>
      </c>
      <c r="U45" s="38"/>
      <c r="V45" s="39" t="s">
        <v>66</v>
      </c>
      <c r="X45" s="29">
        <f t="shared" si="0"/>
        <v>7</v>
      </c>
      <c r="Y45" s="38"/>
      <c r="Z45" s="29" t="s">
        <v>68</v>
      </c>
      <c r="AA45" s="29">
        <f t="shared" si="2"/>
        <v>64</v>
      </c>
      <c r="AB45" s="29" t="s">
        <v>69</v>
      </c>
      <c r="AC45" s="29">
        <v>56</v>
      </c>
      <c r="AD45" s="29">
        <v>8</v>
      </c>
      <c r="AE45" s="29" t="s">
        <v>70</v>
      </c>
      <c r="AF45">
        <v>4</v>
      </c>
    </row>
    <row r="46" spans="1:33" ht="14.25" customHeight="1" x14ac:dyDescent="0.25">
      <c r="A46" s="28">
        <v>42</v>
      </c>
      <c r="B46" s="29" t="s">
        <v>60</v>
      </c>
      <c r="C46" s="29" t="s">
        <v>61</v>
      </c>
      <c r="D46" s="29" t="s">
        <v>62</v>
      </c>
      <c r="E46" s="29" t="s">
        <v>62</v>
      </c>
      <c r="F46" s="30" cm="1">
        <f t="array" ref="F46">_xlfn.IFS($G46=$G$5,F$5,$G46=$G$6,F$6,$G46=$G$7,F$7,$G46=$G$8,F$8,$G46=$G$9,F$9,$G46=$G$10,F$10,$G46=$G$11,F$11,$G46=$G$13,F$13,$G46=$G$15,F$15,$G46=$G$16,F$16,$G46=$G$33,F$33,$G46=$G$34,F$34,$G46=$G$248,F$248,$G46=$G$250,F$250)</f>
        <v>8038</v>
      </c>
      <c r="G46" s="29" t="s">
        <v>78</v>
      </c>
      <c r="H46" s="31" cm="1">
        <f t="array" ref="H46">_xlfn.IFS($G46=$G$5,H$5,$G46=$G$6,H$6,$G46=$G$7,H$7,$G46=$G$8,H$8,$G46=$G$9,H$9,$G46=$G$10,H$10,$G46=$G$11,H$11,$G46=$G$13,H$13,$G46=$G$15,H$15,$G46=$G$16,H$16,$G46=$G$33,H$33,$G46=$G$34,H$34,$G46=$G$248,H$248,$G46=$G$250,H$250)</f>
        <v>41.368589</v>
      </c>
      <c r="I46" s="31" cm="1">
        <f t="array" ref="I46">_xlfn.IFS($G46=$G$5,I$5,$G46=$G$6,I$6,$G46=$G$7,I$7,$G46=$G$8,I$8,$G46=$G$9,I$9,$G46=$G$10,I$10,$G46=$G$11,I$11,$G46=$G$13,I$13,$G46=$G$15,I$15,$G46=$G$16,I$16,$G46=$G$33,I$33,$G46=$G$34,I$34,$G46=$G$248,I$248,$G46=$G$250,I$250)</f>
        <v>2.1620900000000001</v>
      </c>
      <c r="J46" s="29" cm="1">
        <f t="array" ref="J46">_xlfn.IFS($G46=$G$5,J$5,$G46=$G$6,J$6,$G46=$G$7,J$7,$G46=$G$8,J$8,$G46=$G$9,J$9,$G46=$G$10,J$10,$G46=$G$11,J$11,$G46=$G$13,J$13,$G46=$G$15,J$15,$G46=$G$16,J$16,$G46=$G$33,J$33,$G46=$G$34,J$34,$G46=$G$248,J$248,$G46=$G$250,J$250)</f>
        <v>95</v>
      </c>
      <c r="K46" s="29" t="str" cm="1">
        <f t="array" ref="K46">_xlfn.IFS($G46=$G$5,K$5,$G46=$G$6,K$6,$G46=$G$7,K$7,$G46=$G$8,K$8,$G46=$G$9,K$9,$G46=$G$10,K$10,$G46=$G$11,K$11,$G46=$G$13,K$13,$G46=$G$15,K$15,$G46=$G$16,K$16,$G46=$G$33,K$33,$G46=$G$34,K$34,$G46=$G$248,K$248,$G46=$G$250,K$250)</f>
        <v>BG sentinel + BG lure7</v>
      </c>
      <c r="L46" s="29" t="str" cm="1">
        <f t="array" ref="L46">_xlfn.IFS($G46=$G$5,L$5,$G46=$G$6,L$6,$G46=$G$7,L$7,$G46=$G$8,L$8,$G46=$G$9,L$9,$G46=$G$10,L$10,$G46=$G$11,L$11,$G46=$G$13,L$13,$G46=$G$15,L$15,$G46=$G$16,L$16,$G46=$G$33,L$33,$G46=$G$34,L$34,$G46=$G$248,L$248,$G46=$G$250,L$250)</f>
        <v>Other</v>
      </c>
      <c r="O46" s="32" t="str">
        <f t="shared" si="3"/>
        <v>A_SP_BCN_8_200805</v>
      </c>
      <c r="P46" s="33">
        <v>44048</v>
      </c>
      <c r="Q46" s="34">
        <v>0.63888888888888895</v>
      </c>
      <c r="R46" s="35"/>
      <c r="S46" s="36">
        <v>44055</v>
      </c>
      <c r="T46" s="37">
        <v>0.60763888888888895</v>
      </c>
      <c r="U46" s="38"/>
      <c r="V46" s="39" t="s">
        <v>66</v>
      </c>
      <c r="X46" s="29">
        <f>S46-P46</f>
        <v>7</v>
      </c>
      <c r="Y46" s="38"/>
      <c r="Z46" s="29" t="s">
        <v>75</v>
      </c>
      <c r="AA46" s="29">
        <f t="shared" si="2"/>
        <v>17</v>
      </c>
      <c r="AB46" s="29" t="s">
        <v>69</v>
      </c>
      <c r="AC46" s="29">
        <v>15</v>
      </c>
      <c r="AD46" s="29">
        <v>2</v>
      </c>
      <c r="AE46" s="29" t="s">
        <v>70</v>
      </c>
      <c r="AF46">
        <v>4</v>
      </c>
    </row>
    <row r="47" spans="1:33" x14ac:dyDescent="0.25">
      <c r="A47" s="28">
        <v>43</v>
      </c>
      <c r="B47" s="29" t="s">
        <v>60</v>
      </c>
      <c r="C47" s="29" t="s">
        <v>61</v>
      </c>
      <c r="D47" s="29" t="s">
        <v>62</v>
      </c>
      <c r="E47" s="29" t="s">
        <v>62</v>
      </c>
      <c r="F47" s="30" cm="1">
        <f t="array" ref="F47">_xlfn.IFS($G47=$G$5,F$5,$G47=$G$6,F$6,$G47=$G$7,F$7,$G47=$G$8,F$8,$G47=$G$9,F$9,$G47=$G$10,F$10,$G47=$G$11,F$11,$G47=$G$13,F$13,$G47=$G$15,F$15,$G47=$G$16,F$16,$G47=$G$33,F$33,$G47=$G$34,F$34,$G47=$G$248,F$248,$G47=$G$250,F$250)</f>
        <v>8038</v>
      </c>
      <c r="G47" s="29" t="s">
        <v>78</v>
      </c>
      <c r="H47" s="31" cm="1">
        <f t="array" ref="H47">_xlfn.IFS($G47=$G$5,H$5,$G47=$G$6,H$6,$G47=$G$7,H$7,$G47=$G$8,H$8,$G47=$G$9,H$9,$G47=$G$10,H$10,$G47=$G$11,H$11,$G47=$G$13,H$13,$G47=$G$15,H$15,$G47=$G$16,H$16,$G47=$G$33,H$33,$G47=$G$34,H$34,$G47=$G$248,H$248,$G47=$G$250,H$250)</f>
        <v>41.368589</v>
      </c>
      <c r="I47" s="31" cm="1">
        <f t="array" ref="I47">_xlfn.IFS($G47=$G$5,I$5,$G47=$G$6,I$6,$G47=$G$7,I$7,$G47=$G$8,I$8,$G47=$G$9,I$9,$G47=$G$10,I$10,$G47=$G$11,I$11,$G47=$G$13,I$13,$G47=$G$15,I$15,$G47=$G$16,I$16,$G47=$G$33,I$33,$G47=$G$34,I$34,$G47=$G$248,I$248,$G47=$G$250,I$250)</f>
        <v>2.1620900000000001</v>
      </c>
      <c r="J47" s="29" cm="1">
        <f t="array" ref="J47">_xlfn.IFS($G47=$G$5,J$5,$G47=$G$6,J$6,$G47=$G$7,J$7,$G47=$G$8,J$8,$G47=$G$9,J$9,$G47=$G$10,J$10,$G47=$G$11,J$11,$G47=$G$13,J$13,$G47=$G$15,J$15,$G47=$G$16,J$16,$G47=$G$33,J$33,$G47=$G$34,J$34,$G47=$G$248,J$248,$G47=$G$250,J$250)</f>
        <v>95</v>
      </c>
      <c r="K47" s="29" t="str" cm="1">
        <f t="array" ref="K47">_xlfn.IFS($G47=$G$5,K$5,$G47=$G$6,K$6,$G47=$G$7,K$7,$G47=$G$8,K$8,$G47=$G$9,K$9,$G47=$G$10,K$10,$G47=$G$11,K$11,$G47=$G$13,K$13,$G47=$G$15,K$15,$G47=$G$16,K$16,$G47=$G$33,K$33,$G47=$G$34,K$34,$G47=$G$248,K$248,$G47=$G$250,K$250)</f>
        <v>BG sentinel + BG lure7</v>
      </c>
      <c r="L47" s="29" t="str" cm="1">
        <f t="array" ref="L47">_xlfn.IFS($G47=$G$5,L$5,$G47=$G$6,L$6,$G47=$G$7,L$7,$G47=$G$8,L$8,$G47=$G$9,L$9,$G47=$G$10,L$10,$G47=$G$11,L$11,$G47=$G$13,L$13,$G47=$G$15,L$15,$G47=$G$16,L$16,$G47=$G$33,L$33,$G47=$G$34,L$34,$G47=$G$248,L$248,$G47=$G$250,L$250)</f>
        <v>Other</v>
      </c>
      <c r="O47" s="32" t="str">
        <f t="shared" si="3"/>
        <v>A_SP_BCN_8_200805</v>
      </c>
      <c r="P47" s="33">
        <v>44048</v>
      </c>
      <c r="Q47" s="34">
        <v>0.63888888888888895</v>
      </c>
      <c r="R47" s="35"/>
      <c r="S47" s="36">
        <v>44055</v>
      </c>
      <c r="T47" s="37">
        <v>0.60763888888888895</v>
      </c>
      <c r="U47" s="38"/>
      <c r="V47" s="39" t="s">
        <v>66</v>
      </c>
      <c r="X47" s="29">
        <f t="shared" ref="X47:X103" si="4">S47-P47</f>
        <v>7</v>
      </c>
      <c r="Y47" s="38"/>
      <c r="Z47" s="29" t="s">
        <v>84</v>
      </c>
      <c r="AA47" s="29">
        <f t="shared" si="2"/>
        <v>1</v>
      </c>
      <c r="AB47" s="29" t="s">
        <v>69</v>
      </c>
      <c r="AC47" s="29">
        <v>1</v>
      </c>
      <c r="AD47" s="29">
        <v>0</v>
      </c>
      <c r="AE47" s="29" t="s">
        <v>70</v>
      </c>
      <c r="AF47">
        <v>4</v>
      </c>
    </row>
    <row r="48" spans="1:33" x14ac:dyDescent="0.25">
      <c r="A48" s="28">
        <v>44</v>
      </c>
      <c r="B48" s="29" t="s">
        <v>60</v>
      </c>
      <c r="C48" s="29" t="s">
        <v>61</v>
      </c>
      <c r="D48" s="29" t="s">
        <v>62</v>
      </c>
      <c r="E48" s="29" t="s">
        <v>62</v>
      </c>
      <c r="F48" s="30" cm="1">
        <f t="array" ref="F48">_xlfn.IFS($G48=$G$5,F$5,$G48=$G$6,F$6,$G48=$G$7,F$7,$G48=$G$8,F$8,$G48=$G$9,F$9,$G48=$G$10,F$10,$G48=$G$11,F$11,$G48=$G$13,F$13,$G48=$G$15,F$15,$G48=$G$16,F$16,$G48=$G$33,F$33,$G48=$G$34,F$34,$G48=$G$248,F$248,$G48=$G$250,F$250)</f>
        <v>8040</v>
      </c>
      <c r="G48" s="29" t="s">
        <v>83</v>
      </c>
      <c r="H48" s="31" cm="1">
        <f t="array" ref="H48">_xlfn.IFS($G48=$G$5,H$5,$G48=$G$6,H$6,$G48=$G$7,H$7,$G48=$G$8,H$8,$G48=$G$9,H$9,$G48=$G$10,H$10,$G48=$G$11,H$11,$G48=$G$13,H$13,$G48=$G$15,H$15,$G48=$G$16,H$16,$G48=$G$33,H$33,$G48=$G$34,H$34,$G48=$G$248,H$248,$G48=$G$250,H$250)</f>
        <v>41.343685000000001</v>
      </c>
      <c r="I48" s="31" cm="1">
        <f t="array" ref="I48">_xlfn.IFS($G48=$G$5,I$5,$G48=$G$6,I$6,$G48=$G$7,I$7,$G48=$G$8,I$8,$G48=$G$9,I$9,$G48=$G$10,I$10,$G48=$G$11,I$11,$G48=$G$13,I$13,$G48=$G$15,I$15,$G48=$G$16,I$16,$G48=$G$33,I$33,$G48=$G$34,I$34,$G48=$G$248,I$248,$G48=$G$250,I$250)</f>
        <v>2.1441490000000001</v>
      </c>
      <c r="J48" s="29" cm="1">
        <f t="array" ref="J48">_xlfn.IFS($G48=$G$5,J$5,$G48=$G$6,J$6,$G48=$G$7,J$7,$G48=$G$8,J$8,$G48=$G$9,J$9,$G48=$G$10,J$10,$G48=$G$11,J$11,$G48=$G$13,J$13,$G48=$G$15,J$15,$G48=$G$16,J$16,$G48=$G$33,J$33,$G48=$G$34,J$34,$G48=$G$248,J$248,$G48=$G$250,J$250)</f>
        <v>4</v>
      </c>
      <c r="K48" s="29" t="str" cm="1">
        <f t="array" ref="K48">_xlfn.IFS($G48=$G$5,K$5,$G48=$G$6,K$6,$G48=$G$7,K$7,$G48=$G$8,K$8,$G48=$G$9,K$9,$G48=$G$10,K$10,$G48=$G$11,K$11,$G48=$G$13,K$13,$G48=$G$15,K$15,$G48=$G$16,K$16,$G48=$G$33,K$33,$G48=$G$34,K$34,$G48=$G$248,K$248,$G48=$G$250,K$250)</f>
        <v>BG sentinel + BG lure7</v>
      </c>
      <c r="L48" s="29" t="str" cm="1">
        <f t="array" ref="L48">_xlfn.IFS($G48=$G$5,L$5,$G48=$G$6,L$6,$G48=$G$7,L$7,$G48=$G$8,L$8,$G48=$G$9,L$9,$G48=$G$10,L$10,$G48=$G$11,L$11,$G48=$G$13,L$13,$G48=$G$15,L$15,$G48=$G$16,L$16,$G48=$G$33,L$33,$G48=$G$34,L$34,$G48=$G$248,L$248,$G48=$G$250,L$250)</f>
        <v>Urban habitat</v>
      </c>
      <c r="O48" s="32" t="str">
        <f t="shared" si="3"/>
        <v>A_SP_BCN_10_200805</v>
      </c>
      <c r="P48" s="33">
        <v>44048</v>
      </c>
      <c r="Q48" s="34">
        <v>0.70138888888888884</v>
      </c>
      <c r="R48" s="35"/>
      <c r="S48" s="36">
        <v>44055</v>
      </c>
      <c r="T48" s="37">
        <v>0.56944444444444442</v>
      </c>
      <c r="U48" s="38"/>
      <c r="V48" s="39" t="s">
        <v>87</v>
      </c>
      <c r="X48" s="29">
        <f t="shared" si="4"/>
        <v>7</v>
      </c>
      <c r="Y48" s="38"/>
      <c r="Z48" s="29" t="s">
        <v>68</v>
      </c>
      <c r="AA48" s="29">
        <f t="shared" si="2"/>
        <v>38</v>
      </c>
      <c r="AB48" s="29" t="s">
        <v>69</v>
      </c>
      <c r="AC48" s="29">
        <v>27</v>
      </c>
      <c r="AD48" s="29">
        <v>11</v>
      </c>
      <c r="AE48" s="29" t="s">
        <v>70</v>
      </c>
      <c r="AF48">
        <v>2</v>
      </c>
    </row>
    <row r="49" spans="1:33" x14ac:dyDescent="0.25">
      <c r="A49" s="28">
        <v>45</v>
      </c>
      <c r="B49" s="29" t="s">
        <v>60</v>
      </c>
      <c r="C49" s="29" t="s">
        <v>61</v>
      </c>
      <c r="D49" s="29" t="s">
        <v>62</v>
      </c>
      <c r="E49" s="29" t="s">
        <v>62</v>
      </c>
      <c r="F49" s="30" cm="1">
        <f t="array" ref="F49">_xlfn.IFS($G49=$G$5,F$5,$G49=$G$6,F$6,$G49=$G$7,F$7,$G49=$G$8,F$8,$G49=$G$9,F$9,$G49=$G$10,F$10,$G49=$G$11,F$11,$G49=$G$13,F$13,$G49=$G$15,F$15,$G49=$G$16,F$16,$G49=$G$33,F$33,$G49=$G$34,F$34,$G49=$G$248,F$248,$G49=$G$250,F$250)</f>
        <v>8040</v>
      </c>
      <c r="G49" s="29" t="s">
        <v>83</v>
      </c>
      <c r="H49" s="31" cm="1">
        <f t="array" ref="H49">_xlfn.IFS($G49=$G$5,H$5,$G49=$G$6,H$6,$G49=$G$7,H$7,$G49=$G$8,H$8,$G49=$G$9,H$9,$G49=$G$10,H$10,$G49=$G$11,H$11,$G49=$G$13,H$13,$G49=$G$15,H$15,$G49=$G$16,H$16,$G49=$G$33,H$33,$G49=$G$34,H$34,$G49=$G$248,H$248,$G49=$G$250,H$250)</f>
        <v>41.343685000000001</v>
      </c>
      <c r="I49" s="31" cm="1">
        <f t="array" ref="I49">_xlfn.IFS($G49=$G$5,I$5,$G49=$G$6,I$6,$G49=$G$7,I$7,$G49=$G$8,I$8,$G49=$G$9,I$9,$G49=$G$10,I$10,$G49=$G$11,I$11,$G49=$G$13,I$13,$G49=$G$15,I$15,$G49=$G$16,I$16,$G49=$G$33,I$33,$G49=$G$34,I$34,$G49=$G$248,I$248,$G49=$G$250,I$250)</f>
        <v>2.1441490000000001</v>
      </c>
      <c r="J49" s="29" cm="1">
        <f t="array" ref="J49">_xlfn.IFS($G49=$G$5,J$5,$G49=$G$6,J$6,$G49=$G$7,J$7,$G49=$G$8,J$8,$G49=$G$9,J$9,$G49=$G$10,J$10,$G49=$G$11,J$11,$G49=$G$13,J$13,$G49=$G$15,J$15,$G49=$G$16,J$16,$G49=$G$33,J$33,$G49=$G$34,J$34,$G49=$G$248,J$248,$G49=$G$250,J$250)</f>
        <v>4</v>
      </c>
      <c r="K49" s="29" t="str" cm="1">
        <f t="array" ref="K49">_xlfn.IFS($G49=$G$5,K$5,$G49=$G$6,K$6,$G49=$G$7,K$7,$G49=$G$8,K$8,$G49=$G$9,K$9,$G49=$G$10,K$10,$G49=$G$11,K$11,$G49=$G$13,K$13,$G49=$G$15,K$15,$G49=$G$16,K$16,$G49=$G$33,K$33,$G49=$G$34,K$34,$G49=$G$248,K$248,$G49=$G$250,K$250)</f>
        <v>BG sentinel + BG lure7</v>
      </c>
      <c r="L49" s="29" t="str" cm="1">
        <f t="array" ref="L49">_xlfn.IFS($G49=$G$5,L$5,$G49=$G$6,L$6,$G49=$G$7,L$7,$G49=$G$8,L$8,$G49=$G$9,L$9,$G49=$G$10,L$10,$G49=$G$11,L$11,$G49=$G$13,L$13,$G49=$G$15,L$15,$G49=$G$16,L$16,$G49=$G$33,L$33,$G49=$G$34,L$34,$G49=$G$248,L$248,$G49=$G$250,L$250)</f>
        <v>Urban habitat</v>
      </c>
      <c r="O49" s="32" t="str">
        <f t="shared" si="3"/>
        <v>A_SP_BCN_10_200805</v>
      </c>
      <c r="P49" s="33">
        <v>44048</v>
      </c>
      <c r="Q49" s="34">
        <v>0.70138888888888884</v>
      </c>
      <c r="R49" s="35"/>
      <c r="S49" s="36">
        <v>44055</v>
      </c>
      <c r="T49" s="37">
        <v>0.56944444444444442</v>
      </c>
      <c r="U49" s="38"/>
      <c r="V49" s="39" t="s">
        <v>66</v>
      </c>
      <c r="X49" s="29">
        <f t="shared" si="4"/>
        <v>7</v>
      </c>
      <c r="Y49" s="38"/>
      <c r="Z49" s="29" t="s">
        <v>75</v>
      </c>
      <c r="AA49" s="29">
        <f t="shared" si="2"/>
        <v>13</v>
      </c>
      <c r="AB49" s="29" t="s">
        <v>69</v>
      </c>
      <c r="AC49" s="29">
        <v>13</v>
      </c>
      <c r="AD49" s="29">
        <v>0</v>
      </c>
      <c r="AE49" s="29" t="s">
        <v>70</v>
      </c>
      <c r="AF49">
        <v>4</v>
      </c>
    </row>
    <row r="50" spans="1:33" x14ac:dyDescent="0.25">
      <c r="A50" s="28">
        <v>46</v>
      </c>
      <c r="B50" s="29" t="s">
        <v>60</v>
      </c>
      <c r="C50" s="29" t="s">
        <v>61</v>
      </c>
      <c r="D50" s="29" t="s">
        <v>62</v>
      </c>
      <c r="E50" s="29" t="s">
        <v>62</v>
      </c>
      <c r="F50" s="30" cm="1">
        <f t="array" ref="F50">_xlfn.IFS($G50=$G$5,F$5,$G50=$G$6,F$6,$G50=$G$7,F$7,$G50=$G$8,F$8,$G50=$G$9,F$9,$G50=$G$10,F$10,$G50=$G$11,F$11,$G50=$G$13,F$13,$G50=$G$15,F$15,$G50=$G$16,F$16,$G50=$G$33,F$33,$G50=$G$34,F$34,$G50=$G$248,F$248,$G50=$G$250,F$250)</f>
        <v>8038</v>
      </c>
      <c r="G50" s="29" t="s">
        <v>85</v>
      </c>
      <c r="H50" s="31" cm="1">
        <f t="array" ref="H50">_xlfn.IFS($G50=$G$5,H$5,$G50=$G$6,H$6,$G50=$G$7,H$7,$G50=$G$8,H$8,$G50=$G$9,H$9,$G50=$G$10,H$10,$G50=$G$11,H$11,$G50=$G$13,H$13,$G50=$G$15,H$15,$G50=$G$16,H$16,$G50=$G$33,H$33,$G50=$G$34,H$34,$G50=$G$248,H$248,$G50=$G$250,H$250)</f>
        <v>41.367429999999999</v>
      </c>
      <c r="I50" s="31" cm="1">
        <f t="array" ref="I50">_xlfn.IFS($G50=$G$5,I$5,$G50=$G$6,I$6,$G50=$G$7,I$7,$G50=$G$8,I$8,$G50=$G$9,I$9,$G50=$G$10,I$10,$G50=$G$11,I$11,$G50=$G$13,I$13,$G50=$G$15,I$15,$G50=$G$16,I$16,$G50=$G$33,I$33,$G50=$G$34,I$34,$G50=$G$248,I$248,$G50=$G$250,I$250)</f>
        <v>2.1569609999999999</v>
      </c>
      <c r="J50" s="29" cm="1">
        <f t="array" ref="J50">_xlfn.IFS($G50=$G$5,J$5,$G50=$G$6,J$6,$G50=$G$7,J$7,$G50=$G$8,J$8,$G50=$G$9,J$9,$G50=$G$10,J$10,$G50=$G$11,J$11,$G50=$G$13,J$13,$G50=$G$15,J$15,$G50=$G$16,J$16,$G50=$G$33,J$33,$G50=$G$34,J$34,$G50=$G$248,J$248,$G50=$G$250,J$250)</f>
        <v>91</v>
      </c>
      <c r="K50" s="29" t="str" cm="1">
        <f t="array" ref="K50">_xlfn.IFS($G50=$G$5,K$5,$G50=$G$6,K$6,$G50=$G$7,K$7,$G50=$G$8,K$8,$G50=$G$9,K$9,$G50=$G$10,K$10,$G50=$G$11,K$11,$G50=$G$13,K$13,$G50=$G$15,K$15,$G50=$G$16,K$16,$G50=$G$33,K$33,$G50=$G$34,K$34,$G50=$G$248,K$248,$G50=$G$250,K$250)</f>
        <v>BG sentinel + BG lure7</v>
      </c>
      <c r="L50" s="29" t="str" cm="1">
        <f t="array" ref="L50">_xlfn.IFS($G50=$G$5,L$5,$G50=$G$6,L$6,$G50=$G$7,L$7,$G50=$G$8,L$8,$G50=$G$9,L$9,$G50=$G$10,L$10,$G50=$G$11,L$11,$G50=$G$13,L$13,$G50=$G$15,L$15,$G50=$G$16,L$16,$G50=$G$33,L$33,$G50=$G$34,L$34,$G50=$G$248,L$248,$G50=$G$250,L$250)</f>
        <v>Other</v>
      </c>
      <c r="O50" s="32" t="str">
        <f t="shared" si="3"/>
        <v>A_SP_BCN_11_200805</v>
      </c>
      <c r="P50" s="33">
        <v>44048</v>
      </c>
      <c r="Q50" s="34">
        <v>0.61458333333333337</v>
      </c>
      <c r="R50" s="35"/>
      <c r="S50" s="36">
        <v>44055</v>
      </c>
      <c r="T50" s="37">
        <v>0.59722222222222221</v>
      </c>
      <c r="U50" s="38"/>
      <c r="V50" s="39" t="s">
        <v>66</v>
      </c>
      <c r="X50" s="29">
        <f t="shared" si="4"/>
        <v>7</v>
      </c>
      <c r="Y50" s="38"/>
      <c r="Z50" s="29" t="s">
        <v>68</v>
      </c>
      <c r="AA50" s="29">
        <f t="shared" si="2"/>
        <v>91</v>
      </c>
      <c r="AB50" s="29" t="s">
        <v>69</v>
      </c>
      <c r="AC50" s="29">
        <v>62</v>
      </c>
      <c r="AD50" s="29">
        <v>29</v>
      </c>
      <c r="AE50" s="29" t="s">
        <v>70</v>
      </c>
      <c r="AF50">
        <v>4</v>
      </c>
    </row>
    <row r="51" spans="1:33" x14ac:dyDescent="0.25">
      <c r="A51" s="28">
        <v>47</v>
      </c>
      <c r="B51" s="29" t="s">
        <v>60</v>
      </c>
      <c r="C51" s="29" t="s">
        <v>61</v>
      </c>
      <c r="D51" s="29" t="s">
        <v>62</v>
      </c>
      <c r="E51" s="29" t="s">
        <v>62</v>
      </c>
      <c r="F51" s="30" cm="1">
        <f t="array" ref="F51">_xlfn.IFS($G51=$G$5,F$5,$G51=$G$6,F$6,$G51=$G$7,F$7,$G51=$G$8,F$8,$G51=$G$9,F$9,$G51=$G$10,F$10,$G51=$G$11,F$11,$G51=$G$13,F$13,$G51=$G$15,F$15,$G51=$G$16,F$16,$G51=$G$33,F$33,$G51=$G$34,F$34,$G51=$G$248,F$248,$G51=$G$250,F$250)</f>
        <v>8038</v>
      </c>
      <c r="G51" s="29" t="s">
        <v>85</v>
      </c>
      <c r="H51" s="31" cm="1">
        <f t="array" ref="H51">_xlfn.IFS($G51=$G$5,H$5,$G51=$G$6,H$6,$G51=$G$7,H$7,$G51=$G$8,H$8,$G51=$G$9,H$9,$G51=$G$10,H$10,$G51=$G$11,H$11,$G51=$G$13,H$13,$G51=$G$15,H$15,$G51=$G$16,H$16,$G51=$G$33,H$33,$G51=$G$34,H$34,$G51=$G$248,H$248,$G51=$G$250,H$250)</f>
        <v>41.367429999999999</v>
      </c>
      <c r="I51" s="31" cm="1">
        <f t="array" ref="I51">_xlfn.IFS($G51=$G$5,I$5,$G51=$G$6,I$6,$G51=$G$7,I$7,$G51=$G$8,I$8,$G51=$G$9,I$9,$G51=$G$10,I$10,$G51=$G$11,I$11,$G51=$G$13,I$13,$G51=$G$15,I$15,$G51=$G$16,I$16,$G51=$G$33,I$33,$G51=$G$34,I$34,$G51=$G$248,I$248,$G51=$G$250,I$250)</f>
        <v>2.1569609999999999</v>
      </c>
      <c r="J51" s="29" cm="1">
        <f t="array" ref="J51">_xlfn.IFS($G51=$G$5,J$5,$G51=$G$6,J$6,$G51=$G$7,J$7,$G51=$G$8,J$8,$G51=$G$9,J$9,$G51=$G$10,J$10,$G51=$G$11,J$11,$G51=$G$13,J$13,$G51=$G$15,J$15,$G51=$G$16,J$16,$G51=$G$33,J$33,$G51=$G$34,J$34,$G51=$G$248,J$248,$G51=$G$250,J$250)</f>
        <v>91</v>
      </c>
      <c r="K51" s="29" t="str" cm="1">
        <f t="array" ref="K51">_xlfn.IFS($G51=$G$5,K$5,$G51=$G$6,K$6,$G51=$G$7,K$7,$G51=$G$8,K$8,$G51=$G$9,K$9,$G51=$G$10,K$10,$G51=$G$11,K$11,$G51=$G$13,K$13,$G51=$G$15,K$15,$G51=$G$16,K$16,$G51=$G$33,K$33,$G51=$G$34,K$34,$G51=$G$248,K$248,$G51=$G$250,K$250)</f>
        <v>BG sentinel + BG lure7</v>
      </c>
      <c r="L51" s="29" t="str" cm="1">
        <f t="array" ref="L51">_xlfn.IFS($G51=$G$5,L$5,$G51=$G$6,L$6,$G51=$G$7,L$7,$G51=$G$8,L$8,$G51=$G$9,L$9,$G51=$G$10,L$10,$G51=$G$11,L$11,$G51=$G$13,L$13,$G51=$G$15,L$15,$G51=$G$16,L$16,$G51=$G$33,L$33,$G51=$G$34,L$34,$G51=$G$248,L$248,$G51=$G$250,L$250)</f>
        <v>Other</v>
      </c>
      <c r="O51" s="32" t="str">
        <f t="shared" si="3"/>
        <v>A_SP_BCN_11_200805</v>
      </c>
      <c r="P51" s="33">
        <v>44048</v>
      </c>
      <c r="Q51" s="34">
        <v>0.61458333333333337</v>
      </c>
      <c r="R51" s="35"/>
      <c r="S51" s="36">
        <v>44055</v>
      </c>
      <c r="T51" s="37">
        <v>0.59722222222222221</v>
      </c>
      <c r="U51" s="38"/>
      <c r="V51" s="39" t="s">
        <v>66</v>
      </c>
      <c r="X51" s="29">
        <f t="shared" si="4"/>
        <v>7</v>
      </c>
      <c r="Y51" s="38"/>
      <c r="Z51" s="29" t="s">
        <v>75</v>
      </c>
      <c r="AA51" s="29">
        <f t="shared" si="2"/>
        <v>2</v>
      </c>
      <c r="AB51" s="29" t="s">
        <v>69</v>
      </c>
      <c r="AC51" s="29">
        <v>2</v>
      </c>
      <c r="AD51" s="29">
        <v>0</v>
      </c>
      <c r="AE51" s="29" t="s">
        <v>70</v>
      </c>
      <c r="AF51">
        <v>4</v>
      </c>
    </row>
    <row r="52" spans="1:33" x14ac:dyDescent="0.25">
      <c r="A52" s="28">
        <v>48</v>
      </c>
      <c r="B52" s="29" t="s">
        <v>60</v>
      </c>
      <c r="C52" s="29" t="s">
        <v>61</v>
      </c>
      <c r="D52" s="29" t="s">
        <v>62</v>
      </c>
      <c r="E52" s="29" t="s">
        <v>62</v>
      </c>
      <c r="F52" s="30" cm="1">
        <f t="array" ref="F52">_xlfn.IFS($G52=$G$5,F$5,$G52=$G$6,F$6,$G52=$G$7,F$7,$G52=$G$8,F$8,$G52=$G$9,F$9,$G52=$G$10,F$10,$G52=$G$11,F$11,$G52=$G$13,F$13,$G52=$G$15,F$15,$G52=$G$16,F$16,$G52=$G$33,F$33,$G52=$G$34,F$34,$G52=$G$248,F$248,$G52=$G$250,F$250)</f>
        <v>8038</v>
      </c>
      <c r="G52" s="29" t="s">
        <v>85</v>
      </c>
      <c r="H52" s="31" cm="1">
        <f t="array" ref="H52">_xlfn.IFS($G52=$G$5,H$5,$G52=$G$6,H$6,$G52=$G$7,H$7,$G52=$G$8,H$8,$G52=$G$9,H$9,$G52=$G$10,H$10,$G52=$G$11,H$11,$G52=$G$13,H$13,$G52=$G$15,H$15,$G52=$G$16,H$16,$G52=$G$33,H$33,$G52=$G$34,H$34,$G52=$G$248,H$248,$G52=$G$250,H$250)</f>
        <v>41.367429999999999</v>
      </c>
      <c r="I52" s="31" cm="1">
        <f t="array" ref="I52">_xlfn.IFS($G52=$G$5,I$5,$G52=$G$6,I$6,$G52=$G$7,I$7,$G52=$G$8,I$8,$G52=$G$9,I$9,$G52=$G$10,I$10,$G52=$G$11,I$11,$G52=$G$13,I$13,$G52=$G$15,I$15,$G52=$G$16,I$16,$G52=$G$33,I$33,$G52=$G$34,I$34,$G52=$G$248,I$248,$G52=$G$250,I$250)</f>
        <v>2.1569609999999999</v>
      </c>
      <c r="J52" s="29" cm="1">
        <f t="array" ref="J52">_xlfn.IFS($G52=$G$5,J$5,$G52=$G$6,J$6,$G52=$G$7,J$7,$G52=$G$8,J$8,$G52=$G$9,J$9,$G52=$G$10,J$10,$G52=$G$11,J$11,$G52=$G$13,J$13,$G52=$G$15,J$15,$G52=$G$16,J$16,$G52=$G$33,J$33,$G52=$G$34,J$34,$G52=$G$248,J$248,$G52=$G$250,J$250)</f>
        <v>91</v>
      </c>
      <c r="K52" s="29" t="str" cm="1">
        <f t="array" ref="K52">_xlfn.IFS($G52=$G$5,K$5,$G52=$G$6,K$6,$G52=$G$7,K$7,$G52=$G$8,K$8,$G52=$G$9,K$9,$G52=$G$10,K$10,$G52=$G$11,K$11,$G52=$G$13,K$13,$G52=$G$15,K$15,$G52=$G$16,K$16,$G52=$G$33,K$33,$G52=$G$34,K$34,$G52=$G$248,K$248,$G52=$G$250,K$250)</f>
        <v>BG sentinel + BG lure7</v>
      </c>
      <c r="L52" s="29" t="str" cm="1">
        <f t="array" ref="L52">_xlfn.IFS($G52=$G$5,L$5,$G52=$G$6,L$6,$G52=$G$7,L$7,$G52=$G$8,L$8,$G52=$G$9,L$9,$G52=$G$10,L$10,$G52=$G$11,L$11,$G52=$G$13,L$13,$G52=$G$15,L$15,$G52=$G$16,L$16,$G52=$G$33,L$33,$G52=$G$34,L$34,$G52=$G$248,L$248,$G52=$G$250,L$250)</f>
        <v>Other</v>
      </c>
      <c r="O52" s="32" t="str">
        <f t="shared" si="3"/>
        <v>A_SP_BCN_11_200805</v>
      </c>
      <c r="P52" s="33">
        <v>44048</v>
      </c>
      <c r="Q52" s="34">
        <v>0.61458333333333337</v>
      </c>
      <c r="R52" s="35"/>
      <c r="S52" s="36">
        <v>44055</v>
      </c>
      <c r="T52" s="37">
        <v>0.59722222222222221</v>
      </c>
      <c r="U52" s="38"/>
      <c r="V52" s="39" t="s">
        <v>66</v>
      </c>
      <c r="X52" s="29">
        <f t="shared" si="4"/>
        <v>7</v>
      </c>
      <c r="Y52" s="38"/>
      <c r="Z52" s="29" t="s">
        <v>84</v>
      </c>
      <c r="AA52" s="29">
        <f t="shared" si="2"/>
        <v>1</v>
      </c>
      <c r="AB52" s="29" t="s">
        <v>69</v>
      </c>
      <c r="AC52" s="29">
        <v>0</v>
      </c>
      <c r="AD52" s="29">
        <v>1</v>
      </c>
      <c r="AE52" s="29" t="s">
        <v>70</v>
      </c>
      <c r="AF52">
        <v>4</v>
      </c>
    </row>
    <row r="53" spans="1:33" x14ac:dyDescent="0.25">
      <c r="A53" s="28">
        <v>49</v>
      </c>
      <c r="B53" s="29" t="s">
        <v>60</v>
      </c>
      <c r="C53" s="29" t="s">
        <v>61</v>
      </c>
      <c r="D53" s="29" t="s">
        <v>62</v>
      </c>
      <c r="E53" s="29" t="s">
        <v>62</v>
      </c>
      <c r="F53" s="30" cm="1">
        <f t="array" ref="F53">_xlfn.IFS($G53=$G$5,F$5,$G53=$G$6,F$6,$G53=$G$7,F$7,$G53=$G$8,F$8,$G53=$G$9,F$9,$G53=$G$10,F$10,$G53=$G$11,F$11,$G53=$G$13,F$13,$G53=$G$15,F$15,$G53=$G$16,F$16,$G53=$G$33,F$33,$G53=$G$34,F$34,$G53=$G$248,F$248,$G53=$G$250,F$250)</f>
        <v>8038</v>
      </c>
      <c r="G53" s="29" t="s">
        <v>86</v>
      </c>
      <c r="H53" s="31" cm="1">
        <f t="array" ref="H53">_xlfn.IFS($G53=$G$5,H$5,$G53=$G$6,H$6,$G53=$G$7,H$7,$G53=$G$8,H$8,$G53=$G$9,H$9,$G53=$G$10,H$10,$G53=$G$11,H$11,$G53=$G$13,H$13,$G53=$G$15,H$15,$G53=$G$16,H$16,$G53=$G$33,H$33,$G53=$G$34,H$34,$G53=$G$248,H$248,$G53=$G$250,H$250)</f>
        <v>41.363377999999997</v>
      </c>
      <c r="I53" s="31" cm="1">
        <f t="array" ref="I53">_xlfn.IFS($G53=$G$5,I$5,$G53=$G$6,I$6,$G53=$G$7,I$7,$G53=$G$8,I$8,$G53=$G$9,I$9,$G53=$G$10,I$10,$G53=$G$11,I$11,$G53=$G$13,I$13,$G53=$G$15,I$15,$G53=$G$16,I$16,$G53=$G$33,I$33,$G53=$G$34,I$34,$G53=$G$248,I$248,$G53=$G$250,I$250)</f>
        <v>2.164879</v>
      </c>
      <c r="J53" s="29" cm="1">
        <f t="array" ref="J53">_xlfn.IFS($G53=$G$5,J$5,$G53=$G$6,J$6,$G53=$G$7,J$7,$G53=$G$8,J$8,$G53=$G$9,J$9,$G53=$G$10,J$10,$G53=$G$11,J$11,$G53=$G$13,J$13,$G53=$G$15,J$15,$G53=$G$16,J$16,$G53=$G$33,J$33,$G53=$G$34,J$34,$G53=$G$248,J$248,$G53=$G$250,J$250)</f>
        <v>185</v>
      </c>
      <c r="K53" s="29" t="str" cm="1">
        <f t="array" ref="K53">_xlfn.IFS($G53=$G$5,K$5,$G53=$G$6,K$6,$G53=$G$7,K$7,$G53=$G$8,K$8,$G53=$G$9,K$9,$G53=$G$10,K$10,$G53=$G$11,K$11,$G53=$G$13,K$13,$G53=$G$15,K$15,$G53=$G$16,K$16,$G53=$G$33,K$33,$G53=$G$34,K$34,$G53=$G$248,K$248,$G53=$G$250,K$250)</f>
        <v>BG sentinel + BG lure7</v>
      </c>
      <c r="L53" s="29" t="str" cm="1">
        <f t="array" ref="L53">_xlfn.IFS($G53=$G$5,L$5,$G53=$G$6,L$6,$G53=$G$7,L$7,$G53=$G$8,L$8,$G53=$G$9,L$9,$G53=$G$10,L$10,$G53=$G$11,L$11,$G53=$G$13,L$13,$G53=$G$15,L$15,$G53=$G$16,L$16,$G53=$G$33,L$33,$G53=$G$34,L$34,$G53=$G$248,L$248,$G53=$G$250,L$250)</f>
        <v>Other</v>
      </c>
      <c r="O53" s="32" t="str">
        <f t="shared" si="3"/>
        <v>A_SP_BCN_12_200805</v>
      </c>
      <c r="P53" s="33">
        <v>44048</v>
      </c>
      <c r="Q53" s="34">
        <v>0.66666666666666663</v>
      </c>
      <c r="R53" s="35"/>
      <c r="S53" s="36">
        <v>44055</v>
      </c>
      <c r="T53" s="37">
        <v>0.63541666666666663</v>
      </c>
      <c r="U53" s="38"/>
      <c r="V53" s="39" t="s">
        <v>66</v>
      </c>
      <c r="X53" s="29">
        <f t="shared" si="4"/>
        <v>7</v>
      </c>
      <c r="Y53" s="38"/>
      <c r="Z53" s="29" t="s">
        <v>68</v>
      </c>
      <c r="AA53" s="29">
        <f t="shared" si="2"/>
        <v>19</v>
      </c>
      <c r="AB53" s="29" t="s">
        <v>69</v>
      </c>
      <c r="AC53" s="29">
        <v>15</v>
      </c>
      <c r="AD53" s="29">
        <v>4</v>
      </c>
      <c r="AE53" s="29" t="s">
        <v>70</v>
      </c>
      <c r="AF53">
        <v>4</v>
      </c>
    </row>
    <row r="54" spans="1:33" x14ac:dyDescent="0.25">
      <c r="A54" s="28">
        <v>50</v>
      </c>
      <c r="B54" s="29" t="s">
        <v>60</v>
      </c>
      <c r="C54" s="29" t="s">
        <v>61</v>
      </c>
      <c r="D54" s="29" t="s">
        <v>62</v>
      </c>
      <c r="E54" s="29" t="s">
        <v>62</v>
      </c>
      <c r="F54" s="30" cm="1">
        <f t="array" ref="F54">_xlfn.IFS($G54=$G$5,F$5,$G54=$G$6,F$6,$G54=$G$7,F$7,$G54=$G$8,F$8,$G54=$G$9,F$9,$G54=$G$10,F$10,$G54=$G$11,F$11,$G54=$G$13,F$13,$G54=$G$15,F$15,$G54=$G$16,F$16,$G54=$G$33,F$33,$G54=$G$34,F$34,$G54=$G$248,F$248,$G54=$G$250,F$250)</f>
        <v>8038</v>
      </c>
      <c r="G54" s="29" t="s">
        <v>86</v>
      </c>
      <c r="H54" s="31" cm="1">
        <f t="array" ref="H54">_xlfn.IFS($G54=$G$5,H$5,$G54=$G$6,H$6,$G54=$G$7,H$7,$G54=$G$8,H$8,$G54=$G$9,H$9,$G54=$G$10,H$10,$G54=$G$11,H$11,$G54=$G$13,H$13,$G54=$G$15,H$15,$G54=$G$16,H$16,$G54=$G$33,H$33,$G54=$G$34,H$34,$G54=$G$248,H$248,$G54=$G$250,H$250)</f>
        <v>41.363377999999997</v>
      </c>
      <c r="I54" s="31" cm="1">
        <f t="array" ref="I54">_xlfn.IFS($G54=$G$5,I$5,$G54=$G$6,I$6,$G54=$G$7,I$7,$G54=$G$8,I$8,$G54=$G$9,I$9,$G54=$G$10,I$10,$G54=$G$11,I$11,$G54=$G$13,I$13,$G54=$G$15,I$15,$G54=$G$16,I$16,$G54=$G$33,I$33,$G54=$G$34,I$34,$G54=$G$248,I$248,$G54=$G$250,I$250)</f>
        <v>2.164879</v>
      </c>
      <c r="J54" s="29" cm="1">
        <f t="array" ref="J54">_xlfn.IFS($G54=$G$5,J$5,$G54=$G$6,J$6,$G54=$G$7,J$7,$G54=$G$8,J$8,$G54=$G$9,J$9,$G54=$G$10,J$10,$G54=$G$11,J$11,$G54=$G$13,J$13,$G54=$G$15,J$15,$G54=$G$16,J$16,$G54=$G$33,J$33,$G54=$G$34,J$34,$G54=$G$248,J$248,$G54=$G$250,J$250)</f>
        <v>185</v>
      </c>
      <c r="K54" s="29" t="str" cm="1">
        <f t="array" ref="K54">_xlfn.IFS($G54=$G$5,K$5,$G54=$G$6,K$6,$G54=$G$7,K$7,$G54=$G$8,K$8,$G54=$G$9,K$9,$G54=$G$10,K$10,$G54=$G$11,K$11,$G54=$G$13,K$13,$G54=$G$15,K$15,$G54=$G$16,K$16,$G54=$G$33,K$33,$G54=$G$34,K$34,$G54=$G$248,K$248,$G54=$G$250,K$250)</f>
        <v>BG sentinel + BG lure7</v>
      </c>
      <c r="L54" s="29" t="str" cm="1">
        <f t="array" ref="L54">_xlfn.IFS($G54=$G$5,L$5,$G54=$G$6,L$6,$G54=$G$7,L$7,$G54=$G$8,L$8,$G54=$G$9,L$9,$G54=$G$10,L$10,$G54=$G$11,L$11,$G54=$G$13,L$13,$G54=$G$15,L$15,$G54=$G$16,L$16,$G54=$G$33,L$33,$G54=$G$34,L$34,$G54=$G$248,L$248,$G54=$G$250,L$250)</f>
        <v>Other</v>
      </c>
      <c r="O54" s="32" t="str">
        <f t="shared" si="3"/>
        <v>A_SP_BCN_12_200805</v>
      </c>
      <c r="P54" s="33">
        <v>44048</v>
      </c>
      <c r="Q54" s="34">
        <v>0.66666666666666663</v>
      </c>
      <c r="R54" s="35"/>
      <c r="S54" s="36">
        <v>44055</v>
      </c>
      <c r="T54" s="37">
        <v>0.63541666666666663</v>
      </c>
      <c r="U54" s="38"/>
      <c r="V54" s="39" t="s">
        <v>66</v>
      </c>
      <c r="X54" s="29">
        <f t="shared" si="4"/>
        <v>7</v>
      </c>
      <c r="Y54" s="38"/>
      <c r="Z54" s="29" t="s">
        <v>75</v>
      </c>
      <c r="AA54" s="29">
        <f t="shared" si="2"/>
        <v>64</v>
      </c>
      <c r="AB54" s="29" t="s">
        <v>69</v>
      </c>
      <c r="AC54" s="29">
        <v>63</v>
      </c>
      <c r="AD54" s="29">
        <v>1</v>
      </c>
      <c r="AE54" s="29" t="s">
        <v>70</v>
      </c>
      <c r="AF54">
        <v>4</v>
      </c>
    </row>
    <row r="55" spans="1:33" x14ac:dyDescent="0.25">
      <c r="A55" s="28">
        <v>51</v>
      </c>
      <c r="B55" s="29" t="s">
        <v>60</v>
      </c>
      <c r="C55" s="29" t="s">
        <v>61</v>
      </c>
      <c r="D55" s="29" t="s">
        <v>62</v>
      </c>
      <c r="E55" s="29" t="s">
        <v>62</v>
      </c>
      <c r="F55" s="30" cm="1">
        <f t="array" ref="F55">_xlfn.IFS($G55=$G$5,F$5,$G55=$G$6,F$6,$G55=$G$7,F$7,$G55=$G$8,F$8,$G55=$G$9,F$9,$G55=$G$10,F$10,$G55=$G$11,F$11,$G55=$G$13,F$13,$G55=$G$15,F$15,$G55=$G$16,F$16,$G55=$G$33,F$33,$G55=$G$34,F$34,$G55=$G$248,F$248,$G55=$G$250,F$250)</f>
        <v>8038</v>
      </c>
      <c r="G55" s="29" t="s">
        <v>86</v>
      </c>
      <c r="H55" s="31" cm="1">
        <f t="array" ref="H55">_xlfn.IFS($G55=$G$5,H$5,$G55=$G$6,H$6,$G55=$G$7,H$7,$G55=$G$8,H$8,$G55=$G$9,H$9,$G55=$G$10,H$10,$G55=$G$11,H$11,$G55=$G$13,H$13,$G55=$G$15,H$15,$G55=$G$16,H$16,$G55=$G$33,H$33,$G55=$G$34,H$34,$G55=$G$248,H$248,$G55=$G$250,H$250)</f>
        <v>41.363377999999997</v>
      </c>
      <c r="I55" s="31" cm="1">
        <f t="array" ref="I55">_xlfn.IFS($G55=$G$5,I$5,$G55=$G$6,I$6,$G55=$G$7,I$7,$G55=$G$8,I$8,$G55=$G$9,I$9,$G55=$G$10,I$10,$G55=$G$11,I$11,$G55=$G$13,I$13,$G55=$G$15,I$15,$G55=$G$16,I$16,$G55=$G$33,I$33,$G55=$G$34,I$34,$G55=$G$248,I$248,$G55=$G$250,I$250)</f>
        <v>2.164879</v>
      </c>
      <c r="J55" s="29" cm="1">
        <f t="array" ref="J55">_xlfn.IFS($G55=$G$5,J$5,$G55=$G$6,J$6,$G55=$G$7,J$7,$G55=$G$8,J$8,$G55=$G$9,J$9,$G55=$G$10,J$10,$G55=$G$11,J$11,$G55=$G$13,J$13,$G55=$G$15,J$15,$G55=$G$16,J$16,$G55=$G$33,J$33,$G55=$G$34,J$34,$G55=$G$248,J$248,$G55=$G$250,J$250)</f>
        <v>185</v>
      </c>
      <c r="K55" s="29" t="str" cm="1">
        <f t="array" ref="K55">_xlfn.IFS($G55=$G$5,K$5,$G55=$G$6,K$6,$G55=$G$7,K$7,$G55=$G$8,K$8,$G55=$G$9,K$9,$G55=$G$10,K$10,$G55=$G$11,K$11,$G55=$G$13,K$13,$G55=$G$15,K$15,$G55=$G$16,K$16,$G55=$G$33,K$33,$G55=$G$34,K$34,$G55=$G$248,K$248,$G55=$G$250,K$250)</f>
        <v>BG sentinel + BG lure7</v>
      </c>
      <c r="L55" s="29" t="str" cm="1">
        <f t="array" ref="L55">_xlfn.IFS($G55=$G$5,L$5,$G55=$G$6,L$6,$G55=$G$7,L$7,$G55=$G$8,L$8,$G55=$G$9,L$9,$G55=$G$10,L$10,$G55=$G$11,L$11,$G55=$G$13,L$13,$G55=$G$15,L$15,$G55=$G$16,L$16,$G55=$G$33,L$33,$G55=$G$34,L$34,$G55=$G$248,L$248,$G55=$G$250,L$250)</f>
        <v>Other</v>
      </c>
      <c r="O55" s="32" t="str">
        <f t="shared" si="3"/>
        <v>A_SP_BCN_12_200805</v>
      </c>
      <c r="P55" s="33">
        <v>44048</v>
      </c>
      <c r="Q55" s="34">
        <v>0.66666666666666663</v>
      </c>
      <c r="R55" s="35"/>
      <c r="S55" s="36">
        <v>44055</v>
      </c>
      <c r="T55" s="37">
        <v>0.63541666666666663</v>
      </c>
      <c r="U55" s="38"/>
      <c r="V55" s="39" t="s">
        <v>66</v>
      </c>
      <c r="X55" s="29">
        <f t="shared" si="4"/>
        <v>7</v>
      </c>
      <c r="Y55" s="38"/>
      <c r="Z55" s="29" t="s">
        <v>84</v>
      </c>
      <c r="AA55" s="29">
        <f t="shared" si="2"/>
        <v>2</v>
      </c>
      <c r="AB55" s="29" t="s">
        <v>69</v>
      </c>
      <c r="AC55" s="29">
        <v>2</v>
      </c>
      <c r="AD55" s="29">
        <v>0</v>
      </c>
      <c r="AE55" s="29" t="s">
        <v>70</v>
      </c>
      <c r="AF55">
        <v>4</v>
      </c>
    </row>
    <row r="56" spans="1:33" x14ac:dyDescent="0.25">
      <c r="A56" s="28">
        <v>52</v>
      </c>
      <c r="B56" s="29" t="s">
        <v>60</v>
      </c>
      <c r="C56" s="29" t="s">
        <v>61</v>
      </c>
      <c r="D56" s="29" t="s">
        <v>62</v>
      </c>
      <c r="E56" s="29" t="s">
        <v>62</v>
      </c>
      <c r="F56" s="30" cm="1">
        <f t="array" ref="F56">_xlfn.IFS($G56=$G$5,F$5,$G56=$G$6,F$6,$G56=$G$7,F$7,$G56=$G$8,F$8,$G56=$G$9,F$9,$G56=$G$10,F$10,$G56=$G$11,F$11,$G56=$G$13,F$13,$G56=$G$15,F$15,$G56=$G$16,F$16,$G56=$G$33,F$33,$G56=$G$34,F$34,$G56=$G$248,F$248,$G56=$G$250,F$250)</f>
        <v>8035</v>
      </c>
      <c r="G56" s="29" t="s">
        <v>71</v>
      </c>
      <c r="H56" s="31" cm="1">
        <f t="array" ref="H56">_xlfn.IFS($G56=$G$5,H$5,$G56=$G$6,H$6,$G56=$G$7,H$7,$G56=$G$8,H$8,$G56=$G$9,H$9,$G56=$G$10,H$10,$G56=$G$11,H$11,$G56=$G$13,H$13,$G56=$G$15,H$15,$G56=$G$16,H$16,$G56=$G$33,H$33,$G56=$G$34,H$34,$G56=$G$248,H$248,$G56=$G$250,H$250)</f>
        <v>41.424387000000003</v>
      </c>
      <c r="I56" s="31" cm="1">
        <f t="array" ref="I56">_xlfn.IFS($G56=$G$5,I$5,$G56=$G$6,I$6,$G56=$G$7,I$7,$G56=$G$8,I$8,$G56=$G$9,I$9,$G56=$G$10,I$10,$G56=$G$11,I$11,$G56=$G$13,I$13,$G56=$G$15,I$15,$G56=$G$16,I$16,$G56=$G$33,I$33,$G56=$G$34,I$34,$G56=$G$248,I$248,$G56=$G$250,I$250)</f>
        <v>2.1431439999999999</v>
      </c>
      <c r="J56" s="29" cm="1">
        <f t="array" ref="J56">_xlfn.IFS($G56=$G$5,J$5,$G56=$G$6,J$6,$G56=$G$7,J$7,$G56=$G$8,J$8,$G56=$G$9,J$9,$G56=$G$10,J$10,$G56=$G$11,J$11,$G56=$G$13,J$13,$G56=$G$15,J$15,$G56=$G$16,J$16,$G56=$G$33,J$33,$G56=$G$34,J$34,$G56=$G$248,J$248,$G56=$G$250,J$250)</f>
        <v>160</v>
      </c>
      <c r="K56" s="29" t="str" cm="1">
        <f t="array" ref="K56">_xlfn.IFS($G56=$G$5,K$5,$G56=$G$6,K$6,$G56=$G$7,K$7,$G56=$G$8,K$8,$G56=$G$9,K$9,$G56=$G$10,K$10,$G56=$G$11,K$11,$G56=$G$13,K$13,$G56=$G$15,K$15,$G56=$G$16,K$16,$G56=$G$33,K$33,$G56=$G$34,K$34,$G56=$G$248,K$248,$G56=$G$250,K$250)</f>
        <v>BG sentinel + BG lure7</v>
      </c>
      <c r="L56" s="29" t="str" cm="1">
        <f t="array" ref="L56">_xlfn.IFS($G56=$G$5,L$5,$G56=$G$6,L$6,$G56=$G$7,L$7,$G56=$G$8,L$8,$G56=$G$9,L$9,$G56=$G$10,L$10,$G56=$G$11,L$11,$G56=$G$13,L$13,$G56=$G$15,L$15,$G56=$G$16,L$16,$G56=$G$33,L$33,$G56=$G$34,L$34,$G56=$G$248,L$248,$G56=$G$250,L$250)</f>
        <v>Urban habitat</v>
      </c>
      <c r="O56" s="32" t="str">
        <f t="shared" si="3"/>
        <v>A_SP_BCN_2_200812</v>
      </c>
      <c r="P56" s="33">
        <v>44055</v>
      </c>
      <c r="Q56" s="34">
        <v>0.54166666666666663</v>
      </c>
      <c r="R56" s="35"/>
      <c r="S56" s="36">
        <v>44062</v>
      </c>
      <c r="T56" s="37">
        <v>0.5</v>
      </c>
      <c r="U56" s="38"/>
      <c r="V56" s="39" t="s">
        <v>66</v>
      </c>
      <c r="X56" s="29">
        <f t="shared" si="4"/>
        <v>7</v>
      </c>
      <c r="Y56" s="38"/>
      <c r="Z56" s="29" t="s">
        <v>68</v>
      </c>
      <c r="AA56" s="29">
        <f t="shared" si="2"/>
        <v>21</v>
      </c>
      <c r="AB56" s="29" t="s">
        <v>69</v>
      </c>
      <c r="AC56" s="29">
        <v>20</v>
      </c>
      <c r="AD56" s="29">
        <v>1</v>
      </c>
      <c r="AE56" s="29" t="s">
        <v>70</v>
      </c>
      <c r="AF56">
        <v>4</v>
      </c>
      <c r="AG56" s="40"/>
    </row>
    <row r="57" spans="1:33" x14ac:dyDescent="0.25">
      <c r="A57" s="28">
        <v>53</v>
      </c>
      <c r="B57" s="29" t="s">
        <v>60</v>
      </c>
      <c r="C57" s="29" t="s">
        <v>61</v>
      </c>
      <c r="D57" s="29" t="s">
        <v>62</v>
      </c>
      <c r="E57" s="29" t="s">
        <v>62</v>
      </c>
      <c r="F57" s="30" cm="1">
        <f t="array" ref="F57">_xlfn.IFS($G57=$G$5,F$5,$G57=$G$6,F$6,$G57=$G$7,F$7,$G57=$G$8,F$8,$G57=$G$9,F$9,$G57=$G$10,F$10,$G57=$G$11,F$11,$G57=$G$13,F$13,$G57=$G$15,F$15,$G57=$G$16,F$16,$G57=$G$33,F$33,$G57=$G$34,F$34,$G57=$G$248,F$248,$G57=$G$250,F$250)</f>
        <v>8016</v>
      </c>
      <c r="G57" s="29" t="s">
        <v>72</v>
      </c>
      <c r="H57" s="31" cm="1">
        <f t="array" ref="H57">_xlfn.IFS($G57=$G$5,H$5,$G57=$G$6,H$6,$G57=$G$7,H$7,$G57=$G$8,H$8,$G57=$G$9,H$9,$G57=$G$10,H$10,$G57=$G$11,H$11,$G57=$G$13,H$13,$G57=$G$15,H$15,$G57=$G$16,H$16,$G57=$G$33,H$33,$G57=$G$34,H$34,$G57=$G$248,H$248,$G57=$G$250,H$250)</f>
        <v>41.437435000000001</v>
      </c>
      <c r="I57" s="31" cm="1">
        <f t="array" ref="I57">_xlfn.IFS($G57=$G$5,I$5,$G57=$G$6,I$6,$G57=$G$7,I$7,$G57=$G$8,I$8,$G57=$G$9,I$9,$G57=$G$10,I$10,$G57=$G$11,I$11,$G57=$G$13,I$13,$G57=$G$15,I$15,$G57=$G$16,I$16,$G57=$G$33,I$33,$G57=$G$34,I$34,$G57=$G$248,I$248,$G57=$G$250,I$250)</f>
        <v>2.1812779999999998</v>
      </c>
      <c r="J57" s="29" cm="1">
        <f t="array" ref="J57">_xlfn.IFS($G57=$G$5,J$5,$G57=$G$6,J$6,$G57=$G$7,J$7,$G57=$G$8,J$8,$G57=$G$9,J$9,$G57=$G$10,J$10,$G57=$G$11,J$11,$G57=$G$13,J$13,$G57=$G$15,J$15,$G57=$G$16,J$16,$G57=$G$33,J$33,$G57=$G$34,J$34,$G57=$G$248,J$248,$G57=$G$250,J$250)</f>
        <v>47</v>
      </c>
      <c r="K57" s="29" t="str" cm="1">
        <f t="array" ref="K57">_xlfn.IFS($G57=$G$5,K$5,$G57=$G$6,K$6,$G57=$G$7,K$7,$G57=$G$8,K$8,$G57=$G$9,K$9,$G57=$G$10,K$10,$G57=$G$11,K$11,$G57=$G$13,K$13,$G57=$G$15,K$15,$G57=$G$16,K$16,$G57=$G$33,K$33,$G57=$G$34,K$34,$G57=$G$248,K$248,$G57=$G$250,K$250)</f>
        <v>BG sentinel + BG lure7</v>
      </c>
      <c r="L57" s="29" t="str" cm="1">
        <f t="array" ref="L57">_xlfn.IFS($G57=$G$5,L$5,$G57=$G$6,L$6,$G57=$G$7,L$7,$G57=$G$8,L$8,$G57=$G$9,L$9,$G57=$G$10,L$10,$G57=$G$11,L$11,$G57=$G$13,L$13,$G57=$G$15,L$15,$G57=$G$16,L$16,$G57=$G$33,L$33,$G57=$G$34,L$34,$G57=$G$248,L$248,$G57=$G$250,L$250)</f>
        <v>Urban habitat</v>
      </c>
      <c r="O57" s="32" t="str">
        <f t="shared" si="3"/>
        <v>A_SP_BCN_3_200812</v>
      </c>
      <c r="P57" s="33">
        <v>44055</v>
      </c>
      <c r="Q57" s="34">
        <v>0.49305555555555558</v>
      </c>
      <c r="R57" s="35"/>
      <c r="S57" s="36">
        <v>44062</v>
      </c>
      <c r="T57" s="37">
        <v>0.55208333333333337</v>
      </c>
      <c r="U57" s="38"/>
      <c r="V57" s="39" t="s">
        <v>66</v>
      </c>
      <c r="X57" s="29">
        <f t="shared" si="4"/>
        <v>7</v>
      </c>
      <c r="Y57" s="38"/>
      <c r="Z57" s="29" t="s">
        <v>68</v>
      </c>
      <c r="AA57" s="29">
        <f t="shared" si="2"/>
        <v>30</v>
      </c>
      <c r="AB57" s="29" t="s">
        <v>69</v>
      </c>
      <c r="AC57" s="29">
        <v>25</v>
      </c>
      <c r="AD57" s="29">
        <v>5</v>
      </c>
      <c r="AE57" s="29" t="s">
        <v>70</v>
      </c>
      <c r="AF57">
        <v>4</v>
      </c>
      <c r="AG57" s="40"/>
    </row>
    <row r="58" spans="1:33" x14ac:dyDescent="0.25">
      <c r="A58" s="28">
        <v>54</v>
      </c>
      <c r="B58" s="29" t="s">
        <v>60</v>
      </c>
      <c r="C58" s="29" t="s">
        <v>61</v>
      </c>
      <c r="D58" s="29" t="s">
        <v>62</v>
      </c>
      <c r="E58" s="29" t="s">
        <v>62</v>
      </c>
      <c r="F58" s="30" cm="1">
        <f t="array" ref="F58">_xlfn.IFS($G58=$G$5,F$5,$G58=$G$6,F$6,$G58=$G$7,F$7,$G58=$G$8,F$8,$G58=$G$9,F$9,$G58=$G$10,F$10,$G58=$G$11,F$11,$G58=$G$13,F$13,$G58=$G$15,F$15,$G58=$G$16,F$16,$G58=$G$33,F$33,$G58=$G$34,F$34,$G58=$G$248,F$248,$G58=$G$250,F$250)</f>
        <v>8016</v>
      </c>
      <c r="G58" s="29" t="s">
        <v>72</v>
      </c>
      <c r="H58" s="31" cm="1">
        <f t="array" ref="H58">_xlfn.IFS($G58=$G$5,H$5,$G58=$G$6,H$6,$G58=$G$7,H$7,$G58=$G$8,H$8,$G58=$G$9,H$9,$G58=$G$10,H$10,$G58=$G$11,H$11,$G58=$G$13,H$13,$G58=$G$15,H$15,$G58=$G$16,H$16,$G58=$G$33,H$33,$G58=$G$34,H$34,$G58=$G$248,H$248,$G58=$G$250,H$250)</f>
        <v>41.437435000000001</v>
      </c>
      <c r="I58" s="31" cm="1">
        <f t="array" ref="I58">_xlfn.IFS($G58=$G$5,I$5,$G58=$G$6,I$6,$G58=$G$7,I$7,$G58=$G$8,I$8,$G58=$G$9,I$9,$G58=$G$10,I$10,$G58=$G$11,I$11,$G58=$G$13,I$13,$G58=$G$15,I$15,$G58=$G$16,I$16,$G58=$G$33,I$33,$G58=$G$34,I$34,$G58=$G$248,I$248,$G58=$G$250,I$250)</f>
        <v>2.1812779999999998</v>
      </c>
      <c r="J58" s="29" cm="1">
        <f t="array" ref="J58">_xlfn.IFS($G58=$G$5,J$5,$G58=$G$6,J$6,$G58=$G$7,J$7,$G58=$G$8,J$8,$G58=$G$9,J$9,$G58=$G$10,J$10,$G58=$G$11,J$11,$G58=$G$13,J$13,$G58=$G$15,J$15,$G58=$G$16,J$16,$G58=$G$33,J$33,$G58=$G$34,J$34,$G58=$G$248,J$248,$G58=$G$250,J$250)</f>
        <v>47</v>
      </c>
      <c r="K58" s="29" t="str" cm="1">
        <f t="array" ref="K58">_xlfn.IFS($G58=$G$5,K$5,$G58=$G$6,K$6,$G58=$G$7,K$7,$G58=$G$8,K$8,$G58=$G$9,K$9,$G58=$G$10,K$10,$G58=$G$11,K$11,$G58=$G$13,K$13,$G58=$G$15,K$15,$G58=$G$16,K$16,$G58=$G$33,K$33,$G58=$G$34,K$34,$G58=$G$248,K$248,$G58=$G$250,K$250)</f>
        <v>BG sentinel + BG lure7</v>
      </c>
      <c r="L58" s="29" t="str" cm="1">
        <f t="array" ref="L58">_xlfn.IFS($G58=$G$5,L$5,$G58=$G$6,L$6,$G58=$G$7,L$7,$G58=$G$8,L$8,$G58=$G$9,L$9,$G58=$G$10,L$10,$G58=$G$11,L$11,$G58=$G$13,L$13,$G58=$G$15,L$15,$G58=$G$16,L$16,$G58=$G$33,L$33,$G58=$G$34,L$34,$G58=$G$248,L$248,$G58=$G$250,L$250)</f>
        <v>Urban habitat</v>
      </c>
      <c r="O58" s="32" t="str">
        <f t="shared" si="3"/>
        <v>A_SP_BCN_3_200812</v>
      </c>
      <c r="P58" s="33">
        <v>44055</v>
      </c>
      <c r="Q58" s="34">
        <v>0.49305555555555558</v>
      </c>
      <c r="R58" s="35"/>
      <c r="S58" s="36">
        <v>44062</v>
      </c>
      <c r="T58" s="37">
        <v>0.55208333333333337</v>
      </c>
      <c r="U58" s="38"/>
      <c r="V58" s="39" t="s">
        <v>66</v>
      </c>
      <c r="X58" s="29">
        <f t="shared" si="4"/>
        <v>7</v>
      </c>
      <c r="Y58" s="38"/>
      <c r="Z58" s="29" t="s">
        <v>75</v>
      </c>
      <c r="AA58" s="29">
        <f t="shared" si="2"/>
        <v>7</v>
      </c>
      <c r="AB58" s="29" t="s">
        <v>69</v>
      </c>
      <c r="AC58" s="29">
        <v>5</v>
      </c>
      <c r="AD58" s="29">
        <v>2</v>
      </c>
      <c r="AE58" s="29" t="s">
        <v>70</v>
      </c>
      <c r="AF58">
        <v>4</v>
      </c>
      <c r="AG58" s="40"/>
    </row>
    <row r="59" spans="1:33" x14ac:dyDescent="0.25">
      <c r="A59" s="28">
        <v>55</v>
      </c>
      <c r="B59" s="29" t="s">
        <v>60</v>
      </c>
      <c r="C59" s="29" t="s">
        <v>61</v>
      </c>
      <c r="D59" s="29" t="s">
        <v>62</v>
      </c>
      <c r="E59" s="29" t="s">
        <v>62</v>
      </c>
      <c r="F59" s="30" cm="1">
        <f t="array" ref="F59">_xlfn.IFS($G59=$G$5,F$5,$G59=$G$6,F$6,$G59=$G$7,F$7,$G59=$G$8,F$8,$G59=$G$9,F$9,$G59=$G$10,F$10,$G59=$G$11,F$11,$G59=$G$13,F$13,$G59=$G$15,F$15,$G59=$G$16,F$16,$G59=$G$33,F$33,$G59=$G$34,F$34,$G59=$G$248,F$248,$G59=$G$250,F$250)</f>
        <v>8018</v>
      </c>
      <c r="G59" s="29" t="s">
        <v>73</v>
      </c>
      <c r="H59" s="31" cm="1">
        <f t="array" ref="H59">_xlfn.IFS($G59=$G$5,H$5,$G59=$G$6,H$6,$G59=$G$7,H$7,$G59=$G$8,H$8,$G59=$G$9,H$9,$G59=$G$10,H$10,$G59=$G$11,H$11,$G59=$G$13,H$13,$G59=$G$15,H$15,$G59=$G$16,H$16,$G59=$G$33,H$33,$G59=$G$34,H$34,$G59=$G$248,H$248,$G59=$G$250,H$250)</f>
        <v>41.404924999999999</v>
      </c>
      <c r="I59" s="31" cm="1">
        <f t="array" ref="I59">_xlfn.IFS($G59=$G$5,I$5,$G59=$G$6,I$6,$G59=$G$7,I$7,$G59=$G$8,I$8,$G59=$G$9,I$9,$G59=$G$10,I$10,$G59=$G$11,I$11,$G59=$G$13,I$13,$G59=$G$15,I$15,$G59=$G$16,I$16,$G59=$G$33,I$33,$G59=$G$34,I$34,$G59=$G$248,I$248,$G59=$G$250,I$250)</f>
        <v>2.1987909999999999</v>
      </c>
      <c r="J59" s="29" cm="1">
        <f t="array" ref="J59">_xlfn.IFS($G59=$G$5,J$5,$G59=$G$6,J$6,$G59=$G$7,J$7,$G59=$G$8,J$8,$G59=$G$9,J$9,$G59=$G$10,J$10,$G59=$G$11,J$11,$G59=$G$13,J$13,$G59=$G$15,J$15,$G59=$G$16,J$16,$G59=$G$33,J$33,$G59=$G$34,J$34,$G59=$G$248,J$248,$G59=$G$250,J$250)</f>
        <v>4</v>
      </c>
      <c r="K59" s="29" t="str" cm="1">
        <f t="array" ref="K59">_xlfn.IFS($G59=$G$5,K$5,$G59=$G$6,K$6,$G59=$G$7,K$7,$G59=$G$8,K$8,$G59=$G$9,K$9,$G59=$G$10,K$10,$G59=$G$11,K$11,$G59=$G$13,K$13,$G59=$G$15,K$15,$G59=$G$16,K$16,$G59=$G$33,K$33,$G59=$G$34,K$34,$G59=$G$248,K$248,$G59=$G$250,K$250)</f>
        <v>BG sentinel + BG lure7</v>
      </c>
      <c r="L59" s="29" t="str" cm="1">
        <f t="array" ref="L59">_xlfn.IFS($G59=$G$5,L$5,$G59=$G$6,L$6,$G59=$G$7,L$7,$G59=$G$8,L$8,$G59=$G$9,L$9,$G59=$G$10,L$10,$G59=$G$11,L$11,$G59=$G$13,L$13,$G59=$G$15,L$15,$G59=$G$16,L$16,$G59=$G$33,L$33,$G59=$G$34,L$34,$G59=$G$248,L$248,$G59=$G$250,L$250)</f>
        <v>Urban habitat</v>
      </c>
      <c r="O59" s="32" t="str">
        <f t="shared" si="3"/>
        <v>A_SP_BCN_4_200812</v>
      </c>
      <c r="P59" s="33">
        <v>44055</v>
      </c>
      <c r="Q59" s="34">
        <v>0.47222222222222227</v>
      </c>
      <c r="R59" s="35"/>
      <c r="S59" s="36">
        <v>44062</v>
      </c>
      <c r="T59" s="37">
        <v>0.60416666666666663</v>
      </c>
      <c r="U59" s="38"/>
      <c r="V59" s="39" t="s">
        <v>66</v>
      </c>
      <c r="X59" s="29">
        <f t="shared" si="4"/>
        <v>7</v>
      </c>
      <c r="Y59" s="38"/>
      <c r="Z59" s="29" t="s">
        <v>68</v>
      </c>
      <c r="AA59" s="29">
        <f t="shared" si="2"/>
        <v>53</v>
      </c>
      <c r="AB59" s="29" t="s">
        <v>69</v>
      </c>
      <c r="AC59" s="29">
        <v>27</v>
      </c>
      <c r="AD59" s="29">
        <v>26</v>
      </c>
      <c r="AE59" s="29" t="s">
        <v>70</v>
      </c>
      <c r="AF59">
        <v>4</v>
      </c>
    </row>
    <row r="60" spans="1:33" x14ac:dyDescent="0.25">
      <c r="A60" s="28">
        <v>56</v>
      </c>
      <c r="B60" s="29" t="s">
        <v>60</v>
      </c>
      <c r="C60" s="29" t="s">
        <v>61</v>
      </c>
      <c r="D60" s="29" t="s">
        <v>62</v>
      </c>
      <c r="E60" s="29" t="s">
        <v>62</v>
      </c>
      <c r="F60" s="30" cm="1">
        <f t="array" ref="F60">_xlfn.IFS($G60=$G$5,F$5,$G60=$G$6,F$6,$G60=$G$7,F$7,$G60=$G$8,F$8,$G60=$G$9,F$9,$G60=$G$10,F$10,$G60=$G$11,F$11,$G60=$G$13,F$13,$G60=$G$15,F$15,$G60=$G$16,F$16,$G60=$G$33,F$33,$G60=$G$34,F$34,$G60=$G$248,F$248,$G60=$G$250,F$250)</f>
        <v>8018</v>
      </c>
      <c r="G60" s="29" t="s">
        <v>73</v>
      </c>
      <c r="H60" s="31" cm="1">
        <f t="array" ref="H60">_xlfn.IFS($G60=$G$5,H$5,$G60=$G$6,H$6,$G60=$G$7,H$7,$G60=$G$8,H$8,$G60=$G$9,H$9,$G60=$G$10,H$10,$G60=$G$11,H$11,$G60=$G$13,H$13,$G60=$G$15,H$15,$G60=$G$16,H$16,$G60=$G$33,H$33,$G60=$G$34,H$34,$G60=$G$248,H$248,$G60=$G$250,H$250)</f>
        <v>41.404924999999999</v>
      </c>
      <c r="I60" s="31" cm="1">
        <f t="array" ref="I60">_xlfn.IFS($G60=$G$5,I$5,$G60=$G$6,I$6,$G60=$G$7,I$7,$G60=$G$8,I$8,$G60=$G$9,I$9,$G60=$G$10,I$10,$G60=$G$11,I$11,$G60=$G$13,I$13,$G60=$G$15,I$15,$G60=$G$16,I$16,$G60=$G$33,I$33,$G60=$G$34,I$34,$G60=$G$248,I$248,$G60=$G$250,I$250)</f>
        <v>2.1987909999999999</v>
      </c>
      <c r="J60" s="29" cm="1">
        <f t="array" ref="J60">_xlfn.IFS($G60=$G$5,J$5,$G60=$G$6,J$6,$G60=$G$7,J$7,$G60=$G$8,J$8,$G60=$G$9,J$9,$G60=$G$10,J$10,$G60=$G$11,J$11,$G60=$G$13,J$13,$G60=$G$15,J$15,$G60=$G$16,J$16,$G60=$G$33,J$33,$G60=$G$34,J$34,$G60=$G$248,J$248,$G60=$G$250,J$250)</f>
        <v>4</v>
      </c>
      <c r="K60" s="29" t="str" cm="1">
        <f t="array" ref="K60">_xlfn.IFS($G60=$G$5,K$5,$G60=$G$6,K$6,$G60=$G$7,K$7,$G60=$G$8,K$8,$G60=$G$9,K$9,$G60=$G$10,K$10,$G60=$G$11,K$11,$G60=$G$13,K$13,$G60=$G$15,K$15,$G60=$G$16,K$16,$G60=$G$33,K$33,$G60=$G$34,K$34,$G60=$G$248,K$248,$G60=$G$250,K$250)</f>
        <v>BG sentinel + BG lure7</v>
      </c>
      <c r="L60" s="29" t="str" cm="1">
        <f t="array" ref="L60">_xlfn.IFS($G60=$G$5,L$5,$G60=$G$6,L$6,$G60=$G$7,L$7,$G60=$G$8,L$8,$G60=$G$9,L$9,$G60=$G$10,L$10,$G60=$G$11,L$11,$G60=$G$13,L$13,$G60=$G$15,L$15,$G60=$G$16,L$16,$G60=$G$33,L$33,$G60=$G$34,L$34,$G60=$G$248,L$248,$G60=$G$250,L$250)</f>
        <v>Urban habitat</v>
      </c>
      <c r="O60" s="32" t="str">
        <f t="shared" si="3"/>
        <v>A_SP_BCN_4_200812</v>
      </c>
      <c r="P60" s="33">
        <v>44055</v>
      </c>
      <c r="Q60" s="34">
        <v>0.47222222222222227</v>
      </c>
      <c r="R60" s="35"/>
      <c r="S60" s="36">
        <v>44062</v>
      </c>
      <c r="T60" s="37">
        <v>0.60416666666666663</v>
      </c>
      <c r="U60" s="38"/>
      <c r="V60" s="39" t="s">
        <v>66</v>
      </c>
      <c r="X60" s="29">
        <f t="shared" si="4"/>
        <v>7</v>
      </c>
      <c r="Y60" s="38"/>
      <c r="Z60" s="29" t="s">
        <v>75</v>
      </c>
      <c r="AA60" s="29">
        <f t="shared" si="2"/>
        <v>2</v>
      </c>
      <c r="AB60" s="29" t="s">
        <v>69</v>
      </c>
      <c r="AC60" s="29">
        <v>2</v>
      </c>
      <c r="AD60" s="29">
        <v>0</v>
      </c>
      <c r="AE60" s="29" t="s">
        <v>70</v>
      </c>
      <c r="AF60">
        <v>4</v>
      </c>
    </row>
    <row r="61" spans="1:33" x14ac:dyDescent="0.25">
      <c r="A61" s="28">
        <v>57</v>
      </c>
      <c r="B61" s="29" t="s">
        <v>60</v>
      </c>
      <c r="C61" s="29" t="s">
        <v>61</v>
      </c>
      <c r="D61" s="29" t="s">
        <v>62</v>
      </c>
      <c r="E61" s="29" t="s">
        <v>62</v>
      </c>
      <c r="F61" s="30" cm="1">
        <f t="array" ref="F61">_xlfn.IFS($G61=$G$5,F$5,$G61=$G$6,F$6,$G61=$G$7,F$7,$G61=$G$8,F$8,$G61=$G$9,F$9,$G61=$G$10,F$10,$G61=$G$11,F$11,$G61=$G$13,F$13,$G61=$G$15,F$15,$G61=$G$16,F$16,$G61=$G$33,F$33,$G61=$G$34,F$34,$G61=$G$248,F$248,$G61=$G$250,F$250)</f>
        <v>8019</v>
      </c>
      <c r="G61" s="29" t="s">
        <v>74</v>
      </c>
      <c r="H61" s="31" cm="1">
        <f t="array" ref="H61">_xlfn.IFS($G61=$G$5,H$5,$G61=$G$6,H$6,$G61=$G$7,H$7,$G61=$G$8,H$8,$G61=$G$9,H$9,$G61=$G$10,H$10,$G61=$G$11,H$11,$G61=$G$13,H$13,$G61=$G$15,H$15,$G61=$G$16,H$16,$G61=$G$33,H$33,$G61=$G$34,H$34,$G61=$G$248,H$248,$G61=$G$250,H$250)</f>
        <v>41.410684000000003</v>
      </c>
      <c r="I61" s="31" cm="1">
        <f t="array" ref="I61">_xlfn.IFS($G61=$G$5,I$5,$G61=$G$6,I$6,$G61=$G$7,I$7,$G61=$G$8,I$8,$G61=$G$9,I$9,$G61=$G$10,I$10,$G61=$G$11,I$11,$G61=$G$13,I$13,$G61=$G$15,I$15,$G61=$G$16,I$16,$G61=$G$33,I$33,$G61=$G$34,I$34,$G61=$G$248,I$248,$G61=$G$250,I$250)</f>
        <v>2.2208019999999999</v>
      </c>
      <c r="J61" s="29" cm="1">
        <f t="array" ref="J61">_xlfn.IFS($G61=$G$5,J$5,$G61=$G$6,J$6,$G61=$G$7,J$7,$G61=$G$8,J$8,$G61=$G$9,J$9,$G61=$G$10,J$10,$G61=$G$11,J$11,$G61=$G$13,J$13,$G61=$G$15,J$15,$G61=$G$16,J$16,$G61=$G$33,J$33,$G61=$G$34,J$34,$G61=$G$248,J$248,$G61=$G$250,J$250)</f>
        <v>18</v>
      </c>
      <c r="K61" s="29" t="str" cm="1">
        <f t="array" ref="K61">_xlfn.IFS($G61=$G$5,K$5,$G61=$G$6,K$6,$G61=$G$7,K$7,$G61=$G$8,K$8,$G61=$G$9,K$9,$G61=$G$10,K$10,$G61=$G$11,K$11,$G61=$G$13,K$13,$G61=$G$15,K$15,$G61=$G$16,K$16,$G61=$G$33,K$33,$G61=$G$34,K$34,$G61=$G$248,K$248,$G61=$G$250,K$250)</f>
        <v>BG sentinel + BG lure7</v>
      </c>
      <c r="L61" s="29" t="str" cm="1">
        <f t="array" ref="L61">_xlfn.IFS($G61=$G$5,L$5,$G61=$G$6,L$6,$G61=$G$7,L$7,$G61=$G$8,L$8,$G61=$G$9,L$9,$G61=$G$10,L$10,$G61=$G$11,L$11,$G61=$G$13,L$13,$G61=$G$15,L$15,$G61=$G$16,L$16,$G61=$G$33,L$33,$G61=$G$34,L$34,$G61=$G$248,L$248,$G61=$G$250,L$250)</f>
        <v>Urban habitat</v>
      </c>
      <c r="O61" s="32" t="str">
        <f t="shared" si="3"/>
        <v>A_SP_BCN_5_200812</v>
      </c>
      <c r="P61" s="33">
        <v>44055</v>
      </c>
      <c r="Q61" s="34">
        <v>0.44097222222222227</v>
      </c>
      <c r="R61" s="35"/>
      <c r="S61" s="36">
        <v>44062</v>
      </c>
      <c r="T61" s="37">
        <v>0.57638888888888895</v>
      </c>
      <c r="U61" s="38"/>
      <c r="V61" s="39" t="s">
        <v>66</v>
      </c>
      <c r="X61" s="29">
        <f t="shared" si="4"/>
        <v>7</v>
      </c>
      <c r="Y61" s="38"/>
      <c r="Z61" s="29" t="s">
        <v>68</v>
      </c>
      <c r="AA61" s="29">
        <f t="shared" si="2"/>
        <v>1</v>
      </c>
      <c r="AB61" s="29" t="s">
        <v>69</v>
      </c>
      <c r="AC61" s="29">
        <v>0</v>
      </c>
      <c r="AD61" s="29">
        <v>1</v>
      </c>
      <c r="AE61" s="29" t="s">
        <v>70</v>
      </c>
      <c r="AF61">
        <v>4</v>
      </c>
    </row>
    <row r="62" spans="1:33" x14ac:dyDescent="0.25">
      <c r="A62" s="28">
        <v>58</v>
      </c>
      <c r="B62" s="29" t="s">
        <v>60</v>
      </c>
      <c r="C62" s="29" t="s">
        <v>61</v>
      </c>
      <c r="D62" s="29" t="s">
        <v>62</v>
      </c>
      <c r="E62" s="29" t="s">
        <v>62</v>
      </c>
      <c r="F62" s="30" cm="1">
        <f t="array" ref="F62">_xlfn.IFS($G62=$G$5,F$5,$G62=$G$6,F$6,$G62=$G$7,F$7,$G62=$G$8,F$8,$G62=$G$9,F$9,$G62=$G$10,F$10,$G62=$G$11,F$11,$G62=$G$13,F$13,$G62=$G$15,F$15,$G62=$G$16,F$16,$G62=$G$33,F$33,$G62=$G$34,F$34,$G62=$G$248,F$248,$G62=$G$250,F$250)</f>
        <v>8019</v>
      </c>
      <c r="G62" s="29" t="s">
        <v>74</v>
      </c>
      <c r="H62" s="31" cm="1">
        <f t="array" ref="H62">_xlfn.IFS($G62=$G$5,H$5,$G62=$G$6,H$6,$G62=$G$7,H$7,$G62=$G$8,H$8,$G62=$G$9,H$9,$G62=$G$10,H$10,$G62=$G$11,H$11,$G62=$G$13,H$13,$G62=$G$15,H$15,$G62=$G$16,H$16,$G62=$G$33,H$33,$G62=$G$34,H$34,$G62=$G$248,H$248,$G62=$G$250,H$250)</f>
        <v>41.410684000000003</v>
      </c>
      <c r="I62" s="31" cm="1">
        <f t="array" ref="I62">_xlfn.IFS($G62=$G$5,I$5,$G62=$G$6,I$6,$G62=$G$7,I$7,$G62=$G$8,I$8,$G62=$G$9,I$9,$G62=$G$10,I$10,$G62=$G$11,I$11,$G62=$G$13,I$13,$G62=$G$15,I$15,$G62=$G$16,I$16,$G62=$G$33,I$33,$G62=$G$34,I$34,$G62=$G$248,I$248,$G62=$G$250,I$250)</f>
        <v>2.2208019999999999</v>
      </c>
      <c r="J62" s="29" cm="1">
        <f t="array" ref="J62">_xlfn.IFS($G62=$G$5,J$5,$G62=$G$6,J$6,$G62=$G$7,J$7,$G62=$G$8,J$8,$G62=$G$9,J$9,$G62=$G$10,J$10,$G62=$G$11,J$11,$G62=$G$13,J$13,$G62=$G$15,J$15,$G62=$G$16,J$16,$G62=$G$33,J$33,$G62=$G$34,J$34,$G62=$G$248,J$248,$G62=$G$250,J$250)</f>
        <v>18</v>
      </c>
      <c r="K62" s="29" t="str" cm="1">
        <f t="array" ref="K62">_xlfn.IFS($G62=$G$5,K$5,$G62=$G$6,K$6,$G62=$G$7,K$7,$G62=$G$8,K$8,$G62=$G$9,K$9,$G62=$G$10,K$10,$G62=$G$11,K$11,$G62=$G$13,K$13,$G62=$G$15,K$15,$G62=$G$16,K$16,$G62=$G$33,K$33,$G62=$G$34,K$34,$G62=$G$248,K$248,$G62=$G$250,K$250)</f>
        <v>BG sentinel + BG lure7</v>
      </c>
      <c r="L62" s="29" t="str" cm="1">
        <f t="array" ref="L62">_xlfn.IFS($G62=$G$5,L$5,$G62=$G$6,L$6,$G62=$G$7,L$7,$G62=$G$8,L$8,$G62=$G$9,L$9,$G62=$G$10,L$10,$G62=$G$11,L$11,$G62=$G$13,L$13,$G62=$G$15,L$15,$G62=$G$16,L$16,$G62=$G$33,L$33,$G62=$G$34,L$34,$G62=$G$248,L$248,$G62=$G$250,L$250)</f>
        <v>Urban habitat</v>
      </c>
      <c r="O62" s="32" t="str">
        <f t="shared" si="3"/>
        <v>A_SP_BCN_5_200812</v>
      </c>
      <c r="P62" s="33">
        <v>44055</v>
      </c>
      <c r="Q62" s="34">
        <v>0.44097222222222227</v>
      </c>
      <c r="R62" s="35"/>
      <c r="S62" s="36">
        <v>44062</v>
      </c>
      <c r="T62" s="37">
        <v>0.57638888888888895</v>
      </c>
      <c r="U62" s="38"/>
      <c r="V62" s="39" t="s">
        <v>66</v>
      </c>
      <c r="X62" s="29">
        <f t="shared" si="4"/>
        <v>7</v>
      </c>
      <c r="Y62" s="38"/>
      <c r="Z62" s="29" t="s">
        <v>75</v>
      </c>
      <c r="AA62" s="29">
        <f t="shared" si="2"/>
        <v>16</v>
      </c>
      <c r="AB62" s="29" t="s">
        <v>69</v>
      </c>
      <c r="AC62" s="29">
        <v>13</v>
      </c>
      <c r="AD62" s="29">
        <v>3</v>
      </c>
      <c r="AE62" s="29" t="s">
        <v>70</v>
      </c>
      <c r="AF62">
        <v>4</v>
      </c>
    </row>
    <row r="63" spans="1:33" x14ac:dyDescent="0.25">
      <c r="A63" s="28">
        <v>59</v>
      </c>
      <c r="B63" s="29" t="s">
        <v>60</v>
      </c>
      <c r="C63" s="29" t="s">
        <v>61</v>
      </c>
      <c r="D63" s="29" t="s">
        <v>62</v>
      </c>
      <c r="E63" s="29" t="s">
        <v>62</v>
      </c>
      <c r="F63" s="30" cm="1">
        <f t="array" ref="F63">_xlfn.IFS($G63=$G$5,F$5,$G63=$G$6,F$6,$G63=$G$7,F$7,$G63=$G$8,F$8,$G63=$G$9,F$9,$G63=$G$10,F$10,$G63=$G$11,F$11,$G63=$G$13,F$13,$G63=$G$15,F$15,$G63=$G$16,F$16,$G63=$G$33,F$33,$G63=$G$34,F$34,$G63=$G$248,F$248,$G63=$G$250,F$250)</f>
        <v>8002</v>
      </c>
      <c r="G63" s="29" t="s">
        <v>76</v>
      </c>
      <c r="H63" s="31" cm="1">
        <f t="array" ref="H63">_xlfn.IFS($G63=$G$5,H$5,$G63=$G$6,H$6,$G63=$G$7,H$7,$G63=$G$8,H$8,$G63=$G$9,H$9,$G63=$G$10,H$10,$G63=$G$11,H$11,$G63=$G$13,H$13,$G63=$G$15,H$15,$G63=$G$16,H$16,$G63=$G$33,H$33,$G63=$G$34,H$34,$G63=$G$248,H$248,$G63=$G$250,H$250)</f>
        <v>41.382339999999999</v>
      </c>
      <c r="I63" s="31" cm="1">
        <f t="array" ref="I63">_xlfn.IFS($G63=$G$5,I$5,$G63=$G$6,I$6,$G63=$G$7,I$7,$G63=$G$8,I$8,$G63=$G$9,I$9,$G63=$G$10,I$10,$G63=$G$11,I$11,$G63=$G$13,I$13,$G63=$G$15,I$15,$G63=$G$16,I$16,$G63=$G$33,I$33,$G63=$G$34,I$34,$G63=$G$248,I$248,$G63=$G$250,I$250)</f>
        <v>2.1714790000000002</v>
      </c>
      <c r="J63" s="29" cm="1">
        <f t="array" ref="J63">_xlfn.IFS($G63=$G$5,J$5,$G63=$G$6,J$6,$G63=$G$7,J$7,$G63=$G$8,J$8,$G63=$G$9,J$9,$G63=$G$10,J$10,$G63=$G$11,J$11,$G63=$G$13,J$13,$G63=$G$15,J$15,$G63=$G$16,J$16,$G63=$G$33,J$33,$G63=$G$34,J$34,$G63=$G$248,J$248,$G63=$G$250,J$250)</f>
        <v>19</v>
      </c>
      <c r="K63" s="29" t="str" cm="1">
        <f t="array" ref="K63">_xlfn.IFS($G63=$G$5,K$5,$G63=$G$6,K$6,$G63=$G$7,K$7,$G63=$G$8,K$8,$G63=$G$9,K$9,$G63=$G$10,K$10,$G63=$G$11,K$11,$G63=$G$13,K$13,$G63=$G$15,K$15,$G63=$G$16,K$16,$G63=$G$33,K$33,$G63=$G$34,K$34,$G63=$G$248,K$248,$G63=$G$250,K$250)</f>
        <v>BG sentinel + BG lure7</v>
      </c>
      <c r="L63" s="29" t="str" cm="1">
        <f t="array" ref="L63">_xlfn.IFS($G63=$G$5,L$5,$G63=$G$6,L$6,$G63=$G$7,L$7,$G63=$G$8,L$8,$G63=$G$9,L$9,$G63=$G$10,L$10,$G63=$G$11,L$11,$G63=$G$13,L$13,$G63=$G$15,L$15,$G63=$G$16,L$16,$G63=$G$33,L$33,$G63=$G$34,L$34,$G63=$G$248,L$248,$G63=$G$250,L$250)</f>
        <v>Urban habitat</v>
      </c>
      <c r="O63" s="32" t="str">
        <f t="shared" si="3"/>
        <v>A_SP_BCN_6_200812</v>
      </c>
      <c r="P63" s="33">
        <v>44055</v>
      </c>
      <c r="Q63" s="34">
        <v>0.40625</v>
      </c>
      <c r="R63" s="35"/>
      <c r="S63" s="36">
        <v>44062</v>
      </c>
      <c r="T63" s="37">
        <v>0.43402777777777773</v>
      </c>
      <c r="U63" s="38"/>
      <c r="V63" s="39" t="s">
        <v>66</v>
      </c>
      <c r="X63" s="29">
        <f t="shared" si="4"/>
        <v>7</v>
      </c>
      <c r="Y63" s="38"/>
      <c r="Z63" s="29" t="s">
        <v>68</v>
      </c>
      <c r="AA63" s="29">
        <f t="shared" si="2"/>
        <v>4</v>
      </c>
      <c r="AB63" s="29" t="s">
        <v>69</v>
      </c>
      <c r="AC63" s="29">
        <v>3</v>
      </c>
      <c r="AD63" s="29">
        <v>1</v>
      </c>
      <c r="AE63" s="29" t="s">
        <v>70</v>
      </c>
      <c r="AF63">
        <v>4</v>
      </c>
    </row>
    <row r="64" spans="1:33" x14ac:dyDescent="0.25">
      <c r="A64" s="28">
        <v>60</v>
      </c>
      <c r="B64" s="29" t="s">
        <v>60</v>
      </c>
      <c r="C64" s="29" t="s">
        <v>61</v>
      </c>
      <c r="D64" s="29" t="s">
        <v>62</v>
      </c>
      <c r="E64" s="29" t="s">
        <v>62</v>
      </c>
      <c r="F64" s="30" cm="1">
        <f t="array" ref="F64">_xlfn.IFS($G64=$G$5,F$5,$G64=$G$6,F$6,$G64=$G$7,F$7,$G64=$G$8,F$8,$G64=$G$9,F$9,$G64=$G$10,F$10,$G64=$G$11,F$11,$G64=$G$13,F$13,$G64=$G$15,F$15,$G64=$G$16,F$16,$G64=$G$33,F$33,$G64=$G$34,F$34,$G64=$G$248,F$248,$G64=$G$250,F$250)</f>
        <v>8038</v>
      </c>
      <c r="G64" s="29" t="s">
        <v>77</v>
      </c>
      <c r="H64" s="31" cm="1">
        <f t="array" ref="H64">_xlfn.IFS($G64=$G$5,H$5,$G64=$G$6,H$6,$G64=$G$7,H$7,$G64=$G$8,H$8,$G64=$G$9,H$9,$G64=$G$10,H$10,$G64=$G$11,H$11,$G64=$G$13,H$13,$G64=$G$15,H$15,$G64=$G$16,H$16,$G64=$G$33,H$33,$G64=$G$34,H$34,$G64=$G$248,H$248,$G64=$G$250,H$250)</f>
        <v>41.371864000000002</v>
      </c>
      <c r="I64" s="31" cm="1">
        <f t="array" ref="I64">_xlfn.IFS($G64=$G$5,I$5,$G64=$G$6,I$6,$G64=$G$7,I$7,$G64=$G$8,I$8,$G64=$G$9,I$9,$G64=$G$10,I$10,$G64=$G$11,I$11,$G64=$G$13,I$13,$G64=$G$15,I$15,$G64=$G$16,I$16,$G64=$G$33,I$33,$G64=$G$34,I$34,$G64=$G$248,I$248,$G64=$G$250,I$250)</f>
        <v>2.173899</v>
      </c>
      <c r="J64" s="29" cm="1">
        <f t="array" ref="J64">_xlfn.IFS($G64=$G$5,J$5,$G64=$G$6,J$6,$G64=$G$7,J$7,$G64=$G$8,J$8,$G64=$G$9,J$9,$G64=$G$10,J$10,$G64=$G$11,J$11,$G64=$G$13,J$13,$G64=$G$15,J$15,$G64=$G$16,J$16,$G64=$G$33,J$33,$G64=$G$34,J$34,$G64=$G$248,J$248,$G64=$G$250,J$250)</f>
        <v>5</v>
      </c>
      <c r="K64" s="29" t="str" cm="1">
        <f t="array" ref="K64">_xlfn.IFS($G64=$G$5,K$5,$G64=$G$6,K$6,$G64=$G$7,K$7,$G64=$G$8,K$8,$G64=$G$9,K$9,$G64=$G$10,K$10,$G64=$G$11,K$11,$G64=$G$13,K$13,$G64=$G$15,K$15,$G64=$G$16,K$16,$G64=$G$33,K$33,$G64=$G$34,K$34,$G64=$G$248,K$248,$G64=$G$250,K$250)</f>
        <v>BG sentinel + BG lure7</v>
      </c>
      <c r="L64" s="29" t="str" cm="1">
        <f t="array" ref="L64">_xlfn.IFS($G64=$G$5,L$5,$G64=$G$6,L$6,$G64=$G$7,L$7,$G64=$G$8,L$8,$G64=$G$9,L$9,$G64=$G$10,L$10,$G64=$G$11,L$11,$G64=$G$13,L$13,$G64=$G$15,L$15,$G64=$G$16,L$16,$G64=$G$33,L$33,$G64=$G$34,L$34,$G64=$G$248,L$248,$G64=$G$250,L$250)</f>
        <v>Urban habitat</v>
      </c>
      <c r="O64" s="32" t="str">
        <f t="shared" si="3"/>
        <v>A_SP_BCN_7_200812</v>
      </c>
      <c r="P64" s="33">
        <v>44055</v>
      </c>
      <c r="Q64" s="34">
        <v>0.58333333333333337</v>
      </c>
      <c r="R64" s="35"/>
      <c r="S64" s="36">
        <v>44062</v>
      </c>
      <c r="T64" s="37">
        <v>0.62152777777777779</v>
      </c>
      <c r="U64" s="38"/>
      <c r="V64" s="39" t="s">
        <v>88</v>
      </c>
      <c r="X64" s="29">
        <f t="shared" si="4"/>
        <v>7</v>
      </c>
      <c r="Y64" s="38"/>
      <c r="Z64" s="29" t="s">
        <v>68</v>
      </c>
      <c r="AA64" s="29">
        <f t="shared" si="2"/>
        <v>15</v>
      </c>
      <c r="AB64" s="29" t="s">
        <v>69</v>
      </c>
      <c r="AC64" s="29">
        <v>12</v>
      </c>
      <c r="AD64" s="29">
        <v>3</v>
      </c>
      <c r="AE64" s="29" t="s">
        <v>70</v>
      </c>
      <c r="AF64">
        <v>2</v>
      </c>
    </row>
    <row r="65" spans="1:33" x14ac:dyDescent="0.25">
      <c r="A65" s="28">
        <v>61</v>
      </c>
      <c r="B65" s="29" t="s">
        <v>60</v>
      </c>
      <c r="C65" s="29" t="s">
        <v>61</v>
      </c>
      <c r="D65" s="29" t="s">
        <v>62</v>
      </c>
      <c r="E65" s="29" t="s">
        <v>62</v>
      </c>
      <c r="F65" s="30" cm="1">
        <f t="array" ref="F65">_xlfn.IFS($G65=$G$5,F$5,$G65=$G$6,F$6,$G65=$G$7,F$7,$G65=$G$8,F$8,$G65=$G$9,F$9,$G65=$G$10,F$10,$G65=$G$11,F$11,$G65=$G$13,F$13,$G65=$G$15,F$15,$G65=$G$16,F$16,$G65=$G$33,F$33,$G65=$G$34,F$34,$G65=$G$248,F$248,$G65=$G$250,F$250)</f>
        <v>8038</v>
      </c>
      <c r="G65" s="29" t="s">
        <v>78</v>
      </c>
      <c r="H65" s="31" cm="1">
        <f t="array" ref="H65">_xlfn.IFS($G65=$G$5,H$5,$G65=$G$6,H$6,$G65=$G$7,H$7,$G65=$G$8,H$8,$G65=$G$9,H$9,$G65=$G$10,H$10,$G65=$G$11,H$11,$G65=$G$13,H$13,$G65=$G$15,H$15,$G65=$G$16,H$16,$G65=$G$33,H$33,$G65=$G$34,H$34,$G65=$G$248,H$248,$G65=$G$250,H$250)</f>
        <v>41.368589</v>
      </c>
      <c r="I65" s="31" cm="1">
        <f t="array" ref="I65">_xlfn.IFS($G65=$G$5,I$5,$G65=$G$6,I$6,$G65=$G$7,I$7,$G65=$G$8,I$8,$G65=$G$9,I$9,$G65=$G$10,I$10,$G65=$G$11,I$11,$G65=$G$13,I$13,$G65=$G$15,I$15,$G65=$G$16,I$16,$G65=$G$33,I$33,$G65=$G$34,I$34,$G65=$G$248,I$248,$G65=$G$250,I$250)</f>
        <v>2.1620900000000001</v>
      </c>
      <c r="J65" s="29" cm="1">
        <f t="array" ref="J65">_xlfn.IFS($G65=$G$5,J$5,$G65=$G$6,J$6,$G65=$G$7,J$7,$G65=$G$8,J$8,$G65=$G$9,J$9,$G65=$G$10,J$10,$G65=$G$11,J$11,$G65=$G$13,J$13,$G65=$G$15,J$15,$G65=$G$16,J$16,$G65=$G$33,J$33,$G65=$G$34,J$34,$G65=$G$248,J$248,$G65=$G$250,J$250)</f>
        <v>95</v>
      </c>
      <c r="K65" s="29" t="str" cm="1">
        <f t="array" ref="K65">_xlfn.IFS($G65=$G$5,K$5,$G65=$G$6,K$6,$G65=$G$7,K$7,$G65=$G$8,K$8,$G65=$G$9,K$9,$G65=$G$10,K$10,$G65=$G$11,K$11,$G65=$G$13,K$13,$G65=$G$15,K$15,$G65=$G$16,K$16,$G65=$G$33,K$33,$G65=$G$34,K$34,$G65=$G$248,K$248,$G65=$G$250,K$250)</f>
        <v>BG sentinel + BG lure7</v>
      </c>
      <c r="L65" s="29" t="str" cm="1">
        <f t="array" ref="L65">_xlfn.IFS($G65=$G$5,L$5,$G65=$G$6,L$6,$G65=$G$7,L$7,$G65=$G$8,L$8,$G65=$G$9,L$9,$G65=$G$10,L$10,$G65=$G$11,L$11,$G65=$G$13,L$13,$G65=$G$15,L$15,$G65=$G$16,L$16,$G65=$G$33,L$33,$G65=$G$34,L$34,$G65=$G$248,L$248,$G65=$G$250,L$250)</f>
        <v>Other</v>
      </c>
      <c r="O65" s="32" t="str">
        <f t="shared" si="3"/>
        <v>A_SP_BCN_8_200812</v>
      </c>
      <c r="P65" s="33">
        <v>44055</v>
      </c>
      <c r="Q65" s="34">
        <v>0.60763888888888895</v>
      </c>
      <c r="R65" s="35"/>
      <c r="S65" s="36">
        <v>44062</v>
      </c>
      <c r="T65" s="37">
        <v>0.64236111111111105</v>
      </c>
      <c r="U65" s="38"/>
      <c r="V65" s="39" t="s">
        <v>66</v>
      </c>
      <c r="X65" s="29">
        <f t="shared" si="4"/>
        <v>7</v>
      </c>
      <c r="Y65" s="38"/>
      <c r="Z65" s="29" t="s">
        <v>68</v>
      </c>
      <c r="AA65" s="29">
        <f t="shared" si="2"/>
        <v>89</v>
      </c>
      <c r="AB65" s="29" t="s">
        <v>69</v>
      </c>
      <c r="AC65" s="29">
        <v>77</v>
      </c>
      <c r="AD65" s="29">
        <v>12</v>
      </c>
      <c r="AE65" s="29" t="s">
        <v>70</v>
      </c>
      <c r="AF65">
        <v>4</v>
      </c>
    </row>
    <row r="66" spans="1:33" x14ac:dyDescent="0.25">
      <c r="A66" s="28">
        <v>62</v>
      </c>
      <c r="B66" s="29" t="s">
        <v>60</v>
      </c>
      <c r="C66" s="29" t="s">
        <v>61</v>
      </c>
      <c r="D66" s="29" t="s">
        <v>62</v>
      </c>
      <c r="E66" s="29" t="s">
        <v>62</v>
      </c>
      <c r="F66" s="30" cm="1">
        <f t="array" ref="F66">_xlfn.IFS($G66=$G$5,F$5,$G66=$G$6,F$6,$G66=$G$7,F$7,$G66=$G$8,F$8,$G66=$G$9,F$9,$G66=$G$10,F$10,$G66=$G$11,F$11,$G66=$G$13,F$13,$G66=$G$15,F$15,$G66=$G$16,F$16,$G66=$G$33,F$33,$G66=$G$34,F$34,$G66=$G$248,F$248,$G66=$G$250,F$250)</f>
        <v>8038</v>
      </c>
      <c r="G66" s="29" t="s">
        <v>78</v>
      </c>
      <c r="H66" s="31" cm="1">
        <f t="array" ref="H66">_xlfn.IFS($G66=$G$5,H$5,$G66=$G$6,H$6,$G66=$G$7,H$7,$G66=$G$8,H$8,$G66=$G$9,H$9,$G66=$G$10,H$10,$G66=$G$11,H$11,$G66=$G$13,H$13,$G66=$G$15,H$15,$G66=$G$16,H$16,$G66=$G$33,H$33,$G66=$G$34,H$34,$G66=$G$248,H$248,$G66=$G$250,H$250)</f>
        <v>41.368589</v>
      </c>
      <c r="I66" s="31" cm="1">
        <f t="array" ref="I66">_xlfn.IFS($G66=$G$5,I$5,$G66=$G$6,I$6,$G66=$G$7,I$7,$G66=$G$8,I$8,$G66=$G$9,I$9,$G66=$G$10,I$10,$G66=$G$11,I$11,$G66=$G$13,I$13,$G66=$G$15,I$15,$G66=$G$16,I$16,$G66=$G$33,I$33,$G66=$G$34,I$34,$G66=$G$248,I$248,$G66=$G$250,I$250)</f>
        <v>2.1620900000000001</v>
      </c>
      <c r="J66" s="29" cm="1">
        <f t="array" ref="J66">_xlfn.IFS($G66=$G$5,J$5,$G66=$G$6,J$6,$G66=$G$7,J$7,$G66=$G$8,J$8,$G66=$G$9,J$9,$G66=$G$10,J$10,$G66=$G$11,J$11,$G66=$G$13,J$13,$G66=$G$15,J$15,$G66=$G$16,J$16,$G66=$G$33,J$33,$G66=$G$34,J$34,$G66=$G$248,J$248,$G66=$G$250,J$250)</f>
        <v>95</v>
      </c>
      <c r="K66" s="29" t="str" cm="1">
        <f t="array" ref="K66">_xlfn.IFS($G66=$G$5,K$5,$G66=$G$6,K$6,$G66=$G$7,K$7,$G66=$G$8,K$8,$G66=$G$9,K$9,$G66=$G$10,K$10,$G66=$G$11,K$11,$G66=$G$13,K$13,$G66=$G$15,K$15,$G66=$G$16,K$16,$G66=$G$33,K$33,$G66=$G$34,K$34,$G66=$G$248,K$248,$G66=$G$250,K$250)</f>
        <v>BG sentinel + BG lure7</v>
      </c>
      <c r="L66" s="29" t="str" cm="1">
        <f t="array" ref="L66">_xlfn.IFS($G66=$G$5,L$5,$G66=$G$6,L$6,$G66=$G$7,L$7,$G66=$G$8,L$8,$G66=$G$9,L$9,$G66=$G$10,L$10,$G66=$G$11,L$11,$G66=$G$13,L$13,$G66=$G$15,L$15,$G66=$G$16,L$16,$G66=$G$33,L$33,$G66=$G$34,L$34,$G66=$G$248,L$248,$G66=$G$250,L$250)</f>
        <v>Other</v>
      </c>
      <c r="O66" s="32" t="str">
        <f t="shared" si="3"/>
        <v>A_SP_BCN_8_200812</v>
      </c>
      <c r="P66" s="33">
        <v>44055</v>
      </c>
      <c r="Q66" s="34">
        <v>0.60763888888888895</v>
      </c>
      <c r="R66" s="35"/>
      <c r="S66" s="36">
        <v>44062</v>
      </c>
      <c r="T66" s="37">
        <v>0.64236111111111105</v>
      </c>
      <c r="U66" s="38"/>
      <c r="V66" s="39" t="s">
        <v>66</v>
      </c>
      <c r="X66" s="29">
        <f t="shared" si="4"/>
        <v>7</v>
      </c>
      <c r="Y66" s="38"/>
      <c r="Z66" s="29" t="s">
        <v>75</v>
      </c>
      <c r="AA66" s="29">
        <f t="shared" si="2"/>
        <v>12</v>
      </c>
      <c r="AB66" s="29" t="s">
        <v>69</v>
      </c>
      <c r="AC66" s="29">
        <v>12</v>
      </c>
      <c r="AD66" s="29">
        <v>0</v>
      </c>
      <c r="AE66" s="29" t="s">
        <v>70</v>
      </c>
      <c r="AF66">
        <v>4</v>
      </c>
    </row>
    <row r="67" spans="1:33" x14ac:dyDescent="0.25">
      <c r="A67" s="28">
        <v>63</v>
      </c>
      <c r="B67" s="29" t="s">
        <v>60</v>
      </c>
      <c r="C67" s="29" t="s">
        <v>61</v>
      </c>
      <c r="D67" s="29" t="s">
        <v>62</v>
      </c>
      <c r="E67" s="29" t="s">
        <v>62</v>
      </c>
      <c r="F67" s="30" cm="1">
        <f t="array" ref="F67">_xlfn.IFS($G67=$G$5,F$5,$G67=$G$6,F$6,$G67=$G$7,F$7,$G67=$G$8,F$8,$G67=$G$9,F$9,$G67=$G$10,F$10,$G67=$G$11,F$11,$G67=$G$13,F$13,$G67=$G$15,F$15,$G67=$G$16,F$16,$G67=$G$33,F$33,$G67=$G$34,F$34,$G67=$G$248,F$248,$G67=$G$250,F$250)</f>
        <v>8038</v>
      </c>
      <c r="G67" s="29" t="s">
        <v>78</v>
      </c>
      <c r="H67" s="31" cm="1">
        <f t="array" ref="H67">_xlfn.IFS($G67=$G$5,H$5,$G67=$G$6,H$6,$G67=$G$7,H$7,$G67=$G$8,H$8,$G67=$G$9,H$9,$G67=$G$10,H$10,$G67=$G$11,H$11,$G67=$G$13,H$13,$G67=$G$15,H$15,$G67=$G$16,H$16,$G67=$G$33,H$33,$G67=$G$34,H$34,$G67=$G$248,H$248,$G67=$G$250,H$250)</f>
        <v>41.368589</v>
      </c>
      <c r="I67" s="31" cm="1">
        <f t="array" ref="I67">_xlfn.IFS($G67=$G$5,I$5,$G67=$G$6,I$6,$G67=$G$7,I$7,$G67=$G$8,I$8,$G67=$G$9,I$9,$G67=$G$10,I$10,$G67=$G$11,I$11,$G67=$G$13,I$13,$G67=$G$15,I$15,$G67=$G$16,I$16,$G67=$G$33,I$33,$G67=$G$34,I$34,$G67=$G$248,I$248,$G67=$G$250,I$250)</f>
        <v>2.1620900000000001</v>
      </c>
      <c r="J67" s="29" cm="1">
        <f t="array" ref="J67">_xlfn.IFS($G67=$G$5,J$5,$G67=$G$6,J$6,$G67=$G$7,J$7,$G67=$G$8,J$8,$G67=$G$9,J$9,$G67=$G$10,J$10,$G67=$G$11,J$11,$G67=$G$13,J$13,$G67=$G$15,J$15,$G67=$G$16,J$16,$G67=$G$33,J$33,$G67=$G$34,J$34,$G67=$G$248,J$248,$G67=$G$250,J$250)</f>
        <v>95</v>
      </c>
      <c r="K67" s="29" t="str" cm="1">
        <f t="array" ref="K67">_xlfn.IFS($G67=$G$5,K$5,$G67=$G$6,K$6,$G67=$G$7,K$7,$G67=$G$8,K$8,$G67=$G$9,K$9,$G67=$G$10,K$10,$G67=$G$11,K$11,$G67=$G$13,K$13,$G67=$G$15,K$15,$G67=$G$16,K$16,$G67=$G$33,K$33,$G67=$G$34,K$34,$G67=$G$248,K$248,$G67=$G$250,K$250)</f>
        <v>BG sentinel + BG lure7</v>
      </c>
      <c r="L67" s="29" t="str" cm="1">
        <f t="array" ref="L67">_xlfn.IFS($G67=$G$5,L$5,$G67=$G$6,L$6,$G67=$G$7,L$7,$G67=$G$8,L$8,$G67=$G$9,L$9,$G67=$G$10,L$10,$G67=$G$11,L$11,$G67=$G$13,L$13,$G67=$G$15,L$15,$G67=$G$16,L$16,$G67=$G$33,L$33,$G67=$G$34,L$34,$G67=$G$248,L$248,$G67=$G$250,L$250)</f>
        <v>Other</v>
      </c>
      <c r="O67" s="32" t="str">
        <f t="shared" si="3"/>
        <v>A_SP_BCN_8_200812</v>
      </c>
      <c r="P67" s="33">
        <v>44055</v>
      </c>
      <c r="Q67" s="34">
        <v>0.60763888888888895</v>
      </c>
      <c r="R67" s="35"/>
      <c r="S67" s="36">
        <v>44062</v>
      </c>
      <c r="T67" s="37">
        <v>0.64236111111111105</v>
      </c>
      <c r="U67" s="38"/>
      <c r="V67" s="39" t="s">
        <v>66</v>
      </c>
      <c r="X67" s="29">
        <f t="shared" si="4"/>
        <v>7</v>
      </c>
      <c r="Y67" s="38"/>
      <c r="Z67" s="29" t="s">
        <v>84</v>
      </c>
      <c r="AA67" s="29">
        <f t="shared" si="2"/>
        <v>3</v>
      </c>
      <c r="AB67" s="29" t="s">
        <v>69</v>
      </c>
      <c r="AC67" s="29">
        <v>1</v>
      </c>
      <c r="AD67" s="29">
        <v>2</v>
      </c>
      <c r="AE67" s="29" t="s">
        <v>70</v>
      </c>
      <c r="AF67">
        <v>4</v>
      </c>
    </row>
    <row r="68" spans="1:33" x14ac:dyDescent="0.25">
      <c r="A68" s="28">
        <v>64</v>
      </c>
      <c r="B68" s="29" t="s">
        <v>60</v>
      </c>
      <c r="C68" s="29" t="s">
        <v>61</v>
      </c>
      <c r="D68" s="29" t="s">
        <v>62</v>
      </c>
      <c r="E68" s="29" t="s">
        <v>62</v>
      </c>
      <c r="F68" s="30" cm="1">
        <f t="array" ref="F68">_xlfn.IFS($G68=$G$5,F$5,$G68=$G$6,F$6,$G68=$G$7,F$7,$G68=$G$8,F$8,$G68=$G$9,F$9,$G68=$G$10,F$10,$G68=$G$11,F$11,$G68=$G$13,F$13,$G68=$G$15,F$15,$G68=$G$16,F$16,$G68=$G$33,F$33,$G68=$G$34,F$34,$G68=$G$248,F$248,$G68=$G$250,F$250)</f>
        <v>8040</v>
      </c>
      <c r="G68" s="29" t="s">
        <v>83</v>
      </c>
      <c r="H68" s="31" cm="1">
        <f t="array" ref="H68">_xlfn.IFS($G68=$G$5,H$5,$G68=$G$6,H$6,$G68=$G$7,H$7,$G68=$G$8,H$8,$G68=$G$9,H$9,$G68=$G$10,H$10,$G68=$G$11,H$11,$G68=$G$13,H$13,$G68=$G$15,H$15,$G68=$G$16,H$16,$G68=$G$33,H$33,$G68=$G$34,H$34,$G68=$G$248,H$248,$G68=$G$250,H$250)</f>
        <v>41.343685000000001</v>
      </c>
      <c r="I68" s="31" cm="1">
        <f t="array" ref="I68">_xlfn.IFS($G68=$G$5,I$5,$G68=$G$6,I$6,$G68=$G$7,I$7,$G68=$G$8,I$8,$G68=$G$9,I$9,$G68=$G$10,I$10,$G68=$G$11,I$11,$G68=$G$13,I$13,$G68=$G$15,I$15,$G68=$G$16,I$16,$G68=$G$33,I$33,$G68=$G$34,I$34,$G68=$G$248,I$248,$G68=$G$250,I$250)</f>
        <v>2.1441490000000001</v>
      </c>
      <c r="J68" s="29" cm="1">
        <f t="array" ref="J68">_xlfn.IFS($G68=$G$5,J$5,$G68=$G$6,J$6,$G68=$G$7,J$7,$G68=$G$8,J$8,$G68=$G$9,J$9,$G68=$G$10,J$10,$G68=$G$11,J$11,$G68=$G$13,J$13,$G68=$G$15,J$15,$G68=$G$16,J$16,$G68=$G$33,J$33,$G68=$G$34,J$34,$G68=$G$248,J$248,$G68=$G$250,J$250)</f>
        <v>4</v>
      </c>
      <c r="K68" s="29" t="str" cm="1">
        <f t="array" ref="K68">_xlfn.IFS($G68=$G$5,K$5,$G68=$G$6,K$6,$G68=$G$7,K$7,$G68=$G$8,K$8,$G68=$G$9,K$9,$G68=$G$10,K$10,$G68=$G$11,K$11,$G68=$G$13,K$13,$G68=$G$15,K$15,$G68=$G$16,K$16,$G68=$G$33,K$33,$G68=$G$34,K$34,$G68=$G$248,K$248,$G68=$G$250,K$250)</f>
        <v>BG sentinel + BG lure7</v>
      </c>
      <c r="L68" s="29" t="str" cm="1">
        <f t="array" ref="L68">_xlfn.IFS($G68=$G$5,L$5,$G68=$G$6,L$6,$G68=$G$7,L$7,$G68=$G$8,L$8,$G68=$G$9,L$9,$G68=$G$10,L$10,$G68=$G$11,L$11,$G68=$G$13,L$13,$G68=$G$15,L$15,$G68=$G$16,L$16,$G68=$G$33,L$33,$G68=$G$34,L$34,$G68=$G$248,L$248,$G68=$G$250,L$250)</f>
        <v>Urban habitat</v>
      </c>
      <c r="O68" s="32" t="str">
        <f t="shared" si="3"/>
        <v>A_SP_BCN_10_200812</v>
      </c>
      <c r="P68" s="33">
        <v>44055</v>
      </c>
      <c r="Q68" s="34">
        <v>0.56944444444444442</v>
      </c>
      <c r="R68" s="35"/>
      <c r="S68" s="36">
        <v>44062</v>
      </c>
      <c r="T68" s="37">
        <v>0.6875</v>
      </c>
      <c r="U68" s="38"/>
      <c r="V68" s="39" t="s">
        <v>66</v>
      </c>
      <c r="X68" s="29">
        <f t="shared" si="4"/>
        <v>7</v>
      </c>
      <c r="Y68" s="38"/>
      <c r="Z68" s="29" t="s">
        <v>68</v>
      </c>
      <c r="AA68" s="29">
        <f t="shared" si="2"/>
        <v>96</v>
      </c>
      <c r="AB68" s="29" t="s">
        <v>69</v>
      </c>
      <c r="AC68" s="29">
        <v>63</v>
      </c>
      <c r="AD68" s="29">
        <v>33</v>
      </c>
      <c r="AE68" s="29" t="s">
        <v>70</v>
      </c>
      <c r="AF68">
        <v>4</v>
      </c>
    </row>
    <row r="69" spans="1:33" x14ac:dyDescent="0.25">
      <c r="A69" s="28">
        <v>65</v>
      </c>
      <c r="B69" s="29" t="s">
        <v>60</v>
      </c>
      <c r="C69" s="29" t="s">
        <v>61</v>
      </c>
      <c r="D69" s="29" t="s">
        <v>62</v>
      </c>
      <c r="E69" s="29" t="s">
        <v>62</v>
      </c>
      <c r="F69" s="30" cm="1">
        <f t="array" ref="F69">_xlfn.IFS($G69=$G$5,F$5,$G69=$G$6,F$6,$G69=$G$7,F$7,$G69=$G$8,F$8,$G69=$G$9,F$9,$G69=$G$10,F$10,$G69=$G$11,F$11,$G69=$G$13,F$13,$G69=$G$15,F$15,$G69=$G$16,F$16,$G69=$G$33,F$33,$G69=$G$34,F$34,$G69=$G$248,F$248,$G69=$G$250,F$250)</f>
        <v>8040</v>
      </c>
      <c r="G69" s="29" t="s">
        <v>83</v>
      </c>
      <c r="H69" s="31" cm="1">
        <f t="array" ref="H69">_xlfn.IFS($G69=$G$5,H$5,$G69=$G$6,H$6,$G69=$G$7,H$7,$G69=$G$8,H$8,$G69=$G$9,H$9,$G69=$G$10,H$10,$G69=$G$11,H$11,$G69=$G$13,H$13,$G69=$G$15,H$15,$G69=$G$16,H$16,$G69=$G$33,H$33,$G69=$G$34,H$34,$G69=$G$248,H$248,$G69=$G$250,H$250)</f>
        <v>41.343685000000001</v>
      </c>
      <c r="I69" s="31" cm="1">
        <f t="array" ref="I69">_xlfn.IFS($G69=$G$5,I$5,$G69=$G$6,I$6,$G69=$G$7,I$7,$G69=$G$8,I$8,$G69=$G$9,I$9,$G69=$G$10,I$10,$G69=$G$11,I$11,$G69=$G$13,I$13,$G69=$G$15,I$15,$G69=$G$16,I$16,$G69=$G$33,I$33,$G69=$G$34,I$34,$G69=$G$248,I$248,$G69=$G$250,I$250)</f>
        <v>2.1441490000000001</v>
      </c>
      <c r="J69" s="29" cm="1">
        <f t="array" ref="J69">_xlfn.IFS($G69=$G$5,J$5,$G69=$G$6,J$6,$G69=$G$7,J$7,$G69=$G$8,J$8,$G69=$G$9,J$9,$G69=$G$10,J$10,$G69=$G$11,J$11,$G69=$G$13,J$13,$G69=$G$15,J$15,$G69=$G$16,J$16,$G69=$G$33,J$33,$G69=$G$34,J$34,$G69=$G$248,J$248,$G69=$G$250,J$250)</f>
        <v>4</v>
      </c>
      <c r="K69" s="29" t="str" cm="1">
        <f t="array" ref="K69">_xlfn.IFS($G69=$G$5,K$5,$G69=$G$6,K$6,$G69=$G$7,K$7,$G69=$G$8,K$8,$G69=$G$9,K$9,$G69=$G$10,K$10,$G69=$G$11,K$11,$G69=$G$13,K$13,$G69=$G$15,K$15,$G69=$G$16,K$16,$G69=$G$33,K$33,$G69=$G$34,K$34,$G69=$G$248,K$248,$G69=$G$250,K$250)</f>
        <v>BG sentinel + BG lure7</v>
      </c>
      <c r="L69" s="29" t="str" cm="1">
        <f t="array" ref="L69">_xlfn.IFS($G69=$G$5,L$5,$G69=$G$6,L$6,$G69=$G$7,L$7,$G69=$G$8,L$8,$G69=$G$9,L$9,$G69=$G$10,L$10,$G69=$G$11,L$11,$G69=$G$13,L$13,$G69=$G$15,L$15,$G69=$G$16,L$16,$G69=$G$33,L$33,$G69=$G$34,L$34,$G69=$G$248,L$248,$G69=$G$250,L$250)</f>
        <v>Urban habitat</v>
      </c>
      <c r="O69" s="32" t="str">
        <f t="shared" si="3"/>
        <v>A_SP_BCN_10_200812</v>
      </c>
      <c r="P69" s="33">
        <v>44055</v>
      </c>
      <c r="Q69" s="34">
        <v>0.56944444444444442</v>
      </c>
      <c r="R69" s="35"/>
      <c r="S69" s="36">
        <v>44062</v>
      </c>
      <c r="T69" s="37">
        <v>0.6875</v>
      </c>
      <c r="U69" s="38"/>
      <c r="V69" s="39" t="s">
        <v>66</v>
      </c>
      <c r="X69" s="29">
        <f t="shared" si="4"/>
        <v>7</v>
      </c>
      <c r="Y69" s="38"/>
      <c r="Z69" s="29" t="s">
        <v>75</v>
      </c>
      <c r="AA69" s="29">
        <f t="shared" si="2"/>
        <v>7</v>
      </c>
      <c r="AB69" s="29" t="s">
        <v>69</v>
      </c>
      <c r="AC69" s="29">
        <v>7</v>
      </c>
      <c r="AD69" s="29">
        <v>0</v>
      </c>
      <c r="AE69" s="29" t="s">
        <v>70</v>
      </c>
      <c r="AF69">
        <v>4</v>
      </c>
    </row>
    <row r="70" spans="1:33" x14ac:dyDescent="0.25">
      <c r="A70" s="28">
        <v>66</v>
      </c>
      <c r="B70" s="29" t="s">
        <v>60</v>
      </c>
      <c r="C70" s="29" t="s">
        <v>61</v>
      </c>
      <c r="D70" s="29" t="s">
        <v>62</v>
      </c>
      <c r="E70" s="29" t="s">
        <v>62</v>
      </c>
      <c r="F70" s="30" cm="1">
        <f t="array" ref="F70">_xlfn.IFS($G70=$G$5,F$5,$G70=$G$6,F$6,$G70=$G$7,F$7,$G70=$G$8,F$8,$G70=$G$9,F$9,$G70=$G$10,F$10,$G70=$G$11,F$11,$G70=$G$13,F$13,$G70=$G$15,F$15,$G70=$G$16,F$16,$G70=$G$33,F$33,$G70=$G$34,F$34,$G70=$G$248,F$248,$G70=$G$250,F$250)</f>
        <v>8040</v>
      </c>
      <c r="G70" s="29" t="s">
        <v>83</v>
      </c>
      <c r="H70" s="31" cm="1">
        <f t="array" ref="H70">_xlfn.IFS($G70=$G$5,H$5,$G70=$G$6,H$6,$G70=$G$7,H$7,$G70=$G$8,H$8,$G70=$G$9,H$9,$G70=$G$10,H$10,$G70=$G$11,H$11,$G70=$G$13,H$13,$G70=$G$15,H$15,$G70=$G$16,H$16,$G70=$G$33,H$33,$G70=$G$34,H$34,$G70=$G$248,H$248,$G70=$G$250,H$250)</f>
        <v>41.343685000000001</v>
      </c>
      <c r="I70" s="31" cm="1">
        <f t="array" ref="I70">_xlfn.IFS($G70=$G$5,I$5,$G70=$G$6,I$6,$G70=$G$7,I$7,$G70=$G$8,I$8,$G70=$G$9,I$9,$G70=$G$10,I$10,$G70=$G$11,I$11,$G70=$G$13,I$13,$G70=$G$15,I$15,$G70=$G$16,I$16,$G70=$G$33,I$33,$G70=$G$34,I$34,$G70=$G$248,I$248,$G70=$G$250,I$250)</f>
        <v>2.1441490000000001</v>
      </c>
      <c r="J70" s="29" cm="1">
        <f t="array" ref="J70">_xlfn.IFS($G70=$G$5,J$5,$G70=$G$6,J$6,$G70=$G$7,J$7,$G70=$G$8,J$8,$G70=$G$9,J$9,$G70=$G$10,J$10,$G70=$G$11,J$11,$G70=$G$13,J$13,$G70=$G$15,J$15,$G70=$G$16,J$16,$G70=$G$33,J$33,$G70=$G$34,J$34,$G70=$G$248,J$248,$G70=$G$250,J$250)</f>
        <v>4</v>
      </c>
      <c r="K70" s="29" t="str" cm="1">
        <f t="array" ref="K70">_xlfn.IFS($G70=$G$5,K$5,$G70=$G$6,K$6,$G70=$G$7,K$7,$G70=$G$8,K$8,$G70=$G$9,K$9,$G70=$G$10,K$10,$G70=$G$11,K$11,$G70=$G$13,K$13,$G70=$G$15,K$15,$G70=$G$16,K$16,$G70=$G$33,K$33,$G70=$G$34,K$34,$G70=$G$248,K$248,$G70=$G$250,K$250)</f>
        <v>BG sentinel + BG lure7</v>
      </c>
      <c r="L70" s="29" t="str" cm="1">
        <f t="array" ref="L70">_xlfn.IFS($G70=$G$5,L$5,$G70=$G$6,L$6,$G70=$G$7,L$7,$G70=$G$8,L$8,$G70=$G$9,L$9,$G70=$G$10,L$10,$G70=$G$11,L$11,$G70=$G$13,L$13,$G70=$G$15,L$15,$G70=$G$16,L$16,$G70=$G$33,L$33,$G70=$G$34,L$34,$G70=$G$248,L$248,$G70=$G$250,L$250)</f>
        <v>Urban habitat</v>
      </c>
      <c r="O70" s="32" t="str">
        <f t="shared" si="3"/>
        <v>A_SP_BCN_10_200812</v>
      </c>
      <c r="P70" s="33">
        <v>44055</v>
      </c>
      <c r="Q70" s="34">
        <v>0.56944444444444442</v>
      </c>
      <c r="R70" s="35"/>
      <c r="S70" s="36">
        <v>44062</v>
      </c>
      <c r="T70" s="37">
        <v>0.6875</v>
      </c>
      <c r="U70" s="38"/>
      <c r="V70" s="39" t="s">
        <v>66</v>
      </c>
      <c r="X70" s="29">
        <f t="shared" si="4"/>
        <v>7</v>
      </c>
      <c r="Y70" s="38"/>
      <c r="Z70" s="29" t="s">
        <v>84</v>
      </c>
      <c r="AA70" s="29">
        <f t="shared" ref="AA70:AA136" si="5">SUM(AC70:AD70)</f>
        <v>1</v>
      </c>
      <c r="AB70" s="29" t="s">
        <v>69</v>
      </c>
      <c r="AC70" s="29">
        <v>0</v>
      </c>
      <c r="AD70" s="29">
        <v>1</v>
      </c>
      <c r="AE70" s="29" t="s">
        <v>70</v>
      </c>
      <c r="AF70">
        <v>4</v>
      </c>
    </row>
    <row r="71" spans="1:33" x14ac:dyDescent="0.25">
      <c r="A71" s="28">
        <v>67</v>
      </c>
      <c r="B71" s="29" t="s">
        <v>60</v>
      </c>
      <c r="C71" s="29" t="s">
        <v>61</v>
      </c>
      <c r="D71" s="29" t="s">
        <v>62</v>
      </c>
      <c r="E71" s="29" t="s">
        <v>62</v>
      </c>
      <c r="F71" s="30" cm="1">
        <f t="array" ref="F71">_xlfn.IFS($G71=$G$5,F$5,$G71=$G$6,F$6,$G71=$G$7,F$7,$G71=$G$8,F$8,$G71=$G$9,F$9,$G71=$G$10,F$10,$G71=$G$11,F$11,$G71=$G$13,F$13,$G71=$G$15,F$15,$G71=$G$16,F$16,$G71=$G$33,F$33,$G71=$G$34,F$34,$G71=$G$248,F$248,$G71=$G$250,F$250)</f>
        <v>8038</v>
      </c>
      <c r="G71" s="29" t="s">
        <v>85</v>
      </c>
      <c r="H71" s="31" cm="1">
        <f t="array" ref="H71">_xlfn.IFS($G71=$G$5,H$5,$G71=$G$6,H$6,$G71=$G$7,H$7,$G71=$G$8,H$8,$G71=$G$9,H$9,$G71=$G$10,H$10,$G71=$G$11,H$11,$G71=$G$13,H$13,$G71=$G$15,H$15,$G71=$G$16,H$16,$G71=$G$33,H$33,$G71=$G$34,H$34,$G71=$G$248,H$248,$G71=$G$250,H$250)</f>
        <v>41.367429999999999</v>
      </c>
      <c r="I71" s="31" cm="1">
        <f t="array" ref="I71">_xlfn.IFS($G71=$G$5,I$5,$G71=$G$6,I$6,$G71=$G$7,I$7,$G71=$G$8,I$8,$G71=$G$9,I$9,$G71=$G$10,I$10,$G71=$G$11,I$11,$G71=$G$13,I$13,$G71=$G$15,I$15,$G71=$G$16,I$16,$G71=$G$33,I$33,$G71=$G$34,I$34,$G71=$G$248,I$248,$G71=$G$250,I$250)</f>
        <v>2.1569609999999999</v>
      </c>
      <c r="J71" s="29" cm="1">
        <f t="array" ref="J71">_xlfn.IFS($G71=$G$5,J$5,$G71=$G$6,J$6,$G71=$G$7,J$7,$G71=$G$8,J$8,$G71=$G$9,J$9,$G71=$G$10,J$10,$G71=$G$11,J$11,$G71=$G$13,J$13,$G71=$G$15,J$15,$G71=$G$16,J$16,$G71=$G$33,J$33,$G71=$G$34,J$34,$G71=$G$248,J$248,$G71=$G$250,J$250)</f>
        <v>91</v>
      </c>
      <c r="K71" s="29" t="str" cm="1">
        <f t="array" ref="K71">_xlfn.IFS($G71=$G$5,K$5,$G71=$G$6,K$6,$G71=$G$7,K$7,$G71=$G$8,K$8,$G71=$G$9,K$9,$G71=$G$10,K$10,$G71=$G$11,K$11,$G71=$G$13,K$13,$G71=$G$15,K$15,$G71=$G$16,K$16,$G71=$G$33,K$33,$G71=$G$34,K$34,$G71=$G$248,K$248,$G71=$G$250,K$250)</f>
        <v>BG sentinel + BG lure7</v>
      </c>
      <c r="L71" s="29" t="str" cm="1">
        <f t="array" ref="L71">_xlfn.IFS($G71=$G$5,L$5,$G71=$G$6,L$6,$G71=$G$7,L$7,$G71=$G$8,L$8,$G71=$G$9,L$9,$G71=$G$10,L$10,$G71=$G$11,L$11,$G71=$G$13,L$13,$G71=$G$15,L$15,$G71=$G$16,L$16,$G71=$G$33,L$33,$G71=$G$34,L$34,$G71=$G$248,L$248,$G71=$G$250,L$250)</f>
        <v>Other</v>
      </c>
      <c r="O71" s="32" t="str">
        <f t="shared" si="3"/>
        <v>A_SP_BCN_11_200812</v>
      </c>
      <c r="P71" s="33">
        <v>44055</v>
      </c>
      <c r="Q71" s="34">
        <v>0.59722222222222221</v>
      </c>
      <c r="R71" s="35"/>
      <c r="S71" s="36">
        <v>44062</v>
      </c>
      <c r="T71" s="37">
        <v>0.63541666666666663</v>
      </c>
      <c r="U71" s="38"/>
      <c r="V71" s="39" t="s">
        <v>66</v>
      </c>
      <c r="X71" s="29">
        <f t="shared" si="4"/>
        <v>7</v>
      </c>
      <c r="Y71" s="38"/>
      <c r="Z71" s="29" t="s">
        <v>68</v>
      </c>
      <c r="AA71" s="29">
        <f t="shared" si="5"/>
        <v>62</v>
      </c>
      <c r="AB71" s="29" t="s">
        <v>69</v>
      </c>
      <c r="AC71" s="29">
        <v>31</v>
      </c>
      <c r="AD71" s="29">
        <v>31</v>
      </c>
      <c r="AE71" s="29" t="s">
        <v>70</v>
      </c>
      <c r="AF71">
        <v>4</v>
      </c>
    </row>
    <row r="72" spans="1:33" x14ac:dyDescent="0.25">
      <c r="A72" s="28">
        <v>68</v>
      </c>
      <c r="B72" s="29" t="s">
        <v>60</v>
      </c>
      <c r="C72" s="29" t="s">
        <v>61</v>
      </c>
      <c r="D72" s="29" t="s">
        <v>62</v>
      </c>
      <c r="E72" s="29" t="s">
        <v>62</v>
      </c>
      <c r="F72" s="30" cm="1">
        <f t="array" ref="F72">_xlfn.IFS($G72=$G$5,F$5,$G72=$G$6,F$6,$G72=$G$7,F$7,$G72=$G$8,F$8,$G72=$G$9,F$9,$G72=$G$10,F$10,$G72=$G$11,F$11,$G72=$G$13,F$13,$G72=$G$15,F$15,$G72=$G$16,F$16,$G72=$G$33,F$33,$G72=$G$34,F$34,$G72=$G$248,F$248,$G72=$G$250,F$250)</f>
        <v>8038</v>
      </c>
      <c r="G72" s="29" t="s">
        <v>85</v>
      </c>
      <c r="H72" s="31" cm="1">
        <f t="array" ref="H72">_xlfn.IFS($G72=$G$5,H$5,$G72=$G$6,H$6,$G72=$G$7,H$7,$G72=$G$8,H$8,$G72=$G$9,H$9,$G72=$G$10,H$10,$G72=$G$11,H$11,$G72=$G$13,H$13,$G72=$G$15,H$15,$G72=$G$16,H$16,$G72=$G$33,H$33,$G72=$G$34,H$34,$G72=$G$248,H$248,$G72=$G$250,H$250)</f>
        <v>41.367429999999999</v>
      </c>
      <c r="I72" s="31" cm="1">
        <f t="array" ref="I72">_xlfn.IFS($G72=$G$5,I$5,$G72=$G$6,I$6,$G72=$G$7,I$7,$G72=$G$8,I$8,$G72=$G$9,I$9,$G72=$G$10,I$10,$G72=$G$11,I$11,$G72=$G$13,I$13,$G72=$G$15,I$15,$G72=$G$16,I$16,$G72=$G$33,I$33,$G72=$G$34,I$34,$G72=$G$248,I$248,$G72=$G$250,I$250)</f>
        <v>2.1569609999999999</v>
      </c>
      <c r="J72" s="29" cm="1">
        <f t="array" ref="J72">_xlfn.IFS($G72=$G$5,J$5,$G72=$G$6,J$6,$G72=$G$7,J$7,$G72=$G$8,J$8,$G72=$G$9,J$9,$G72=$G$10,J$10,$G72=$G$11,J$11,$G72=$G$13,J$13,$G72=$G$15,J$15,$G72=$G$16,J$16,$G72=$G$33,J$33,$G72=$G$34,J$34,$G72=$G$248,J$248,$G72=$G$250,J$250)</f>
        <v>91</v>
      </c>
      <c r="K72" s="29" t="str" cm="1">
        <f t="array" ref="K72">_xlfn.IFS($G72=$G$5,K$5,$G72=$G$6,K$6,$G72=$G$7,K$7,$G72=$G$8,K$8,$G72=$G$9,K$9,$G72=$G$10,K$10,$G72=$G$11,K$11,$G72=$G$13,K$13,$G72=$G$15,K$15,$G72=$G$16,K$16,$G72=$G$33,K$33,$G72=$G$34,K$34,$G72=$G$248,K$248,$G72=$G$250,K$250)</f>
        <v>BG sentinel + BG lure7</v>
      </c>
      <c r="L72" s="29" t="str" cm="1">
        <f t="array" ref="L72">_xlfn.IFS($G72=$G$5,L$5,$G72=$G$6,L$6,$G72=$G$7,L$7,$G72=$G$8,L$8,$G72=$G$9,L$9,$G72=$G$10,L$10,$G72=$G$11,L$11,$G72=$G$13,L$13,$G72=$G$15,L$15,$G72=$G$16,L$16,$G72=$G$33,L$33,$G72=$G$34,L$34,$G72=$G$248,L$248,$G72=$G$250,L$250)</f>
        <v>Other</v>
      </c>
      <c r="O72" s="32" t="str">
        <f t="shared" si="3"/>
        <v>A_SP_BCN_11_200812</v>
      </c>
      <c r="P72" s="33">
        <v>44055</v>
      </c>
      <c r="Q72" s="34">
        <v>0.59722222222222221</v>
      </c>
      <c r="R72" s="35"/>
      <c r="S72" s="36">
        <v>44062</v>
      </c>
      <c r="T72" s="37">
        <v>0.63541666666666663</v>
      </c>
      <c r="U72" s="38"/>
      <c r="V72" s="39" t="s">
        <v>66</v>
      </c>
      <c r="X72" s="29">
        <f>S72-P72</f>
        <v>7</v>
      </c>
      <c r="Y72" s="38"/>
      <c r="Z72" s="29" t="s">
        <v>75</v>
      </c>
      <c r="AA72" s="29">
        <f t="shared" si="5"/>
        <v>5</v>
      </c>
      <c r="AB72" s="29" t="s">
        <v>69</v>
      </c>
      <c r="AC72" s="29">
        <v>5</v>
      </c>
      <c r="AD72" s="29">
        <v>0</v>
      </c>
      <c r="AE72" s="29" t="s">
        <v>70</v>
      </c>
      <c r="AF72">
        <v>4</v>
      </c>
    </row>
    <row r="73" spans="1:33" x14ac:dyDescent="0.25">
      <c r="A73" s="28">
        <v>69</v>
      </c>
      <c r="B73" s="29" t="s">
        <v>60</v>
      </c>
      <c r="C73" s="29" t="s">
        <v>61</v>
      </c>
      <c r="D73" s="29" t="s">
        <v>62</v>
      </c>
      <c r="E73" s="29" t="s">
        <v>62</v>
      </c>
      <c r="F73" s="30" cm="1">
        <f t="array" ref="F73">_xlfn.IFS($G73=$G$5,F$5,$G73=$G$6,F$6,$G73=$G$7,F$7,$G73=$G$8,F$8,$G73=$G$9,F$9,$G73=$G$10,F$10,$G73=$G$11,F$11,$G73=$G$13,F$13,$G73=$G$15,F$15,$G73=$G$16,F$16,$G73=$G$33,F$33,$G73=$G$34,F$34,$G73=$G$248,F$248,$G73=$G$250,F$250)</f>
        <v>8038</v>
      </c>
      <c r="G73" s="29" t="s">
        <v>86</v>
      </c>
      <c r="H73" s="31" cm="1">
        <f t="array" ref="H73">_xlfn.IFS($G73=$G$5,H$5,$G73=$G$6,H$6,$G73=$G$7,H$7,$G73=$G$8,H$8,$G73=$G$9,H$9,$G73=$G$10,H$10,$G73=$G$11,H$11,$G73=$G$13,H$13,$G73=$G$15,H$15,$G73=$G$16,H$16,$G73=$G$33,H$33,$G73=$G$34,H$34,$G73=$G$248,H$248,$G73=$G$250,H$250)</f>
        <v>41.363377999999997</v>
      </c>
      <c r="I73" s="31" cm="1">
        <f t="array" ref="I73">_xlfn.IFS($G73=$G$5,I$5,$G73=$G$6,I$6,$G73=$G$7,I$7,$G73=$G$8,I$8,$G73=$G$9,I$9,$G73=$G$10,I$10,$G73=$G$11,I$11,$G73=$G$13,I$13,$G73=$G$15,I$15,$G73=$G$16,I$16,$G73=$G$33,I$33,$G73=$G$34,I$34,$G73=$G$248,I$248,$G73=$G$250,I$250)</f>
        <v>2.164879</v>
      </c>
      <c r="J73" s="29" cm="1">
        <f t="array" ref="J73">_xlfn.IFS($G73=$G$5,J$5,$G73=$G$6,J$6,$G73=$G$7,J$7,$G73=$G$8,J$8,$G73=$G$9,J$9,$G73=$G$10,J$10,$G73=$G$11,J$11,$G73=$G$13,J$13,$G73=$G$15,J$15,$G73=$G$16,J$16,$G73=$G$33,J$33,$G73=$G$34,J$34,$G73=$G$248,J$248,$G73=$G$250,J$250)</f>
        <v>185</v>
      </c>
      <c r="K73" s="29" t="str" cm="1">
        <f t="array" ref="K73">_xlfn.IFS($G73=$G$5,K$5,$G73=$G$6,K$6,$G73=$G$7,K$7,$G73=$G$8,K$8,$G73=$G$9,K$9,$G73=$G$10,K$10,$G73=$G$11,K$11,$G73=$G$13,K$13,$G73=$G$15,K$15,$G73=$G$16,K$16,$G73=$G$33,K$33,$G73=$G$34,K$34,$G73=$G$248,K$248,$G73=$G$250,K$250)</f>
        <v>BG sentinel + BG lure7</v>
      </c>
      <c r="L73" s="29" t="str" cm="1">
        <f t="array" ref="L73">_xlfn.IFS($G73=$G$5,L$5,$G73=$G$6,L$6,$G73=$G$7,L$7,$G73=$G$8,L$8,$G73=$G$9,L$9,$G73=$G$10,L$10,$G73=$G$11,L$11,$G73=$G$13,L$13,$G73=$G$15,L$15,$G73=$G$16,L$16,$G73=$G$33,L$33,$G73=$G$34,L$34,$G73=$G$248,L$248,$G73=$G$250,L$250)</f>
        <v>Other</v>
      </c>
      <c r="O73" s="32" t="str">
        <f t="shared" si="3"/>
        <v>A_SP_BCN_12_200812</v>
      </c>
      <c r="P73" s="33">
        <v>44055</v>
      </c>
      <c r="Q73" s="34">
        <v>0.63541666666666663</v>
      </c>
      <c r="R73" s="35"/>
      <c r="S73" s="36">
        <v>44062</v>
      </c>
      <c r="T73" s="37">
        <v>0.67361111111111116</v>
      </c>
      <c r="U73" s="38"/>
      <c r="V73" s="39" t="s">
        <v>66</v>
      </c>
      <c r="X73" s="29">
        <f>S73-P73</f>
        <v>7</v>
      </c>
      <c r="Y73" s="38"/>
      <c r="Z73" s="29" t="s">
        <v>68</v>
      </c>
      <c r="AA73" s="29">
        <f t="shared" si="5"/>
        <v>30</v>
      </c>
      <c r="AB73" s="29" t="s">
        <v>69</v>
      </c>
      <c r="AC73" s="29">
        <v>26</v>
      </c>
      <c r="AD73" s="29">
        <v>4</v>
      </c>
      <c r="AE73" s="29" t="s">
        <v>70</v>
      </c>
      <c r="AF73">
        <v>4</v>
      </c>
    </row>
    <row r="74" spans="1:33" x14ac:dyDescent="0.25">
      <c r="A74" s="28">
        <v>70</v>
      </c>
      <c r="B74" s="29" t="s">
        <v>60</v>
      </c>
      <c r="C74" s="29" t="s">
        <v>61</v>
      </c>
      <c r="D74" s="29" t="s">
        <v>62</v>
      </c>
      <c r="E74" s="29" t="s">
        <v>62</v>
      </c>
      <c r="F74" s="30" cm="1">
        <f t="array" ref="F74">_xlfn.IFS($G74=$G$5,F$5,$G74=$G$6,F$6,$G74=$G$7,F$7,$G74=$G$8,F$8,$G74=$G$9,F$9,$G74=$G$10,F$10,$G74=$G$11,F$11,$G74=$G$13,F$13,$G74=$G$15,F$15,$G74=$G$16,F$16,$G74=$G$33,F$33,$G74=$G$34,F$34,$G74=$G$248,F$248,$G74=$G$250,F$250)</f>
        <v>8038</v>
      </c>
      <c r="G74" s="29" t="s">
        <v>86</v>
      </c>
      <c r="H74" s="31" cm="1">
        <f t="array" ref="H74">_xlfn.IFS($G74=$G$5,H$5,$G74=$G$6,H$6,$G74=$G$7,H$7,$G74=$G$8,H$8,$G74=$G$9,H$9,$G74=$G$10,H$10,$G74=$G$11,H$11,$G74=$G$13,H$13,$G74=$G$15,H$15,$G74=$G$16,H$16,$G74=$G$33,H$33,$G74=$G$34,H$34,$G74=$G$248,H$248,$G74=$G$250,H$250)</f>
        <v>41.363377999999997</v>
      </c>
      <c r="I74" s="31" cm="1">
        <f t="array" ref="I74">_xlfn.IFS($G74=$G$5,I$5,$G74=$G$6,I$6,$G74=$G$7,I$7,$G74=$G$8,I$8,$G74=$G$9,I$9,$G74=$G$10,I$10,$G74=$G$11,I$11,$G74=$G$13,I$13,$G74=$G$15,I$15,$G74=$G$16,I$16,$G74=$G$33,I$33,$G74=$G$34,I$34,$G74=$G$248,I$248,$G74=$G$250,I$250)</f>
        <v>2.164879</v>
      </c>
      <c r="J74" s="29" cm="1">
        <f t="array" ref="J74">_xlfn.IFS($G74=$G$5,J$5,$G74=$G$6,J$6,$G74=$G$7,J$7,$G74=$G$8,J$8,$G74=$G$9,J$9,$G74=$G$10,J$10,$G74=$G$11,J$11,$G74=$G$13,J$13,$G74=$G$15,J$15,$G74=$G$16,J$16,$G74=$G$33,J$33,$G74=$G$34,J$34,$G74=$G$248,J$248,$G74=$G$250,J$250)</f>
        <v>185</v>
      </c>
      <c r="K74" s="29" t="str" cm="1">
        <f t="array" ref="K74">_xlfn.IFS($G74=$G$5,K$5,$G74=$G$6,K$6,$G74=$G$7,K$7,$G74=$G$8,K$8,$G74=$G$9,K$9,$G74=$G$10,K$10,$G74=$G$11,K$11,$G74=$G$13,K$13,$G74=$G$15,K$15,$G74=$G$16,K$16,$G74=$G$33,K$33,$G74=$G$34,K$34,$G74=$G$248,K$248,$G74=$G$250,K$250)</f>
        <v>BG sentinel + BG lure7</v>
      </c>
      <c r="L74" s="29" t="str" cm="1">
        <f t="array" ref="L74">_xlfn.IFS($G74=$G$5,L$5,$G74=$G$6,L$6,$G74=$G$7,L$7,$G74=$G$8,L$8,$G74=$G$9,L$9,$G74=$G$10,L$10,$G74=$G$11,L$11,$G74=$G$13,L$13,$G74=$G$15,L$15,$G74=$G$16,L$16,$G74=$G$33,L$33,$G74=$G$34,L$34,$G74=$G$248,L$248,$G74=$G$250,L$250)</f>
        <v>Other</v>
      </c>
      <c r="O74" s="32" t="str">
        <f t="shared" si="3"/>
        <v>A_SP_BCN_12_200812</v>
      </c>
      <c r="P74" s="33">
        <v>44055</v>
      </c>
      <c r="Q74" s="34">
        <v>0.59722222222222221</v>
      </c>
      <c r="R74" s="35"/>
      <c r="S74" s="36">
        <v>44062</v>
      </c>
      <c r="T74" s="37">
        <v>0.67361111111111116</v>
      </c>
      <c r="U74" s="38"/>
      <c r="V74" s="39" t="s">
        <v>66</v>
      </c>
      <c r="X74" s="29">
        <f t="shared" ref="X74:X137" si="6">S74-P74</f>
        <v>7</v>
      </c>
      <c r="Y74" s="38"/>
      <c r="Z74" s="29" t="s">
        <v>75</v>
      </c>
      <c r="AA74" s="29">
        <f t="shared" si="5"/>
        <v>110</v>
      </c>
      <c r="AB74" s="29" t="s">
        <v>69</v>
      </c>
      <c r="AC74" s="29">
        <v>109</v>
      </c>
      <c r="AD74" s="29">
        <v>1</v>
      </c>
      <c r="AE74" s="29" t="s">
        <v>70</v>
      </c>
      <c r="AF74">
        <v>4</v>
      </c>
    </row>
    <row r="75" spans="1:33" x14ac:dyDescent="0.25">
      <c r="A75" s="28">
        <v>71</v>
      </c>
      <c r="B75" s="29" t="s">
        <v>60</v>
      </c>
      <c r="C75" s="29" t="s">
        <v>61</v>
      </c>
      <c r="D75" s="29" t="s">
        <v>62</v>
      </c>
      <c r="E75" s="29" t="s">
        <v>62</v>
      </c>
      <c r="F75" s="30" cm="1">
        <f t="array" ref="F75">_xlfn.IFS($G75=$G$5,F$5,$G75=$G$6,F$6,$G75=$G$7,F$7,$G75=$G$8,F$8,$G75=$G$9,F$9,$G75=$G$10,F$10,$G75=$G$11,F$11,$G75=$G$13,F$13,$G75=$G$15,F$15,$G75=$G$16,F$16,$G75=$G$33,F$33,$G75=$G$34,F$34,$G75=$G$248,F$248,$G75=$G$250,F$250)</f>
        <v>8035</v>
      </c>
      <c r="G75" s="29" t="s">
        <v>71</v>
      </c>
      <c r="H75" s="31" cm="1">
        <f t="array" ref="H75">_xlfn.IFS($G75=$G$5,H$5,$G75=$G$6,H$6,$G75=$G$7,H$7,$G75=$G$8,H$8,$G75=$G$9,H$9,$G75=$G$10,H$10,$G75=$G$11,H$11,$G75=$G$13,H$13,$G75=$G$15,H$15,$G75=$G$16,H$16,$G75=$G$33,H$33,$G75=$G$34,H$34,$G75=$G$248,H$248,$G75=$G$250,H$250)</f>
        <v>41.424387000000003</v>
      </c>
      <c r="I75" s="31" cm="1">
        <f t="array" ref="I75">_xlfn.IFS($G75=$G$5,I$5,$G75=$G$6,I$6,$G75=$G$7,I$7,$G75=$G$8,I$8,$G75=$G$9,I$9,$G75=$G$10,I$10,$G75=$G$11,I$11,$G75=$G$13,I$13,$G75=$G$15,I$15,$G75=$G$16,I$16,$G75=$G$33,I$33,$G75=$G$34,I$34,$G75=$G$248,I$248,$G75=$G$250,I$250)</f>
        <v>2.1431439999999999</v>
      </c>
      <c r="J75" s="29" cm="1">
        <f t="array" ref="J75">_xlfn.IFS($G75=$G$5,J$5,$G75=$G$6,J$6,$G75=$G$7,J$7,$G75=$G$8,J$8,$G75=$G$9,J$9,$G75=$G$10,J$10,$G75=$G$11,J$11,$G75=$G$13,J$13,$G75=$G$15,J$15,$G75=$G$16,J$16,$G75=$G$33,J$33,$G75=$G$34,J$34,$G75=$G$248,J$248,$G75=$G$250,J$250)</f>
        <v>160</v>
      </c>
      <c r="K75" s="29" t="str" cm="1">
        <f t="array" ref="K75">_xlfn.IFS($G75=$G$5,K$5,$G75=$G$6,K$6,$G75=$G$7,K$7,$G75=$G$8,K$8,$G75=$G$9,K$9,$G75=$G$10,K$10,$G75=$G$11,K$11,$G75=$G$13,K$13,$G75=$G$15,K$15,$G75=$G$16,K$16,$G75=$G$33,K$33,$G75=$G$34,K$34,$G75=$G$248,K$248,$G75=$G$250,K$250)</f>
        <v>BG sentinel + BG lure7</v>
      </c>
      <c r="L75" s="29" t="str" cm="1">
        <f t="array" ref="L75">_xlfn.IFS($G75=$G$5,L$5,$G75=$G$6,L$6,$G75=$G$7,L$7,$G75=$G$8,L$8,$G75=$G$9,L$9,$G75=$G$10,L$10,$G75=$G$11,L$11,$G75=$G$13,L$13,$G75=$G$15,L$15,$G75=$G$16,L$16,$G75=$G$33,L$33,$G75=$G$34,L$34,$G75=$G$248,L$248,$G75=$G$250,L$250)</f>
        <v>Urban habitat</v>
      </c>
      <c r="O75" s="32" t="str">
        <f t="shared" si="3"/>
        <v>A_SP_BCN_2_200819</v>
      </c>
      <c r="P75" s="33">
        <v>44062</v>
      </c>
      <c r="Q75" s="34">
        <v>0.5</v>
      </c>
      <c r="R75" s="35"/>
      <c r="S75" s="36">
        <v>44069</v>
      </c>
      <c r="T75" s="37">
        <v>0.58333333333333337</v>
      </c>
      <c r="U75" s="38"/>
      <c r="V75" s="39" t="s">
        <v>66</v>
      </c>
      <c r="X75" s="29">
        <f t="shared" si="6"/>
        <v>7</v>
      </c>
      <c r="Y75" s="38"/>
      <c r="Z75" s="29" t="s">
        <v>68</v>
      </c>
      <c r="AA75" s="29">
        <f t="shared" si="5"/>
        <v>14</v>
      </c>
      <c r="AB75" s="29" t="s">
        <v>69</v>
      </c>
      <c r="AC75" s="29">
        <v>13</v>
      </c>
      <c r="AD75" s="29">
        <v>1</v>
      </c>
      <c r="AE75" s="29" t="s">
        <v>70</v>
      </c>
      <c r="AF75">
        <v>4</v>
      </c>
      <c r="AG75" s="40"/>
    </row>
    <row r="76" spans="1:33" x14ac:dyDescent="0.25">
      <c r="A76" s="28">
        <v>72</v>
      </c>
      <c r="B76" s="29" t="s">
        <v>60</v>
      </c>
      <c r="C76" s="29" t="s">
        <v>61</v>
      </c>
      <c r="D76" s="29" t="s">
        <v>62</v>
      </c>
      <c r="E76" s="29" t="s">
        <v>62</v>
      </c>
      <c r="F76" s="30" cm="1">
        <f t="array" ref="F76">_xlfn.IFS($G76=$G$5,F$5,$G76=$G$6,F$6,$G76=$G$7,F$7,$G76=$G$8,F$8,$G76=$G$9,F$9,$G76=$G$10,F$10,$G76=$G$11,F$11,$G76=$G$13,F$13,$G76=$G$15,F$15,$G76=$G$16,F$16,$G76=$G$33,F$33,$G76=$G$34,F$34,$G76=$G$248,F$248,$G76=$G$250,F$250)</f>
        <v>8016</v>
      </c>
      <c r="G76" s="29" t="s">
        <v>72</v>
      </c>
      <c r="H76" s="31" cm="1">
        <f t="array" ref="H76">_xlfn.IFS($G76=$G$5,H$5,$G76=$G$6,H$6,$G76=$G$7,H$7,$G76=$G$8,H$8,$G76=$G$9,H$9,$G76=$G$10,H$10,$G76=$G$11,H$11,$G76=$G$13,H$13,$G76=$G$15,H$15,$G76=$G$16,H$16,$G76=$G$33,H$33,$G76=$G$34,H$34,$G76=$G$248,H$248,$G76=$G$250,H$250)</f>
        <v>41.437435000000001</v>
      </c>
      <c r="I76" s="31" cm="1">
        <f t="array" ref="I76">_xlfn.IFS($G76=$G$5,I$5,$G76=$G$6,I$6,$G76=$G$7,I$7,$G76=$G$8,I$8,$G76=$G$9,I$9,$G76=$G$10,I$10,$G76=$G$11,I$11,$G76=$G$13,I$13,$G76=$G$15,I$15,$G76=$G$16,I$16,$G76=$G$33,I$33,$G76=$G$34,I$34,$G76=$G$248,I$248,$G76=$G$250,I$250)</f>
        <v>2.1812779999999998</v>
      </c>
      <c r="J76" s="29" cm="1">
        <f t="array" ref="J76">_xlfn.IFS($G76=$G$5,J$5,$G76=$G$6,J$6,$G76=$G$7,J$7,$G76=$G$8,J$8,$G76=$G$9,J$9,$G76=$G$10,J$10,$G76=$G$11,J$11,$G76=$G$13,J$13,$G76=$G$15,J$15,$G76=$G$16,J$16,$G76=$G$33,J$33,$G76=$G$34,J$34,$G76=$G$248,J$248,$G76=$G$250,J$250)</f>
        <v>47</v>
      </c>
      <c r="K76" s="29" t="str" cm="1">
        <f t="array" ref="K76">_xlfn.IFS($G76=$G$5,K$5,$G76=$G$6,K$6,$G76=$G$7,K$7,$G76=$G$8,K$8,$G76=$G$9,K$9,$G76=$G$10,K$10,$G76=$G$11,K$11,$G76=$G$13,K$13,$G76=$G$15,K$15,$G76=$G$16,K$16,$G76=$G$33,K$33,$G76=$G$34,K$34,$G76=$G$248,K$248,$G76=$G$250,K$250)</f>
        <v>BG sentinel + BG lure7</v>
      </c>
      <c r="L76" s="29" t="str" cm="1">
        <f t="array" ref="L76">_xlfn.IFS($G76=$G$5,L$5,$G76=$G$6,L$6,$G76=$G$7,L$7,$G76=$G$8,L$8,$G76=$G$9,L$9,$G76=$G$10,L$10,$G76=$G$11,L$11,$G76=$G$13,L$13,$G76=$G$15,L$15,$G76=$G$16,L$16,$G76=$G$33,L$33,$G76=$G$34,L$34,$G76=$G$248,L$248,$G76=$G$250,L$250)</f>
        <v>Urban habitat</v>
      </c>
      <c r="O76" s="32" t="str">
        <f t="shared" si="3"/>
        <v>A_SP_BCN_3_200819</v>
      </c>
      <c r="P76" s="33">
        <v>44062</v>
      </c>
      <c r="Q76" s="34">
        <v>0.55208333333333337</v>
      </c>
      <c r="R76" s="35"/>
      <c r="S76" s="36">
        <v>44069</v>
      </c>
      <c r="T76" s="37">
        <v>0.53125</v>
      </c>
      <c r="U76" s="38"/>
      <c r="V76" s="39" t="s">
        <v>66</v>
      </c>
      <c r="X76" s="29">
        <f t="shared" si="6"/>
        <v>7</v>
      </c>
      <c r="Y76" s="38"/>
      <c r="Z76" s="29" t="s">
        <v>68</v>
      </c>
      <c r="AA76" s="29">
        <f t="shared" si="5"/>
        <v>38</v>
      </c>
      <c r="AB76" s="29" t="s">
        <v>69</v>
      </c>
      <c r="AC76" s="29">
        <v>21</v>
      </c>
      <c r="AD76" s="29">
        <v>17</v>
      </c>
      <c r="AE76" s="29" t="s">
        <v>70</v>
      </c>
      <c r="AF76">
        <v>4</v>
      </c>
      <c r="AG76" s="40"/>
    </row>
    <row r="77" spans="1:33" x14ac:dyDescent="0.25">
      <c r="A77" s="28">
        <v>73</v>
      </c>
      <c r="B77" s="29" t="s">
        <v>60</v>
      </c>
      <c r="C77" s="29" t="s">
        <v>61</v>
      </c>
      <c r="D77" s="29" t="s">
        <v>62</v>
      </c>
      <c r="E77" s="29" t="s">
        <v>62</v>
      </c>
      <c r="F77" s="30" cm="1">
        <f t="array" ref="F77">_xlfn.IFS($G77=$G$5,F$5,$G77=$G$6,F$6,$G77=$G$7,F$7,$G77=$G$8,F$8,$G77=$G$9,F$9,$G77=$G$10,F$10,$G77=$G$11,F$11,$G77=$G$13,F$13,$G77=$G$15,F$15,$G77=$G$16,F$16,$G77=$G$33,F$33,$G77=$G$34,F$34,$G77=$G$248,F$248,$G77=$G$250,F$250)</f>
        <v>8016</v>
      </c>
      <c r="G77" s="29" t="s">
        <v>72</v>
      </c>
      <c r="H77" s="31" cm="1">
        <f t="array" ref="H77">_xlfn.IFS($G77=$G$5,H$5,$G77=$G$6,H$6,$G77=$G$7,H$7,$G77=$G$8,H$8,$G77=$G$9,H$9,$G77=$G$10,H$10,$G77=$G$11,H$11,$G77=$G$13,H$13,$G77=$G$15,H$15,$G77=$G$16,H$16,$G77=$G$33,H$33,$G77=$G$34,H$34,$G77=$G$248,H$248,$G77=$G$250,H$250)</f>
        <v>41.437435000000001</v>
      </c>
      <c r="I77" s="31" cm="1">
        <f t="array" ref="I77">_xlfn.IFS($G77=$G$5,I$5,$G77=$G$6,I$6,$G77=$G$7,I$7,$G77=$G$8,I$8,$G77=$G$9,I$9,$G77=$G$10,I$10,$G77=$G$11,I$11,$G77=$G$13,I$13,$G77=$G$15,I$15,$G77=$G$16,I$16,$G77=$G$33,I$33,$G77=$G$34,I$34,$G77=$G$248,I$248,$G77=$G$250,I$250)</f>
        <v>2.1812779999999998</v>
      </c>
      <c r="J77" s="29" cm="1">
        <f t="array" ref="J77">_xlfn.IFS($G77=$G$5,J$5,$G77=$G$6,J$6,$G77=$G$7,J$7,$G77=$G$8,J$8,$G77=$G$9,J$9,$G77=$G$10,J$10,$G77=$G$11,J$11,$G77=$G$13,J$13,$G77=$G$15,J$15,$G77=$G$16,J$16,$G77=$G$33,J$33,$G77=$G$34,J$34,$G77=$G$248,J$248,$G77=$G$250,J$250)</f>
        <v>47</v>
      </c>
      <c r="K77" s="29" t="str" cm="1">
        <f t="array" ref="K77">_xlfn.IFS($G77=$G$5,K$5,$G77=$G$6,K$6,$G77=$G$7,K$7,$G77=$G$8,K$8,$G77=$G$9,K$9,$G77=$G$10,K$10,$G77=$G$11,K$11,$G77=$G$13,K$13,$G77=$G$15,K$15,$G77=$G$16,K$16,$G77=$G$33,K$33,$G77=$G$34,K$34,$G77=$G$248,K$248,$G77=$G$250,K$250)</f>
        <v>BG sentinel + BG lure7</v>
      </c>
      <c r="L77" s="29" t="str" cm="1">
        <f t="array" ref="L77">_xlfn.IFS($G77=$G$5,L$5,$G77=$G$6,L$6,$G77=$G$7,L$7,$G77=$G$8,L$8,$G77=$G$9,L$9,$G77=$G$10,L$10,$G77=$G$11,L$11,$G77=$G$13,L$13,$G77=$G$15,L$15,$G77=$G$16,L$16,$G77=$G$33,L$33,$G77=$G$34,L$34,$G77=$G$248,L$248,$G77=$G$250,L$250)</f>
        <v>Urban habitat</v>
      </c>
      <c r="O77" s="32" t="str">
        <f t="shared" si="3"/>
        <v>A_SP_BCN_3_200819</v>
      </c>
      <c r="P77" s="33">
        <v>44062</v>
      </c>
      <c r="Q77" s="34">
        <v>0.55208333333333337</v>
      </c>
      <c r="R77" s="35"/>
      <c r="S77" s="36">
        <v>44069</v>
      </c>
      <c r="T77" s="37">
        <v>0.53125</v>
      </c>
      <c r="U77" s="38"/>
      <c r="V77" s="39" t="s">
        <v>66</v>
      </c>
      <c r="X77" s="29">
        <f t="shared" si="6"/>
        <v>7</v>
      </c>
      <c r="Y77" s="38"/>
      <c r="Z77" s="29" t="s">
        <v>75</v>
      </c>
      <c r="AA77" s="29">
        <f t="shared" si="5"/>
        <v>7</v>
      </c>
      <c r="AB77" s="29" t="s">
        <v>69</v>
      </c>
      <c r="AC77" s="29">
        <v>5</v>
      </c>
      <c r="AD77" s="29">
        <v>2</v>
      </c>
      <c r="AE77" s="29" t="s">
        <v>70</v>
      </c>
      <c r="AF77">
        <v>4</v>
      </c>
      <c r="AG77" s="40"/>
    </row>
    <row r="78" spans="1:33" x14ac:dyDescent="0.25">
      <c r="A78" s="28">
        <v>74</v>
      </c>
      <c r="B78" s="29" t="s">
        <v>60</v>
      </c>
      <c r="C78" s="29" t="s">
        <v>61</v>
      </c>
      <c r="D78" s="29" t="s">
        <v>62</v>
      </c>
      <c r="E78" s="29" t="s">
        <v>62</v>
      </c>
      <c r="F78" s="30" cm="1">
        <f t="array" ref="F78">_xlfn.IFS($G78=$G$5,F$5,$G78=$G$6,F$6,$G78=$G$7,F$7,$G78=$G$8,F$8,$G78=$G$9,F$9,$G78=$G$10,F$10,$G78=$G$11,F$11,$G78=$G$13,F$13,$G78=$G$15,F$15,$G78=$G$16,F$16,$G78=$G$33,F$33,$G78=$G$34,F$34,$G78=$G$248,F$248,$G78=$G$250,F$250)</f>
        <v>8018</v>
      </c>
      <c r="G78" s="29" t="s">
        <v>73</v>
      </c>
      <c r="H78" s="31" cm="1">
        <f t="array" ref="H78">_xlfn.IFS($G78=$G$5,H$5,$G78=$G$6,H$6,$G78=$G$7,H$7,$G78=$G$8,H$8,$G78=$G$9,H$9,$G78=$G$10,H$10,$G78=$G$11,H$11,$G78=$G$13,H$13,$G78=$G$15,H$15,$G78=$G$16,H$16,$G78=$G$33,H$33,$G78=$G$34,H$34,$G78=$G$248,H$248,$G78=$G$250,H$250)</f>
        <v>41.404924999999999</v>
      </c>
      <c r="I78" s="31" cm="1">
        <f t="array" ref="I78">_xlfn.IFS($G78=$G$5,I$5,$G78=$G$6,I$6,$G78=$G$7,I$7,$G78=$G$8,I$8,$G78=$G$9,I$9,$G78=$G$10,I$10,$G78=$G$11,I$11,$G78=$G$13,I$13,$G78=$G$15,I$15,$G78=$G$16,I$16,$G78=$G$33,I$33,$G78=$G$34,I$34,$G78=$G$248,I$248,$G78=$G$250,I$250)</f>
        <v>2.1987909999999999</v>
      </c>
      <c r="J78" s="29" cm="1">
        <f t="array" ref="J78">_xlfn.IFS($G78=$G$5,J$5,$G78=$G$6,J$6,$G78=$G$7,J$7,$G78=$G$8,J$8,$G78=$G$9,J$9,$G78=$G$10,J$10,$G78=$G$11,J$11,$G78=$G$13,J$13,$G78=$G$15,J$15,$G78=$G$16,J$16,$G78=$G$33,J$33,$G78=$G$34,J$34,$G78=$G$248,J$248,$G78=$G$250,J$250)</f>
        <v>4</v>
      </c>
      <c r="K78" s="29" t="str" cm="1">
        <f t="array" ref="K78">_xlfn.IFS($G78=$G$5,K$5,$G78=$G$6,K$6,$G78=$G$7,K$7,$G78=$G$8,K$8,$G78=$G$9,K$9,$G78=$G$10,K$10,$G78=$G$11,K$11,$G78=$G$13,K$13,$G78=$G$15,K$15,$G78=$G$16,K$16,$G78=$G$33,K$33,$G78=$G$34,K$34,$G78=$G$248,K$248,$G78=$G$250,K$250)</f>
        <v>BG sentinel + BG lure7</v>
      </c>
      <c r="L78" s="29" t="str" cm="1">
        <f t="array" ref="L78">_xlfn.IFS($G78=$G$5,L$5,$G78=$G$6,L$6,$G78=$G$7,L$7,$G78=$G$8,L$8,$G78=$G$9,L$9,$G78=$G$10,L$10,$G78=$G$11,L$11,$G78=$G$13,L$13,$G78=$G$15,L$15,$G78=$G$16,L$16,$G78=$G$33,L$33,$G78=$G$34,L$34,$G78=$G$248,L$248,$G78=$G$250,L$250)</f>
        <v>Urban habitat</v>
      </c>
      <c r="O78" s="32" t="str">
        <f t="shared" si="3"/>
        <v>A_SP_BCN_4_200819</v>
      </c>
      <c r="P78" s="33">
        <v>44062</v>
      </c>
      <c r="Q78" s="34">
        <v>0.60416666666666663</v>
      </c>
      <c r="R78" s="35"/>
      <c r="S78" s="36">
        <v>44069</v>
      </c>
      <c r="T78" s="37">
        <v>0.51388888888888895</v>
      </c>
      <c r="U78" s="38"/>
      <c r="V78" s="39" t="s">
        <v>66</v>
      </c>
      <c r="X78" s="29">
        <f t="shared" si="6"/>
        <v>7</v>
      </c>
      <c r="Y78" s="38"/>
      <c r="Z78" s="29" t="s">
        <v>68</v>
      </c>
      <c r="AA78" s="29">
        <f t="shared" si="5"/>
        <v>25</v>
      </c>
      <c r="AB78" s="29" t="s">
        <v>69</v>
      </c>
      <c r="AC78" s="29">
        <v>15</v>
      </c>
      <c r="AD78" s="29">
        <v>10</v>
      </c>
      <c r="AE78" s="29" t="s">
        <v>70</v>
      </c>
      <c r="AF78">
        <v>4</v>
      </c>
    </row>
    <row r="79" spans="1:33" x14ac:dyDescent="0.25">
      <c r="A79" s="28">
        <v>75</v>
      </c>
      <c r="B79" s="29" t="s">
        <v>60</v>
      </c>
      <c r="C79" s="29" t="s">
        <v>61</v>
      </c>
      <c r="D79" s="29" t="s">
        <v>62</v>
      </c>
      <c r="E79" s="29" t="s">
        <v>62</v>
      </c>
      <c r="F79" s="30" cm="1">
        <f t="array" ref="F79">_xlfn.IFS($G79=$G$5,F$5,$G79=$G$6,F$6,$G79=$G$7,F$7,$G79=$G$8,F$8,$G79=$G$9,F$9,$G79=$G$10,F$10,$G79=$G$11,F$11,$G79=$G$13,F$13,$G79=$G$15,F$15,$G79=$G$16,F$16,$G79=$G$33,F$33,$G79=$G$34,F$34,$G79=$G$248,F$248,$G79=$G$250,F$250)</f>
        <v>8018</v>
      </c>
      <c r="G79" s="29" t="s">
        <v>73</v>
      </c>
      <c r="H79" s="31" cm="1">
        <f t="array" ref="H79">_xlfn.IFS($G79=$G$5,H$5,$G79=$G$6,H$6,$G79=$G$7,H$7,$G79=$G$8,H$8,$G79=$G$9,H$9,$G79=$G$10,H$10,$G79=$G$11,H$11,$G79=$G$13,H$13,$G79=$G$15,H$15,$G79=$G$16,H$16,$G79=$G$33,H$33,$G79=$G$34,H$34,$G79=$G$248,H$248,$G79=$G$250,H$250)</f>
        <v>41.404924999999999</v>
      </c>
      <c r="I79" s="31" cm="1">
        <f t="array" ref="I79">_xlfn.IFS($G79=$G$5,I$5,$G79=$G$6,I$6,$G79=$G$7,I$7,$G79=$G$8,I$8,$G79=$G$9,I$9,$G79=$G$10,I$10,$G79=$G$11,I$11,$G79=$G$13,I$13,$G79=$G$15,I$15,$G79=$G$16,I$16,$G79=$G$33,I$33,$G79=$G$34,I$34,$G79=$G$248,I$248,$G79=$G$250,I$250)</f>
        <v>2.1987909999999999</v>
      </c>
      <c r="J79" s="29" cm="1">
        <f t="array" ref="J79">_xlfn.IFS($G79=$G$5,J$5,$G79=$G$6,J$6,$G79=$G$7,J$7,$G79=$G$8,J$8,$G79=$G$9,J$9,$G79=$G$10,J$10,$G79=$G$11,J$11,$G79=$G$13,J$13,$G79=$G$15,J$15,$G79=$G$16,J$16,$G79=$G$33,J$33,$G79=$G$34,J$34,$G79=$G$248,J$248,$G79=$G$250,J$250)</f>
        <v>4</v>
      </c>
      <c r="K79" s="29" t="str" cm="1">
        <f t="array" ref="K79">_xlfn.IFS($G79=$G$5,K$5,$G79=$G$6,K$6,$G79=$G$7,K$7,$G79=$G$8,K$8,$G79=$G$9,K$9,$G79=$G$10,K$10,$G79=$G$11,K$11,$G79=$G$13,K$13,$G79=$G$15,K$15,$G79=$G$16,K$16,$G79=$G$33,K$33,$G79=$G$34,K$34,$G79=$G$248,K$248,$G79=$G$250,K$250)</f>
        <v>BG sentinel + BG lure7</v>
      </c>
      <c r="L79" s="29" t="str" cm="1">
        <f t="array" ref="L79">_xlfn.IFS($G79=$G$5,L$5,$G79=$G$6,L$6,$G79=$G$7,L$7,$G79=$G$8,L$8,$G79=$G$9,L$9,$G79=$G$10,L$10,$G79=$G$11,L$11,$G79=$G$13,L$13,$G79=$G$15,L$15,$G79=$G$16,L$16,$G79=$G$33,L$33,$G79=$G$34,L$34,$G79=$G$248,L$248,$G79=$G$250,L$250)</f>
        <v>Urban habitat</v>
      </c>
      <c r="O79" s="32" t="str">
        <f t="shared" si="3"/>
        <v>A_SP_BCN_4_200819</v>
      </c>
      <c r="P79" s="33">
        <v>44062</v>
      </c>
      <c r="Q79" s="34">
        <v>0.60416666666666663</v>
      </c>
      <c r="R79" s="35"/>
      <c r="S79" s="36">
        <v>44069</v>
      </c>
      <c r="T79" s="37">
        <v>0.51388888888888895</v>
      </c>
      <c r="U79" s="38"/>
      <c r="V79" s="39" t="s">
        <v>66</v>
      </c>
      <c r="X79" s="29">
        <f t="shared" si="6"/>
        <v>7</v>
      </c>
      <c r="Y79" s="38"/>
      <c r="Z79" s="29" t="s">
        <v>75</v>
      </c>
      <c r="AA79" s="29">
        <f t="shared" si="5"/>
        <v>1</v>
      </c>
      <c r="AB79" s="29" t="s">
        <v>69</v>
      </c>
      <c r="AC79" s="29">
        <v>0</v>
      </c>
      <c r="AD79" s="29">
        <v>1</v>
      </c>
      <c r="AE79" s="29" t="s">
        <v>70</v>
      </c>
      <c r="AF79">
        <v>4</v>
      </c>
    </row>
    <row r="80" spans="1:33" x14ac:dyDescent="0.25">
      <c r="A80" s="28">
        <v>76</v>
      </c>
      <c r="B80" s="29" t="s">
        <v>60</v>
      </c>
      <c r="C80" s="29" t="s">
        <v>61</v>
      </c>
      <c r="D80" s="29" t="s">
        <v>62</v>
      </c>
      <c r="E80" s="29" t="s">
        <v>62</v>
      </c>
      <c r="F80" s="30" cm="1">
        <f t="array" ref="F80">_xlfn.IFS($G80=$G$5,F$5,$G80=$G$6,F$6,$G80=$G$7,F$7,$G80=$G$8,F$8,$G80=$G$9,F$9,$G80=$G$10,F$10,$G80=$G$11,F$11,$G80=$G$13,F$13,$G80=$G$15,F$15,$G80=$G$16,F$16,$G80=$G$33,F$33,$G80=$G$34,F$34,$G80=$G$248,F$248,$G80=$G$250,F$250)</f>
        <v>8019</v>
      </c>
      <c r="G80" s="29" t="s">
        <v>74</v>
      </c>
      <c r="H80" s="31" cm="1">
        <f t="array" ref="H80">_xlfn.IFS($G80=$G$5,H$5,$G80=$G$6,H$6,$G80=$G$7,H$7,$G80=$G$8,H$8,$G80=$G$9,H$9,$G80=$G$10,H$10,$G80=$G$11,H$11,$G80=$G$13,H$13,$G80=$G$15,H$15,$G80=$G$16,H$16,$G80=$G$33,H$33,$G80=$G$34,H$34,$G80=$G$248,H$248,$G80=$G$250,H$250)</f>
        <v>41.410684000000003</v>
      </c>
      <c r="I80" s="31" cm="1">
        <f t="array" ref="I80">_xlfn.IFS($G80=$G$5,I$5,$G80=$G$6,I$6,$G80=$G$7,I$7,$G80=$G$8,I$8,$G80=$G$9,I$9,$G80=$G$10,I$10,$G80=$G$11,I$11,$G80=$G$13,I$13,$G80=$G$15,I$15,$G80=$G$16,I$16,$G80=$G$33,I$33,$G80=$G$34,I$34,$G80=$G$248,I$248,$G80=$G$250,I$250)</f>
        <v>2.2208019999999999</v>
      </c>
      <c r="J80" s="29" cm="1">
        <f t="array" ref="J80">_xlfn.IFS($G80=$G$5,J$5,$G80=$G$6,J$6,$G80=$G$7,J$7,$G80=$G$8,J$8,$G80=$G$9,J$9,$G80=$G$10,J$10,$G80=$G$11,J$11,$G80=$G$13,J$13,$G80=$G$15,J$15,$G80=$G$16,J$16,$G80=$G$33,J$33,$G80=$G$34,J$34,$G80=$G$248,J$248,$G80=$G$250,J$250)</f>
        <v>18</v>
      </c>
      <c r="K80" s="29" t="str" cm="1">
        <f t="array" ref="K80">_xlfn.IFS($G80=$G$5,K$5,$G80=$G$6,K$6,$G80=$G$7,K$7,$G80=$G$8,K$8,$G80=$G$9,K$9,$G80=$G$10,K$10,$G80=$G$11,K$11,$G80=$G$13,K$13,$G80=$G$15,K$15,$G80=$G$16,K$16,$G80=$G$33,K$33,$G80=$G$34,K$34,$G80=$G$248,K$248,$G80=$G$250,K$250)</f>
        <v>BG sentinel + BG lure7</v>
      </c>
      <c r="L80" s="29" t="str" cm="1">
        <f t="array" ref="L80">_xlfn.IFS($G80=$G$5,L$5,$G80=$G$6,L$6,$G80=$G$7,L$7,$G80=$G$8,L$8,$G80=$G$9,L$9,$G80=$G$10,L$10,$G80=$G$11,L$11,$G80=$G$13,L$13,$G80=$G$15,L$15,$G80=$G$16,L$16,$G80=$G$33,L$33,$G80=$G$34,L$34,$G80=$G$248,L$248,$G80=$G$250,L$250)</f>
        <v>Urban habitat</v>
      </c>
      <c r="O80" s="32" t="str">
        <f t="shared" si="3"/>
        <v>A_SP_BCN_5_200819</v>
      </c>
      <c r="P80" s="33">
        <v>44062</v>
      </c>
      <c r="Q80" s="34">
        <v>0.57638888888888895</v>
      </c>
      <c r="R80" s="35"/>
      <c r="S80" s="36">
        <v>44069</v>
      </c>
      <c r="T80" s="37">
        <v>0.47916666666666669</v>
      </c>
      <c r="U80" s="38"/>
      <c r="V80" s="39" t="s">
        <v>66</v>
      </c>
      <c r="X80" s="29">
        <f t="shared" si="6"/>
        <v>7</v>
      </c>
      <c r="Y80" s="38"/>
      <c r="Z80" s="29" t="s">
        <v>75</v>
      </c>
      <c r="AA80" s="29">
        <f t="shared" si="5"/>
        <v>1</v>
      </c>
      <c r="AB80" s="29" t="s">
        <v>69</v>
      </c>
      <c r="AC80" s="29">
        <v>1</v>
      </c>
      <c r="AD80" s="29">
        <v>0</v>
      </c>
      <c r="AE80" s="29" t="s">
        <v>70</v>
      </c>
      <c r="AF80">
        <v>4</v>
      </c>
    </row>
    <row r="81" spans="1:33" x14ac:dyDescent="0.25">
      <c r="A81" s="28">
        <v>77</v>
      </c>
      <c r="B81" s="29" t="s">
        <v>60</v>
      </c>
      <c r="C81" s="29" t="s">
        <v>61</v>
      </c>
      <c r="D81" s="29" t="s">
        <v>62</v>
      </c>
      <c r="E81" s="29" t="s">
        <v>62</v>
      </c>
      <c r="F81" s="30" cm="1">
        <f t="array" ref="F81">_xlfn.IFS($G81=$G$5,F$5,$G81=$G$6,F$6,$G81=$G$7,F$7,$G81=$G$8,F$8,$G81=$G$9,F$9,$G81=$G$10,F$10,$G81=$G$11,F$11,$G81=$G$13,F$13,$G81=$G$15,F$15,$G81=$G$16,F$16,$G81=$G$33,F$33,$G81=$G$34,F$34,$G81=$G$248,F$248,$G81=$G$250,F$250)</f>
        <v>8002</v>
      </c>
      <c r="G81" s="29" t="s">
        <v>76</v>
      </c>
      <c r="H81" s="31" cm="1">
        <f t="array" ref="H81">_xlfn.IFS($G81=$G$5,H$5,$G81=$G$6,H$6,$G81=$G$7,H$7,$G81=$G$8,H$8,$G81=$G$9,H$9,$G81=$G$10,H$10,$G81=$G$11,H$11,$G81=$G$13,H$13,$G81=$G$15,H$15,$G81=$G$16,H$16,$G81=$G$33,H$33,$G81=$G$34,H$34,$G81=$G$248,H$248,$G81=$G$250,H$250)</f>
        <v>41.382339999999999</v>
      </c>
      <c r="I81" s="31" cm="1">
        <f t="array" ref="I81">_xlfn.IFS($G81=$G$5,I$5,$G81=$G$6,I$6,$G81=$G$7,I$7,$G81=$G$8,I$8,$G81=$G$9,I$9,$G81=$G$10,I$10,$G81=$G$11,I$11,$G81=$G$13,I$13,$G81=$G$15,I$15,$G81=$G$16,I$16,$G81=$G$33,I$33,$G81=$G$34,I$34,$G81=$G$248,I$248,$G81=$G$250,I$250)</f>
        <v>2.1714790000000002</v>
      </c>
      <c r="J81" s="29" cm="1">
        <f t="array" ref="J81">_xlfn.IFS($G81=$G$5,J$5,$G81=$G$6,J$6,$G81=$G$7,J$7,$G81=$G$8,J$8,$G81=$G$9,J$9,$G81=$G$10,J$10,$G81=$G$11,J$11,$G81=$G$13,J$13,$G81=$G$15,J$15,$G81=$G$16,J$16,$G81=$G$33,J$33,$G81=$G$34,J$34,$G81=$G$248,J$248,$G81=$G$250,J$250)</f>
        <v>19</v>
      </c>
      <c r="K81" s="29" t="str" cm="1">
        <f t="array" ref="K81">_xlfn.IFS($G81=$G$5,K$5,$G81=$G$6,K$6,$G81=$G$7,K$7,$G81=$G$8,K$8,$G81=$G$9,K$9,$G81=$G$10,K$10,$G81=$G$11,K$11,$G81=$G$13,K$13,$G81=$G$15,K$15,$G81=$G$16,K$16,$G81=$G$33,K$33,$G81=$G$34,K$34,$G81=$G$248,K$248,$G81=$G$250,K$250)</f>
        <v>BG sentinel + BG lure7</v>
      </c>
      <c r="L81" s="29" t="str" cm="1">
        <f t="array" ref="L81">_xlfn.IFS($G81=$G$5,L$5,$G81=$G$6,L$6,$G81=$G$7,L$7,$G81=$G$8,L$8,$G81=$G$9,L$9,$G81=$G$10,L$10,$G81=$G$11,L$11,$G81=$G$13,L$13,$G81=$G$15,L$15,$G81=$G$16,L$16,$G81=$G$33,L$33,$G81=$G$34,L$34,$G81=$G$248,L$248,$G81=$G$250,L$250)</f>
        <v>Urban habitat</v>
      </c>
      <c r="O81" s="32" t="str">
        <f t="shared" si="3"/>
        <v>A_SP_BCN_6_200819</v>
      </c>
      <c r="P81" s="33">
        <v>44062</v>
      </c>
      <c r="Q81" s="34">
        <v>0.43402777777777773</v>
      </c>
      <c r="R81" s="35"/>
      <c r="S81" s="36">
        <v>44069</v>
      </c>
      <c r="T81" s="37">
        <v>0.44097222222222227</v>
      </c>
      <c r="U81" s="38"/>
      <c r="V81" s="39" t="s">
        <v>66</v>
      </c>
      <c r="X81" s="29">
        <f t="shared" si="6"/>
        <v>7</v>
      </c>
      <c r="Y81" s="38"/>
      <c r="Z81" s="29" t="s">
        <v>68</v>
      </c>
      <c r="AA81" s="29">
        <f t="shared" si="5"/>
        <v>3</v>
      </c>
      <c r="AB81" s="29" t="s">
        <v>69</v>
      </c>
      <c r="AC81" s="29">
        <v>3</v>
      </c>
      <c r="AD81" s="29">
        <v>0</v>
      </c>
      <c r="AE81" s="29" t="s">
        <v>70</v>
      </c>
      <c r="AF81">
        <v>4</v>
      </c>
    </row>
    <row r="82" spans="1:33" x14ac:dyDescent="0.25">
      <c r="A82" s="28">
        <v>78</v>
      </c>
      <c r="B82" s="29" t="s">
        <v>60</v>
      </c>
      <c r="C82" s="29" t="s">
        <v>61</v>
      </c>
      <c r="D82" s="29" t="s">
        <v>62</v>
      </c>
      <c r="E82" s="29" t="s">
        <v>62</v>
      </c>
      <c r="F82" s="30" cm="1">
        <f t="array" ref="F82">_xlfn.IFS($G82=$G$5,F$5,$G82=$G$6,F$6,$G82=$G$7,F$7,$G82=$G$8,F$8,$G82=$G$9,F$9,$G82=$G$10,F$10,$G82=$G$11,F$11,$G82=$G$13,F$13,$G82=$G$15,F$15,$G82=$G$16,F$16,$G82=$G$33,F$33,$G82=$G$34,F$34,$G82=$G$248,F$248,$G82=$G$250,F$250)</f>
        <v>8002</v>
      </c>
      <c r="G82" s="29" t="s">
        <v>76</v>
      </c>
      <c r="H82" s="31" cm="1">
        <f t="array" ref="H82">_xlfn.IFS($G82=$G$5,H$5,$G82=$G$6,H$6,$G82=$G$7,H$7,$G82=$G$8,H$8,$G82=$G$9,H$9,$G82=$G$10,H$10,$G82=$G$11,H$11,$G82=$G$13,H$13,$G82=$G$15,H$15,$G82=$G$16,H$16,$G82=$G$33,H$33,$G82=$G$34,H$34,$G82=$G$248,H$248,$G82=$G$250,H$250)</f>
        <v>41.382339999999999</v>
      </c>
      <c r="I82" s="31" cm="1">
        <f t="array" ref="I82">_xlfn.IFS($G82=$G$5,I$5,$G82=$G$6,I$6,$G82=$G$7,I$7,$G82=$G$8,I$8,$G82=$G$9,I$9,$G82=$G$10,I$10,$G82=$G$11,I$11,$G82=$G$13,I$13,$G82=$G$15,I$15,$G82=$G$16,I$16,$G82=$G$33,I$33,$G82=$G$34,I$34,$G82=$G$248,I$248,$G82=$G$250,I$250)</f>
        <v>2.1714790000000002</v>
      </c>
      <c r="J82" s="29" cm="1">
        <f t="array" ref="J82">_xlfn.IFS($G82=$G$5,J$5,$G82=$G$6,J$6,$G82=$G$7,J$7,$G82=$G$8,J$8,$G82=$G$9,J$9,$G82=$G$10,J$10,$G82=$G$11,J$11,$G82=$G$13,J$13,$G82=$G$15,J$15,$G82=$G$16,J$16,$G82=$G$33,J$33,$G82=$G$34,J$34,$G82=$G$248,J$248,$G82=$G$250,J$250)</f>
        <v>19</v>
      </c>
      <c r="K82" s="29" t="str" cm="1">
        <f t="array" ref="K82">_xlfn.IFS($G82=$G$5,K$5,$G82=$G$6,K$6,$G82=$G$7,K$7,$G82=$G$8,K$8,$G82=$G$9,K$9,$G82=$G$10,K$10,$G82=$G$11,K$11,$G82=$G$13,K$13,$G82=$G$15,K$15,$G82=$G$16,K$16,$G82=$G$33,K$33,$G82=$G$34,K$34,$G82=$G$248,K$248,$G82=$G$250,K$250)</f>
        <v>BG sentinel + BG lure7</v>
      </c>
      <c r="L82" s="29" t="str" cm="1">
        <f t="array" ref="L82">_xlfn.IFS($G82=$G$5,L$5,$G82=$G$6,L$6,$G82=$G$7,L$7,$G82=$G$8,L$8,$G82=$G$9,L$9,$G82=$G$10,L$10,$G82=$G$11,L$11,$G82=$G$13,L$13,$G82=$G$15,L$15,$G82=$G$16,L$16,$G82=$G$33,L$33,$G82=$G$34,L$34,$G82=$G$248,L$248,$G82=$G$250,L$250)</f>
        <v>Urban habitat</v>
      </c>
      <c r="O82" s="32" t="str">
        <f t="shared" ref="O82:O146" si="7">G82&amp;"_"&amp;TEXT(P82,"AAMMDD")</f>
        <v>A_SP_BCN_6_200819</v>
      </c>
      <c r="P82" s="33">
        <v>44062</v>
      </c>
      <c r="Q82" s="34">
        <v>0.43402777777777773</v>
      </c>
      <c r="R82" s="35"/>
      <c r="S82" s="36">
        <v>44069</v>
      </c>
      <c r="T82" s="37">
        <v>0.44097222222222227</v>
      </c>
      <c r="U82" s="38"/>
      <c r="V82" s="39" t="s">
        <v>66</v>
      </c>
      <c r="X82" s="29">
        <f t="shared" si="6"/>
        <v>7</v>
      </c>
      <c r="Y82" s="38"/>
      <c r="Z82" s="29" t="s">
        <v>75</v>
      </c>
      <c r="AA82" s="29">
        <f t="shared" si="5"/>
        <v>1</v>
      </c>
      <c r="AB82" s="29" t="s">
        <v>69</v>
      </c>
      <c r="AC82" s="29">
        <v>1</v>
      </c>
      <c r="AD82" s="29">
        <v>0</v>
      </c>
      <c r="AE82" s="29" t="s">
        <v>70</v>
      </c>
      <c r="AF82">
        <v>4</v>
      </c>
    </row>
    <row r="83" spans="1:33" x14ac:dyDescent="0.25">
      <c r="A83" s="28">
        <v>79</v>
      </c>
      <c r="B83" s="29" t="s">
        <v>60</v>
      </c>
      <c r="C83" s="29" t="s">
        <v>61</v>
      </c>
      <c r="D83" s="29" t="s">
        <v>62</v>
      </c>
      <c r="E83" s="29" t="s">
        <v>62</v>
      </c>
      <c r="F83" s="30" cm="1">
        <f t="array" ref="F83">_xlfn.IFS($G83=$G$5,F$5,$G83=$G$6,F$6,$G83=$G$7,F$7,$G83=$G$8,F$8,$G83=$G$9,F$9,$G83=$G$10,F$10,$G83=$G$11,F$11,$G83=$G$13,F$13,$G83=$G$15,F$15,$G83=$G$16,F$16,$G83=$G$33,F$33,$G83=$G$34,F$34,$G83=$G$248,F$248,$G83=$G$250,F$250)</f>
        <v>8038</v>
      </c>
      <c r="G83" s="29" t="s">
        <v>77</v>
      </c>
      <c r="H83" s="31" cm="1">
        <f t="array" ref="H83">_xlfn.IFS($G83=$G$5,H$5,$G83=$G$6,H$6,$G83=$G$7,H$7,$G83=$G$8,H$8,$G83=$G$9,H$9,$G83=$G$10,H$10,$G83=$G$11,H$11,$G83=$G$13,H$13,$G83=$G$15,H$15,$G83=$G$16,H$16,$G83=$G$33,H$33,$G83=$G$34,H$34,$G83=$G$248,H$248,$G83=$G$250,H$250)</f>
        <v>41.371864000000002</v>
      </c>
      <c r="I83" s="31" cm="1">
        <f t="array" ref="I83">_xlfn.IFS($G83=$G$5,I$5,$G83=$G$6,I$6,$G83=$G$7,I$7,$G83=$G$8,I$8,$G83=$G$9,I$9,$G83=$G$10,I$10,$G83=$G$11,I$11,$G83=$G$13,I$13,$G83=$G$15,I$15,$G83=$G$16,I$16,$G83=$G$33,I$33,$G83=$G$34,I$34,$G83=$G$248,I$248,$G83=$G$250,I$250)</f>
        <v>2.173899</v>
      </c>
      <c r="J83" s="29" cm="1">
        <f t="array" ref="J83">_xlfn.IFS($G83=$G$5,J$5,$G83=$G$6,J$6,$G83=$G$7,J$7,$G83=$G$8,J$8,$G83=$G$9,J$9,$G83=$G$10,J$10,$G83=$G$11,J$11,$G83=$G$13,J$13,$G83=$G$15,J$15,$G83=$G$16,J$16,$G83=$G$33,J$33,$G83=$G$34,J$34,$G83=$G$248,J$248,$G83=$G$250,J$250)</f>
        <v>5</v>
      </c>
      <c r="K83" s="29" t="str" cm="1">
        <f t="array" ref="K83">_xlfn.IFS($G83=$G$5,K$5,$G83=$G$6,K$6,$G83=$G$7,K$7,$G83=$G$8,K$8,$G83=$G$9,K$9,$G83=$G$10,K$10,$G83=$G$11,K$11,$G83=$G$13,K$13,$G83=$G$15,K$15,$G83=$G$16,K$16,$G83=$G$33,K$33,$G83=$G$34,K$34,$G83=$G$248,K$248,$G83=$G$250,K$250)</f>
        <v>BG sentinel + BG lure7</v>
      </c>
      <c r="L83" s="29" t="str" cm="1">
        <f t="array" ref="L83">_xlfn.IFS($G83=$G$5,L$5,$G83=$G$6,L$6,$G83=$G$7,L$7,$G83=$G$8,L$8,$G83=$G$9,L$9,$G83=$G$10,L$10,$G83=$G$11,L$11,$G83=$G$13,L$13,$G83=$G$15,L$15,$G83=$G$16,L$16,$G83=$G$33,L$33,$G83=$G$34,L$34,$G83=$G$248,L$248,$G83=$G$250,L$250)</f>
        <v>Urban habitat</v>
      </c>
      <c r="O83" s="32" t="str">
        <f t="shared" si="7"/>
        <v>A_SP_BCN_7_200819</v>
      </c>
      <c r="P83" s="33">
        <v>44062</v>
      </c>
      <c r="Q83" s="34">
        <v>0.62152777777777779</v>
      </c>
      <c r="R83" s="35"/>
      <c r="S83" s="36">
        <v>44069</v>
      </c>
      <c r="T83" s="37">
        <v>0.625</v>
      </c>
      <c r="U83" s="38"/>
      <c r="V83" s="39" t="s">
        <v>66</v>
      </c>
      <c r="X83" s="29">
        <f t="shared" si="6"/>
        <v>7</v>
      </c>
      <c r="Y83" s="38"/>
      <c r="Z83" s="29" t="s">
        <v>68</v>
      </c>
      <c r="AA83" s="29">
        <f t="shared" si="5"/>
        <v>73</v>
      </c>
      <c r="AB83" s="29" t="s">
        <v>69</v>
      </c>
      <c r="AC83" s="29">
        <v>65</v>
      </c>
      <c r="AD83" s="29">
        <v>8</v>
      </c>
      <c r="AE83" s="29" t="s">
        <v>70</v>
      </c>
      <c r="AF83">
        <v>4</v>
      </c>
    </row>
    <row r="84" spans="1:33" x14ac:dyDescent="0.25">
      <c r="A84" s="28">
        <v>80</v>
      </c>
      <c r="B84" s="29" t="s">
        <v>60</v>
      </c>
      <c r="C84" s="29" t="s">
        <v>61</v>
      </c>
      <c r="D84" s="29" t="s">
        <v>62</v>
      </c>
      <c r="E84" s="29" t="s">
        <v>62</v>
      </c>
      <c r="F84" s="30" cm="1">
        <f t="array" ref="F84">_xlfn.IFS($G84=$G$5,F$5,$G84=$G$6,F$6,$G84=$G$7,F$7,$G84=$G$8,F$8,$G84=$G$9,F$9,$G84=$G$10,F$10,$G84=$G$11,F$11,$G84=$G$13,F$13,$G84=$G$15,F$15,$G84=$G$16,F$16,$G84=$G$33,F$33,$G84=$G$34,F$34,$G84=$G$248,F$248,$G84=$G$250,F$250)</f>
        <v>8038</v>
      </c>
      <c r="G84" s="29" t="s">
        <v>77</v>
      </c>
      <c r="H84" s="31" cm="1">
        <f t="array" ref="H84">_xlfn.IFS($G84=$G$5,H$5,$G84=$G$6,H$6,$G84=$G$7,H$7,$G84=$G$8,H$8,$G84=$G$9,H$9,$G84=$G$10,H$10,$G84=$G$11,H$11,$G84=$G$13,H$13,$G84=$G$15,H$15,$G84=$G$16,H$16,$G84=$G$33,H$33,$G84=$G$34,H$34,$G84=$G$248,H$248,$G84=$G$250,H$250)</f>
        <v>41.371864000000002</v>
      </c>
      <c r="I84" s="31" cm="1">
        <f t="array" ref="I84">_xlfn.IFS($G84=$G$5,I$5,$G84=$G$6,I$6,$G84=$G$7,I$7,$G84=$G$8,I$8,$G84=$G$9,I$9,$G84=$G$10,I$10,$G84=$G$11,I$11,$G84=$G$13,I$13,$G84=$G$15,I$15,$G84=$G$16,I$16,$G84=$G$33,I$33,$G84=$G$34,I$34,$G84=$G$248,I$248,$G84=$G$250,I$250)</f>
        <v>2.173899</v>
      </c>
      <c r="J84" s="29" cm="1">
        <f t="array" ref="J84">_xlfn.IFS($G84=$G$5,J$5,$G84=$G$6,J$6,$G84=$G$7,J$7,$G84=$G$8,J$8,$G84=$G$9,J$9,$G84=$G$10,J$10,$G84=$G$11,J$11,$G84=$G$13,J$13,$G84=$G$15,J$15,$G84=$G$16,J$16,$G84=$G$33,J$33,$G84=$G$34,J$34,$G84=$G$248,J$248,$G84=$G$250,J$250)</f>
        <v>5</v>
      </c>
      <c r="K84" s="29" t="str" cm="1">
        <f t="array" ref="K84">_xlfn.IFS($G84=$G$5,K$5,$G84=$G$6,K$6,$G84=$G$7,K$7,$G84=$G$8,K$8,$G84=$G$9,K$9,$G84=$G$10,K$10,$G84=$G$11,K$11,$G84=$G$13,K$13,$G84=$G$15,K$15,$G84=$G$16,K$16,$G84=$G$33,K$33,$G84=$G$34,K$34,$G84=$G$248,K$248,$G84=$G$250,K$250)</f>
        <v>BG sentinel + BG lure7</v>
      </c>
      <c r="L84" s="29" t="str" cm="1">
        <f t="array" ref="L84">_xlfn.IFS($G84=$G$5,L$5,$G84=$G$6,L$6,$G84=$G$7,L$7,$G84=$G$8,L$8,$G84=$G$9,L$9,$G84=$G$10,L$10,$G84=$G$11,L$11,$G84=$G$13,L$13,$G84=$G$15,L$15,$G84=$G$16,L$16,$G84=$G$33,L$33,$G84=$G$34,L$34,$G84=$G$248,L$248,$G84=$G$250,L$250)</f>
        <v>Urban habitat</v>
      </c>
      <c r="O84" s="32" t="str">
        <f t="shared" si="7"/>
        <v>A_SP_BCN_7_200819</v>
      </c>
      <c r="P84" s="33">
        <v>44062</v>
      </c>
      <c r="Q84" s="34">
        <v>0.62152777777777779</v>
      </c>
      <c r="R84" s="35"/>
      <c r="S84" s="36">
        <v>44069</v>
      </c>
      <c r="T84" s="37">
        <v>0.625</v>
      </c>
      <c r="U84" s="38"/>
      <c r="V84" s="39" t="s">
        <v>66</v>
      </c>
      <c r="X84" s="29">
        <f t="shared" si="6"/>
        <v>7</v>
      </c>
      <c r="Y84" s="38"/>
      <c r="Z84" s="29" t="s">
        <v>75</v>
      </c>
      <c r="AA84" s="29">
        <f t="shared" si="5"/>
        <v>4</v>
      </c>
      <c r="AB84" s="29" t="s">
        <v>69</v>
      </c>
      <c r="AC84" s="29">
        <v>4</v>
      </c>
      <c r="AD84" s="29">
        <v>0</v>
      </c>
      <c r="AE84" s="29" t="s">
        <v>70</v>
      </c>
      <c r="AF84">
        <v>4</v>
      </c>
    </row>
    <row r="85" spans="1:33" x14ac:dyDescent="0.25">
      <c r="A85" s="28">
        <v>81</v>
      </c>
      <c r="B85" s="29" t="s">
        <v>60</v>
      </c>
      <c r="C85" s="29" t="s">
        <v>61</v>
      </c>
      <c r="D85" s="29" t="s">
        <v>62</v>
      </c>
      <c r="E85" s="29" t="s">
        <v>62</v>
      </c>
      <c r="F85" s="30" cm="1">
        <f t="array" ref="F85">_xlfn.IFS($G85=$G$5,F$5,$G85=$G$6,F$6,$G85=$G$7,F$7,$G85=$G$8,F$8,$G85=$G$9,F$9,$G85=$G$10,F$10,$G85=$G$11,F$11,$G85=$G$13,F$13,$G85=$G$15,F$15,$G85=$G$16,F$16,$G85=$G$33,F$33,$G85=$G$34,F$34,$G85=$G$248,F$248,$G85=$G$250,F$250)</f>
        <v>8038</v>
      </c>
      <c r="G85" s="29" t="s">
        <v>78</v>
      </c>
      <c r="H85" s="31" cm="1">
        <f t="array" ref="H85">_xlfn.IFS($G85=$G$5,H$5,$G85=$G$6,H$6,$G85=$G$7,H$7,$G85=$G$8,H$8,$G85=$G$9,H$9,$G85=$G$10,H$10,$G85=$G$11,H$11,$G85=$G$13,H$13,$G85=$G$15,H$15,$G85=$G$16,H$16,$G85=$G$33,H$33,$G85=$G$34,H$34,$G85=$G$248,H$248,$G85=$G$250,H$250)</f>
        <v>41.368589</v>
      </c>
      <c r="I85" s="31" cm="1">
        <f t="array" ref="I85">_xlfn.IFS($G85=$G$5,I$5,$G85=$G$6,I$6,$G85=$G$7,I$7,$G85=$G$8,I$8,$G85=$G$9,I$9,$G85=$G$10,I$10,$G85=$G$11,I$11,$G85=$G$13,I$13,$G85=$G$15,I$15,$G85=$G$16,I$16,$G85=$G$33,I$33,$G85=$G$34,I$34,$G85=$G$248,I$248,$G85=$G$250,I$250)</f>
        <v>2.1620900000000001</v>
      </c>
      <c r="J85" s="29" cm="1">
        <f t="array" ref="J85">_xlfn.IFS($G85=$G$5,J$5,$G85=$G$6,J$6,$G85=$G$7,J$7,$G85=$G$8,J$8,$G85=$G$9,J$9,$G85=$G$10,J$10,$G85=$G$11,J$11,$G85=$G$13,J$13,$G85=$G$15,J$15,$G85=$G$16,J$16,$G85=$G$33,J$33,$G85=$G$34,J$34,$G85=$G$248,J$248,$G85=$G$250,J$250)</f>
        <v>95</v>
      </c>
      <c r="K85" s="29" t="str" cm="1">
        <f t="array" ref="K85">_xlfn.IFS($G85=$G$5,K$5,$G85=$G$6,K$6,$G85=$G$7,K$7,$G85=$G$8,K$8,$G85=$G$9,K$9,$G85=$G$10,K$10,$G85=$G$11,K$11,$G85=$G$13,K$13,$G85=$G$15,K$15,$G85=$G$16,K$16,$G85=$G$33,K$33,$G85=$G$34,K$34,$G85=$G$248,K$248,$G85=$G$250,K$250)</f>
        <v>BG sentinel + BG lure7</v>
      </c>
      <c r="L85" s="29" t="str" cm="1">
        <f t="array" ref="L85">_xlfn.IFS($G85=$G$5,L$5,$G85=$G$6,L$6,$G85=$G$7,L$7,$G85=$G$8,L$8,$G85=$G$9,L$9,$G85=$G$10,L$10,$G85=$G$11,L$11,$G85=$G$13,L$13,$G85=$G$15,L$15,$G85=$G$16,L$16,$G85=$G$33,L$33,$G85=$G$34,L$34,$G85=$G$248,L$248,$G85=$G$250,L$250)</f>
        <v>Other</v>
      </c>
      <c r="O85" s="32" t="str">
        <f t="shared" si="7"/>
        <v>A_SP_BCN_8_200819</v>
      </c>
      <c r="P85" s="33">
        <v>44062</v>
      </c>
      <c r="Q85" s="34">
        <v>0.64236111111111105</v>
      </c>
      <c r="R85" s="35"/>
      <c r="S85" s="36">
        <v>44069</v>
      </c>
      <c r="T85" s="37">
        <v>0.64583333333333337</v>
      </c>
      <c r="U85" s="38"/>
      <c r="V85" s="39" t="s">
        <v>66</v>
      </c>
      <c r="X85" s="29">
        <f t="shared" si="6"/>
        <v>7</v>
      </c>
      <c r="Y85" s="38"/>
      <c r="Z85" s="29" t="s">
        <v>68</v>
      </c>
      <c r="AA85" s="29">
        <f t="shared" si="5"/>
        <v>68</v>
      </c>
      <c r="AB85" s="29" t="s">
        <v>69</v>
      </c>
      <c r="AC85" s="29">
        <v>51</v>
      </c>
      <c r="AD85" s="29">
        <v>17</v>
      </c>
      <c r="AE85" s="29" t="s">
        <v>70</v>
      </c>
      <c r="AF85">
        <v>4</v>
      </c>
    </row>
    <row r="86" spans="1:33" x14ac:dyDescent="0.25">
      <c r="A86" s="28">
        <v>82</v>
      </c>
      <c r="B86" s="29" t="s">
        <v>60</v>
      </c>
      <c r="C86" s="29" t="s">
        <v>61</v>
      </c>
      <c r="D86" s="29" t="s">
        <v>62</v>
      </c>
      <c r="E86" s="29" t="s">
        <v>62</v>
      </c>
      <c r="F86" s="30" cm="1">
        <f t="array" ref="F86">_xlfn.IFS($G86=$G$5,F$5,$G86=$G$6,F$6,$G86=$G$7,F$7,$G86=$G$8,F$8,$G86=$G$9,F$9,$G86=$G$10,F$10,$G86=$G$11,F$11,$G86=$G$13,F$13,$G86=$G$15,F$15,$G86=$G$16,F$16,$G86=$G$33,F$33,$G86=$G$34,F$34,$G86=$G$248,F$248,$G86=$G$250,F$250)</f>
        <v>8038</v>
      </c>
      <c r="G86" s="29" t="s">
        <v>78</v>
      </c>
      <c r="H86" s="31" cm="1">
        <f t="array" ref="H86">_xlfn.IFS($G86=$G$5,H$5,$G86=$G$6,H$6,$G86=$G$7,H$7,$G86=$G$8,H$8,$G86=$G$9,H$9,$G86=$G$10,H$10,$G86=$G$11,H$11,$G86=$G$13,H$13,$G86=$G$15,H$15,$G86=$G$16,H$16,$G86=$G$33,H$33,$G86=$G$34,H$34,$G86=$G$248,H$248,$G86=$G$250,H$250)</f>
        <v>41.368589</v>
      </c>
      <c r="I86" s="31" cm="1">
        <f t="array" ref="I86">_xlfn.IFS($G86=$G$5,I$5,$G86=$G$6,I$6,$G86=$G$7,I$7,$G86=$G$8,I$8,$G86=$G$9,I$9,$G86=$G$10,I$10,$G86=$G$11,I$11,$G86=$G$13,I$13,$G86=$G$15,I$15,$G86=$G$16,I$16,$G86=$G$33,I$33,$G86=$G$34,I$34,$G86=$G$248,I$248,$G86=$G$250,I$250)</f>
        <v>2.1620900000000001</v>
      </c>
      <c r="J86" s="29" cm="1">
        <f t="array" ref="J86">_xlfn.IFS($G86=$G$5,J$5,$G86=$G$6,J$6,$G86=$G$7,J$7,$G86=$G$8,J$8,$G86=$G$9,J$9,$G86=$G$10,J$10,$G86=$G$11,J$11,$G86=$G$13,J$13,$G86=$G$15,J$15,$G86=$G$16,J$16,$G86=$G$33,J$33,$G86=$G$34,J$34,$G86=$G$248,J$248,$G86=$G$250,J$250)</f>
        <v>95</v>
      </c>
      <c r="K86" s="29" t="str" cm="1">
        <f t="array" ref="K86">_xlfn.IFS($G86=$G$5,K$5,$G86=$G$6,K$6,$G86=$G$7,K$7,$G86=$G$8,K$8,$G86=$G$9,K$9,$G86=$G$10,K$10,$G86=$G$11,K$11,$G86=$G$13,K$13,$G86=$G$15,K$15,$G86=$G$16,K$16,$G86=$G$33,K$33,$G86=$G$34,K$34,$G86=$G$248,K$248,$G86=$G$250,K$250)</f>
        <v>BG sentinel + BG lure7</v>
      </c>
      <c r="L86" s="29" t="str" cm="1">
        <f t="array" ref="L86">_xlfn.IFS($G86=$G$5,L$5,$G86=$G$6,L$6,$G86=$G$7,L$7,$G86=$G$8,L$8,$G86=$G$9,L$9,$G86=$G$10,L$10,$G86=$G$11,L$11,$G86=$G$13,L$13,$G86=$G$15,L$15,$G86=$G$16,L$16,$G86=$G$33,L$33,$G86=$G$34,L$34,$G86=$G$248,L$248,$G86=$G$250,L$250)</f>
        <v>Other</v>
      </c>
      <c r="O86" s="32" t="str">
        <f t="shared" si="7"/>
        <v>A_SP_BCN_8_200819</v>
      </c>
      <c r="P86" s="33">
        <v>44062</v>
      </c>
      <c r="Q86" s="34">
        <v>0.64236111111111105</v>
      </c>
      <c r="R86" s="35"/>
      <c r="S86" s="36">
        <v>44069</v>
      </c>
      <c r="T86" s="37">
        <v>0.64583333333333337</v>
      </c>
      <c r="U86" s="38"/>
      <c r="V86" s="39" t="s">
        <v>66</v>
      </c>
      <c r="X86" s="29">
        <f t="shared" si="6"/>
        <v>7</v>
      </c>
      <c r="Y86" s="38"/>
      <c r="Z86" s="29" t="s">
        <v>75</v>
      </c>
      <c r="AA86" s="29">
        <f t="shared" si="5"/>
        <v>21</v>
      </c>
      <c r="AB86" s="29" t="s">
        <v>69</v>
      </c>
      <c r="AC86" s="29">
        <v>20</v>
      </c>
      <c r="AD86" s="29">
        <v>1</v>
      </c>
      <c r="AE86" s="29" t="s">
        <v>70</v>
      </c>
      <c r="AF86">
        <v>4</v>
      </c>
    </row>
    <row r="87" spans="1:33" x14ac:dyDescent="0.25">
      <c r="A87" s="28">
        <v>83</v>
      </c>
      <c r="B87" s="29" t="s">
        <v>60</v>
      </c>
      <c r="C87" s="29" t="s">
        <v>61</v>
      </c>
      <c r="D87" s="29" t="s">
        <v>62</v>
      </c>
      <c r="E87" s="29" t="s">
        <v>62</v>
      </c>
      <c r="F87" s="30" cm="1">
        <f t="array" ref="F87">_xlfn.IFS($G87=$G$5,F$5,$G87=$G$6,F$6,$G87=$G$7,F$7,$G87=$G$8,F$8,$G87=$G$9,F$9,$G87=$G$10,F$10,$G87=$G$11,F$11,$G87=$G$13,F$13,$G87=$G$15,F$15,$G87=$G$16,F$16,$G87=$G$33,F$33,$G87=$G$34,F$34,$G87=$G$248,F$248,$G87=$G$250,F$250)</f>
        <v>8038</v>
      </c>
      <c r="G87" s="29" t="s">
        <v>78</v>
      </c>
      <c r="H87" s="31" cm="1">
        <f t="array" ref="H87">_xlfn.IFS($G87=$G$5,H$5,$G87=$G$6,H$6,$G87=$G$7,H$7,$G87=$G$8,H$8,$G87=$G$9,H$9,$G87=$G$10,H$10,$G87=$G$11,H$11,$G87=$G$13,H$13,$G87=$G$15,H$15,$G87=$G$16,H$16,$G87=$G$33,H$33,$G87=$G$34,H$34,$G87=$G$248,H$248,$G87=$G$250,H$250)</f>
        <v>41.368589</v>
      </c>
      <c r="I87" s="31" cm="1">
        <f t="array" ref="I87">_xlfn.IFS($G87=$G$5,I$5,$G87=$G$6,I$6,$G87=$G$7,I$7,$G87=$G$8,I$8,$G87=$G$9,I$9,$G87=$G$10,I$10,$G87=$G$11,I$11,$G87=$G$13,I$13,$G87=$G$15,I$15,$G87=$G$16,I$16,$G87=$G$33,I$33,$G87=$G$34,I$34,$G87=$G$248,I$248,$G87=$G$250,I$250)</f>
        <v>2.1620900000000001</v>
      </c>
      <c r="J87" s="29" cm="1">
        <f t="array" ref="J87">_xlfn.IFS($G87=$G$5,J$5,$G87=$G$6,J$6,$G87=$G$7,J$7,$G87=$G$8,J$8,$G87=$G$9,J$9,$G87=$G$10,J$10,$G87=$G$11,J$11,$G87=$G$13,J$13,$G87=$G$15,J$15,$G87=$G$16,J$16,$G87=$G$33,J$33,$G87=$G$34,J$34,$G87=$G$248,J$248,$G87=$G$250,J$250)</f>
        <v>95</v>
      </c>
      <c r="K87" s="29" t="str" cm="1">
        <f t="array" ref="K87">_xlfn.IFS($G87=$G$5,K$5,$G87=$G$6,K$6,$G87=$G$7,K$7,$G87=$G$8,K$8,$G87=$G$9,K$9,$G87=$G$10,K$10,$G87=$G$11,K$11,$G87=$G$13,K$13,$G87=$G$15,K$15,$G87=$G$16,K$16,$G87=$G$33,K$33,$G87=$G$34,K$34,$G87=$G$248,K$248,$G87=$G$250,K$250)</f>
        <v>BG sentinel + BG lure7</v>
      </c>
      <c r="L87" s="29" t="str" cm="1">
        <f t="array" ref="L87">_xlfn.IFS($G87=$G$5,L$5,$G87=$G$6,L$6,$G87=$G$7,L$7,$G87=$G$8,L$8,$G87=$G$9,L$9,$G87=$G$10,L$10,$G87=$G$11,L$11,$G87=$G$13,L$13,$G87=$G$15,L$15,$G87=$G$16,L$16,$G87=$G$33,L$33,$G87=$G$34,L$34,$G87=$G$248,L$248,$G87=$G$250,L$250)</f>
        <v>Other</v>
      </c>
      <c r="O87" s="32" t="str">
        <f t="shared" si="7"/>
        <v>A_SP_BCN_8_200819</v>
      </c>
      <c r="P87" s="33">
        <v>44062</v>
      </c>
      <c r="Q87" s="34">
        <v>0.64236111111111105</v>
      </c>
      <c r="R87" s="35"/>
      <c r="S87" s="36">
        <v>44069</v>
      </c>
      <c r="T87" s="37">
        <v>0.64583333333333337</v>
      </c>
      <c r="U87" s="38"/>
      <c r="V87" s="39" t="s">
        <v>66</v>
      </c>
      <c r="X87" s="29">
        <f t="shared" si="6"/>
        <v>7</v>
      </c>
      <c r="Y87" s="38"/>
      <c r="Z87" s="29" t="s">
        <v>84</v>
      </c>
      <c r="AA87" s="29">
        <f t="shared" si="5"/>
        <v>2</v>
      </c>
      <c r="AB87" s="29" t="s">
        <v>69</v>
      </c>
      <c r="AC87" s="29">
        <v>1</v>
      </c>
      <c r="AD87" s="29">
        <v>1</v>
      </c>
      <c r="AE87" s="29" t="s">
        <v>70</v>
      </c>
      <c r="AF87">
        <v>4</v>
      </c>
    </row>
    <row r="88" spans="1:33" x14ac:dyDescent="0.25">
      <c r="A88" s="28">
        <v>84</v>
      </c>
      <c r="B88" s="29" t="s">
        <v>60</v>
      </c>
      <c r="C88" s="29" t="s">
        <v>61</v>
      </c>
      <c r="D88" s="29" t="s">
        <v>62</v>
      </c>
      <c r="E88" s="29" t="s">
        <v>62</v>
      </c>
      <c r="F88" s="30" cm="1">
        <f t="array" ref="F88">_xlfn.IFS($G88=$G$5,F$5,$G88=$G$6,F$6,$G88=$G$7,F$7,$G88=$G$8,F$8,$G88=$G$9,F$9,$G88=$G$10,F$10,$G88=$G$11,F$11,$G88=$G$13,F$13,$G88=$G$15,F$15,$G88=$G$16,F$16,$G88=$G$33,F$33,$G88=$G$34,F$34,$G88=$G$248,F$248,$G88=$G$250,F$250)</f>
        <v>8040</v>
      </c>
      <c r="G88" s="29" t="s">
        <v>83</v>
      </c>
      <c r="H88" s="31" cm="1">
        <f t="array" ref="H88">_xlfn.IFS($G88=$G$5,H$5,$G88=$G$6,H$6,$G88=$G$7,H$7,$G88=$G$8,H$8,$G88=$G$9,H$9,$G88=$G$10,H$10,$G88=$G$11,H$11,$G88=$G$13,H$13,$G88=$G$15,H$15,$G88=$G$16,H$16,$G88=$G$33,H$33,$G88=$G$34,H$34,$G88=$G$248,H$248,$G88=$G$250,H$250)</f>
        <v>41.343685000000001</v>
      </c>
      <c r="I88" s="31" cm="1">
        <f t="array" ref="I88">_xlfn.IFS($G88=$G$5,I$5,$G88=$G$6,I$6,$G88=$G$7,I$7,$G88=$G$8,I$8,$G88=$G$9,I$9,$G88=$G$10,I$10,$G88=$G$11,I$11,$G88=$G$13,I$13,$G88=$G$15,I$15,$G88=$G$16,I$16,$G88=$G$33,I$33,$G88=$G$34,I$34,$G88=$G$248,I$248,$G88=$G$250,I$250)</f>
        <v>2.1441490000000001</v>
      </c>
      <c r="J88" s="29" cm="1">
        <f t="array" ref="J88">_xlfn.IFS($G88=$G$5,J$5,$G88=$G$6,J$6,$G88=$G$7,J$7,$G88=$G$8,J$8,$G88=$G$9,J$9,$G88=$G$10,J$10,$G88=$G$11,J$11,$G88=$G$13,J$13,$G88=$G$15,J$15,$G88=$G$16,J$16,$G88=$G$33,J$33,$G88=$G$34,J$34,$G88=$G$248,J$248,$G88=$G$250,J$250)</f>
        <v>4</v>
      </c>
      <c r="K88" s="29" t="str" cm="1">
        <f t="array" ref="K88">_xlfn.IFS($G88=$G$5,K$5,$G88=$G$6,K$6,$G88=$G$7,K$7,$G88=$G$8,K$8,$G88=$G$9,K$9,$G88=$G$10,K$10,$G88=$G$11,K$11,$G88=$G$13,K$13,$G88=$G$15,K$15,$G88=$G$16,K$16,$G88=$G$33,K$33,$G88=$G$34,K$34,$G88=$G$248,K$248,$G88=$G$250,K$250)</f>
        <v>BG sentinel + BG lure7</v>
      </c>
      <c r="L88" s="29" t="str" cm="1">
        <f t="array" ref="L88">_xlfn.IFS($G88=$G$5,L$5,$G88=$G$6,L$6,$G88=$G$7,L$7,$G88=$G$8,L$8,$G88=$G$9,L$9,$G88=$G$10,L$10,$G88=$G$11,L$11,$G88=$G$13,L$13,$G88=$G$15,L$15,$G88=$G$16,L$16,$G88=$G$33,L$33,$G88=$G$34,L$34,$G88=$G$248,L$248,$G88=$G$250,L$250)</f>
        <v>Urban habitat</v>
      </c>
      <c r="O88" s="32" t="str">
        <f t="shared" si="7"/>
        <v>A_SP_BCN_10_200819</v>
      </c>
      <c r="P88" s="33">
        <v>44062</v>
      </c>
      <c r="Q88" s="34">
        <v>0.6875</v>
      </c>
      <c r="R88" s="35"/>
      <c r="S88" s="36">
        <v>44069</v>
      </c>
      <c r="T88" s="37">
        <v>0.60763888888888895</v>
      </c>
      <c r="U88" s="38"/>
      <c r="V88" s="39" t="s">
        <v>66</v>
      </c>
      <c r="X88" s="29">
        <f t="shared" si="6"/>
        <v>7</v>
      </c>
      <c r="Y88" s="38"/>
      <c r="Z88" s="29" t="s">
        <v>68</v>
      </c>
      <c r="AA88" s="29">
        <f t="shared" si="5"/>
        <v>37</v>
      </c>
      <c r="AB88" s="29" t="s">
        <v>69</v>
      </c>
      <c r="AC88" s="29">
        <v>34</v>
      </c>
      <c r="AD88" s="29">
        <v>3</v>
      </c>
      <c r="AE88" s="29" t="s">
        <v>70</v>
      </c>
      <c r="AF88">
        <v>4</v>
      </c>
    </row>
    <row r="89" spans="1:33" x14ac:dyDescent="0.25">
      <c r="A89" s="28">
        <v>85</v>
      </c>
      <c r="B89" s="29" t="s">
        <v>60</v>
      </c>
      <c r="C89" s="29" t="s">
        <v>61</v>
      </c>
      <c r="D89" s="29" t="s">
        <v>62</v>
      </c>
      <c r="E89" s="29" t="s">
        <v>62</v>
      </c>
      <c r="F89" s="30" cm="1">
        <f t="array" ref="F89">_xlfn.IFS($G89=$G$5,F$5,$G89=$G$6,F$6,$G89=$G$7,F$7,$G89=$G$8,F$8,$G89=$G$9,F$9,$G89=$G$10,F$10,$G89=$G$11,F$11,$G89=$G$13,F$13,$G89=$G$15,F$15,$G89=$G$16,F$16,$G89=$G$33,F$33,$G89=$G$34,F$34,$G89=$G$248,F$248,$G89=$G$250,F$250)</f>
        <v>8040</v>
      </c>
      <c r="G89" s="29" t="s">
        <v>83</v>
      </c>
      <c r="H89" s="31" cm="1">
        <f t="array" ref="H89">_xlfn.IFS($G89=$G$5,H$5,$G89=$G$6,H$6,$G89=$G$7,H$7,$G89=$G$8,H$8,$G89=$G$9,H$9,$G89=$G$10,H$10,$G89=$G$11,H$11,$G89=$G$13,H$13,$G89=$G$15,H$15,$G89=$G$16,H$16,$G89=$G$33,H$33,$G89=$G$34,H$34,$G89=$G$248,H$248,$G89=$G$250,H$250)</f>
        <v>41.343685000000001</v>
      </c>
      <c r="I89" s="31" cm="1">
        <f t="array" ref="I89">_xlfn.IFS($G89=$G$5,I$5,$G89=$G$6,I$6,$G89=$G$7,I$7,$G89=$G$8,I$8,$G89=$G$9,I$9,$G89=$G$10,I$10,$G89=$G$11,I$11,$G89=$G$13,I$13,$G89=$G$15,I$15,$G89=$G$16,I$16,$G89=$G$33,I$33,$G89=$G$34,I$34,$G89=$G$248,I$248,$G89=$G$250,I$250)</f>
        <v>2.1441490000000001</v>
      </c>
      <c r="J89" s="29" cm="1">
        <f t="array" ref="J89">_xlfn.IFS($G89=$G$5,J$5,$G89=$G$6,J$6,$G89=$G$7,J$7,$G89=$G$8,J$8,$G89=$G$9,J$9,$G89=$G$10,J$10,$G89=$G$11,J$11,$G89=$G$13,J$13,$G89=$G$15,J$15,$G89=$G$16,J$16,$G89=$G$33,J$33,$G89=$G$34,J$34,$G89=$G$248,J$248,$G89=$G$250,J$250)</f>
        <v>4</v>
      </c>
      <c r="K89" s="29" t="str" cm="1">
        <f t="array" ref="K89">_xlfn.IFS($G89=$G$5,K$5,$G89=$G$6,K$6,$G89=$G$7,K$7,$G89=$G$8,K$8,$G89=$G$9,K$9,$G89=$G$10,K$10,$G89=$G$11,K$11,$G89=$G$13,K$13,$G89=$G$15,K$15,$G89=$G$16,K$16,$G89=$G$33,K$33,$G89=$G$34,K$34,$G89=$G$248,K$248,$G89=$G$250,K$250)</f>
        <v>BG sentinel + BG lure7</v>
      </c>
      <c r="L89" s="29" t="str" cm="1">
        <f t="array" ref="L89">_xlfn.IFS($G89=$G$5,L$5,$G89=$G$6,L$6,$G89=$G$7,L$7,$G89=$G$8,L$8,$G89=$G$9,L$9,$G89=$G$10,L$10,$G89=$G$11,L$11,$G89=$G$13,L$13,$G89=$G$15,L$15,$G89=$G$16,L$16,$G89=$G$33,L$33,$G89=$G$34,L$34,$G89=$G$248,L$248,$G89=$G$250,L$250)</f>
        <v>Urban habitat</v>
      </c>
      <c r="O89" s="32" t="str">
        <f t="shared" si="7"/>
        <v>A_SP_BCN_10_200819</v>
      </c>
      <c r="P89" s="33">
        <v>44062</v>
      </c>
      <c r="Q89" s="34">
        <v>0.6875</v>
      </c>
      <c r="R89" s="35"/>
      <c r="S89" s="36">
        <v>44069</v>
      </c>
      <c r="T89" s="37">
        <v>0.60763888888888895</v>
      </c>
      <c r="U89" s="38"/>
      <c r="V89" s="39" t="s">
        <v>66</v>
      </c>
      <c r="X89" s="29">
        <f t="shared" si="6"/>
        <v>7</v>
      </c>
      <c r="Y89" s="38"/>
      <c r="Z89" s="29" t="s">
        <v>75</v>
      </c>
      <c r="AA89" s="29">
        <f t="shared" si="5"/>
        <v>4</v>
      </c>
      <c r="AB89" s="29" t="s">
        <v>69</v>
      </c>
      <c r="AC89" s="29">
        <v>3</v>
      </c>
      <c r="AD89" s="29">
        <v>1</v>
      </c>
      <c r="AE89" s="29" t="s">
        <v>70</v>
      </c>
      <c r="AF89">
        <v>4</v>
      </c>
    </row>
    <row r="90" spans="1:33" x14ac:dyDescent="0.25">
      <c r="A90" s="28">
        <v>86</v>
      </c>
      <c r="B90" s="29" t="s">
        <v>60</v>
      </c>
      <c r="C90" s="29" t="s">
        <v>61</v>
      </c>
      <c r="D90" s="29" t="s">
        <v>62</v>
      </c>
      <c r="E90" s="29" t="s">
        <v>62</v>
      </c>
      <c r="F90" s="30" cm="1">
        <f t="array" ref="F90">_xlfn.IFS($G90=$G$5,F$5,$G90=$G$6,F$6,$G90=$G$7,F$7,$G90=$G$8,F$8,$G90=$G$9,F$9,$G90=$G$10,F$10,$G90=$G$11,F$11,$G90=$G$13,F$13,$G90=$G$15,F$15,$G90=$G$16,F$16,$G90=$G$33,F$33,$G90=$G$34,F$34,$G90=$G$248,F$248,$G90=$G$250,F$250)</f>
        <v>8038</v>
      </c>
      <c r="G90" s="29" t="s">
        <v>85</v>
      </c>
      <c r="H90" s="31" cm="1">
        <f t="array" ref="H90">_xlfn.IFS($G90=$G$5,H$5,$G90=$G$6,H$6,$G90=$G$7,H$7,$G90=$G$8,H$8,$G90=$G$9,H$9,$G90=$G$10,H$10,$G90=$G$11,H$11,$G90=$G$13,H$13,$G90=$G$15,H$15,$G90=$G$16,H$16,$G90=$G$33,H$33,$G90=$G$34,H$34,$G90=$G$248,H$248,$G90=$G$250,H$250)</f>
        <v>41.367429999999999</v>
      </c>
      <c r="I90" s="31" cm="1">
        <f t="array" ref="I90">_xlfn.IFS($G90=$G$5,I$5,$G90=$G$6,I$6,$G90=$G$7,I$7,$G90=$G$8,I$8,$G90=$G$9,I$9,$G90=$G$10,I$10,$G90=$G$11,I$11,$G90=$G$13,I$13,$G90=$G$15,I$15,$G90=$G$16,I$16,$G90=$G$33,I$33,$G90=$G$34,I$34,$G90=$G$248,I$248,$G90=$G$250,I$250)</f>
        <v>2.1569609999999999</v>
      </c>
      <c r="J90" s="29" cm="1">
        <f t="array" ref="J90">_xlfn.IFS($G90=$G$5,J$5,$G90=$G$6,J$6,$G90=$G$7,J$7,$G90=$G$8,J$8,$G90=$G$9,J$9,$G90=$G$10,J$10,$G90=$G$11,J$11,$G90=$G$13,J$13,$G90=$G$15,J$15,$G90=$G$16,J$16,$G90=$G$33,J$33,$G90=$G$34,J$34,$G90=$G$248,J$248,$G90=$G$250,J$250)</f>
        <v>91</v>
      </c>
      <c r="K90" s="29" t="str" cm="1">
        <f t="array" ref="K90">_xlfn.IFS($G90=$G$5,K$5,$G90=$G$6,K$6,$G90=$G$7,K$7,$G90=$G$8,K$8,$G90=$G$9,K$9,$G90=$G$10,K$10,$G90=$G$11,K$11,$G90=$G$13,K$13,$G90=$G$15,K$15,$G90=$G$16,K$16,$G90=$G$33,K$33,$G90=$G$34,K$34,$G90=$G$248,K$248,$G90=$G$250,K$250)</f>
        <v>BG sentinel + BG lure7</v>
      </c>
      <c r="L90" s="29" t="str" cm="1">
        <f t="array" ref="L90">_xlfn.IFS($G90=$G$5,L$5,$G90=$G$6,L$6,$G90=$G$7,L$7,$G90=$G$8,L$8,$G90=$G$9,L$9,$G90=$G$10,L$10,$G90=$G$11,L$11,$G90=$G$13,L$13,$G90=$G$15,L$15,$G90=$G$16,L$16,$G90=$G$33,L$33,$G90=$G$34,L$34,$G90=$G$248,L$248,$G90=$G$250,L$250)</f>
        <v>Other</v>
      </c>
      <c r="O90" s="32" t="str">
        <f t="shared" si="7"/>
        <v>A_SP_BCN_11_200819</v>
      </c>
      <c r="P90" s="33">
        <v>44062</v>
      </c>
      <c r="Q90" s="34">
        <v>0.63541666666666663</v>
      </c>
      <c r="R90" s="35"/>
      <c r="S90" s="36">
        <v>44069</v>
      </c>
      <c r="T90" s="37">
        <v>0.63888888888888895</v>
      </c>
      <c r="U90" s="38"/>
      <c r="V90" s="39" t="s">
        <v>66</v>
      </c>
      <c r="X90" s="29">
        <f t="shared" si="6"/>
        <v>7</v>
      </c>
      <c r="Y90" s="38"/>
      <c r="Z90" s="29" t="s">
        <v>68</v>
      </c>
      <c r="AA90" s="29">
        <f t="shared" si="5"/>
        <v>63</v>
      </c>
      <c r="AB90" s="29" t="s">
        <v>69</v>
      </c>
      <c r="AC90" s="29">
        <v>50</v>
      </c>
      <c r="AD90" s="29">
        <v>13</v>
      </c>
      <c r="AE90" s="29" t="s">
        <v>70</v>
      </c>
      <c r="AF90">
        <v>4</v>
      </c>
    </row>
    <row r="91" spans="1:33" x14ac:dyDescent="0.25">
      <c r="A91" s="28">
        <v>87</v>
      </c>
      <c r="B91" s="29" t="s">
        <v>60</v>
      </c>
      <c r="C91" s="29" t="s">
        <v>61</v>
      </c>
      <c r="D91" s="29" t="s">
        <v>62</v>
      </c>
      <c r="E91" s="29" t="s">
        <v>62</v>
      </c>
      <c r="F91" s="30" cm="1">
        <f t="array" ref="F91">_xlfn.IFS($G91=$G$5,F$5,$G91=$G$6,F$6,$G91=$G$7,F$7,$G91=$G$8,F$8,$G91=$G$9,F$9,$G91=$G$10,F$10,$G91=$G$11,F$11,$G91=$G$13,F$13,$G91=$G$15,F$15,$G91=$G$16,F$16,$G91=$G$33,F$33,$G91=$G$34,F$34,$G91=$G$248,F$248,$G91=$G$250,F$250)</f>
        <v>8038</v>
      </c>
      <c r="G91" s="29" t="s">
        <v>85</v>
      </c>
      <c r="H91" s="31" cm="1">
        <f t="array" ref="H91">_xlfn.IFS($G91=$G$5,H$5,$G91=$G$6,H$6,$G91=$G$7,H$7,$G91=$G$8,H$8,$G91=$G$9,H$9,$G91=$G$10,H$10,$G91=$G$11,H$11,$G91=$G$13,H$13,$G91=$G$15,H$15,$G91=$G$16,H$16,$G91=$G$33,H$33,$G91=$G$34,H$34,$G91=$G$248,H$248,$G91=$G$250,H$250)</f>
        <v>41.367429999999999</v>
      </c>
      <c r="I91" s="31" cm="1">
        <f t="array" ref="I91">_xlfn.IFS($G91=$G$5,I$5,$G91=$G$6,I$6,$G91=$G$7,I$7,$G91=$G$8,I$8,$G91=$G$9,I$9,$G91=$G$10,I$10,$G91=$G$11,I$11,$G91=$G$13,I$13,$G91=$G$15,I$15,$G91=$G$16,I$16,$G91=$G$33,I$33,$G91=$G$34,I$34,$G91=$G$248,I$248,$G91=$G$250,I$250)</f>
        <v>2.1569609999999999</v>
      </c>
      <c r="J91" s="29" cm="1">
        <f t="array" ref="J91">_xlfn.IFS($G91=$G$5,J$5,$G91=$G$6,J$6,$G91=$G$7,J$7,$G91=$G$8,J$8,$G91=$G$9,J$9,$G91=$G$10,J$10,$G91=$G$11,J$11,$G91=$G$13,J$13,$G91=$G$15,J$15,$G91=$G$16,J$16,$G91=$G$33,J$33,$G91=$G$34,J$34,$G91=$G$248,J$248,$G91=$G$250,J$250)</f>
        <v>91</v>
      </c>
      <c r="K91" s="29" t="str" cm="1">
        <f t="array" ref="K91">_xlfn.IFS($G91=$G$5,K$5,$G91=$G$6,K$6,$G91=$G$7,K$7,$G91=$G$8,K$8,$G91=$G$9,K$9,$G91=$G$10,K$10,$G91=$G$11,K$11,$G91=$G$13,K$13,$G91=$G$15,K$15,$G91=$G$16,K$16,$G91=$G$33,K$33,$G91=$G$34,K$34,$G91=$G$248,K$248,$G91=$G$250,K$250)</f>
        <v>BG sentinel + BG lure7</v>
      </c>
      <c r="L91" s="29" t="str" cm="1">
        <f t="array" ref="L91">_xlfn.IFS($G91=$G$5,L$5,$G91=$G$6,L$6,$G91=$G$7,L$7,$G91=$G$8,L$8,$G91=$G$9,L$9,$G91=$G$10,L$10,$G91=$G$11,L$11,$G91=$G$13,L$13,$G91=$G$15,L$15,$G91=$G$16,L$16,$G91=$G$33,L$33,$G91=$G$34,L$34,$G91=$G$248,L$248,$G91=$G$250,L$250)</f>
        <v>Other</v>
      </c>
      <c r="O91" s="32" t="str">
        <f t="shared" si="7"/>
        <v>A_SP_BCN_11_200819</v>
      </c>
      <c r="P91" s="33">
        <v>44062</v>
      </c>
      <c r="Q91" s="34">
        <v>0.63541666666666663</v>
      </c>
      <c r="R91" s="35"/>
      <c r="S91" s="36">
        <v>44069</v>
      </c>
      <c r="T91" s="37">
        <v>0.63888888888888895</v>
      </c>
      <c r="U91" s="38"/>
      <c r="V91" s="39" t="s">
        <v>66</v>
      </c>
      <c r="X91" s="29">
        <f t="shared" si="6"/>
        <v>7</v>
      </c>
      <c r="Y91" s="38"/>
      <c r="Z91" s="29" t="s">
        <v>75</v>
      </c>
      <c r="AA91" s="29">
        <f t="shared" si="5"/>
        <v>2</v>
      </c>
      <c r="AB91" s="29" t="s">
        <v>69</v>
      </c>
      <c r="AC91" s="29">
        <v>1</v>
      </c>
      <c r="AD91" s="29">
        <v>1</v>
      </c>
      <c r="AE91" s="29" t="s">
        <v>70</v>
      </c>
      <c r="AF91">
        <v>4</v>
      </c>
    </row>
    <row r="92" spans="1:33" x14ac:dyDescent="0.25">
      <c r="A92" s="28">
        <v>88</v>
      </c>
      <c r="B92" s="29" t="s">
        <v>60</v>
      </c>
      <c r="C92" s="29" t="s">
        <v>61</v>
      </c>
      <c r="D92" s="29" t="s">
        <v>62</v>
      </c>
      <c r="E92" s="29" t="s">
        <v>62</v>
      </c>
      <c r="F92" s="30" cm="1">
        <f t="array" ref="F92">_xlfn.IFS($G92=$G$5,F$5,$G92=$G$6,F$6,$G92=$G$7,F$7,$G92=$G$8,F$8,$G92=$G$9,F$9,$G92=$G$10,F$10,$G92=$G$11,F$11,$G92=$G$13,F$13,$G92=$G$15,F$15,$G92=$G$16,F$16,$G92=$G$33,F$33,$G92=$G$34,F$34,$G92=$G$248,F$248,$G92=$G$250,F$250)</f>
        <v>8038</v>
      </c>
      <c r="G92" s="29" t="s">
        <v>86</v>
      </c>
      <c r="H92" s="31" cm="1">
        <f t="array" ref="H92">_xlfn.IFS($G92=$G$5,H$5,$G92=$G$6,H$6,$G92=$G$7,H$7,$G92=$G$8,H$8,$G92=$G$9,H$9,$G92=$G$10,H$10,$G92=$G$11,H$11,$G92=$G$13,H$13,$G92=$G$15,H$15,$G92=$G$16,H$16,$G92=$G$33,H$33,$G92=$G$34,H$34,$G92=$G$248,H$248,$G92=$G$250,H$250)</f>
        <v>41.363377999999997</v>
      </c>
      <c r="I92" s="31" cm="1">
        <f t="array" ref="I92">_xlfn.IFS($G92=$G$5,I$5,$G92=$G$6,I$6,$G92=$G$7,I$7,$G92=$G$8,I$8,$G92=$G$9,I$9,$G92=$G$10,I$10,$G92=$G$11,I$11,$G92=$G$13,I$13,$G92=$G$15,I$15,$G92=$G$16,I$16,$G92=$G$33,I$33,$G92=$G$34,I$34,$G92=$G$248,I$248,$G92=$G$250,I$250)</f>
        <v>2.164879</v>
      </c>
      <c r="J92" s="29" cm="1">
        <f t="array" ref="J92">_xlfn.IFS($G92=$G$5,J$5,$G92=$G$6,J$6,$G92=$G$7,J$7,$G92=$G$8,J$8,$G92=$G$9,J$9,$G92=$G$10,J$10,$G92=$G$11,J$11,$G92=$G$13,J$13,$G92=$G$15,J$15,$G92=$G$16,J$16,$G92=$G$33,J$33,$G92=$G$34,J$34,$G92=$G$248,J$248,$G92=$G$250,J$250)</f>
        <v>185</v>
      </c>
      <c r="K92" s="29" t="str" cm="1">
        <f t="array" ref="K92">_xlfn.IFS($G92=$G$5,K$5,$G92=$G$6,K$6,$G92=$G$7,K$7,$G92=$G$8,K$8,$G92=$G$9,K$9,$G92=$G$10,K$10,$G92=$G$11,K$11,$G92=$G$13,K$13,$G92=$G$15,K$15,$G92=$G$16,K$16,$G92=$G$33,K$33,$G92=$G$34,K$34,$G92=$G$248,K$248,$G92=$G$250,K$250)</f>
        <v>BG sentinel + BG lure7</v>
      </c>
      <c r="L92" s="29" t="str" cm="1">
        <f t="array" ref="L92">_xlfn.IFS($G92=$G$5,L$5,$G92=$G$6,L$6,$G92=$G$7,L$7,$G92=$G$8,L$8,$G92=$G$9,L$9,$G92=$G$10,L$10,$G92=$G$11,L$11,$G92=$G$13,L$13,$G92=$G$15,L$15,$G92=$G$16,L$16,$G92=$G$33,L$33,$G92=$G$34,L$34,$G92=$G$248,L$248,$G92=$G$250,L$250)</f>
        <v>Other</v>
      </c>
      <c r="O92" s="32" t="str">
        <f t="shared" si="7"/>
        <v>A_SP_BCN_12_200819</v>
      </c>
      <c r="P92" s="33">
        <v>44062</v>
      </c>
      <c r="Q92" s="34">
        <v>0.67361111111111116</v>
      </c>
      <c r="R92" s="35"/>
      <c r="S92" s="36">
        <v>44069</v>
      </c>
      <c r="T92" s="37">
        <v>0.67708333333333337</v>
      </c>
      <c r="U92" s="38"/>
      <c r="V92" s="39" t="s">
        <v>66</v>
      </c>
      <c r="X92" s="29">
        <f t="shared" si="6"/>
        <v>7</v>
      </c>
      <c r="Y92" s="38"/>
      <c r="Z92" s="29" t="s">
        <v>68</v>
      </c>
      <c r="AA92" s="29">
        <f t="shared" si="5"/>
        <v>35</v>
      </c>
      <c r="AB92" s="29" t="s">
        <v>69</v>
      </c>
      <c r="AC92" s="29">
        <v>31</v>
      </c>
      <c r="AD92" s="29">
        <v>4</v>
      </c>
      <c r="AE92" s="29" t="s">
        <v>70</v>
      </c>
      <c r="AF92">
        <v>4</v>
      </c>
    </row>
    <row r="93" spans="1:33" x14ac:dyDescent="0.25">
      <c r="A93" s="28">
        <v>89</v>
      </c>
      <c r="B93" s="29" t="s">
        <v>60</v>
      </c>
      <c r="C93" s="29" t="s">
        <v>61</v>
      </c>
      <c r="D93" s="29" t="s">
        <v>62</v>
      </c>
      <c r="E93" s="29" t="s">
        <v>62</v>
      </c>
      <c r="F93" s="30" cm="1">
        <f t="array" ref="F93">_xlfn.IFS($G93=$G$5,F$5,$G93=$G$6,F$6,$G93=$G$7,F$7,$G93=$G$8,F$8,$G93=$G$9,F$9,$G93=$G$10,F$10,$G93=$G$11,F$11,$G93=$G$13,F$13,$G93=$G$15,F$15,$G93=$G$16,F$16,$G93=$G$33,F$33,$G93=$G$34,F$34,$G93=$G$248,F$248,$G93=$G$250,F$250)</f>
        <v>8038</v>
      </c>
      <c r="G93" s="29" t="s">
        <v>86</v>
      </c>
      <c r="H93" s="31" cm="1">
        <f t="array" ref="H93">_xlfn.IFS($G93=$G$5,H$5,$G93=$G$6,H$6,$G93=$G$7,H$7,$G93=$G$8,H$8,$G93=$G$9,H$9,$G93=$G$10,H$10,$G93=$G$11,H$11,$G93=$G$13,H$13,$G93=$G$15,H$15,$G93=$G$16,H$16,$G93=$G$33,H$33,$G93=$G$34,H$34,$G93=$G$248,H$248,$G93=$G$250,H$250)</f>
        <v>41.363377999999997</v>
      </c>
      <c r="I93" s="31" cm="1">
        <f t="array" ref="I93">_xlfn.IFS($G93=$G$5,I$5,$G93=$G$6,I$6,$G93=$G$7,I$7,$G93=$G$8,I$8,$G93=$G$9,I$9,$G93=$G$10,I$10,$G93=$G$11,I$11,$G93=$G$13,I$13,$G93=$G$15,I$15,$G93=$G$16,I$16,$G93=$G$33,I$33,$G93=$G$34,I$34,$G93=$G$248,I$248,$G93=$G$250,I$250)</f>
        <v>2.164879</v>
      </c>
      <c r="J93" s="29" cm="1">
        <f t="array" ref="J93">_xlfn.IFS($G93=$G$5,J$5,$G93=$G$6,J$6,$G93=$G$7,J$7,$G93=$G$8,J$8,$G93=$G$9,J$9,$G93=$G$10,J$10,$G93=$G$11,J$11,$G93=$G$13,J$13,$G93=$G$15,J$15,$G93=$G$16,J$16,$G93=$G$33,J$33,$G93=$G$34,J$34,$G93=$G$248,J$248,$G93=$G$250,J$250)</f>
        <v>185</v>
      </c>
      <c r="K93" s="29" t="str" cm="1">
        <f t="array" ref="K93">_xlfn.IFS($G93=$G$5,K$5,$G93=$G$6,K$6,$G93=$G$7,K$7,$G93=$G$8,K$8,$G93=$G$9,K$9,$G93=$G$10,K$10,$G93=$G$11,K$11,$G93=$G$13,K$13,$G93=$G$15,K$15,$G93=$G$16,K$16,$G93=$G$33,K$33,$G93=$G$34,K$34,$G93=$G$248,K$248,$G93=$G$250,K$250)</f>
        <v>BG sentinel + BG lure7</v>
      </c>
      <c r="L93" s="29" t="str" cm="1">
        <f t="array" ref="L93">_xlfn.IFS($G93=$G$5,L$5,$G93=$G$6,L$6,$G93=$G$7,L$7,$G93=$G$8,L$8,$G93=$G$9,L$9,$G93=$G$10,L$10,$G93=$G$11,L$11,$G93=$G$13,L$13,$G93=$G$15,L$15,$G93=$G$16,L$16,$G93=$G$33,L$33,$G93=$G$34,L$34,$G93=$G$248,L$248,$G93=$G$250,L$250)</f>
        <v>Other</v>
      </c>
      <c r="O93" s="32" t="str">
        <f t="shared" si="7"/>
        <v>A_SP_BCN_12_200819</v>
      </c>
      <c r="P93" s="33">
        <v>44062</v>
      </c>
      <c r="Q93" s="34">
        <v>0.67361111111111116</v>
      </c>
      <c r="R93" s="35"/>
      <c r="S93" s="36">
        <v>44069</v>
      </c>
      <c r="T93" s="37">
        <v>0.67708333333333337</v>
      </c>
      <c r="U93" s="38"/>
      <c r="V93" s="39" t="s">
        <v>66</v>
      </c>
      <c r="W93" s="39" t="s">
        <v>89</v>
      </c>
      <c r="X93" s="29">
        <f t="shared" si="6"/>
        <v>7</v>
      </c>
      <c r="Y93" s="38"/>
      <c r="Z93" s="29" t="s">
        <v>75</v>
      </c>
      <c r="AA93" s="29">
        <f t="shared" si="5"/>
        <v>47</v>
      </c>
      <c r="AB93" s="29" t="s">
        <v>69</v>
      </c>
      <c r="AC93" s="29">
        <v>47</v>
      </c>
      <c r="AD93" s="29">
        <v>0</v>
      </c>
      <c r="AE93" s="29" t="s">
        <v>70</v>
      </c>
      <c r="AF93">
        <v>4</v>
      </c>
    </row>
    <row r="94" spans="1:33" x14ac:dyDescent="0.25">
      <c r="A94" s="28">
        <v>90</v>
      </c>
      <c r="B94" s="29" t="s">
        <v>60</v>
      </c>
      <c r="C94" s="29" t="s">
        <v>61</v>
      </c>
      <c r="D94" s="29" t="s">
        <v>62</v>
      </c>
      <c r="E94" s="29" t="s">
        <v>62</v>
      </c>
      <c r="F94" s="30" cm="1">
        <f t="array" ref="F94">_xlfn.IFS($G94=$G$5,F$5,$G94=$G$6,F$6,$G94=$G$7,F$7,$G94=$G$8,F$8,$G94=$G$9,F$9,$G94=$G$10,F$10,$G94=$G$11,F$11,$G94=$G$13,F$13,$G94=$G$15,F$15,$G94=$G$16,F$16,$G94=$G$33,F$33,$G94=$G$34,F$34,$G94=$G$248,F$248,$G94=$G$250,F$250)</f>
        <v>8038</v>
      </c>
      <c r="G94" s="29" t="s">
        <v>86</v>
      </c>
      <c r="H94" s="31" cm="1">
        <f t="array" ref="H94">_xlfn.IFS($G94=$G$5,H$5,$G94=$G$6,H$6,$G94=$G$7,H$7,$G94=$G$8,H$8,$G94=$G$9,H$9,$G94=$G$10,H$10,$G94=$G$11,H$11,$G94=$G$13,H$13,$G94=$G$15,H$15,$G94=$G$16,H$16,$G94=$G$33,H$33,$G94=$G$34,H$34,$G94=$G$248,H$248,$G94=$G$250,H$250)</f>
        <v>41.363377999999997</v>
      </c>
      <c r="I94" s="31" cm="1">
        <f t="array" ref="I94">_xlfn.IFS($G94=$G$5,I$5,$G94=$G$6,I$6,$G94=$G$7,I$7,$G94=$G$8,I$8,$G94=$G$9,I$9,$G94=$G$10,I$10,$G94=$G$11,I$11,$G94=$G$13,I$13,$G94=$G$15,I$15,$G94=$G$16,I$16,$G94=$G$33,I$33,$G94=$G$34,I$34,$G94=$G$248,I$248,$G94=$G$250,I$250)</f>
        <v>2.164879</v>
      </c>
      <c r="J94" s="29" cm="1">
        <f t="array" ref="J94">_xlfn.IFS($G94=$G$5,J$5,$G94=$G$6,J$6,$G94=$G$7,J$7,$G94=$G$8,J$8,$G94=$G$9,J$9,$G94=$G$10,J$10,$G94=$G$11,J$11,$G94=$G$13,J$13,$G94=$G$15,J$15,$G94=$G$16,J$16,$G94=$G$33,J$33,$G94=$G$34,J$34,$G94=$G$248,J$248,$G94=$G$250,J$250)</f>
        <v>185</v>
      </c>
      <c r="K94" s="29" t="str" cm="1">
        <f t="array" ref="K94">_xlfn.IFS($G94=$G$5,K$5,$G94=$G$6,K$6,$G94=$G$7,K$7,$G94=$G$8,K$8,$G94=$G$9,K$9,$G94=$G$10,K$10,$G94=$G$11,K$11,$G94=$G$13,K$13,$G94=$G$15,K$15,$G94=$G$16,K$16,$G94=$G$33,K$33,$G94=$G$34,K$34,$G94=$G$248,K$248,$G94=$G$250,K$250)</f>
        <v>BG sentinel + BG lure7</v>
      </c>
      <c r="L94" s="29" t="str" cm="1">
        <f t="array" ref="L94">_xlfn.IFS($G94=$G$5,L$5,$G94=$G$6,L$6,$G94=$G$7,L$7,$G94=$G$8,L$8,$G94=$G$9,L$9,$G94=$G$10,L$10,$G94=$G$11,L$11,$G94=$G$13,L$13,$G94=$G$15,L$15,$G94=$G$16,L$16,$G94=$G$33,L$33,$G94=$G$34,L$34,$G94=$G$248,L$248,$G94=$G$250,L$250)</f>
        <v>Other</v>
      </c>
      <c r="O94" s="32" t="str">
        <f t="shared" si="7"/>
        <v>A_SP_BCN_12_200819</v>
      </c>
      <c r="P94" s="33">
        <v>44062</v>
      </c>
      <c r="Q94" s="34">
        <v>0.67361111111111116</v>
      </c>
      <c r="R94" s="35"/>
      <c r="S94" s="36">
        <v>44069</v>
      </c>
      <c r="T94" s="37">
        <v>0.67708333333333337</v>
      </c>
      <c r="U94" s="38"/>
      <c r="V94" s="39" t="s">
        <v>66</v>
      </c>
      <c r="X94" s="29">
        <f t="shared" si="6"/>
        <v>7</v>
      </c>
      <c r="Y94" s="38"/>
      <c r="Z94" s="29" t="s">
        <v>84</v>
      </c>
      <c r="AA94" s="29">
        <f t="shared" si="5"/>
        <v>4</v>
      </c>
      <c r="AB94" s="29" t="s">
        <v>69</v>
      </c>
      <c r="AC94" s="29">
        <v>3</v>
      </c>
      <c r="AD94" s="29">
        <v>1</v>
      </c>
      <c r="AE94" s="29" t="s">
        <v>70</v>
      </c>
      <c r="AF94">
        <v>4</v>
      </c>
    </row>
    <row r="95" spans="1:33" x14ac:dyDescent="0.25">
      <c r="A95" s="28">
        <v>91</v>
      </c>
      <c r="B95" s="29" t="s">
        <v>60</v>
      </c>
      <c r="C95" s="29" t="s">
        <v>61</v>
      </c>
      <c r="D95" s="29" t="s">
        <v>62</v>
      </c>
      <c r="E95" s="29" t="s">
        <v>62</v>
      </c>
      <c r="F95" s="30" cm="1">
        <f t="array" ref="F95">_xlfn.IFS($G95=$G$5,F$5,$G95=$G$6,F$6,$G95=$G$7,F$7,$G95=$G$8,F$8,$G95=$G$9,F$9,$G95=$G$10,F$10,$G95=$G$11,F$11,$G95=$G$13,F$13,$G95=$G$15,F$15,$G95=$G$16,F$16,$G95=$G$33,F$33,$G95=$G$34,F$34,$G95=$G$248,F$248,$G95=$G$250,F$250)</f>
        <v>8024</v>
      </c>
      <c r="G95" s="29" t="s">
        <v>63</v>
      </c>
      <c r="H95" s="31" cm="1">
        <f t="array" ref="H95">_xlfn.IFS($G95=$G$5,H$5,$G95=$G$6,H$6,$G95=$G$7,H$7,$G95=$G$8,H$8,$G95=$G$9,H$9,$G95=$G$10,H$10,$G95=$G$11,H$11,$G95=$G$13,H$13,$G95=$G$15,H$15,$G95=$G$16,H$16,$G95=$G$33,H$33,$G95=$G$34,H$34,$G95=$G$248,H$248,$G95=$G$250,H$250)</f>
        <v>41.413573999999997</v>
      </c>
      <c r="I95" s="31" cm="1">
        <f t="array" ref="I95">_xlfn.IFS($G95=$G$5,I$5,$G95=$G$6,I$6,$G95=$G$7,I$7,$G95=$G$8,I$8,$G95=$G$9,I$9,$G95=$G$10,I$10,$G95=$G$11,I$11,$G95=$G$13,I$13,$G95=$G$15,I$15,$G95=$G$16,I$16,$G95=$G$33,I$33,$G95=$G$34,I$34,$G95=$G$248,I$248,$G95=$G$250,I$250)</f>
        <v>2.1520730000000001</v>
      </c>
      <c r="J95" s="29" cm="1">
        <f t="array" ref="J95">_xlfn.IFS($G95=$G$5,J$5,$G95=$G$6,J$6,$G95=$G$7,J$7,$G95=$G$8,J$8,$G95=$G$9,J$9,$G95=$G$10,J$10,$G95=$G$11,J$11,$G95=$G$13,J$13,$G95=$G$15,J$15,$G95=$G$16,J$16,$G95=$G$33,J$33,$G95=$G$34,J$34,$G95=$G$248,J$248,$G95=$G$250,J$250)</f>
        <v>141</v>
      </c>
      <c r="K95" s="29" t="str" cm="1">
        <f t="array" ref="K95">_xlfn.IFS($G95=$G$5,K$5,$G95=$G$6,K$6,$G95=$G$7,K$7,$G95=$G$8,K$8,$G95=$G$9,K$9,$G95=$G$10,K$10,$G95=$G$11,K$11,$G95=$G$13,K$13,$G95=$G$15,K$15,$G95=$G$16,K$16,$G95=$G$33,K$33,$G95=$G$34,K$34,$G95=$G$248,K$248,$G95=$G$250,K$250)</f>
        <v>BG sentinel + BG lure7</v>
      </c>
      <c r="L95" s="29" t="str" cm="1">
        <f t="array" ref="L95">_xlfn.IFS($G95=$G$5,L$5,$G95=$G$6,L$6,$G95=$G$7,L$7,$G95=$G$8,L$8,$G95=$G$9,L$9,$G95=$G$10,L$10,$G95=$G$11,L$11,$G95=$G$13,L$13,$G95=$G$15,L$15,$G95=$G$16,L$16,$G95=$G$33,L$33,$G95=$G$34,L$34,$G95=$G$248,L$248,$G95=$G$250,L$250)</f>
        <v>Urban habitat</v>
      </c>
      <c r="O95" s="32" t="str">
        <f t="shared" si="7"/>
        <v>A_SP_BCN_1_200729</v>
      </c>
      <c r="P95" s="33">
        <v>44041</v>
      </c>
      <c r="Q95" s="34">
        <v>0.57638888888888895</v>
      </c>
      <c r="R95" s="35"/>
      <c r="S95" s="36">
        <v>44076</v>
      </c>
      <c r="T95" s="37">
        <v>0.60069444444444442</v>
      </c>
      <c r="U95" s="38"/>
      <c r="V95" s="39" t="s">
        <v>90</v>
      </c>
      <c r="X95" s="29">
        <f t="shared" si="6"/>
        <v>35</v>
      </c>
      <c r="Y95" s="38"/>
      <c r="Z95" s="29" t="s">
        <v>68</v>
      </c>
      <c r="AA95" s="29">
        <f t="shared" si="5"/>
        <v>5</v>
      </c>
      <c r="AB95" s="29" t="s">
        <v>69</v>
      </c>
      <c r="AC95" s="29">
        <v>2</v>
      </c>
      <c r="AD95" s="29">
        <v>3</v>
      </c>
      <c r="AE95" s="29" t="s">
        <v>70</v>
      </c>
      <c r="AF95">
        <v>1</v>
      </c>
      <c r="AG95" s="40"/>
    </row>
    <row r="96" spans="1:33" x14ac:dyDescent="0.25">
      <c r="A96" s="28">
        <v>92</v>
      </c>
      <c r="B96" s="29" t="s">
        <v>60</v>
      </c>
      <c r="C96" s="29" t="s">
        <v>61</v>
      </c>
      <c r="D96" s="29" t="s">
        <v>62</v>
      </c>
      <c r="E96" s="29" t="s">
        <v>62</v>
      </c>
      <c r="F96" s="30" cm="1">
        <f t="array" ref="F96">_xlfn.IFS($G96=$G$5,F$5,$G96=$G$6,F$6,$G96=$G$7,F$7,$G96=$G$8,F$8,$G96=$G$9,F$9,$G96=$G$10,F$10,$G96=$G$11,F$11,$G96=$G$13,F$13,$G96=$G$15,F$15,$G96=$G$16,F$16,$G96=$G$33,F$33,$G96=$G$34,F$34,$G96=$G$248,F$248,$G96=$G$250,F$250)</f>
        <v>8024</v>
      </c>
      <c r="G96" s="29" t="s">
        <v>63</v>
      </c>
      <c r="H96" s="31" cm="1">
        <f t="array" ref="H96">_xlfn.IFS($G96=$G$5,H$5,$G96=$G$6,H$6,$G96=$G$7,H$7,$G96=$G$8,H$8,$G96=$G$9,H$9,$G96=$G$10,H$10,$G96=$G$11,H$11,$G96=$G$13,H$13,$G96=$G$15,H$15,$G96=$G$16,H$16,$G96=$G$33,H$33,$G96=$G$34,H$34,$G96=$G$248,H$248,$G96=$G$250,H$250)</f>
        <v>41.413573999999997</v>
      </c>
      <c r="I96" s="31" cm="1">
        <f t="array" ref="I96">_xlfn.IFS($G96=$G$5,I$5,$G96=$G$6,I$6,$G96=$G$7,I$7,$G96=$G$8,I$8,$G96=$G$9,I$9,$G96=$G$10,I$10,$G96=$G$11,I$11,$G96=$G$13,I$13,$G96=$G$15,I$15,$G96=$G$16,I$16,$G96=$G$33,I$33,$G96=$G$34,I$34,$G96=$G$248,I$248,$G96=$G$250,I$250)</f>
        <v>2.1520730000000001</v>
      </c>
      <c r="J96" s="29" cm="1">
        <f t="array" ref="J96">_xlfn.IFS($G96=$G$5,J$5,$G96=$G$6,J$6,$G96=$G$7,J$7,$G96=$G$8,J$8,$G96=$G$9,J$9,$G96=$G$10,J$10,$G96=$G$11,J$11,$G96=$G$13,J$13,$G96=$G$15,J$15,$G96=$G$16,J$16,$G96=$G$33,J$33,$G96=$G$34,J$34,$G96=$G$248,J$248,$G96=$G$250,J$250)</f>
        <v>141</v>
      </c>
      <c r="K96" s="29" t="str" cm="1">
        <f t="array" ref="K96">_xlfn.IFS($G96=$G$5,K$5,$G96=$G$6,K$6,$G96=$G$7,K$7,$G96=$G$8,K$8,$G96=$G$9,K$9,$G96=$G$10,K$10,$G96=$G$11,K$11,$G96=$G$13,K$13,$G96=$G$15,K$15,$G96=$G$16,K$16,$G96=$G$33,K$33,$G96=$G$34,K$34,$G96=$G$248,K$248,$G96=$G$250,K$250)</f>
        <v>BG sentinel + BG lure7</v>
      </c>
      <c r="L96" s="29" t="str" cm="1">
        <f t="array" ref="L96">_xlfn.IFS($G96=$G$5,L$5,$G96=$G$6,L$6,$G96=$G$7,L$7,$G96=$G$8,L$8,$G96=$G$9,L$9,$G96=$G$10,L$10,$G96=$G$11,L$11,$G96=$G$13,L$13,$G96=$G$15,L$15,$G96=$G$16,L$16,$G96=$G$33,L$33,$G96=$G$34,L$34,$G96=$G$248,L$248,$G96=$G$250,L$250)</f>
        <v>Urban habitat</v>
      </c>
      <c r="O96" s="32" t="str">
        <f t="shared" si="7"/>
        <v>A_SP_BCN_1_200729</v>
      </c>
      <c r="P96" s="33">
        <v>44041</v>
      </c>
      <c r="Q96" s="34">
        <v>0.57638888888888895</v>
      </c>
      <c r="R96" s="35"/>
      <c r="S96" s="36">
        <v>44076</v>
      </c>
      <c r="T96" s="37">
        <v>0.60069444444444442</v>
      </c>
      <c r="U96" s="38"/>
      <c r="V96" s="39" t="s">
        <v>66</v>
      </c>
      <c r="X96" s="29">
        <f t="shared" si="6"/>
        <v>35</v>
      </c>
      <c r="Y96" s="38"/>
      <c r="Z96" s="29" t="s">
        <v>84</v>
      </c>
      <c r="AA96" s="29">
        <f t="shared" si="5"/>
        <v>1</v>
      </c>
      <c r="AB96" s="29" t="s">
        <v>69</v>
      </c>
      <c r="AC96" s="29">
        <v>0</v>
      </c>
      <c r="AD96" s="29">
        <v>1</v>
      </c>
      <c r="AE96" s="29" t="s">
        <v>70</v>
      </c>
      <c r="AF96">
        <v>4</v>
      </c>
      <c r="AG96" s="40"/>
    </row>
    <row r="97" spans="1:33" x14ac:dyDescent="0.25">
      <c r="A97" s="28">
        <v>93</v>
      </c>
      <c r="B97" s="29" t="s">
        <v>60</v>
      </c>
      <c r="C97" s="29" t="s">
        <v>61</v>
      </c>
      <c r="D97" s="29" t="s">
        <v>62</v>
      </c>
      <c r="E97" s="29" t="s">
        <v>62</v>
      </c>
      <c r="F97" s="30" cm="1">
        <f t="array" ref="F97">_xlfn.IFS($G97=$G$5,F$5,$G97=$G$6,F$6,$G97=$G$7,F$7,$G97=$G$8,F$8,$G97=$G$9,F$9,$G97=$G$10,F$10,$G97=$G$11,F$11,$G97=$G$13,F$13,$G97=$G$15,F$15,$G97=$G$16,F$16,$G97=$G$33,F$33,$G97=$G$34,F$34,$G97=$G$248,F$248,$G97=$G$250,F$250)</f>
        <v>8035</v>
      </c>
      <c r="G97" s="29" t="s">
        <v>71</v>
      </c>
      <c r="H97" s="31" cm="1">
        <f t="array" ref="H97">_xlfn.IFS($G97=$G$5,H$5,$G97=$G$6,H$6,$G97=$G$7,H$7,$G97=$G$8,H$8,$G97=$G$9,H$9,$G97=$G$10,H$10,$G97=$G$11,H$11,$G97=$G$13,H$13,$G97=$G$15,H$15,$G97=$G$16,H$16,$G97=$G$33,H$33,$G97=$G$34,H$34,$G97=$G$248,H$248,$G97=$G$250,H$250)</f>
        <v>41.424387000000003</v>
      </c>
      <c r="I97" s="31" cm="1">
        <f t="array" ref="I97">_xlfn.IFS($G97=$G$5,I$5,$G97=$G$6,I$6,$G97=$G$7,I$7,$G97=$G$8,I$8,$G97=$G$9,I$9,$G97=$G$10,I$10,$G97=$G$11,I$11,$G97=$G$13,I$13,$G97=$G$15,I$15,$G97=$G$16,I$16,$G97=$G$33,I$33,$G97=$G$34,I$34,$G97=$G$248,I$248,$G97=$G$250,I$250)</f>
        <v>2.1431439999999999</v>
      </c>
      <c r="J97" s="29" cm="1">
        <f t="array" ref="J97">_xlfn.IFS($G97=$G$5,J$5,$G97=$G$6,J$6,$G97=$G$7,J$7,$G97=$G$8,J$8,$G97=$G$9,J$9,$G97=$G$10,J$10,$G97=$G$11,J$11,$G97=$G$13,J$13,$G97=$G$15,J$15,$G97=$G$16,J$16,$G97=$G$33,J$33,$G97=$G$34,J$34,$G97=$G$248,J$248,$G97=$G$250,J$250)</f>
        <v>160</v>
      </c>
      <c r="K97" s="29" t="str" cm="1">
        <f t="array" ref="K97">_xlfn.IFS($G97=$G$5,K$5,$G97=$G$6,K$6,$G97=$G$7,K$7,$G97=$G$8,K$8,$G97=$G$9,K$9,$G97=$G$10,K$10,$G97=$G$11,K$11,$G97=$G$13,K$13,$G97=$G$15,K$15,$G97=$G$16,K$16,$G97=$G$33,K$33,$G97=$G$34,K$34,$G97=$G$248,K$248,$G97=$G$250,K$250)</f>
        <v>BG sentinel + BG lure7</v>
      </c>
      <c r="L97" s="29" t="str" cm="1">
        <f t="array" ref="L97">_xlfn.IFS($G97=$G$5,L$5,$G97=$G$6,L$6,$G97=$G$7,L$7,$G97=$G$8,L$8,$G97=$G$9,L$9,$G97=$G$10,L$10,$G97=$G$11,L$11,$G97=$G$13,L$13,$G97=$G$15,L$15,$G97=$G$16,L$16,$G97=$G$33,L$33,$G97=$G$34,L$34,$G97=$G$248,L$248,$G97=$G$250,L$250)</f>
        <v>Urban habitat</v>
      </c>
      <c r="O97" s="32" t="str">
        <f t="shared" si="7"/>
        <v>A_SP_BCN_2_200826</v>
      </c>
      <c r="P97" s="33">
        <v>44069</v>
      </c>
      <c r="Q97" s="34">
        <v>0.58333333333333337</v>
      </c>
      <c r="R97" s="35"/>
      <c r="S97" s="36">
        <v>44076</v>
      </c>
      <c r="T97" s="37">
        <v>0.56944444444444442</v>
      </c>
      <c r="U97" s="38"/>
      <c r="V97" s="39" t="s">
        <v>66</v>
      </c>
      <c r="X97" s="29">
        <f t="shared" si="6"/>
        <v>7</v>
      </c>
      <c r="Y97" s="38"/>
      <c r="Z97" s="29" t="s">
        <v>68</v>
      </c>
      <c r="AA97" s="29">
        <f t="shared" si="5"/>
        <v>3</v>
      </c>
      <c r="AB97" s="29" t="s">
        <v>69</v>
      </c>
      <c r="AC97" s="29">
        <v>2</v>
      </c>
      <c r="AD97" s="29">
        <v>1</v>
      </c>
      <c r="AE97" s="29" t="s">
        <v>70</v>
      </c>
      <c r="AF97">
        <v>4</v>
      </c>
      <c r="AG97" s="40"/>
    </row>
    <row r="98" spans="1:33" x14ac:dyDescent="0.25">
      <c r="A98" s="28">
        <v>94</v>
      </c>
      <c r="B98" s="29" t="s">
        <v>60</v>
      </c>
      <c r="C98" s="29" t="s">
        <v>61</v>
      </c>
      <c r="D98" s="29" t="s">
        <v>62</v>
      </c>
      <c r="E98" s="29" t="s">
        <v>62</v>
      </c>
      <c r="F98" s="30" cm="1">
        <f t="array" ref="F98">_xlfn.IFS($G98=$G$5,F$5,$G98=$G$6,F$6,$G98=$G$7,F$7,$G98=$G$8,F$8,$G98=$G$9,F$9,$G98=$G$10,F$10,$G98=$G$11,F$11,$G98=$G$13,F$13,$G98=$G$15,F$15,$G98=$G$16,F$16,$G98=$G$33,F$33,$G98=$G$34,F$34,$G98=$G$248,F$248,$G98=$G$250,F$250)</f>
        <v>8016</v>
      </c>
      <c r="G98" s="29" t="s">
        <v>72</v>
      </c>
      <c r="H98" s="31" cm="1">
        <f t="array" ref="H98">_xlfn.IFS($G98=$G$5,H$5,$G98=$G$6,H$6,$G98=$G$7,H$7,$G98=$G$8,H$8,$G98=$G$9,H$9,$G98=$G$10,H$10,$G98=$G$11,H$11,$G98=$G$13,H$13,$G98=$G$15,H$15,$G98=$G$16,H$16,$G98=$G$33,H$33,$G98=$G$34,H$34,$G98=$G$248,H$248,$G98=$G$250,H$250)</f>
        <v>41.437435000000001</v>
      </c>
      <c r="I98" s="31" cm="1">
        <f t="array" ref="I98">_xlfn.IFS($G98=$G$5,I$5,$G98=$G$6,I$6,$G98=$G$7,I$7,$G98=$G$8,I$8,$G98=$G$9,I$9,$G98=$G$10,I$10,$G98=$G$11,I$11,$G98=$G$13,I$13,$G98=$G$15,I$15,$G98=$G$16,I$16,$G98=$G$33,I$33,$G98=$G$34,I$34,$G98=$G$248,I$248,$G98=$G$250,I$250)</f>
        <v>2.1812779999999998</v>
      </c>
      <c r="J98" s="29" cm="1">
        <f t="array" ref="J98">_xlfn.IFS($G98=$G$5,J$5,$G98=$G$6,J$6,$G98=$G$7,J$7,$G98=$G$8,J$8,$G98=$G$9,J$9,$G98=$G$10,J$10,$G98=$G$11,J$11,$G98=$G$13,J$13,$G98=$G$15,J$15,$G98=$G$16,J$16,$G98=$G$33,J$33,$G98=$G$34,J$34,$G98=$G$248,J$248,$G98=$G$250,J$250)</f>
        <v>47</v>
      </c>
      <c r="K98" s="29" t="str" cm="1">
        <f t="array" ref="K98">_xlfn.IFS($G98=$G$5,K$5,$G98=$G$6,K$6,$G98=$G$7,K$7,$G98=$G$8,K$8,$G98=$G$9,K$9,$G98=$G$10,K$10,$G98=$G$11,K$11,$G98=$G$13,K$13,$G98=$G$15,K$15,$G98=$G$16,K$16,$G98=$G$33,K$33,$G98=$G$34,K$34,$G98=$G$248,K$248,$G98=$G$250,K$250)</f>
        <v>BG sentinel + BG lure7</v>
      </c>
      <c r="L98" s="29" t="str" cm="1">
        <f t="array" ref="L98">_xlfn.IFS($G98=$G$5,L$5,$G98=$G$6,L$6,$G98=$G$7,L$7,$G98=$G$8,L$8,$G98=$G$9,L$9,$G98=$G$10,L$10,$G98=$G$11,L$11,$G98=$G$13,L$13,$G98=$G$15,L$15,$G98=$G$16,L$16,$G98=$G$33,L$33,$G98=$G$34,L$34,$G98=$G$248,L$248,$G98=$G$250,L$250)</f>
        <v>Urban habitat</v>
      </c>
      <c r="O98" s="32" t="str">
        <f t="shared" si="7"/>
        <v>A_SP_BCN_3_200826</v>
      </c>
      <c r="P98" s="33">
        <v>44069</v>
      </c>
      <c r="Q98" s="34">
        <v>0.53125</v>
      </c>
      <c r="R98" s="35"/>
      <c r="S98" s="36">
        <v>44076</v>
      </c>
      <c r="T98" s="37">
        <v>0.53819444444444442</v>
      </c>
      <c r="U98" s="38"/>
      <c r="V98" s="39" t="s">
        <v>66</v>
      </c>
      <c r="X98" s="29">
        <f t="shared" si="6"/>
        <v>7</v>
      </c>
      <c r="Y98" s="38"/>
      <c r="Z98" s="29" t="s">
        <v>68</v>
      </c>
      <c r="AA98" s="29">
        <f t="shared" si="5"/>
        <v>20</v>
      </c>
      <c r="AB98" s="29" t="s">
        <v>69</v>
      </c>
      <c r="AC98" s="29">
        <v>13</v>
      </c>
      <c r="AD98" s="29">
        <v>7</v>
      </c>
      <c r="AE98" s="29" t="s">
        <v>70</v>
      </c>
      <c r="AF98">
        <v>4</v>
      </c>
    </row>
    <row r="99" spans="1:33" x14ac:dyDescent="0.25">
      <c r="A99" s="28">
        <v>95</v>
      </c>
      <c r="B99" s="29" t="s">
        <v>60</v>
      </c>
      <c r="C99" s="29" t="s">
        <v>61</v>
      </c>
      <c r="D99" s="29" t="s">
        <v>62</v>
      </c>
      <c r="E99" s="29" t="s">
        <v>62</v>
      </c>
      <c r="F99" s="30" cm="1">
        <f t="array" ref="F99">_xlfn.IFS($G99=$G$5,F$5,$G99=$G$6,F$6,$G99=$G$7,F$7,$G99=$G$8,F$8,$G99=$G$9,F$9,$G99=$G$10,F$10,$G99=$G$11,F$11,$G99=$G$13,F$13,$G99=$G$15,F$15,$G99=$G$16,F$16,$G99=$G$33,F$33,$G99=$G$34,F$34,$G99=$G$248,F$248,$G99=$G$250,F$250)</f>
        <v>8018</v>
      </c>
      <c r="G99" s="29" t="s">
        <v>73</v>
      </c>
      <c r="H99" s="31" cm="1">
        <f t="array" ref="H99">_xlfn.IFS($G99=$G$5,H$5,$G99=$G$6,H$6,$G99=$G$7,H$7,$G99=$G$8,H$8,$G99=$G$9,H$9,$G99=$G$10,H$10,$G99=$G$11,H$11,$G99=$G$13,H$13,$G99=$G$15,H$15,$G99=$G$16,H$16,$G99=$G$33,H$33,$G99=$G$34,H$34,$G99=$G$248,H$248,$G99=$G$250,H$250)</f>
        <v>41.404924999999999</v>
      </c>
      <c r="I99" s="31" cm="1">
        <f t="array" ref="I99">_xlfn.IFS($G99=$G$5,I$5,$G99=$G$6,I$6,$G99=$G$7,I$7,$G99=$G$8,I$8,$G99=$G$9,I$9,$G99=$G$10,I$10,$G99=$G$11,I$11,$G99=$G$13,I$13,$G99=$G$15,I$15,$G99=$G$16,I$16,$G99=$G$33,I$33,$G99=$G$34,I$34,$G99=$G$248,I$248,$G99=$G$250,I$250)</f>
        <v>2.1987909999999999</v>
      </c>
      <c r="J99" s="29" cm="1">
        <f t="array" ref="J99">_xlfn.IFS($G99=$G$5,J$5,$G99=$G$6,J$6,$G99=$G$7,J$7,$G99=$G$8,J$8,$G99=$G$9,J$9,$G99=$G$10,J$10,$G99=$G$11,J$11,$G99=$G$13,J$13,$G99=$G$15,J$15,$G99=$G$16,J$16,$G99=$G$33,J$33,$G99=$G$34,J$34,$G99=$G$248,J$248,$G99=$G$250,J$250)</f>
        <v>4</v>
      </c>
      <c r="K99" s="29" t="str" cm="1">
        <f t="array" ref="K99">_xlfn.IFS($G99=$G$5,K$5,$G99=$G$6,K$6,$G99=$G$7,K$7,$G99=$G$8,K$8,$G99=$G$9,K$9,$G99=$G$10,K$10,$G99=$G$11,K$11,$G99=$G$13,K$13,$G99=$G$15,K$15,$G99=$G$16,K$16,$G99=$G$33,K$33,$G99=$G$34,K$34,$G99=$G$248,K$248,$G99=$G$250,K$250)</f>
        <v>BG sentinel + BG lure7</v>
      </c>
      <c r="L99" s="29" t="str" cm="1">
        <f t="array" ref="L99">_xlfn.IFS($G99=$G$5,L$5,$G99=$G$6,L$6,$G99=$G$7,L$7,$G99=$G$8,L$8,$G99=$G$9,L$9,$G99=$G$10,L$10,$G99=$G$11,L$11,$G99=$G$13,L$13,$G99=$G$15,L$15,$G99=$G$16,L$16,$G99=$G$33,L$33,$G99=$G$34,L$34,$G99=$G$248,L$248,$G99=$G$250,L$250)</f>
        <v>Urban habitat</v>
      </c>
      <c r="O99" s="32" t="str">
        <f t="shared" si="7"/>
        <v>A_SP_BCN_4_200826</v>
      </c>
      <c r="P99" s="33">
        <v>44069</v>
      </c>
      <c r="Q99" s="34">
        <v>0.51388888888888895</v>
      </c>
      <c r="R99" s="35"/>
      <c r="S99" s="36">
        <v>44076</v>
      </c>
      <c r="T99" s="37">
        <v>0.51736111111111105</v>
      </c>
      <c r="U99" s="38"/>
      <c r="V99" s="39" t="s">
        <v>91</v>
      </c>
      <c r="X99" s="29">
        <f t="shared" si="6"/>
        <v>7</v>
      </c>
      <c r="Y99" s="38"/>
      <c r="Z99" s="29" t="s">
        <v>68</v>
      </c>
      <c r="AA99" s="29">
        <f t="shared" si="5"/>
        <v>22</v>
      </c>
      <c r="AB99" s="29" t="s">
        <v>69</v>
      </c>
      <c r="AC99" s="29">
        <v>15</v>
      </c>
      <c r="AD99" s="29">
        <v>7</v>
      </c>
      <c r="AE99" s="29" t="s">
        <v>70</v>
      </c>
      <c r="AF99">
        <v>2</v>
      </c>
    </row>
    <row r="100" spans="1:33" x14ac:dyDescent="0.25">
      <c r="A100" s="28">
        <v>96</v>
      </c>
      <c r="B100" s="29" t="s">
        <v>60</v>
      </c>
      <c r="C100" s="29" t="s">
        <v>61</v>
      </c>
      <c r="D100" s="29" t="s">
        <v>62</v>
      </c>
      <c r="E100" s="29" t="s">
        <v>62</v>
      </c>
      <c r="F100" s="30" cm="1">
        <f t="array" ref="F100">_xlfn.IFS($G100=$G$5,F$5,$G100=$G$6,F$6,$G100=$G$7,F$7,$G100=$G$8,F$8,$G100=$G$9,F$9,$G100=$G$10,F$10,$G100=$G$11,F$11,$G100=$G$13,F$13,$G100=$G$15,F$15,$G100=$G$16,F$16,$G100=$G$33,F$33,$G100=$G$34,F$34,$G100=$G$248,F$248,$G100=$G$250,F$250)</f>
        <v>8019</v>
      </c>
      <c r="G100" s="29" t="s">
        <v>74</v>
      </c>
      <c r="H100" s="31" cm="1">
        <f t="array" ref="H100">_xlfn.IFS($G100=$G$5,H$5,$G100=$G$6,H$6,$G100=$G$7,H$7,$G100=$G$8,H$8,$G100=$G$9,H$9,$G100=$G$10,H$10,$G100=$G$11,H$11,$G100=$G$13,H$13,$G100=$G$15,H$15,$G100=$G$16,H$16,$G100=$G$33,H$33,$G100=$G$34,H$34,$G100=$G$248,H$248,$G100=$G$250,H$250)</f>
        <v>41.410684000000003</v>
      </c>
      <c r="I100" s="31" cm="1">
        <f t="array" ref="I100">_xlfn.IFS($G100=$G$5,I$5,$G100=$G$6,I$6,$G100=$G$7,I$7,$G100=$G$8,I$8,$G100=$G$9,I$9,$G100=$G$10,I$10,$G100=$G$11,I$11,$G100=$G$13,I$13,$G100=$G$15,I$15,$G100=$G$16,I$16,$G100=$G$33,I$33,$G100=$G$34,I$34,$G100=$G$248,I$248,$G100=$G$250,I$250)</f>
        <v>2.2208019999999999</v>
      </c>
      <c r="J100" s="29" cm="1">
        <f t="array" ref="J100">_xlfn.IFS($G100=$G$5,J$5,$G100=$G$6,J$6,$G100=$G$7,J$7,$G100=$G$8,J$8,$G100=$G$9,J$9,$G100=$G$10,J$10,$G100=$G$11,J$11,$G100=$G$13,J$13,$G100=$G$15,J$15,$G100=$G$16,J$16,$G100=$G$33,J$33,$G100=$G$34,J$34,$G100=$G$248,J$248,$G100=$G$250,J$250)</f>
        <v>18</v>
      </c>
      <c r="K100" s="29" t="str" cm="1">
        <f t="array" ref="K100">_xlfn.IFS($G100=$G$5,K$5,$G100=$G$6,K$6,$G100=$G$7,K$7,$G100=$G$8,K$8,$G100=$G$9,K$9,$G100=$G$10,K$10,$G100=$G$11,K$11,$G100=$G$13,K$13,$G100=$G$15,K$15,$G100=$G$16,K$16,$G100=$G$33,K$33,$G100=$G$34,K$34,$G100=$G$248,K$248,$G100=$G$250,K$250)</f>
        <v>BG sentinel + BG lure7</v>
      </c>
      <c r="L100" s="29" t="str" cm="1">
        <f t="array" ref="L100">_xlfn.IFS($G100=$G$5,L$5,$G100=$G$6,L$6,$G100=$G$7,L$7,$G100=$G$8,L$8,$G100=$G$9,L$9,$G100=$G$10,L$10,$G100=$G$11,L$11,$G100=$G$13,L$13,$G100=$G$15,L$15,$G100=$G$16,L$16,$G100=$G$33,L$33,$G100=$G$34,L$34,$G100=$G$248,L$248,$G100=$G$250,L$250)</f>
        <v>Urban habitat</v>
      </c>
      <c r="O100" s="32" t="str">
        <f t="shared" si="7"/>
        <v>A_SP_BCN_5_200826</v>
      </c>
      <c r="P100" s="33">
        <v>44069</v>
      </c>
      <c r="Q100" s="34">
        <v>0.47916666666666669</v>
      </c>
      <c r="R100" s="35"/>
      <c r="S100" s="36">
        <v>44076</v>
      </c>
      <c r="T100" s="37">
        <v>0.4861111111111111</v>
      </c>
      <c r="U100" s="38"/>
      <c r="V100" s="39" t="s">
        <v>66</v>
      </c>
      <c r="X100" s="29">
        <f t="shared" si="6"/>
        <v>7</v>
      </c>
      <c r="Y100" s="38"/>
      <c r="Z100" s="29" t="s">
        <v>75</v>
      </c>
      <c r="AA100" s="29">
        <f t="shared" si="5"/>
        <v>8</v>
      </c>
      <c r="AB100" s="29" t="s">
        <v>69</v>
      </c>
      <c r="AC100" s="29">
        <v>6</v>
      </c>
      <c r="AD100" s="29">
        <v>2</v>
      </c>
      <c r="AE100" s="29" t="s">
        <v>70</v>
      </c>
      <c r="AF100">
        <v>4</v>
      </c>
    </row>
    <row r="101" spans="1:33" x14ac:dyDescent="0.25">
      <c r="A101" s="28">
        <v>97</v>
      </c>
      <c r="B101" s="29" t="s">
        <v>60</v>
      </c>
      <c r="C101" s="29" t="s">
        <v>61</v>
      </c>
      <c r="D101" s="29" t="s">
        <v>62</v>
      </c>
      <c r="E101" s="29" t="s">
        <v>62</v>
      </c>
      <c r="F101" s="30" cm="1">
        <f t="array" ref="F101">_xlfn.IFS($G101=$G$5,F$5,$G101=$G$6,F$6,$G101=$G$7,F$7,$G101=$G$8,F$8,$G101=$G$9,F$9,$G101=$G$10,F$10,$G101=$G$11,F$11,$G101=$G$13,F$13,$G101=$G$15,F$15,$G101=$G$16,F$16,$G101=$G$33,F$33,$G101=$G$34,F$34,$G101=$G$248,F$248,$G101=$G$250,F$250)</f>
        <v>8019</v>
      </c>
      <c r="G101" s="29" t="s">
        <v>74</v>
      </c>
      <c r="H101" s="31" cm="1">
        <f t="array" ref="H101">_xlfn.IFS($G101=$G$5,H$5,$G101=$G$6,H$6,$G101=$G$7,H$7,$G101=$G$8,H$8,$G101=$G$9,H$9,$G101=$G$10,H$10,$G101=$G$11,H$11,$G101=$G$13,H$13,$G101=$G$15,H$15,$G101=$G$16,H$16,$G101=$G$33,H$33,$G101=$G$34,H$34,$G101=$G$248,H$248,$G101=$G$250,H$250)</f>
        <v>41.410684000000003</v>
      </c>
      <c r="I101" s="31" cm="1">
        <f t="array" ref="I101">_xlfn.IFS($G101=$G$5,I$5,$G101=$G$6,I$6,$G101=$G$7,I$7,$G101=$G$8,I$8,$G101=$G$9,I$9,$G101=$G$10,I$10,$G101=$G$11,I$11,$G101=$G$13,I$13,$G101=$G$15,I$15,$G101=$G$16,I$16,$G101=$G$33,I$33,$G101=$G$34,I$34,$G101=$G$248,I$248,$G101=$G$250,I$250)</f>
        <v>2.2208019999999999</v>
      </c>
      <c r="J101" s="29" cm="1">
        <f t="array" ref="J101">_xlfn.IFS($G101=$G$5,J$5,$G101=$G$6,J$6,$G101=$G$7,J$7,$G101=$G$8,J$8,$G101=$G$9,J$9,$G101=$G$10,J$10,$G101=$G$11,J$11,$G101=$G$13,J$13,$G101=$G$15,J$15,$G101=$G$16,J$16,$G101=$G$33,J$33,$G101=$G$34,J$34,$G101=$G$248,J$248,$G101=$G$250,J$250)</f>
        <v>18</v>
      </c>
      <c r="K101" s="29" t="str" cm="1">
        <f t="array" ref="K101">_xlfn.IFS($G101=$G$5,K$5,$G101=$G$6,K$6,$G101=$G$7,K$7,$G101=$G$8,K$8,$G101=$G$9,K$9,$G101=$G$10,K$10,$G101=$G$11,K$11,$G101=$G$13,K$13,$G101=$G$15,K$15,$G101=$G$16,K$16,$G101=$G$33,K$33,$G101=$G$34,K$34,$G101=$G$248,K$248,$G101=$G$250,K$250)</f>
        <v>BG sentinel + BG lure7</v>
      </c>
      <c r="L101" s="29" t="str" cm="1">
        <f t="array" ref="L101">_xlfn.IFS($G101=$G$5,L$5,$G101=$G$6,L$6,$G101=$G$7,L$7,$G101=$G$8,L$8,$G101=$G$9,L$9,$G101=$G$10,L$10,$G101=$G$11,L$11,$G101=$G$13,L$13,$G101=$G$15,L$15,$G101=$G$16,L$16,$G101=$G$33,L$33,$G101=$G$34,L$34,$G101=$G$248,L$248,$G101=$G$250,L$250)</f>
        <v>Urban habitat</v>
      </c>
      <c r="O101" s="32" t="str">
        <f t="shared" si="7"/>
        <v>A_SP_BCN_5_200826</v>
      </c>
      <c r="P101" s="33">
        <v>44069</v>
      </c>
      <c r="Q101" s="34">
        <v>0.47916666666666669</v>
      </c>
      <c r="R101" s="35"/>
      <c r="S101" s="36">
        <v>44076</v>
      </c>
      <c r="T101" s="37">
        <v>0.4861111111111111</v>
      </c>
      <c r="U101" s="38"/>
      <c r="V101" s="39" t="s">
        <v>66</v>
      </c>
      <c r="X101" s="29">
        <f t="shared" si="6"/>
        <v>7</v>
      </c>
      <c r="Y101" s="38"/>
      <c r="Z101" s="29" t="s">
        <v>84</v>
      </c>
      <c r="AA101" s="29">
        <f t="shared" si="5"/>
        <v>1</v>
      </c>
      <c r="AB101" s="29" t="s">
        <v>69</v>
      </c>
      <c r="AC101" s="29">
        <v>0</v>
      </c>
      <c r="AD101" s="29">
        <v>1</v>
      </c>
      <c r="AE101" s="29" t="s">
        <v>70</v>
      </c>
      <c r="AF101">
        <v>4</v>
      </c>
    </row>
    <row r="102" spans="1:33" x14ac:dyDescent="0.25">
      <c r="A102" s="28">
        <v>98</v>
      </c>
      <c r="B102" s="29" t="s">
        <v>60</v>
      </c>
      <c r="C102" s="29" t="s">
        <v>61</v>
      </c>
      <c r="D102" s="29" t="s">
        <v>62</v>
      </c>
      <c r="E102" s="29" t="s">
        <v>62</v>
      </c>
      <c r="F102" s="30" cm="1">
        <f t="array" ref="F102">_xlfn.IFS($G102=$G$5,F$5,$G102=$G$6,F$6,$G102=$G$7,F$7,$G102=$G$8,F$8,$G102=$G$9,F$9,$G102=$G$10,F$10,$G102=$G$11,F$11,$G102=$G$13,F$13,$G102=$G$15,F$15,$G102=$G$16,F$16,$G102=$G$33,F$33,$G102=$G$34,F$34,$G102=$G$248,F$248,$G102=$G$250,F$250)</f>
        <v>8002</v>
      </c>
      <c r="G102" s="29" t="s">
        <v>76</v>
      </c>
      <c r="H102" s="31" cm="1">
        <f t="array" ref="H102">_xlfn.IFS($G102=$G$5,H$5,$G102=$G$6,H$6,$G102=$G$7,H$7,$G102=$G$8,H$8,$G102=$G$9,H$9,$G102=$G$10,H$10,$G102=$G$11,H$11,$G102=$G$13,H$13,$G102=$G$15,H$15,$G102=$G$16,H$16,$G102=$G$33,H$33,$G102=$G$34,H$34,$G102=$G$248,H$248,$G102=$G$250,H$250)</f>
        <v>41.382339999999999</v>
      </c>
      <c r="I102" s="31" cm="1">
        <f t="array" ref="I102">_xlfn.IFS($G102=$G$5,I$5,$G102=$G$6,I$6,$G102=$G$7,I$7,$G102=$G$8,I$8,$G102=$G$9,I$9,$G102=$G$10,I$10,$G102=$G$11,I$11,$G102=$G$13,I$13,$G102=$G$15,I$15,$G102=$G$16,I$16,$G102=$G$33,I$33,$G102=$G$34,I$34,$G102=$G$248,I$248,$G102=$G$250,I$250)</f>
        <v>2.1714790000000002</v>
      </c>
      <c r="J102" s="29" cm="1">
        <f t="array" ref="J102">_xlfn.IFS($G102=$G$5,J$5,$G102=$G$6,J$6,$G102=$G$7,J$7,$G102=$G$8,J$8,$G102=$G$9,J$9,$G102=$G$10,J$10,$G102=$G$11,J$11,$G102=$G$13,J$13,$G102=$G$15,J$15,$G102=$G$16,J$16,$G102=$G$33,J$33,$G102=$G$34,J$34,$G102=$G$248,J$248,$G102=$G$250,J$250)</f>
        <v>19</v>
      </c>
      <c r="K102" s="29" t="str" cm="1">
        <f t="array" ref="K102">_xlfn.IFS($G102=$G$5,K$5,$G102=$G$6,K$6,$G102=$G$7,K$7,$G102=$G$8,K$8,$G102=$G$9,K$9,$G102=$G$10,K$10,$G102=$G$11,K$11,$G102=$G$13,K$13,$G102=$G$15,K$15,$G102=$G$16,K$16,$G102=$G$33,K$33,$G102=$G$34,K$34,$G102=$G$248,K$248,$G102=$G$250,K$250)</f>
        <v>BG sentinel + BG lure7</v>
      </c>
      <c r="L102" s="29" t="str" cm="1">
        <f t="array" ref="L102">_xlfn.IFS($G102=$G$5,L$5,$G102=$G$6,L$6,$G102=$G$7,L$7,$G102=$G$8,L$8,$G102=$G$9,L$9,$G102=$G$10,L$10,$G102=$G$11,L$11,$G102=$G$13,L$13,$G102=$G$15,L$15,$G102=$G$16,L$16,$G102=$G$33,L$33,$G102=$G$34,L$34,$G102=$G$248,L$248,$G102=$G$250,L$250)</f>
        <v>Urban habitat</v>
      </c>
      <c r="O102" s="32" t="str">
        <f t="shared" si="7"/>
        <v>A_SP_BCN_6_200826</v>
      </c>
      <c r="P102" s="33">
        <v>44069</v>
      </c>
      <c r="Q102" s="34">
        <v>0.44097222222222227</v>
      </c>
      <c r="R102" s="35"/>
      <c r="S102" s="36">
        <v>44076</v>
      </c>
      <c r="T102" s="37">
        <v>0.4375</v>
      </c>
      <c r="U102" s="38"/>
      <c r="V102" s="39" t="s">
        <v>66</v>
      </c>
      <c r="X102" s="29">
        <f t="shared" si="6"/>
        <v>7</v>
      </c>
      <c r="Y102" s="38"/>
      <c r="Z102" s="29" t="s">
        <v>68</v>
      </c>
      <c r="AA102" s="29">
        <f t="shared" si="5"/>
        <v>5</v>
      </c>
      <c r="AB102" s="29" t="s">
        <v>69</v>
      </c>
      <c r="AC102" s="29">
        <v>5</v>
      </c>
      <c r="AD102" s="29">
        <v>0</v>
      </c>
      <c r="AE102" s="29" t="s">
        <v>70</v>
      </c>
      <c r="AF102">
        <v>4</v>
      </c>
    </row>
    <row r="103" spans="1:33" x14ac:dyDescent="0.25">
      <c r="A103" s="28">
        <v>99</v>
      </c>
      <c r="B103" s="29" t="s">
        <v>60</v>
      </c>
      <c r="C103" s="29" t="s">
        <v>61</v>
      </c>
      <c r="D103" s="29" t="s">
        <v>62</v>
      </c>
      <c r="E103" s="29" t="s">
        <v>62</v>
      </c>
      <c r="F103" s="30" cm="1">
        <f t="array" ref="F103">_xlfn.IFS($G103=$G$5,F$5,$G103=$G$6,F$6,$G103=$G$7,F$7,$G103=$G$8,F$8,$G103=$G$9,F$9,$G103=$G$10,F$10,$G103=$G$11,F$11,$G103=$G$13,F$13,$G103=$G$15,F$15,$G103=$G$16,F$16,$G103=$G$33,F$33,$G103=$G$34,F$34,$G103=$G$248,F$248,$G103=$G$250,F$250)</f>
        <v>8038</v>
      </c>
      <c r="G103" s="29" t="s">
        <v>77</v>
      </c>
      <c r="H103" s="31" cm="1">
        <f t="array" ref="H103">_xlfn.IFS($G103=$G$5,H$5,$G103=$G$6,H$6,$G103=$G$7,H$7,$G103=$G$8,H$8,$G103=$G$9,H$9,$G103=$G$10,H$10,$G103=$G$11,H$11,$G103=$G$13,H$13,$G103=$G$15,H$15,$G103=$G$16,H$16,$G103=$G$33,H$33,$G103=$G$34,H$34,$G103=$G$248,H$248,$G103=$G$250,H$250)</f>
        <v>41.371864000000002</v>
      </c>
      <c r="I103" s="31" cm="1">
        <f t="array" ref="I103">_xlfn.IFS($G103=$G$5,I$5,$G103=$G$6,I$6,$G103=$G$7,I$7,$G103=$G$8,I$8,$G103=$G$9,I$9,$G103=$G$10,I$10,$G103=$G$11,I$11,$G103=$G$13,I$13,$G103=$G$15,I$15,$G103=$G$16,I$16,$G103=$G$33,I$33,$G103=$G$34,I$34,$G103=$G$248,I$248,$G103=$G$250,I$250)</f>
        <v>2.173899</v>
      </c>
      <c r="J103" s="29" cm="1">
        <f t="array" ref="J103">_xlfn.IFS($G103=$G$5,J$5,$G103=$G$6,J$6,$G103=$G$7,J$7,$G103=$G$8,J$8,$G103=$G$9,J$9,$G103=$G$10,J$10,$G103=$G$11,J$11,$G103=$G$13,J$13,$G103=$G$15,J$15,$G103=$G$16,J$16,$G103=$G$33,J$33,$G103=$G$34,J$34,$G103=$G$248,J$248,$G103=$G$250,J$250)</f>
        <v>5</v>
      </c>
      <c r="K103" s="29" t="str" cm="1">
        <f t="array" ref="K103">_xlfn.IFS($G103=$G$5,K$5,$G103=$G$6,K$6,$G103=$G$7,K$7,$G103=$G$8,K$8,$G103=$G$9,K$9,$G103=$G$10,K$10,$G103=$G$11,K$11,$G103=$G$13,K$13,$G103=$G$15,K$15,$G103=$G$16,K$16,$G103=$G$33,K$33,$G103=$G$34,K$34,$G103=$G$248,K$248,$G103=$G$250,K$250)</f>
        <v>BG sentinel + BG lure7</v>
      </c>
      <c r="L103" s="29" t="str" cm="1">
        <f t="array" ref="L103">_xlfn.IFS($G103=$G$5,L$5,$G103=$G$6,L$6,$G103=$G$7,L$7,$G103=$G$8,L$8,$G103=$G$9,L$9,$G103=$G$10,L$10,$G103=$G$11,L$11,$G103=$G$13,L$13,$G103=$G$15,L$15,$G103=$G$16,L$16,$G103=$G$33,L$33,$G103=$G$34,L$34,$G103=$G$248,L$248,$G103=$G$250,L$250)</f>
        <v>Urban habitat</v>
      </c>
      <c r="O103" s="32" t="str">
        <f t="shared" si="7"/>
        <v>A_SP_BCN_7_200826</v>
      </c>
      <c r="P103" s="33">
        <v>44069</v>
      </c>
      <c r="Q103" s="34">
        <v>0.625</v>
      </c>
      <c r="R103" s="35"/>
      <c r="S103" s="36">
        <v>44076</v>
      </c>
      <c r="T103" s="37">
        <v>0.64236111111111105</v>
      </c>
      <c r="U103" s="38"/>
      <c r="V103" s="39" t="s">
        <v>66</v>
      </c>
      <c r="X103" s="29">
        <f t="shared" si="6"/>
        <v>7</v>
      </c>
      <c r="Y103" s="38"/>
      <c r="Z103" s="29" t="s">
        <v>68</v>
      </c>
      <c r="AA103" s="29">
        <f t="shared" si="5"/>
        <v>27</v>
      </c>
      <c r="AB103" s="29" t="s">
        <v>69</v>
      </c>
      <c r="AC103" s="29">
        <v>25</v>
      </c>
      <c r="AD103" s="29">
        <v>2</v>
      </c>
      <c r="AE103" s="29" t="s">
        <v>70</v>
      </c>
      <c r="AF103">
        <v>4</v>
      </c>
    </row>
    <row r="104" spans="1:33" x14ac:dyDescent="0.25">
      <c r="A104" s="28">
        <v>100</v>
      </c>
      <c r="B104" s="29" t="s">
        <v>60</v>
      </c>
      <c r="C104" s="29" t="s">
        <v>61</v>
      </c>
      <c r="D104" s="29" t="s">
        <v>62</v>
      </c>
      <c r="E104" s="29" t="s">
        <v>62</v>
      </c>
      <c r="F104" s="30" cm="1">
        <f t="array" ref="F104">_xlfn.IFS($G104=$G$5,F$5,$G104=$G$6,F$6,$G104=$G$7,F$7,$G104=$G$8,F$8,$G104=$G$9,F$9,$G104=$G$10,F$10,$G104=$G$11,F$11,$G104=$G$13,F$13,$G104=$G$15,F$15,$G104=$G$16,F$16,$G104=$G$33,F$33,$G104=$G$34,F$34,$G104=$G$248,F$248,$G104=$G$250,F$250)</f>
        <v>8038</v>
      </c>
      <c r="G104" s="29" t="s">
        <v>77</v>
      </c>
      <c r="H104" s="31" cm="1">
        <f t="array" ref="H104">_xlfn.IFS($G104=$G$5,H$5,$G104=$G$6,H$6,$G104=$G$7,H$7,$G104=$G$8,H$8,$G104=$G$9,H$9,$G104=$G$10,H$10,$G104=$G$11,H$11,$G104=$G$13,H$13,$G104=$G$15,H$15,$G104=$G$16,H$16,$G104=$G$33,H$33,$G104=$G$34,H$34,$G104=$G$248,H$248,$G104=$G$250,H$250)</f>
        <v>41.371864000000002</v>
      </c>
      <c r="I104" s="31" cm="1">
        <f t="array" ref="I104">_xlfn.IFS($G104=$G$5,I$5,$G104=$G$6,I$6,$G104=$G$7,I$7,$G104=$G$8,I$8,$G104=$G$9,I$9,$G104=$G$10,I$10,$G104=$G$11,I$11,$G104=$G$13,I$13,$G104=$G$15,I$15,$G104=$G$16,I$16,$G104=$G$33,I$33,$G104=$G$34,I$34,$G104=$G$248,I$248,$G104=$G$250,I$250)</f>
        <v>2.173899</v>
      </c>
      <c r="J104" s="29" cm="1">
        <f t="array" ref="J104">_xlfn.IFS($G104=$G$5,J$5,$G104=$G$6,J$6,$G104=$G$7,J$7,$G104=$G$8,J$8,$G104=$G$9,J$9,$G104=$G$10,J$10,$G104=$G$11,J$11,$G104=$G$13,J$13,$G104=$G$15,J$15,$G104=$G$16,J$16,$G104=$G$33,J$33,$G104=$G$34,J$34,$G104=$G$248,J$248,$G104=$G$250,J$250)</f>
        <v>5</v>
      </c>
      <c r="K104" s="29" t="str" cm="1">
        <f t="array" ref="K104">_xlfn.IFS($G104=$G$5,K$5,$G104=$G$6,K$6,$G104=$G$7,K$7,$G104=$G$8,K$8,$G104=$G$9,K$9,$G104=$G$10,K$10,$G104=$G$11,K$11,$G104=$G$13,K$13,$G104=$G$15,K$15,$G104=$G$16,K$16,$G104=$G$33,K$33,$G104=$G$34,K$34,$G104=$G$248,K$248,$G104=$G$250,K$250)</f>
        <v>BG sentinel + BG lure7</v>
      </c>
      <c r="L104" s="29" t="str" cm="1">
        <f t="array" ref="L104">_xlfn.IFS($G104=$G$5,L$5,$G104=$G$6,L$6,$G104=$G$7,L$7,$G104=$G$8,L$8,$G104=$G$9,L$9,$G104=$G$10,L$10,$G104=$G$11,L$11,$G104=$G$13,L$13,$G104=$G$15,L$15,$G104=$G$16,L$16,$G104=$G$33,L$33,$G104=$G$34,L$34,$G104=$G$248,L$248,$G104=$G$250,L$250)</f>
        <v>Urban habitat</v>
      </c>
      <c r="O104" s="32" t="str">
        <f t="shared" si="7"/>
        <v>A_SP_BCN_7_200826</v>
      </c>
      <c r="P104" s="33">
        <v>44069</v>
      </c>
      <c r="Q104" s="34">
        <v>0.625</v>
      </c>
      <c r="R104" s="35"/>
      <c r="S104" s="36">
        <v>44076</v>
      </c>
      <c r="T104" s="37">
        <v>0.64236111111111105</v>
      </c>
      <c r="U104" s="38"/>
      <c r="V104" s="39" t="s">
        <v>66</v>
      </c>
      <c r="X104" s="29">
        <f t="shared" si="6"/>
        <v>7</v>
      </c>
      <c r="Y104" s="38"/>
      <c r="Z104" s="29" t="s">
        <v>75</v>
      </c>
      <c r="AA104" s="29">
        <f t="shared" si="5"/>
        <v>2</v>
      </c>
      <c r="AB104" s="29" t="s">
        <v>69</v>
      </c>
      <c r="AC104" s="29">
        <v>2</v>
      </c>
      <c r="AD104" s="29">
        <v>0</v>
      </c>
      <c r="AE104" s="29" t="s">
        <v>70</v>
      </c>
      <c r="AF104">
        <v>4</v>
      </c>
    </row>
    <row r="105" spans="1:33" x14ac:dyDescent="0.25">
      <c r="A105" s="28">
        <v>101</v>
      </c>
      <c r="B105" s="29" t="s">
        <v>60</v>
      </c>
      <c r="C105" s="29" t="s">
        <v>61</v>
      </c>
      <c r="D105" s="29" t="s">
        <v>62</v>
      </c>
      <c r="E105" s="29" t="s">
        <v>62</v>
      </c>
      <c r="F105" s="30" cm="1">
        <f t="array" ref="F105">_xlfn.IFS($G105=$G$5,F$5,$G105=$G$6,F$6,$G105=$G$7,F$7,$G105=$G$8,F$8,$G105=$G$9,F$9,$G105=$G$10,F$10,$G105=$G$11,F$11,$G105=$G$13,F$13,$G105=$G$15,F$15,$G105=$G$16,F$16,$G105=$G$33,F$33,$G105=$G$34,F$34,$G105=$G$248,F$248,$G105=$G$250,F$250)</f>
        <v>8038</v>
      </c>
      <c r="G105" s="29" t="s">
        <v>78</v>
      </c>
      <c r="H105" s="31" cm="1">
        <f t="array" ref="H105">_xlfn.IFS($G105=$G$5,H$5,$G105=$G$6,H$6,$G105=$G$7,H$7,$G105=$G$8,H$8,$G105=$G$9,H$9,$G105=$G$10,H$10,$G105=$G$11,H$11,$G105=$G$13,H$13,$G105=$G$15,H$15,$G105=$G$16,H$16,$G105=$G$33,H$33,$G105=$G$34,H$34,$G105=$G$248,H$248,$G105=$G$250,H$250)</f>
        <v>41.368589</v>
      </c>
      <c r="I105" s="31" cm="1">
        <f t="array" ref="I105">_xlfn.IFS($G105=$G$5,I$5,$G105=$G$6,I$6,$G105=$G$7,I$7,$G105=$G$8,I$8,$G105=$G$9,I$9,$G105=$G$10,I$10,$G105=$G$11,I$11,$G105=$G$13,I$13,$G105=$G$15,I$15,$G105=$G$16,I$16,$G105=$G$33,I$33,$G105=$G$34,I$34,$G105=$G$248,I$248,$G105=$G$250,I$250)</f>
        <v>2.1620900000000001</v>
      </c>
      <c r="J105" s="29" cm="1">
        <f t="array" ref="J105">_xlfn.IFS($G105=$G$5,J$5,$G105=$G$6,J$6,$G105=$G$7,J$7,$G105=$G$8,J$8,$G105=$G$9,J$9,$G105=$G$10,J$10,$G105=$G$11,J$11,$G105=$G$13,J$13,$G105=$G$15,J$15,$G105=$G$16,J$16,$G105=$G$33,J$33,$G105=$G$34,J$34,$G105=$G$248,J$248,$G105=$G$250,J$250)</f>
        <v>95</v>
      </c>
      <c r="K105" s="29" t="str" cm="1">
        <f t="array" ref="K105">_xlfn.IFS($G105=$G$5,K$5,$G105=$G$6,K$6,$G105=$G$7,K$7,$G105=$G$8,K$8,$G105=$G$9,K$9,$G105=$G$10,K$10,$G105=$G$11,K$11,$G105=$G$13,K$13,$G105=$G$15,K$15,$G105=$G$16,K$16,$G105=$G$33,K$33,$G105=$G$34,K$34,$G105=$G$248,K$248,$G105=$G$250,K$250)</f>
        <v>BG sentinel + BG lure7</v>
      </c>
      <c r="L105" s="29" t="str" cm="1">
        <f t="array" ref="L105">_xlfn.IFS($G105=$G$5,L$5,$G105=$G$6,L$6,$G105=$G$7,L$7,$G105=$G$8,L$8,$G105=$G$9,L$9,$G105=$G$10,L$10,$G105=$G$11,L$11,$G105=$G$13,L$13,$G105=$G$15,L$15,$G105=$G$16,L$16,$G105=$G$33,L$33,$G105=$G$34,L$34,$G105=$G$248,L$248,$G105=$G$250,L$250)</f>
        <v>Other</v>
      </c>
      <c r="O105" s="32" t="str">
        <f t="shared" si="7"/>
        <v>A_SP_BCN_8_200826</v>
      </c>
      <c r="P105" s="33">
        <v>44069</v>
      </c>
      <c r="Q105" s="34">
        <v>0.64583333333333337</v>
      </c>
      <c r="R105" s="35"/>
      <c r="S105" s="36">
        <v>44076</v>
      </c>
      <c r="T105" s="37">
        <v>0.69097222222222221</v>
      </c>
      <c r="U105" s="38"/>
      <c r="V105" s="39" t="s">
        <v>66</v>
      </c>
      <c r="X105" s="29">
        <f t="shared" si="6"/>
        <v>7</v>
      </c>
      <c r="Y105" s="38"/>
      <c r="Z105" s="29" t="s">
        <v>68</v>
      </c>
      <c r="AA105" s="29">
        <f t="shared" si="5"/>
        <v>75</v>
      </c>
      <c r="AB105" s="29" t="s">
        <v>69</v>
      </c>
      <c r="AC105" s="29">
        <v>58</v>
      </c>
      <c r="AD105" s="29">
        <v>17</v>
      </c>
      <c r="AE105" s="29" t="s">
        <v>70</v>
      </c>
      <c r="AF105">
        <v>4</v>
      </c>
    </row>
    <row r="106" spans="1:33" x14ac:dyDescent="0.25">
      <c r="A106" s="28">
        <v>102</v>
      </c>
      <c r="B106" s="29" t="s">
        <v>60</v>
      </c>
      <c r="C106" s="29" t="s">
        <v>61</v>
      </c>
      <c r="D106" s="29" t="s">
        <v>62</v>
      </c>
      <c r="E106" s="29" t="s">
        <v>62</v>
      </c>
      <c r="F106" s="30" cm="1">
        <f t="array" ref="F106">_xlfn.IFS($G106=$G$5,F$5,$G106=$G$6,F$6,$G106=$G$7,F$7,$G106=$G$8,F$8,$G106=$G$9,F$9,$G106=$G$10,F$10,$G106=$G$11,F$11,$G106=$G$13,F$13,$G106=$G$15,F$15,$G106=$G$16,F$16,$G106=$G$33,F$33,$G106=$G$34,F$34,$G106=$G$248,F$248,$G106=$G$250,F$250)</f>
        <v>8038</v>
      </c>
      <c r="G106" s="29" t="s">
        <v>78</v>
      </c>
      <c r="H106" s="31" cm="1">
        <f t="array" ref="H106">_xlfn.IFS($G106=$G$5,H$5,$G106=$G$6,H$6,$G106=$G$7,H$7,$G106=$G$8,H$8,$G106=$G$9,H$9,$G106=$G$10,H$10,$G106=$G$11,H$11,$G106=$G$13,H$13,$G106=$G$15,H$15,$G106=$G$16,H$16,$G106=$G$33,H$33,$G106=$G$34,H$34,$G106=$G$248,H$248,$G106=$G$250,H$250)</f>
        <v>41.368589</v>
      </c>
      <c r="I106" s="31" cm="1">
        <f t="array" ref="I106">_xlfn.IFS($G106=$G$5,I$5,$G106=$G$6,I$6,$G106=$G$7,I$7,$G106=$G$8,I$8,$G106=$G$9,I$9,$G106=$G$10,I$10,$G106=$G$11,I$11,$G106=$G$13,I$13,$G106=$G$15,I$15,$G106=$G$16,I$16,$G106=$G$33,I$33,$G106=$G$34,I$34,$G106=$G$248,I$248,$G106=$G$250,I$250)</f>
        <v>2.1620900000000001</v>
      </c>
      <c r="J106" s="29" cm="1">
        <f t="array" ref="J106">_xlfn.IFS($G106=$G$5,J$5,$G106=$G$6,J$6,$G106=$G$7,J$7,$G106=$G$8,J$8,$G106=$G$9,J$9,$G106=$G$10,J$10,$G106=$G$11,J$11,$G106=$G$13,J$13,$G106=$G$15,J$15,$G106=$G$16,J$16,$G106=$G$33,J$33,$G106=$G$34,J$34,$G106=$G$248,J$248,$G106=$G$250,J$250)</f>
        <v>95</v>
      </c>
      <c r="K106" s="29" t="str" cm="1">
        <f t="array" ref="K106">_xlfn.IFS($G106=$G$5,K$5,$G106=$G$6,K$6,$G106=$G$7,K$7,$G106=$G$8,K$8,$G106=$G$9,K$9,$G106=$G$10,K$10,$G106=$G$11,K$11,$G106=$G$13,K$13,$G106=$G$15,K$15,$G106=$G$16,K$16,$G106=$G$33,K$33,$G106=$G$34,K$34,$G106=$G$248,K$248,$G106=$G$250,K$250)</f>
        <v>BG sentinel + BG lure7</v>
      </c>
      <c r="L106" s="29" t="str" cm="1">
        <f t="array" ref="L106">_xlfn.IFS($G106=$G$5,L$5,$G106=$G$6,L$6,$G106=$G$7,L$7,$G106=$G$8,L$8,$G106=$G$9,L$9,$G106=$G$10,L$10,$G106=$G$11,L$11,$G106=$G$13,L$13,$G106=$G$15,L$15,$G106=$G$16,L$16,$G106=$G$33,L$33,$G106=$G$34,L$34,$G106=$G$248,L$248,$G106=$G$250,L$250)</f>
        <v>Other</v>
      </c>
      <c r="O106" s="32" t="str">
        <f t="shared" si="7"/>
        <v>A_SP_BCN_8_200826</v>
      </c>
      <c r="P106" s="33">
        <v>44069</v>
      </c>
      <c r="Q106" s="34">
        <v>0.64583333333333337</v>
      </c>
      <c r="R106" s="35"/>
      <c r="S106" s="36">
        <v>44076</v>
      </c>
      <c r="T106" s="37">
        <v>0.69097222222222221</v>
      </c>
      <c r="U106" s="38"/>
      <c r="V106" s="39" t="s">
        <v>66</v>
      </c>
      <c r="W106" s="39" t="s">
        <v>92</v>
      </c>
      <c r="X106" s="29">
        <f t="shared" si="6"/>
        <v>7</v>
      </c>
      <c r="Y106" s="38"/>
      <c r="Z106" s="29" t="s">
        <v>75</v>
      </c>
      <c r="AA106" s="29">
        <f t="shared" si="5"/>
        <v>12</v>
      </c>
      <c r="AB106" s="29" t="s">
        <v>69</v>
      </c>
      <c r="AC106" s="29">
        <v>11</v>
      </c>
      <c r="AD106" s="29">
        <v>1</v>
      </c>
      <c r="AE106" s="29" t="s">
        <v>70</v>
      </c>
      <c r="AF106">
        <v>4</v>
      </c>
    </row>
    <row r="107" spans="1:33" x14ac:dyDescent="0.25">
      <c r="A107" s="28">
        <v>103</v>
      </c>
      <c r="B107" s="29" t="s">
        <v>60</v>
      </c>
      <c r="C107" s="29" t="s">
        <v>61</v>
      </c>
      <c r="D107" s="29" t="s">
        <v>62</v>
      </c>
      <c r="E107" s="29" t="s">
        <v>62</v>
      </c>
      <c r="F107" s="30" cm="1">
        <f t="array" ref="F107">_xlfn.IFS($G107=$G$5,F$5,$G107=$G$6,F$6,$G107=$G$7,F$7,$G107=$G$8,F$8,$G107=$G$9,F$9,$G107=$G$10,F$10,$G107=$G$11,F$11,$G107=$G$13,F$13,$G107=$G$15,F$15,$G107=$G$16,F$16,$G107=$G$33,F$33,$G107=$G$34,F$34,$G107=$G$248,F$248,$G107=$G$250,F$250)</f>
        <v>8038</v>
      </c>
      <c r="G107" s="29" t="s">
        <v>78</v>
      </c>
      <c r="H107" s="31" cm="1">
        <f t="array" ref="H107">_xlfn.IFS($G107=$G$5,H$5,$G107=$G$6,H$6,$G107=$G$7,H$7,$G107=$G$8,H$8,$G107=$G$9,H$9,$G107=$G$10,H$10,$G107=$G$11,H$11,$G107=$G$13,H$13,$G107=$G$15,H$15,$G107=$G$16,H$16,$G107=$G$33,H$33,$G107=$G$34,H$34,$G107=$G$248,H$248,$G107=$G$250,H$250)</f>
        <v>41.368589</v>
      </c>
      <c r="I107" s="31" cm="1">
        <f t="array" ref="I107">_xlfn.IFS($G107=$G$5,I$5,$G107=$G$6,I$6,$G107=$G$7,I$7,$G107=$G$8,I$8,$G107=$G$9,I$9,$G107=$G$10,I$10,$G107=$G$11,I$11,$G107=$G$13,I$13,$G107=$G$15,I$15,$G107=$G$16,I$16,$G107=$G$33,I$33,$G107=$G$34,I$34,$G107=$G$248,I$248,$G107=$G$250,I$250)</f>
        <v>2.1620900000000001</v>
      </c>
      <c r="J107" s="29" cm="1">
        <f t="array" ref="J107">_xlfn.IFS($G107=$G$5,J$5,$G107=$G$6,J$6,$G107=$G$7,J$7,$G107=$G$8,J$8,$G107=$G$9,J$9,$G107=$G$10,J$10,$G107=$G$11,J$11,$G107=$G$13,J$13,$G107=$G$15,J$15,$G107=$G$16,J$16,$G107=$G$33,J$33,$G107=$G$34,J$34,$G107=$G$248,J$248,$G107=$G$250,J$250)</f>
        <v>95</v>
      </c>
      <c r="K107" s="29" t="str" cm="1">
        <f t="array" ref="K107">_xlfn.IFS($G107=$G$5,K$5,$G107=$G$6,K$6,$G107=$G$7,K$7,$G107=$G$8,K$8,$G107=$G$9,K$9,$G107=$G$10,K$10,$G107=$G$11,K$11,$G107=$G$13,K$13,$G107=$G$15,K$15,$G107=$G$16,K$16,$G107=$G$33,K$33,$G107=$G$34,K$34,$G107=$G$248,K$248,$G107=$G$250,K$250)</f>
        <v>BG sentinel + BG lure7</v>
      </c>
      <c r="L107" s="29" t="str" cm="1">
        <f t="array" ref="L107">_xlfn.IFS($G107=$G$5,L$5,$G107=$G$6,L$6,$G107=$G$7,L$7,$G107=$G$8,L$8,$G107=$G$9,L$9,$G107=$G$10,L$10,$G107=$G$11,L$11,$G107=$G$13,L$13,$G107=$G$15,L$15,$G107=$G$16,L$16,$G107=$G$33,L$33,$G107=$G$34,L$34,$G107=$G$248,L$248,$G107=$G$250,L$250)</f>
        <v>Other</v>
      </c>
      <c r="O107" s="32" t="str">
        <f t="shared" si="7"/>
        <v>A_SP_BCN_8_200826</v>
      </c>
      <c r="P107" s="33">
        <v>44069</v>
      </c>
      <c r="Q107" s="34">
        <v>0.64583333333333337</v>
      </c>
      <c r="R107" s="35"/>
      <c r="S107" s="36">
        <v>44076</v>
      </c>
      <c r="T107" s="37">
        <v>0.69097222222222221</v>
      </c>
      <c r="U107" s="38"/>
      <c r="V107" s="39" t="s">
        <v>66</v>
      </c>
      <c r="X107" s="29">
        <f t="shared" si="6"/>
        <v>7</v>
      </c>
      <c r="Y107" s="38"/>
      <c r="Z107" s="29" t="s">
        <v>84</v>
      </c>
      <c r="AA107" s="29">
        <f t="shared" si="5"/>
        <v>1</v>
      </c>
      <c r="AB107" s="29" t="s">
        <v>69</v>
      </c>
      <c r="AC107" s="29">
        <v>1</v>
      </c>
      <c r="AD107" s="29">
        <v>0</v>
      </c>
      <c r="AE107" s="29" t="s">
        <v>70</v>
      </c>
      <c r="AF107">
        <v>4</v>
      </c>
    </row>
    <row r="108" spans="1:33" x14ac:dyDescent="0.25">
      <c r="A108" s="28">
        <v>104</v>
      </c>
      <c r="B108" s="29" t="s">
        <v>60</v>
      </c>
      <c r="C108" s="29" t="s">
        <v>61</v>
      </c>
      <c r="D108" s="29" t="s">
        <v>62</v>
      </c>
      <c r="E108" s="29" t="s">
        <v>62</v>
      </c>
      <c r="F108" s="30" cm="1">
        <f t="array" ref="F108">_xlfn.IFS($G108=$G$5,F$5,$G108=$G$6,F$6,$G108=$G$7,F$7,$G108=$G$8,F$8,$G108=$G$9,F$9,$G108=$G$10,F$10,$G108=$G$11,F$11,$G108=$G$13,F$13,$G108=$G$15,F$15,$G108=$G$16,F$16,$G108=$G$33,F$33,$G108=$G$34,F$34,$G108=$G$248,F$248,$G108=$G$250,F$250)</f>
        <v>8034</v>
      </c>
      <c r="G108" s="29" t="s">
        <v>81</v>
      </c>
      <c r="H108" s="31" cm="1">
        <f t="array" ref="H108">_xlfn.IFS($G108=$G$5,H$5,$G108=$G$6,H$6,$G108=$G$7,H$7,$G108=$G$8,H$8,$G108=$G$9,H$9,$G108=$G$10,H$10,$G108=$G$11,H$11,$G108=$G$13,H$13,$G108=$G$15,H$15,$G108=$G$16,H$16,$G108=$G$33,H$33,$G108=$G$34,H$34,$G108=$G$248,H$248,$G108=$G$250,H$250)</f>
        <v>41.393644999999999</v>
      </c>
      <c r="I108" s="31" cm="1">
        <f t="array" ref="I108">_xlfn.IFS($G108=$G$5,I$5,$G108=$G$6,I$6,$G108=$G$7,I$7,$G108=$G$8,I$8,$G108=$G$9,I$9,$G108=$G$10,I$10,$G108=$G$11,I$11,$G108=$G$13,I$13,$G108=$G$15,I$15,$G108=$G$16,I$16,$G108=$G$33,I$33,$G108=$G$34,I$34,$G108=$G$248,I$248,$G108=$G$250,I$250)</f>
        <v>2.1216780000000002</v>
      </c>
      <c r="J108" s="29" cm="1">
        <f t="array" ref="J108">_xlfn.IFS($G108=$G$5,J$5,$G108=$G$6,J$6,$G108=$G$7,J$7,$G108=$G$8,J$8,$G108=$G$9,J$9,$G108=$G$10,J$10,$G108=$G$11,J$11,$G108=$G$13,J$13,$G108=$G$15,J$15,$G108=$G$16,J$16,$G108=$G$33,J$33,$G108=$G$34,J$34,$G108=$G$248,J$248,$G108=$G$250,J$250)</f>
        <v>98</v>
      </c>
      <c r="K108" s="29" t="str" cm="1">
        <f t="array" ref="K108">_xlfn.IFS($G108=$G$5,K$5,$G108=$G$6,K$6,$G108=$G$7,K$7,$G108=$G$8,K$8,$G108=$G$9,K$9,$G108=$G$10,K$10,$G108=$G$11,K$11,$G108=$G$13,K$13,$G108=$G$15,K$15,$G108=$G$16,K$16,$G108=$G$33,K$33,$G108=$G$34,K$34,$G108=$G$248,K$248,$G108=$G$250,K$250)</f>
        <v>BG sentinel + BG lure7</v>
      </c>
      <c r="L108" s="29" t="str" cm="1">
        <f t="array" ref="L108">_xlfn.IFS($G108=$G$5,L$5,$G108=$G$6,L$6,$G108=$G$7,L$7,$G108=$G$8,L$8,$G108=$G$9,L$9,$G108=$G$10,L$10,$G108=$G$11,L$11,$G108=$G$13,L$13,$G108=$G$15,L$15,$G108=$G$16,L$16,$G108=$G$33,L$33,$G108=$G$34,L$34,$G108=$G$248,L$248,$G108=$G$250,L$250)</f>
        <v>Other</v>
      </c>
      <c r="O108" s="32" t="str">
        <f t="shared" si="7"/>
        <v>A_SP_BCN_9_200729</v>
      </c>
      <c r="P108" s="33">
        <v>44041</v>
      </c>
      <c r="Q108" s="34">
        <v>0.60416666666666663</v>
      </c>
      <c r="R108" s="35"/>
      <c r="S108" s="36">
        <v>44076</v>
      </c>
      <c r="T108" s="37">
        <v>0.75</v>
      </c>
      <c r="U108" s="38"/>
      <c r="V108" s="39" t="s">
        <v>66</v>
      </c>
      <c r="X108" s="29">
        <f t="shared" si="6"/>
        <v>35</v>
      </c>
      <c r="Y108" s="38"/>
      <c r="Z108" s="29" t="s">
        <v>68</v>
      </c>
      <c r="AA108" s="29">
        <f t="shared" si="5"/>
        <v>20</v>
      </c>
      <c r="AB108" s="29" t="s">
        <v>69</v>
      </c>
      <c r="AC108" s="29">
        <v>20</v>
      </c>
      <c r="AD108" s="29">
        <v>0</v>
      </c>
      <c r="AE108" s="29" t="s">
        <v>70</v>
      </c>
      <c r="AF108">
        <v>4</v>
      </c>
    </row>
    <row r="109" spans="1:33" x14ac:dyDescent="0.25">
      <c r="A109" s="28">
        <v>105</v>
      </c>
      <c r="B109" s="29" t="s">
        <v>60</v>
      </c>
      <c r="C109" s="29" t="s">
        <v>61</v>
      </c>
      <c r="D109" s="29" t="s">
        <v>62</v>
      </c>
      <c r="E109" s="29" t="s">
        <v>62</v>
      </c>
      <c r="F109" s="30" cm="1">
        <f t="array" ref="F109">_xlfn.IFS($G109=$G$5,F$5,$G109=$G$6,F$6,$G109=$G$7,F$7,$G109=$G$8,F$8,$G109=$G$9,F$9,$G109=$G$10,F$10,$G109=$G$11,F$11,$G109=$G$13,F$13,$G109=$G$15,F$15,$G109=$G$16,F$16,$G109=$G$33,F$33,$G109=$G$34,F$34,$G109=$G$248,F$248,$G109=$G$250,F$250)</f>
        <v>8034</v>
      </c>
      <c r="G109" s="29" t="s">
        <v>81</v>
      </c>
      <c r="H109" s="31" cm="1">
        <f t="array" ref="H109">_xlfn.IFS($G109=$G$5,H$5,$G109=$G$6,H$6,$G109=$G$7,H$7,$G109=$G$8,H$8,$G109=$G$9,H$9,$G109=$G$10,H$10,$G109=$G$11,H$11,$G109=$G$13,H$13,$G109=$G$15,H$15,$G109=$G$16,H$16,$G109=$G$33,H$33,$G109=$G$34,H$34,$G109=$G$248,H$248,$G109=$G$250,H$250)</f>
        <v>41.393644999999999</v>
      </c>
      <c r="I109" s="31" cm="1">
        <f t="array" ref="I109">_xlfn.IFS($G109=$G$5,I$5,$G109=$G$6,I$6,$G109=$G$7,I$7,$G109=$G$8,I$8,$G109=$G$9,I$9,$G109=$G$10,I$10,$G109=$G$11,I$11,$G109=$G$13,I$13,$G109=$G$15,I$15,$G109=$G$16,I$16,$G109=$G$33,I$33,$G109=$G$34,I$34,$G109=$G$248,I$248,$G109=$G$250,I$250)</f>
        <v>2.1216780000000002</v>
      </c>
      <c r="J109" s="29" cm="1">
        <f t="array" ref="J109">_xlfn.IFS($G109=$G$5,J$5,$G109=$G$6,J$6,$G109=$G$7,J$7,$G109=$G$8,J$8,$G109=$G$9,J$9,$G109=$G$10,J$10,$G109=$G$11,J$11,$G109=$G$13,J$13,$G109=$G$15,J$15,$G109=$G$16,J$16,$G109=$G$33,J$33,$G109=$G$34,J$34,$G109=$G$248,J$248,$G109=$G$250,J$250)</f>
        <v>98</v>
      </c>
      <c r="K109" s="29" t="str" cm="1">
        <f t="array" ref="K109">_xlfn.IFS($G109=$G$5,K$5,$G109=$G$6,K$6,$G109=$G$7,K$7,$G109=$G$8,K$8,$G109=$G$9,K$9,$G109=$G$10,K$10,$G109=$G$11,K$11,$G109=$G$13,K$13,$G109=$G$15,K$15,$G109=$G$16,K$16,$G109=$G$33,K$33,$G109=$G$34,K$34,$G109=$G$248,K$248,$G109=$G$250,K$250)</f>
        <v>BG sentinel + BG lure7</v>
      </c>
      <c r="L109" s="29" t="str" cm="1">
        <f t="array" ref="L109">_xlfn.IFS($G109=$G$5,L$5,$G109=$G$6,L$6,$G109=$G$7,L$7,$G109=$G$8,L$8,$G109=$G$9,L$9,$G109=$G$10,L$10,$G109=$G$11,L$11,$G109=$G$13,L$13,$G109=$G$15,L$15,$G109=$G$16,L$16,$G109=$G$33,L$33,$G109=$G$34,L$34,$G109=$G$248,L$248,$G109=$G$250,L$250)</f>
        <v>Other</v>
      </c>
      <c r="O109" s="32" t="str">
        <f t="shared" si="7"/>
        <v>A_SP_BCN_9_200729</v>
      </c>
      <c r="P109" s="33">
        <v>44041</v>
      </c>
      <c r="Q109" s="34">
        <v>0.60416666666666663</v>
      </c>
      <c r="R109" s="35"/>
      <c r="S109" s="36">
        <v>44076</v>
      </c>
      <c r="T109" s="37">
        <v>0.75</v>
      </c>
      <c r="U109" s="38"/>
      <c r="V109" s="39" t="s">
        <v>66</v>
      </c>
      <c r="X109" s="29">
        <f t="shared" si="6"/>
        <v>35</v>
      </c>
      <c r="Y109" s="38"/>
      <c r="Z109" s="29" t="s">
        <v>75</v>
      </c>
      <c r="AA109" s="29">
        <f t="shared" si="5"/>
        <v>3</v>
      </c>
      <c r="AB109" s="29" t="s">
        <v>69</v>
      </c>
      <c r="AC109" s="29">
        <v>3</v>
      </c>
      <c r="AD109" s="29">
        <v>0</v>
      </c>
      <c r="AE109" s="29" t="s">
        <v>70</v>
      </c>
      <c r="AF109">
        <v>4</v>
      </c>
    </row>
    <row r="110" spans="1:33" x14ac:dyDescent="0.25">
      <c r="A110" s="28">
        <v>106</v>
      </c>
      <c r="B110" s="29" t="s">
        <v>60</v>
      </c>
      <c r="C110" s="29" t="s">
        <v>61</v>
      </c>
      <c r="D110" s="29" t="s">
        <v>62</v>
      </c>
      <c r="E110" s="29" t="s">
        <v>62</v>
      </c>
      <c r="F110" s="30" cm="1">
        <f t="array" ref="F110">_xlfn.IFS($G110=$G$5,F$5,$G110=$G$6,F$6,$G110=$G$7,F$7,$G110=$G$8,F$8,$G110=$G$9,F$9,$G110=$G$10,F$10,$G110=$G$11,F$11,$G110=$G$13,F$13,$G110=$G$15,F$15,$G110=$G$16,F$16,$G110=$G$33,F$33,$G110=$G$34,F$34,$G110=$G$248,F$248,$G110=$G$250,F$250)</f>
        <v>8034</v>
      </c>
      <c r="G110" s="29" t="s">
        <v>81</v>
      </c>
      <c r="H110" s="31" cm="1">
        <f t="array" ref="H110">_xlfn.IFS($G110=$G$5,H$5,$G110=$G$6,H$6,$G110=$G$7,H$7,$G110=$G$8,H$8,$G110=$G$9,H$9,$G110=$G$10,H$10,$G110=$G$11,H$11,$G110=$G$13,H$13,$G110=$G$15,H$15,$G110=$G$16,H$16,$G110=$G$33,H$33,$G110=$G$34,H$34,$G110=$G$248,H$248,$G110=$G$250,H$250)</f>
        <v>41.393644999999999</v>
      </c>
      <c r="I110" s="31" cm="1">
        <f t="array" ref="I110">_xlfn.IFS($G110=$G$5,I$5,$G110=$G$6,I$6,$G110=$G$7,I$7,$G110=$G$8,I$8,$G110=$G$9,I$9,$G110=$G$10,I$10,$G110=$G$11,I$11,$G110=$G$13,I$13,$G110=$G$15,I$15,$G110=$G$16,I$16,$G110=$G$33,I$33,$G110=$G$34,I$34,$G110=$G$248,I$248,$G110=$G$250,I$250)</f>
        <v>2.1216780000000002</v>
      </c>
      <c r="J110" s="29" cm="1">
        <f t="array" ref="J110">_xlfn.IFS($G110=$G$5,J$5,$G110=$G$6,J$6,$G110=$G$7,J$7,$G110=$G$8,J$8,$G110=$G$9,J$9,$G110=$G$10,J$10,$G110=$G$11,J$11,$G110=$G$13,J$13,$G110=$G$15,J$15,$G110=$G$16,J$16,$G110=$G$33,J$33,$G110=$G$34,J$34,$G110=$G$248,J$248,$G110=$G$250,J$250)</f>
        <v>98</v>
      </c>
      <c r="K110" s="29" t="str" cm="1">
        <f t="array" ref="K110">_xlfn.IFS($G110=$G$5,K$5,$G110=$G$6,K$6,$G110=$G$7,K$7,$G110=$G$8,K$8,$G110=$G$9,K$9,$G110=$G$10,K$10,$G110=$G$11,K$11,$G110=$G$13,K$13,$G110=$G$15,K$15,$G110=$G$16,K$16,$G110=$G$33,K$33,$G110=$G$34,K$34,$G110=$G$248,K$248,$G110=$G$250,K$250)</f>
        <v>BG sentinel + BG lure7</v>
      </c>
      <c r="L110" s="29" t="str" cm="1">
        <f t="array" ref="L110">_xlfn.IFS($G110=$G$5,L$5,$G110=$G$6,L$6,$G110=$G$7,L$7,$G110=$G$8,L$8,$G110=$G$9,L$9,$G110=$G$10,L$10,$G110=$G$11,L$11,$G110=$G$13,L$13,$G110=$G$15,L$15,$G110=$G$16,L$16,$G110=$G$33,L$33,$G110=$G$34,L$34,$G110=$G$248,L$248,$G110=$G$250,L$250)</f>
        <v>Other</v>
      </c>
      <c r="O110" s="32" t="str">
        <f t="shared" si="7"/>
        <v>A_SP_BCN_9_200729</v>
      </c>
      <c r="P110" s="33">
        <v>44041</v>
      </c>
      <c r="Q110" s="34">
        <v>0.60416666666666663</v>
      </c>
      <c r="R110" s="35"/>
      <c r="S110" s="36">
        <v>44076</v>
      </c>
      <c r="T110" s="37">
        <v>0.75</v>
      </c>
      <c r="U110" s="38"/>
      <c r="V110" s="39" t="s">
        <v>66</v>
      </c>
      <c r="X110" s="29">
        <f t="shared" si="6"/>
        <v>35</v>
      </c>
      <c r="Y110" s="38"/>
      <c r="Z110" s="29" t="s">
        <v>84</v>
      </c>
      <c r="AA110" s="29">
        <f t="shared" si="5"/>
        <v>1</v>
      </c>
      <c r="AB110" s="29" t="s">
        <v>69</v>
      </c>
      <c r="AC110" s="29">
        <v>1</v>
      </c>
      <c r="AD110" s="29">
        <v>0</v>
      </c>
      <c r="AE110" s="29" t="s">
        <v>70</v>
      </c>
      <c r="AF110">
        <v>4</v>
      </c>
    </row>
    <row r="111" spans="1:33" x14ac:dyDescent="0.25">
      <c r="A111" s="28">
        <v>107</v>
      </c>
      <c r="B111" s="29" t="s">
        <v>60</v>
      </c>
      <c r="C111" s="29" t="s">
        <v>61</v>
      </c>
      <c r="D111" s="29" t="s">
        <v>62</v>
      </c>
      <c r="E111" s="29" t="s">
        <v>62</v>
      </c>
      <c r="F111" s="30" cm="1">
        <f t="array" ref="F111">_xlfn.IFS($G111=$G$5,F$5,$G111=$G$6,F$6,$G111=$G$7,F$7,$G111=$G$8,F$8,$G111=$G$9,F$9,$G111=$G$10,F$10,$G111=$G$11,F$11,$G111=$G$13,F$13,$G111=$G$15,F$15,$G111=$G$16,F$16,$G111=$G$33,F$33,$G111=$G$34,F$34,$G111=$G$248,F$248,$G111=$G$250,F$250)</f>
        <v>8040</v>
      </c>
      <c r="G111" s="29" t="s">
        <v>83</v>
      </c>
      <c r="H111" s="31" cm="1">
        <f t="array" ref="H111">_xlfn.IFS($G111=$G$5,H$5,$G111=$G$6,H$6,$G111=$G$7,H$7,$G111=$G$8,H$8,$G111=$G$9,H$9,$G111=$G$10,H$10,$G111=$G$11,H$11,$G111=$G$13,H$13,$G111=$G$15,H$15,$G111=$G$16,H$16,$G111=$G$33,H$33,$G111=$G$34,H$34,$G111=$G$248,H$248,$G111=$G$250,H$250)</f>
        <v>41.343685000000001</v>
      </c>
      <c r="I111" s="31" cm="1">
        <f t="array" ref="I111">_xlfn.IFS($G111=$G$5,I$5,$G111=$G$6,I$6,$G111=$G$7,I$7,$G111=$G$8,I$8,$G111=$G$9,I$9,$G111=$G$10,I$10,$G111=$G$11,I$11,$G111=$G$13,I$13,$G111=$G$15,I$15,$G111=$G$16,I$16,$G111=$G$33,I$33,$G111=$G$34,I$34,$G111=$G$248,I$248,$G111=$G$250,I$250)</f>
        <v>2.1441490000000001</v>
      </c>
      <c r="J111" s="29" cm="1">
        <f t="array" ref="J111">_xlfn.IFS($G111=$G$5,J$5,$G111=$G$6,J$6,$G111=$G$7,J$7,$G111=$G$8,J$8,$G111=$G$9,J$9,$G111=$G$10,J$10,$G111=$G$11,J$11,$G111=$G$13,J$13,$G111=$G$15,J$15,$G111=$G$16,J$16,$G111=$G$33,J$33,$G111=$G$34,J$34,$G111=$G$248,J$248,$G111=$G$250,J$250)</f>
        <v>4</v>
      </c>
      <c r="K111" s="29" t="str" cm="1">
        <f t="array" ref="K111">_xlfn.IFS($G111=$G$5,K$5,$G111=$G$6,K$6,$G111=$G$7,K$7,$G111=$G$8,K$8,$G111=$G$9,K$9,$G111=$G$10,K$10,$G111=$G$11,K$11,$G111=$G$13,K$13,$G111=$G$15,K$15,$G111=$G$16,K$16,$G111=$G$33,K$33,$G111=$G$34,K$34,$G111=$G$248,K$248,$G111=$G$250,K$250)</f>
        <v>BG sentinel + BG lure7</v>
      </c>
      <c r="L111" s="29" t="str" cm="1">
        <f t="array" ref="L111">_xlfn.IFS($G111=$G$5,L$5,$G111=$G$6,L$6,$G111=$G$7,L$7,$G111=$G$8,L$8,$G111=$G$9,L$9,$G111=$G$10,L$10,$G111=$G$11,L$11,$G111=$G$13,L$13,$G111=$G$15,L$15,$G111=$G$16,L$16,$G111=$G$33,L$33,$G111=$G$34,L$34,$G111=$G$248,L$248,$G111=$G$250,L$250)</f>
        <v>Urban habitat</v>
      </c>
      <c r="O111" s="32" t="str">
        <f t="shared" si="7"/>
        <v>A_SP_BCN_10_200826</v>
      </c>
      <c r="P111" s="33">
        <v>44069</v>
      </c>
      <c r="Q111" s="34">
        <v>0.60763888888888895</v>
      </c>
      <c r="R111" s="35"/>
      <c r="S111" s="36">
        <v>44076</v>
      </c>
      <c r="T111" s="37">
        <v>0.625</v>
      </c>
      <c r="U111" s="38"/>
      <c r="V111" s="39" t="s">
        <v>66</v>
      </c>
      <c r="X111" s="29">
        <f t="shared" si="6"/>
        <v>7</v>
      </c>
      <c r="Y111" s="38"/>
      <c r="Z111" s="29" t="s">
        <v>68</v>
      </c>
      <c r="AA111" s="29">
        <f t="shared" si="5"/>
        <v>15</v>
      </c>
      <c r="AB111" s="29" t="s">
        <v>69</v>
      </c>
      <c r="AC111" s="29">
        <v>11</v>
      </c>
      <c r="AD111" s="29">
        <v>4</v>
      </c>
      <c r="AE111" s="29" t="s">
        <v>70</v>
      </c>
      <c r="AF111">
        <v>4</v>
      </c>
    </row>
    <row r="112" spans="1:33" x14ac:dyDescent="0.25">
      <c r="A112" s="28">
        <v>108</v>
      </c>
      <c r="B112" s="29" t="s">
        <v>60</v>
      </c>
      <c r="C112" s="29" t="s">
        <v>61</v>
      </c>
      <c r="D112" s="29" t="s">
        <v>62</v>
      </c>
      <c r="E112" s="29" t="s">
        <v>62</v>
      </c>
      <c r="F112" s="30" cm="1">
        <f t="array" ref="F112">_xlfn.IFS($G112=$G$5,F$5,$G112=$G$6,F$6,$G112=$G$7,F$7,$G112=$G$8,F$8,$G112=$G$9,F$9,$G112=$G$10,F$10,$G112=$G$11,F$11,$G112=$G$13,F$13,$G112=$G$15,F$15,$G112=$G$16,F$16,$G112=$G$33,F$33,$G112=$G$34,F$34,$G112=$G$248,F$248,$G112=$G$250,F$250)</f>
        <v>8040</v>
      </c>
      <c r="G112" s="29" t="s">
        <v>83</v>
      </c>
      <c r="H112" s="31" cm="1">
        <f t="array" ref="H112">_xlfn.IFS($G112=$G$5,H$5,$G112=$G$6,H$6,$G112=$G$7,H$7,$G112=$G$8,H$8,$G112=$G$9,H$9,$G112=$G$10,H$10,$G112=$G$11,H$11,$G112=$G$13,H$13,$G112=$G$15,H$15,$G112=$G$16,H$16,$G112=$G$33,H$33,$G112=$G$34,H$34,$G112=$G$248,H$248,$G112=$G$250,H$250)</f>
        <v>41.343685000000001</v>
      </c>
      <c r="I112" s="31" cm="1">
        <f t="array" ref="I112">_xlfn.IFS($G112=$G$5,I$5,$G112=$G$6,I$6,$G112=$G$7,I$7,$G112=$G$8,I$8,$G112=$G$9,I$9,$G112=$G$10,I$10,$G112=$G$11,I$11,$G112=$G$13,I$13,$G112=$G$15,I$15,$G112=$G$16,I$16,$G112=$G$33,I$33,$G112=$G$34,I$34,$G112=$G$248,I$248,$G112=$G$250,I$250)</f>
        <v>2.1441490000000001</v>
      </c>
      <c r="J112" s="29" cm="1">
        <f t="array" ref="J112">_xlfn.IFS($G112=$G$5,J$5,$G112=$G$6,J$6,$G112=$G$7,J$7,$G112=$G$8,J$8,$G112=$G$9,J$9,$G112=$G$10,J$10,$G112=$G$11,J$11,$G112=$G$13,J$13,$G112=$G$15,J$15,$G112=$G$16,J$16,$G112=$G$33,J$33,$G112=$G$34,J$34,$G112=$G$248,J$248,$G112=$G$250,J$250)</f>
        <v>4</v>
      </c>
      <c r="K112" s="29" t="str" cm="1">
        <f t="array" ref="K112">_xlfn.IFS($G112=$G$5,K$5,$G112=$G$6,K$6,$G112=$G$7,K$7,$G112=$G$8,K$8,$G112=$G$9,K$9,$G112=$G$10,K$10,$G112=$G$11,K$11,$G112=$G$13,K$13,$G112=$G$15,K$15,$G112=$G$16,K$16,$G112=$G$33,K$33,$G112=$G$34,K$34,$G112=$G$248,K$248,$G112=$G$250,K$250)</f>
        <v>BG sentinel + BG lure7</v>
      </c>
      <c r="L112" s="29" t="str" cm="1">
        <f t="array" ref="L112">_xlfn.IFS($G112=$G$5,L$5,$G112=$G$6,L$6,$G112=$G$7,L$7,$G112=$G$8,L$8,$G112=$G$9,L$9,$G112=$G$10,L$10,$G112=$G$11,L$11,$G112=$G$13,L$13,$G112=$G$15,L$15,$G112=$G$16,L$16,$G112=$G$33,L$33,$G112=$G$34,L$34,$G112=$G$248,L$248,$G112=$G$250,L$250)</f>
        <v>Urban habitat</v>
      </c>
      <c r="O112" s="32" t="str">
        <f t="shared" si="7"/>
        <v>A_SP_BCN_10_200826</v>
      </c>
      <c r="P112" s="33">
        <v>44069</v>
      </c>
      <c r="Q112" s="34">
        <v>0.60763888888888895</v>
      </c>
      <c r="R112" s="35"/>
      <c r="S112" s="36">
        <v>44076</v>
      </c>
      <c r="T112" s="37">
        <v>0.625</v>
      </c>
      <c r="U112" s="38"/>
      <c r="V112" s="39" t="s">
        <v>66</v>
      </c>
      <c r="X112" s="29">
        <f t="shared" si="6"/>
        <v>7</v>
      </c>
      <c r="Y112" s="38"/>
      <c r="Z112" s="29" t="s">
        <v>75</v>
      </c>
      <c r="AA112" s="29">
        <f t="shared" si="5"/>
        <v>3</v>
      </c>
      <c r="AB112" s="29" t="s">
        <v>69</v>
      </c>
      <c r="AC112" s="29">
        <v>2</v>
      </c>
      <c r="AD112" s="29">
        <v>1</v>
      </c>
      <c r="AE112" s="29" t="s">
        <v>70</v>
      </c>
      <c r="AF112">
        <v>4</v>
      </c>
    </row>
    <row r="113" spans="1:33" x14ac:dyDescent="0.25">
      <c r="A113" s="28">
        <v>109</v>
      </c>
      <c r="B113" s="29" t="s">
        <v>60</v>
      </c>
      <c r="C113" s="29" t="s">
        <v>61</v>
      </c>
      <c r="D113" s="29" t="s">
        <v>62</v>
      </c>
      <c r="E113" s="29" t="s">
        <v>62</v>
      </c>
      <c r="F113" s="30" cm="1">
        <f t="array" ref="F113">_xlfn.IFS($G113=$G$5,F$5,$G113=$G$6,F$6,$G113=$G$7,F$7,$G113=$G$8,F$8,$G113=$G$9,F$9,$G113=$G$10,F$10,$G113=$G$11,F$11,$G113=$G$13,F$13,$G113=$G$15,F$15,$G113=$G$16,F$16,$G113=$G$33,F$33,$G113=$G$34,F$34,$G113=$G$248,F$248,$G113=$G$250,F$250)</f>
        <v>8038</v>
      </c>
      <c r="G113" s="29" t="s">
        <v>85</v>
      </c>
      <c r="H113" s="31" cm="1">
        <f t="array" ref="H113">_xlfn.IFS($G113=$G$5,H$5,$G113=$G$6,H$6,$G113=$G$7,H$7,$G113=$G$8,H$8,$G113=$G$9,H$9,$G113=$G$10,H$10,$G113=$G$11,H$11,$G113=$G$13,H$13,$G113=$G$15,H$15,$G113=$G$16,H$16,$G113=$G$33,H$33,$G113=$G$34,H$34,$G113=$G$248,H$248,$G113=$G$250,H$250)</f>
        <v>41.367429999999999</v>
      </c>
      <c r="I113" s="31" cm="1">
        <f t="array" ref="I113">_xlfn.IFS($G113=$G$5,I$5,$G113=$G$6,I$6,$G113=$G$7,I$7,$G113=$G$8,I$8,$G113=$G$9,I$9,$G113=$G$10,I$10,$G113=$G$11,I$11,$G113=$G$13,I$13,$G113=$G$15,I$15,$G113=$G$16,I$16,$G113=$G$33,I$33,$G113=$G$34,I$34,$G113=$G$248,I$248,$G113=$G$250,I$250)</f>
        <v>2.1569609999999999</v>
      </c>
      <c r="J113" s="29" cm="1">
        <f t="array" ref="J113">_xlfn.IFS($G113=$G$5,J$5,$G113=$G$6,J$6,$G113=$G$7,J$7,$G113=$G$8,J$8,$G113=$G$9,J$9,$G113=$G$10,J$10,$G113=$G$11,J$11,$G113=$G$13,J$13,$G113=$G$15,J$15,$G113=$G$16,J$16,$G113=$G$33,J$33,$G113=$G$34,J$34,$G113=$G$248,J$248,$G113=$G$250,J$250)</f>
        <v>91</v>
      </c>
      <c r="K113" s="29" t="str" cm="1">
        <f t="array" ref="K113">_xlfn.IFS($G113=$G$5,K$5,$G113=$G$6,K$6,$G113=$G$7,K$7,$G113=$G$8,K$8,$G113=$G$9,K$9,$G113=$G$10,K$10,$G113=$G$11,K$11,$G113=$G$13,K$13,$G113=$G$15,K$15,$G113=$G$16,K$16,$G113=$G$33,K$33,$G113=$G$34,K$34,$G113=$G$248,K$248,$G113=$G$250,K$250)</f>
        <v>BG sentinel + BG lure7</v>
      </c>
      <c r="L113" s="29" t="str" cm="1">
        <f t="array" ref="L113">_xlfn.IFS($G113=$G$5,L$5,$G113=$G$6,L$6,$G113=$G$7,L$7,$G113=$G$8,L$8,$G113=$G$9,L$9,$G113=$G$10,L$10,$G113=$G$11,L$11,$G113=$G$13,L$13,$G113=$G$15,L$15,$G113=$G$16,L$16,$G113=$G$33,L$33,$G113=$G$34,L$34,$G113=$G$248,L$248,$G113=$G$250,L$250)</f>
        <v>Other</v>
      </c>
      <c r="O113" s="32" t="str">
        <f t="shared" si="7"/>
        <v>A_SP_BCN_11_200826</v>
      </c>
      <c r="P113" s="33">
        <v>44069</v>
      </c>
      <c r="Q113" s="34">
        <v>0.63888888888888895</v>
      </c>
      <c r="R113" s="35"/>
      <c r="S113" s="36">
        <v>44076</v>
      </c>
      <c r="T113" s="37">
        <v>0.68055555555555547</v>
      </c>
      <c r="U113" s="38"/>
      <c r="V113" s="39" t="s">
        <v>66</v>
      </c>
      <c r="X113" s="29">
        <f t="shared" si="6"/>
        <v>7</v>
      </c>
      <c r="Y113" s="38"/>
      <c r="Z113" s="29" t="s">
        <v>68</v>
      </c>
      <c r="AA113" s="29">
        <f t="shared" si="5"/>
        <v>54</v>
      </c>
      <c r="AB113" s="29" t="s">
        <v>69</v>
      </c>
      <c r="AC113" s="29">
        <v>32</v>
      </c>
      <c r="AD113" s="29">
        <v>22</v>
      </c>
      <c r="AE113" s="29" t="s">
        <v>70</v>
      </c>
      <c r="AF113">
        <v>4</v>
      </c>
    </row>
    <row r="114" spans="1:33" x14ac:dyDescent="0.25">
      <c r="A114" s="28">
        <v>110</v>
      </c>
      <c r="B114" s="29" t="s">
        <v>60</v>
      </c>
      <c r="C114" s="29" t="s">
        <v>61</v>
      </c>
      <c r="D114" s="29" t="s">
        <v>62</v>
      </c>
      <c r="E114" s="29" t="s">
        <v>62</v>
      </c>
      <c r="F114" s="30" cm="1">
        <f t="array" ref="F114">_xlfn.IFS($G114=$G$5,F$5,$G114=$G$6,F$6,$G114=$G$7,F$7,$G114=$G$8,F$8,$G114=$G$9,F$9,$G114=$G$10,F$10,$G114=$G$11,F$11,$G114=$G$13,F$13,$G114=$G$15,F$15,$G114=$G$16,F$16,$G114=$G$33,F$33,$G114=$G$34,F$34,$G114=$G$248,F$248,$G114=$G$250,F$250)</f>
        <v>8038</v>
      </c>
      <c r="G114" s="29" t="s">
        <v>85</v>
      </c>
      <c r="H114" s="31" cm="1">
        <f t="array" ref="H114">_xlfn.IFS($G114=$G$5,H$5,$G114=$G$6,H$6,$G114=$G$7,H$7,$G114=$G$8,H$8,$G114=$G$9,H$9,$G114=$G$10,H$10,$G114=$G$11,H$11,$G114=$G$13,H$13,$G114=$G$15,H$15,$G114=$G$16,H$16,$G114=$G$33,H$33,$G114=$G$34,H$34,$G114=$G$248,H$248,$G114=$G$250,H$250)</f>
        <v>41.367429999999999</v>
      </c>
      <c r="I114" s="31" cm="1">
        <f t="array" ref="I114">_xlfn.IFS($G114=$G$5,I$5,$G114=$G$6,I$6,$G114=$G$7,I$7,$G114=$G$8,I$8,$G114=$G$9,I$9,$G114=$G$10,I$10,$G114=$G$11,I$11,$G114=$G$13,I$13,$G114=$G$15,I$15,$G114=$G$16,I$16,$G114=$G$33,I$33,$G114=$G$34,I$34,$G114=$G$248,I$248,$G114=$G$250,I$250)</f>
        <v>2.1569609999999999</v>
      </c>
      <c r="J114" s="29" cm="1">
        <f t="array" ref="J114">_xlfn.IFS($G114=$G$5,J$5,$G114=$G$6,J$6,$G114=$G$7,J$7,$G114=$G$8,J$8,$G114=$G$9,J$9,$G114=$G$10,J$10,$G114=$G$11,J$11,$G114=$G$13,J$13,$G114=$G$15,J$15,$G114=$G$16,J$16,$G114=$G$33,J$33,$G114=$G$34,J$34,$G114=$G$248,J$248,$G114=$G$250,J$250)</f>
        <v>91</v>
      </c>
      <c r="K114" s="29" t="str" cm="1">
        <f t="array" ref="K114">_xlfn.IFS($G114=$G$5,K$5,$G114=$G$6,K$6,$G114=$G$7,K$7,$G114=$G$8,K$8,$G114=$G$9,K$9,$G114=$G$10,K$10,$G114=$G$11,K$11,$G114=$G$13,K$13,$G114=$G$15,K$15,$G114=$G$16,K$16,$G114=$G$33,K$33,$G114=$G$34,K$34,$G114=$G$248,K$248,$G114=$G$250,K$250)</f>
        <v>BG sentinel + BG lure7</v>
      </c>
      <c r="L114" s="29" t="str" cm="1">
        <f t="array" ref="L114">_xlfn.IFS($G114=$G$5,L$5,$G114=$G$6,L$6,$G114=$G$7,L$7,$G114=$G$8,L$8,$G114=$G$9,L$9,$G114=$G$10,L$10,$G114=$G$11,L$11,$G114=$G$13,L$13,$G114=$G$15,L$15,$G114=$G$16,L$16,$G114=$G$33,L$33,$G114=$G$34,L$34,$G114=$G$248,L$248,$G114=$G$250,L$250)</f>
        <v>Other</v>
      </c>
      <c r="O114" s="32" t="str">
        <f t="shared" si="7"/>
        <v>A_SP_BCN_11_200826</v>
      </c>
      <c r="P114" s="33">
        <v>44069</v>
      </c>
      <c r="Q114" s="34">
        <v>0.63888888888888895</v>
      </c>
      <c r="R114" s="35"/>
      <c r="S114" s="36">
        <v>44076</v>
      </c>
      <c r="T114" s="37">
        <v>0.68055555555555547</v>
      </c>
      <c r="U114" s="38"/>
      <c r="V114" s="39" t="s">
        <v>66</v>
      </c>
      <c r="X114" s="29">
        <f t="shared" si="6"/>
        <v>7</v>
      </c>
      <c r="Y114" s="38"/>
      <c r="Z114" s="29" t="s">
        <v>75</v>
      </c>
      <c r="AA114" s="29">
        <f t="shared" si="5"/>
        <v>2</v>
      </c>
      <c r="AB114" s="29" t="s">
        <v>69</v>
      </c>
      <c r="AC114" s="29">
        <v>2</v>
      </c>
      <c r="AD114" s="29">
        <v>0</v>
      </c>
      <c r="AE114" s="29" t="s">
        <v>70</v>
      </c>
      <c r="AF114">
        <v>4</v>
      </c>
    </row>
    <row r="115" spans="1:33" x14ac:dyDescent="0.25">
      <c r="A115" s="28">
        <v>111</v>
      </c>
      <c r="B115" s="29" t="s">
        <v>60</v>
      </c>
      <c r="C115" s="29" t="s">
        <v>61</v>
      </c>
      <c r="D115" s="29" t="s">
        <v>62</v>
      </c>
      <c r="E115" s="29" t="s">
        <v>62</v>
      </c>
      <c r="F115" s="30" cm="1">
        <f t="array" ref="F115">_xlfn.IFS($G115=$G$5,F$5,$G115=$G$6,F$6,$G115=$G$7,F$7,$G115=$G$8,F$8,$G115=$G$9,F$9,$G115=$G$10,F$10,$G115=$G$11,F$11,$G115=$G$13,F$13,$G115=$G$15,F$15,$G115=$G$16,F$16,$G115=$G$33,F$33,$G115=$G$34,F$34,$G115=$G$248,F$248,$G115=$G$250,F$250)</f>
        <v>8038</v>
      </c>
      <c r="G115" s="29" t="s">
        <v>86</v>
      </c>
      <c r="H115" s="31" cm="1">
        <f t="array" ref="H115">_xlfn.IFS($G115=$G$5,H$5,$G115=$G$6,H$6,$G115=$G$7,H$7,$G115=$G$8,H$8,$G115=$G$9,H$9,$G115=$G$10,H$10,$G115=$G$11,H$11,$G115=$G$13,H$13,$G115=$G$15,H$15,$G115=$G$16,H$16,$G115=$G$33,H$33,$G115=$G$34,H$34,$G115=$G$248,H$248,$G115=$G$250,H$250)</f>
        <v>41.363377999999997</v>
      </c>
      <c r="I115" s="31" cm="1">
        <f t="array" ref="I115">_xlfn.IFS($G115=$G$5,I$5,$G115=$G$6,I$6,$G115=$G$7,I$7,$G115=$G$8,I$8,$G115=$G$9,I$9,$G115=$G$10,I$10,$G115=$G$11,I$11,$G115=$G$13,I$13,$G115=$G$15,I$15,$G115=$G$16,I$16,$G115=$G$33,I$33,$G115=$G$34,I$34,$G115=$G$248,I$248,$G115=$G$250,I$250)</f>
        <v>2.164879</v>
      </c>
      <c r="J115" s="29" cm="1">
        <f t="array" ref="J115">_xlfn.IFS($G115=$G$5,J$5,$G115=$G$6,J$6,$G115=$G$7,J$7,$G115=$G$8,J$8,$G115=$G$9,J$9,$G115=$G$10,J$10,$G115=$G$11,J$11,$G115=$G$13,J$13,$G115=$G$15,J$15,$G115=$G$16,J$16,$G115=$G$33,J$33,$G115=$G$34,J$34,$G115=$G$248,J$248,$G115=$G$250,J$250)</f>
        <v>185</v>
      </c>
      <c r="K115" s="29" t="str" cm="1">
        <f t="array" ref="K115">_xlfn.IFS($G115=$G$5,K$5,$G115=$G$6,K$6,$G115=$G$7,K$7,$G115=$G$8,K$8,$G115=$G$9,K$9,$G115=$G$10,K$10,$G115=$G$11,K$11,$G115=$G$13,K$13,$G115=$G$15,K$15,$G115=$G$16,K$16,$G115=$G$33,K$33,$G115=$G$34,K$34,$G115=$G$248,K$248,$G115=$G$250,K$250)</f>
        <v>BG sentinel + BG lure7</v>
      </c>
      <c r="L115" s="29" t="str" cm="1">
        <f t="array" ref="L115">_xlfn.IFS($G115=$G$5,L$5,$G115=$G$6,L$6,$G115=$G$7,L$7,$G115=$G$8,L$8,$G115=$G$9,L$9,$G115=$G$10,L$10,$G115=$G$11,L$11,$G115=$G$13,L$13,$G115=$G$15,L$15,$G115=$G$16,L$16,$G115=$G$33,L$33,$G115=$G$34,L$34,$G115=$G$248,L$248,$G115=$G$250,L$250)</f>
        <v>Other</v>
      </c>
      <c r="O115" s="32" t="str">
        <f t="shared" si="7"/>
        <v>A_SP_BCN_12_200826</v>
      </c>
      <c r="P115" s="33">
        <v>44069</v>
      </c>
      <c r="Q115" s="34">
        <v>0.67708333333333337</v>
      </c>
      <c r="R115" s="35"/>
      <c r="S115" s="36">
        <v>44076</v>
      </c>
      <c r="T115" s="37">
        <v>0.71527777777777779</v>
      </c>
      <c r="U115" s="38"/>
      <c r="V115" s="39" t="s">
        <v>66</v>
      </c>
      <c r="X115" s="29">
        <f t="shared" si="6"/>
        <v>7</v>
      </c>
      <c r="Y115" s="38"/>
      <c r="Z115" s="29" t="s">
        <v>68</v>
      </c>
      <c r="AA115" s="29">
        <f t="shared" si="5"/>
        <v>9</v>
      </c>
      <c r="AB115" s="29" t="s">
        <v>69</v>
      </c>
      <c r="AC115" s="29">
        <v>8</v>
      </c>
      <c r="AD115" s="29">
        <v>1</v>
      </c>
      <c r="AE115" s="29" t="s">
        <v>70</v>
      </c>
      <c r="AF115">
        <v>4</v>
      </c>
    </row>
    <row r="116" spans="1:33" x14ac:dyDescent="0.25">
      <c r="A116" s="28">
        <v>112</v>
      </c>
      <c r="B116" s="29" t="s">
        <v>60</v>
      </c>
      <c r="C116" s="29" t="s">
        <v>61</v>
      </c>
      <c r="D116" s="29" t="s">
        <v>62</v>
      </c>
      <c r="E116" s="29" t="s">
        <v>62</v>
      </c>
      <c r="F116" s="30" cm="1">
        <f t="array" ref="F116">_xlfn.IFS($G116=$G$5,F$5,$G116=$G$6,F$6,$G116=$G$7,F$7,$G116=$G$8,F$8,$G116=$G$9,F$9,$G116=$G$10,F$10,$G116=$G$11,F$11,$G116=$G$13,F$13,$G116=$G$15,F$15,$G116=$G$16,F$16,$G116=$G$33,F$33,$G116=$G$34,F$34,$G116=$G$248,F$248,$G116=$G$250,F$250)</f>
        <v>8038</v>
      </c>
      <c r="G116" s="29" t="s">
        <v>86</v>
      </c>
      <c r="H116" s="31" cm="1">
        <f t="array" ref="H116">_xlfn.IFS($G116=$G$5,H$5,$G116=$G$6,H$6,$G116=$G$7,H$7,$G116=$G$8,H$8,$G116=$G$9,H$9,$G116=$G$10,H$10,$G116=$G$11,H$11,$G116=$G$13,H$13,$G116=$G$15,H$15,$G116=$G$16,H$16,$G116=$G$33,H$33,$G116=$G$34,H$34,$G116=$G$248,H$248,$G116=$G$250,H$250)</f>
        <v>41.363377999999997</v>
      </c>
      <c r="I116" s="31" cm="1">
        <f t="array" ref="I116">_xlfn.IFS($G116=$G$5,I$5,$G116=$G$6,I$6,$G116=$G$7,I$7,$G116=$G$8,I$8,$G116=$G$9,I$9,$G116=$G$10,I$10,$G116=$G$11,I$11,$G116=$G$13,I$13,$G116=$G$15,I$15,$G116=$G$16,I$16,$G116=$G$33,I$33,$G116=$G$34,I$34,$G116=$G$248,I$248,$G116=$G$250,I$250)</f>
        <v>2.164879</v>
      </c>
      <c r="J116" s="29" cm="1">
        <f t="array" ref="J116">_xlfn.IFS($G116=$G$5,J$5,$G116=$G$6,J$6,$G116=$G$7,J$7,$G116=$G$8,J$8,$G116=$G$9,J$9,$G116=$G$10,J$10,$G116=$G$11,J$11,$G116=$G$13,J$13,$G116=$G$15,J$15,$G116=$G$16,J$16,$G116=$G$33,J$33,$G116=$G$34,J$34,$G116=$G$248,J$248,$G116=$G$250,J$250)</f>
        <v>185</v>
      </c>
      <c r="K116" s="29" t="str" cm="1">
        <f t="array" ref="K116">_xlfn.IFS($G116=$G$5,K$5,$G116=$G$6,K$6,$G116=$G$7,K$7,$G116=$G$8,K$8,$G116=$G$9,K$9,$G116=$G$10,K$10,$G116=$G$11,K$11,$G116=$G$13,K$13,$G116=$G$15,K$15,$G116=$G$16,K$16,$G116=$G$33,K$33,$G116=$G$34,K$34,$G116=$G$248,K$248,$G116=$G$250,K$250)</f>
        <v>BG sentinel + BG lure7</v>
      </c>
      <c r="L116" s="29" t="str" cm="1">
        <f t="array" ref="L116">_xlfn.IFS($G116=$G$5,L$5,$G116=$G$6,L$6,$G116=$G$7,L$7,$G116=$G$8,L$8,$G116=$G$9,L$9,$G116=$G$10,L$10,$G116=$G$11,L$11,$G116=$G$13,L$13,$G116=$G$15,L$15,$G116=$G$16,L$16,$G116=$G$33,L$33,$G116=$G$34,L$34,$G116=$G$248,L$248,$G116=$G$250,L$250)</f>
        <v>Other</v>
      </c>
      <c r="O116" s="32" t="str">
        <f t="shared" si="7"/>
        <v>A_SP_BCN_12_200826</v>
      </c>
      <c r="P116" s="33">
        <v>44069</v>
      </c>
      <c r="Q116" s="34">
        <v>0.67708333333333337</v>
      </c>
      <c r="R116" s="35"/>
      <c r="S116" s="36">
        <v>44076</v>
      </c>
      <c r="T116" s="37">
        <v>0.71527777777777779</v>
      </c>
      <c r="U116" s="38"/>
      <c r="V116" s="39" t="s">
        <v>66</v>
      </c>
      <c r="W116" s="39" t="s">
        <v>93</v>
      </c>
      <c r="X116" s="29">
        <f t="shared" si="6"/>
        <v>7</v>
      </c>
      <c r="Y116" s="38"/>
      <c r="Z116" s="29" t="s">
        <v>75</v>
      </c>
      <c r="AA116" s="29">
        <f t="shared" si="5"/>
        <v>47</v>
      </c>
      <c r="AB116" s="29" t="s">
        <v>69</v>
      </c>
      <c r="AC116" s="29">
        <v>46</v>
      </c>
      <c r="AD116" s="29">
        <v>1</v>
      </c>
      <c r="AE116" s="29" t="s">
        <v>70</v>
      </c>
      <c r="AF116">
        <v>4</v>
      </c>
    </row>
    <row r="117" spans="1:33" x14ac:dyDescent="0.25">
      <c r="A117" s="28">
        <v>113</v>
      </c>
      <c r="B117" s="29" t="s">
        <v>60</v>
      </c>
      <c r="C117" s="29" t="s">
        <v>61</v>
      </c>
      <c r="D117" s="29" t="s">
        <v>62</v>
      </c>
      <c r="E117" s="29" t="s">
        <v>62</v>
      </c>
      <c r="F117" s="30" cm="1">
        <f t="array" ref="F117">_xlfn.IFS($G117=$G$5,F$5,$G117=$G$6,F$6,$G117=$G$7,F$7,$G117=$G$8,F$8,$G117=$G$9,F$9,$G117=$G$10,F$10,$G117=$G$11,F$11,$G117=$G$13,F$13,$G117=$G$15,F$15,$G117=$G$16,F$16,$G117=$G$33,F$33,$G117=$G$34,F$34,$G117=$G$248,F$248,$G117=$G$250,F$250)</f>
        <v>8038</v>
      </c>
      <c r="G117" s="29" t="s">
        <v>86</v>
      </c>
      <c r="H117" s="31" cm="1">
        <f t="array" ref="H117">_xlfn.IFS($G117=$G$5,H$5,$G117=$G$6,H$6,$G117=$G$7,H$7,$G117=$G$8,H$8,$G117=$G$9,H$9,$G117=$G$10,H$10,$G117=$G$11,H$11,$G117=$G$13,H$13,$G117=$G$15,H$15,$G117=$G$16,H$16,$G117=$G$33,H$33,$G117=$G$34,H$34,$G117=$G$248,H$248,$G117=$G$250,H$250)</f>
        <v>41.363377999999997</v>
      </c>
      <c r="I117" s="31" cm="1">
        <f t="array" ref="I117">_xlfn.IFS($G117=$G$5,I$5,$G117=$G$6,I$6,$G117=$G$7,I$7,$G117=$G$8,I$8,$G117=$G$9,I$9,$G117=$G$10,I$10,$G117=$G$11,I$11,$G117=$G$13,I$13,$G117=$G$15,I$15,$G117=$G$16,I$16,$G117=$G$33,I$33,$G117=$G$34,I$34,$G117=$G$248,I$248,$G117=$G$250,I$250)</f>
        <v>2.164879</v>
      </c>
      <c r="J117" s="29" cm="1">
        <f t="array" ref="J117">_xlfn.IFS($G117=$G$5,J$5,$G117=$G$6,J$6,$G117=$G$7,J$7,$G117=$G$8,J$8,$G117=$G$9,J$9,$G117=$G$10,J$10,$G117=$G$11,J$11,$G117=$G$13,J$13,$G117=$G$15,J$15,$G117=$G$16,J$16,$G117=$G$33,J$33,$G117=$G$34,J$34,$G117=$G$248,J$248,$G117=$G$250,J$250)</f>
        <v>185</v>
      </c>
      <c r="K117" s="29" t="str" cm="1">
        <f t="array" ref="K117">_xlfn.IFS($G117=$G$5,K$5,$G117=$G$6,K$6,$G117=$G$7,K$7,$G117=$G$8,K$8,$G117=$G$9,K$9,$G117=$G$10,K$10,$G117=$G$11,K$11,$G117=$G$13,K$13,$G117=$G$15,K$15,$G117=$G$16,K$16,$G117=$G$33,K$33,$G117=$G$34,K$34,$G117=$G$248,K$248,$G117=$G$250,K$250)</f>
        <v>BG sentinel + BG lure7</v>
      </c>
      <c r="L117" s="29" t="str" cm="1">
        <f t="array" ref="L117">_xlfn.IFS($G117=$G$5,L$5,$G117=$G$6,L$6,$G117=$G$7,L$7,$G117=$G$8,L$8,$G117=$G$9,L$9,$G117=$G$10,L$10,$G117=$G$11,L$11,$G117=$G$13,L$13,$G117=$G$15,L$15,$G117=$G$16,L$16,$G117=$G$33,L$33,$G117=$G$34,L$34,$G117=$G$248,L$248,$G117=$G$250,L$250)</f>
        <v>Other</v>
      </c>
      <c r="O117" s="32" t="str">
        <f t="shared" si="7"/>
        <v>A_SP_BCN_12_200826</v>
      </c>
      <c r="P117" s="33">
        <v>44069</v>
      </c>
      <c r="Q117" s="34">
        <v>0.67708333333333337</v>
      </c>
      <c r="R117" s="35"/>
      <c r="S117" s="36">
        <v>44076</v>
      </c>
      <c r="T117" s="37">
        <v>0.71527777777777779</v>
      </c>
      <c r="U117" s="38"/>
      <c r="V117" s="39" t="s">
        <v>66</v>
      </c>
      <c r="X117" s="29">
        <f t="shared" si="6"/>
        <v>7</v>
      </c>
      <c r="Y117" s="38"/>
      <c r="Z117" s="29" t="s">
        <v>84</v>
      </c>
      <c r="AA117" s="29">
        <f t="shared" si="5"/>
        <v>1</v>
      </c>
      <c r="AB117" s="29" t="s">
        <v>69</v>
      </c>
      <c r="AC117" s="29">
        <v>0</v>
      </c>
      <c r="AD117" s="29">
        <v>1</v>
      </c>
      <c r="AE117" s="29" t="s">
        <v>70</v>
      </c>
      <c r="AF117">
        <v>4</v>
      </c>
    </row>
    <row r="118" spans="1:33" x14ac:dyDescent="0.25">
      <c r="A118" s="28">
        <v>114</v>
      </c>
      <c r="B118" s="29" t="s">
        <v>60</v>
      </c>
      <c r="C118" s="29" t="s">
        <v>61</v>
      </c>
      <c r="D118" s="29" t="s">
        <v>62</v>
      </c>
      <c r="E118" s="29" t="s">
        <v>62</v>
      </c>
      <c r="F118" s="30" cm="1">
        <f t="array" ref="F118">_xlfn.IFS($G118=$G$5,F$5,$G118=$G$6,F$6,$G118=$G$7,F$7,$G118=$G$8,F$8,$G118=$G$9,F$9,$G118=$G$10,F$10,$G118=$G$11,F$11,$G118=$G$13,F$13,$G118=$G$15,F$15,$G118=$G$16,F$16,$G118=$G$33,F$33,$G118=$G$34,F$34,$G118=$G$248,F$248,$G118=$G$250,F$250)</f>
        <v>8024</v>
      </c>
      <c r="G118" s="29" t="s">
        <v>63</v>
      </c>
      <c r="H118" s="31" cm="1">
        <f t="array" ref="H118">_xlfn.IFS($G118=$G$5,H$5,$G118=$G$6,H$6,$G118=$G$7,H$7,$G118=$G$8,H$8,$G118=$G$9,H$9,$G118=$G$10,H$10,$G118=$G$11,H$11,$G118=$G$13,H$13,$G118=$G$15,H$15,$G118=$G$16,H$16,$G118=$G$33,H$33,$G118=$G$34,H$34,$G118=$G$248,H$248,$G118=$G$250,H$250)</f>
        <v>41.413573999999997</v>
      </c>
      <c r="I118" s="31" cm="1">
        <f t="array" ref="I118">_xlfn.IFS($G118=$G$5,I$5,$G118=$G$6,I$6,$G118=$G$7,I$7,$G118=$G$8,I$8,$G118=$G$9,I$9,$G118=$G$10,I$10,$G118=$G$11,I$11,$G118=$G$13,I$13,$G118=$G$15,I$15,$G118=$G$16,I$16,$G118=$G$33,I$33,$G118=$G$34,I$34,$G118=$G$248,I$248,$G118=$G$250,I$250)</f>
        <v>2.1520730000000001</v>
      </c>
      <c r="J118" s="29" cm="1">
        <f t="array" ref="J118">_xlfn.IFS($G118=$G$5,J$5,$G118=$G$6,J$6,$G118=$G$7,J$7,$G118=$G$8,J$8,$G118=$G$9,J$9,$G118=$G$10,J$10,$G118=$G$11,J$11,$G118=$G$13,J$13,$G118=$G$15,J$15,$G118=$G$16,J$16,$G118=$G$33,J$33,$G118=$G$34,J$34,$G118=$G$248,J$248,$G118=$G$250,J$250)</f>
        <v>141</v>
      </c>
      <c r="K118" s="29" t="str" cm="1">
        <f t="array" ref="K118">_xlfn.IFS($G118=$G$5,K$5,$G118=$G$6,K$6,$G118=$G$7,K$7,$G118=$G$8,K$8,$G118=$G$9,K$9,$G118=$G$10,K$10,$G118=$G$11,K$11,$G118=$G$13,K$13,$G118=$G$15,K$15,$G118=$G$16,K$16,$G118=$G$33,K$33,$G118=$G$34,K$34,$G118=$G$248,K$248,$G118=$G$250,K$250)</f>
        <v>BG sentinel + BG lure7</v>
      </c>
      <c r="L118" s="29" t="str" cm="1">
        <f t="array" ref="L118">_xlfn.IFS($G118=$G$5,L$5,$G118=$G$6,L$6,$G118=$G$7,L$7,$G118=$G$8,L$8,$G118=$G$9,L$9,$G118=$G$10,L$10,$G118=$G$11,L$11,$G118=$G$13,L$13,$G118=$G$15,L$15,$G118=$G$16,L$16,$G118=$G$33,L$33,$G118=$G$34,L$34,$G118=$G$248,L$248,$G118=$G$250,L$250)</f>
        <v>Urban habitat</v>
      </c>
      <c r="O118" s="32" t="str">
        <f t="shared" si="7"/>
        <v>A_SP_BCN_1_200902</v>
      </c>
      <c r="P118" s="33">
        <v>44076</v>
      </c>
      <c r="Q118" s="34">
        <v>0.60069444444444442</v>
      </c>
      <c r="R118" s="35"/>
      <c r="S118" s="36">
        <v>44083</v>
      </c>
      <c r="T118" s="37">
        <v>0.65277777777777779</v>
      </c>
      <c r="U118" s="38"/>
      <c r="V118" s="39" t="s">
        <v>94</v>
      </c>
      <c r="X118" s="29">
        <f t="shared" si="6"/>
        <v>7</v>
      </c>
      <c r="Y118" s="38"/>
      <c r="AA118" s="29">
        <f t="shared" si="5"/>
        <v>0</v>
      </c>
      <c r="AF118">
        <v>2</v>
      </c>
      <c r="AG118" s="40"/>
    </row>
    <row r="119" spans="1:33" x14ac:dyDescent="0.25">
      <c r="A119" s="28">
        <v>115</v>
      </c>
      <c r="B119" s="29" t="s">
        <v>60</v>
      </c>
      <c r="C119" s="29" t="s">
        <v>61</v>
      </c>
      <c r="D119" s="29" t="s">
        <v>62</v>
      </c>
      <c r="E119" s="29" t="s">
        <v>62</v>
      </c>
      <c r="F119" s="30" cm="1">
        <f t="array" ref="F119">_xlfn.IFS($G119=$G$5,F$5,$G119=$G$6,F$6,$G119=$G$7,F$7,$G119=$G$8,F$8,$G119=$G$9,F$9,$G119=$G$10,F$10,$G119=$G$11,F$11,$G119=$G$13,F$13,$G119=$G$15,F$15,$G119=$G$16,F$16,$G119=$G$33,F$33,$G119=$G$34,F$34,$G119=$G$248,F$248,$G119=$G$250,F$250)</f>
        <v>8035</v>
      </c>
      <c r="G119" s="29" t="s">
        <v>71</v>
      </c>
      <c r="H119" s="31" cm="1">
        <f t="array" ref="H119">_xlfn.IFS($G119=$G$5,H$5,$G119=$G$6,H$6,$G119=$G$7,H$7,$G119=$G$8,H$8,$G119=$G$9,H$9,$G119=$G$10,H$10,$G119=$G$11,H$11,$G119=$G$13,H$13,$G119=$G$15,H$15,$G119=$G$16,H$16,$G119=$G$33,H$33,$G119=$G$34,H$34,$G119=$G$248,H$248,$G119=$G$250,H$250)</f>
        <v>41.424387000000003</v>
      </c>
      <c r="I119" s="31" cm="1">
        <f t="array" ref="I119">_xlfn.IFS($G119=$G$5,I$5,$G119=$G$6,I$6,$G119=$G$7,I$7,$G119=$G$8,I$8,$G119=$G$9,I$9,$G119=$G$10,I$10,$G119=$G$11,I$11,$G119=$G$13,I$13,$G119=$G$15,I$15,$G119=$G$16,I$16,$G119=$G$33,I$33,$G119=$G$34,I$34,$G119=$G$248,I$248,$G119=$G$250,I$250)</f>
        <v>2.1431439999999999</v>
      </c>
      <c r="J119" s="29" cm="1">
        <f t="array" ref="J119">_xlfn.IFS($G119=$G$5,J$5,$G119=$G$6,J$6,$G119=$G$7,J$7,$G119=$G$8,J$8,$G119=$G$9,J$9,$G119=$G$10,J$10,$G119=$G$11,J$11,$G119=$G$13,J$13,$G119=$G$15,J$15,$G119=$G$16,J$16,$G119=$G$33,J$33,$G119=$G$34,J$34,$G119=$G$248,J$248,$G119=$G$250,J$250)</f>
        <v>160</v>
      </c>
      <c r="K119" s="29" t="str" cm="1">
        <f t="array" ref="K119">_xlfn.IFS($G119=$G$5,K$5,$G119=$G$6,K$6,$G119=$G$7,K$7,$G119=$G$8,K$8,$G119=$G$9,K$9,$G119=$G$10,K$10,$G119=$G$11,K$11,$G119=$G$13,K$13,$G119=$G$15,K$15,$G119=$G$16,K$16,$G119=$G$33,K$33,$G119=$G$34,K$34,$G119=$G$248,K$248,$G119=$G$250,K$250)</f>
        <v>BG sentinel + BG lure7</v>
      </c>
      <c r="L119" s="29" t="str" cm="1">
        <f t="array" ref="L119">_xlfn.IFS($G119=$G$5,L$5,$G119=$G$6,L$6,$G119=$G$7,L$7,$G119=$G$8,L$8,$G119=$G$9,L$9,$G119=$G$10,L$10,$G119=$G$11,L$11,$G119=$G$13,L$13,$G119=$G$15,L$15,$G119=$G$16,L$16,$G119=$G$33,L$33,$G119=$G$34,L$34,$G119=$G$248,L$248,$G119=$G$250,L$250)</f>
        <v>Urban habitat</v>
      </c>
      <c r="O119" s="32" t="str">
        <f t="shared" si="7"/>
        <v>A_SP_BCN_2_200902</v>
      </c>
      <c r="P119" s="33">
        <v>44076</v>
      </c>
      <c r="Q119" s="34">
        <v>0.56944444444444442</v>
      </c>
      <c r="R119" s="35"/>
      <c r="S119" s="36">
        <v>44083</v>
      </c>
      <c r="T119" s="37">
        <v>0.61805555555555558</v>
      </c>
      <c r="U119" s="38"/>
      <c r="V119" s="39" t="s">
        <v>66</v>
      </c>
      <c r="X119" s="29">
        <f t="shared" si="6"/>
        <v>7</v>
      </c>
      <c r="Y119" s="38"/>
      <c r="Z119" s="29" t="s">
        <v>68</v>
      </c>
      <c r="AA119" s="29">
        <f t="shared" si="5"/>
        <v>5</v>
      </c>
      <c r="AB119" s="29" t="s">
        <v>69</v>
      </c>
      <c r="AC119" s="29">
        <v>4</v>
      </c>
      <c r="AD119" s="29">
        <v>1</v>
      </c>
      <c r="AE119" s="29" t="s">
        <v>70</v>
      </c>
      <c r="AF119">
        <v>4</v>
      </c>
      <c r="AG119" s="40"/>
    </row>
    <row r="120" spans="1:33" x14ac:dyDescent="0.25">
      <c r="A120" s="28">
        <v>116</v>
      </c>
      <c r="B120" s="29" t="s">
        <v>60</v>
      </c>
      <c r="C120" s="29" t="s">
        <v>61</v>
      </c>
      <c r="D120" s="29" t="s">
        <v>62</v>
      </c>
      <c r="E120" s="29" t="s">
        <v>62</v>
      </c>
      <c r="F120" s="30" cm="1">
        <f t="array" ref="F120">_xlfn.IFS($G120=$G$5,F$5,$G120=$G$6,F$6,$G120=$G$7,F$7,$G120=$G$8,F$8,$G120=$G$9,F$9,$G120=$G$10,F$10,$G120=$G$11,F$11,$G120=$G$13,F$13,$G120=$G$15,F$15,$G120=$G$16,F$16,$G120=$G$33,F$33,$G120=$G$34,F$34,$G120=$G$248,F$248,$G120=$G$250,F$250)</f>
        <v>8016</v>
      </c>
      <c r="G120" s="29" t="s">
        <v>72</v>
      </c>
      <c r="H120" s="31" cm="1">
        <f t="array" ref="H120">_xlfn.IFS($G120=$G$5,H$5,$G120=$G$6,H$6,$G120=$G$7,H$7,$G120=$G$8,H$8,$G120=$G$9,H$9,$G120=$G$10,H$10,$G120=$G$11,H$11,$G120=$G$13,H$13,$G120=$G$15,H$15,$G120=$G$16,H$16,$G120=$G$33,H$33,$G120=$G$34,H$34,$G120=$G$248,H$248,$G120=$G$250,H$250)</f>
        <v>41.437435000000001</v>
      </c>
      <c r="I120" s="31" cm="1">
        <f t="array" ref="I120">_xlfn.IFS($G120=$G$5,I$5,$G120=$G$6,I$6,$G120=$G$7,I$7,$G120=$G$8,I$8,$G120=$G$9,I$9,$G120=$G$10,I$10,$G120=$G$11,I$11,$G120=$G$13,I$13,$G120=$G$15,I$15,$G120=$G$16,I$16,$G120=$G$33,I$33,$G120=$G$34,I$34,$G120=$G$248,I$248,$G120=$G$250,I$250)</f>
        <v>2.1812779999999998</v>
      </c>
      <c r="J120" s="29" cm="1">
        <f t="array" ref="J120">_xlfn.IFS($G120=$G$5,J$5,$G120=$G$6,J$6,$G120=$G$7,J$7,$G120=$G$8,J$8,$G120=$G$9,J$9,$G120=$G$10,J$10,$G120=$G$11,J$11,$G120=$G$13,J$13,$G120=$G$15,J$15,$G120=$G$16,J$16,$G120=$G$33,J$33,$G120=$G$34,J$34,$G120=$G$248,J$248,$G120=$G$250,J$250)</f>
        <v>47</v>
      </c>
      <c r="K120" s="29" t="str" cm="1">
        <f t="array" ref="K120">_xlfn.IFS($G120=$G$5,K$5,$G120=$G$6,K$6,$G120=$G$7,K$7,$G120=$G$8,K$8,$G120=$G$9,K$9,$G120=$G$10,K$10,$G120=$G$11,K$11,$G120=$G$13,K$13,$G120=$G$15,K$15,$G120=$G$16,K$16,$G120=$G$33,K$33,$G120=$G$34,K$34,$G120=$G$248,K$248,$G120=$G$250,K$250)</f>
        <v>BG sentinel + BG lure7</v>
      </c>
      <c r="L120" s="29" t="str" cm="1">
        <f t="array" ref="L120">_xlfn.IFS($G120=$G$5,L$5,$G120=$G$6,L$6,$G120=$G$7,L$7,$G120=$G$8,L$8,$G120=$G$9,L$9,$G120=$G$10,L$10,$G120=$G$11,L$11,$G120=$G$13,L$13,$G120=$G$15,L$15,$G120=$G$16,L$16,$G120=$G$33,L$33,$G120=$G$34,L$34,$G120=$G$248,L$248,$G120=$G$250,L$250)</f>
        <v>Urban habitat</v>
      </c>
      <c r="O120" s="32" t="str">
        <f t="shared" si="7"/>
        <v>A_SP_BCN_3_200902</v>
      </c>
      <c r="P120" s="33">
        <v>44076</v>
      </c>
      <c r="Q120" s="34">
        <v>0.53819444444444442</v>
      </c>
      <c r="R120" s="35"/>
      <c r="S120" s="36">
        <v>44083</v>
      </c>
      <c r="T120" s="37">
        <v>0.58333333333333337</v>
      </c>
      <c r="U120" s="38"/>
      <c r="V120" s="39" t="s">
        <v>66</v>
      </c>
      <c r="X120" s="29">
        <f t="shared" si="6"/>
        <v>7</v>
      </c>
      <c r="Y120" s="38"/>
      <c r="Z120" s="29" t="s">
        <v>68</v>
      </c>
      <c r="AA120" s="29">
        <f t="shared" si="5"/>
        <v>19</v>
      </c>
      <c r="AB120" s="29" t="s">
        <v>69</v>
      </c>
      <c r="AC120" s="29">
        <v>16</v>
      </c>
      <c r="AD120" s="29">
        <v>3</v>
      </c>
      <c r="AE120" s="29" t="s">
        <v>70</v>
      </c>
      <c r="AF120">
        <v>4</v>
      </c>
      <c r="AG120" s="40"/>
    </row>
    <row r="121" spans="1:33" x14ac:dyDescent="0.25">
      <c r="A121" s="28">
        <v>117</v>
      </c>
      <c r="B121" s="29" t="s">
        <v>60</v>
      </c>
      <c r="C121" s="29" t="s">
        <v>61</v>
      </c>
      <c r="D121" s="29" t="s">
        <v>62</v>
      </c>
      <c r="E121" s="29" t="s">
        <v>62</v>
      </c>
      <c r="F121" s="30" cm="1">
        <f t="array" ref="F121">_xlfn.IFS($G121=$G$5,F$5,$G121=$G$6,F$6,$G121=$G$7,F$7,$G121=$G$8,F$8,$G121=$G$9,F$9,$G121=$G$10,F$10,$G121=$G$11,F$11,$G121=$G$13,F$13,$G121=$G$15,F$15,$G121=$G$16,F$16,$G121=$G$33,F$33,$G121=$G$34,F$34,$G121=$G$248,F$248,$G121=$G$250,F$250)</f>
        <v>8016</v>
      </c>
      <c r="G121" s="29" t="s">
        <v>72</v>
      </c>
      <c r="H121" s="31" cm="1">
        <f t="array" ref="H121">_xlfn.IFS($G121=$G$5,H$5,$G121=$G$6,H$6,$G121=$G$7,H$7,$G121=$G$8,H$8,$G121=$G$9,H$9,$G121=$G$10,H$10,$G121=$G$11,H$11,$G121=$G$13,H$13,$G121=$G$15,H$15,$G121=$G$16,H$16,$G121=$G$33,H$33,$G121=$G$34,H$34,$G121=$G$248,H$248,$G121=$G$250,H$250)</f>
        <v>41.437435000000001</v>
      </c>
      <c r="I121" s="31" cm="1">
        <f t="array" ref="I121">_xlfn.IFS($G121=$G$5,I$5,$G121=$G$6,I$6,$G121=$G$7,I$7,$G121=$G$8,I$8,$G121=$G$9,I$9,$G121=$G$10,I$10,$G121=$G$11,I$11,$G121=$G$13,I$13,$G121=$G$15,I$15,$G121=$G$16,I$16,$G121=$G$33,I$33,$G121=$G$34,I$34,$G121=$G$248,I$248,$G121=$G$250,I$250)</f>
        <v>2.1812779999999998</v>
      </c>
      <c r="J121" s="29" cm="1">
        <f t="array" ref="J121">_xlfn.IFS($G121=$G$5,J$5,$G121=$G$6,J$6,$G121=$G$7,J$7,$G121=$G$8,J$8,$G121=$G$9,J$9,$G121=$G$10,J$10,$G121=$G$11,J$11,$G121=$G$13,J$13,$G121=$G$15,J$15,$G121=$G$16,J$16,$G121=$G$33,J$33,$G121=$G$34,J$34,$G121=$G$248,J$248,$G121=$G$250,J$250)</f>
        <v>47</v>
      </c>
      <c r="K121" s="29" t="str" cm="1">
        <f t="array" ref="K121">_xlfn.IFS($G121=$G$5,K$5,$G121=$G$6,K$6,$G121=$G$7,K$7,$G121=$G$8,K$8,$G121=$G$9,K$9,$G121=$G$10,K$10,$G121=$G$11,K$11,$G121=$G$13,K$13,$G121=$G$15,K$15,$G121=$G$16,K$16,$G121=$G$33,K$33,$G121=$G$34,K$34,$G121=$G$248,K$248,$G121=$G$250,K$250)</f>
        <v>BG sentinel + BG lure7</v>
      </c>
      <c r="L121" s="29" t="str" cm="1">
        <f t="array" ref="L121">_xlfn.IFS($G121=$G$5,L$5,$G121=$G$6,L$6,$G121=$G$7,L$7,$G121=$G$8,L$8,$G121=$G$9,L$9,$G121=$G$10,L$10,$G121=$G$11,L$11,$G121=$G$13,L$13,$G121=$G$15,L$15,$G121=$G$16,L$16,$G121=$G$33,L$33,$G121=$G$34,L$34,$G121=$G$248,L$248,$G121=$G$250,L$250)</f>
        <v>Urban habitat</v>
      </c>
      <c r="O121" s="32" t="str">
        <f t="shared" si="7"/>
        <v>A_SP_BCN_3_200902</v>
      </c>
      <c r="P121" s="33">
        <v>44076</v>
      </c>
      <c r="Q121" s="34">
        <v>0.53819444444444442</v>
      </c>
      <c r="R121" s="35"/>
      <c r="S121" s="36">
        <v>44083</v>
      </c>
      <c r="T121" s="37">
        <v>0.58333333333333337</v>
      </c>
      <c r="U121" s="38"/>
      <c r="V121" s="39" t="s">
        <v>66</v>
      </c>
      <c r="X121" s="29">
        <f t="shared" si="6"/>
        <v>7</v>
      </c>
      <c r="Y121" s="38"/>
      <c r="Z121" s="29" t="s">
        <v>75</v>
      </c>
      <c r="AA121" s="29">
        <f t="shared" si="5"/>
        <v>2</v>
      </c>
      <c r="AB121" s="29" t="s">
        <v>69</v>
      </c>
      <c r="AC121" s="29">
        <v>1</v>
      </c>
      <c r="AD121" s="29">
        <v>1</v>
      </c>
      <c r="AE121" s="29" t="s">
        <v>70</v>
      </c>
      <c r="AF121">
        <v>4</v>
      </c>
    </row>
    <row r="122" spans="1:33" x14ac:dyDescent="0.25">
      <c r="A122" s="28">
        <v>118</v>
      </c>
      <c r="B122" s="29" t="s">
        <v>60</v>
      </c>
      <c r="C122" s="29" t="s">
        <v>61</v>
      </c>
      <c r="D122" s="29" t="s">
        <v>62</v>
      </c>
      <c r="E122" s="29" t="s">
        <v>62</v>
      </c>
      <c r="F122" s="30" cm="1">
        <f t="array" ref="F122">_xlfn.IFS($G122=$G$5,F$5,$G122=$G$6,F$6,$G122=$G$7,F$7,$G122=$G$8,F$8,$G122=$G$9,F$9,$G122=$G$10,F$10,$G122=$G$11,F$11,$G122=$G$13,F$13,$G122=$G$15,F$15,$G122=$G$16,F$16,$G122=$G$33,F$33,$G122=$G$34,F$34,$G122=$G$248,F$248,$G122=$G$250,F$250)</f>
        <v>8018</v>
      </c>
      <c r="G122" s="29" t="s">
        <v>73</v>
      </c>
      <c r="H122" s="31" cm="1">
        <f t="array" ref="H122">_xlfn.IFS($G122=$G$5,H$5,$G122=$G$6,H$6,$G122=$G$7,H$7,$G122=$G$8,H$8,$G122=$G$9,H$9,$G122=$G$10,H$10,$G122=$G$11,H$11,$G122=$G$13,H$13,$G122=$G$15,H$15,$G122=$G$16,H$16,$G122=$G$33,H$33,$G122=$G$34,H$34,$G122=$G$248,H$248,$G122=$G$250,H$250)</f>
        <v>41.404924999999999</v>
      </c>
      <c r="I122" s="31" cm="1">
        <f t="array" ref="I122">_xlfn.IFS($G122=$G$5,I$5,$G122=$G$6,I$6,$G122=$G$7,I$7,$G122=$G$8,I$8,$G122=$G$9,I$9,$G122=$G$10,I$10,$G122=$G$11,I$11,$G122=$G$13,I$13,$G122=$G$15,I$15,$G122=$G$16,I$16,$G122=$G$33,I$33,$G122=$G$34,I$34,$G122=$G$248,I$248,$G122=$G$250,I$250)</f>
        <v>2.1987909999999999</v>
      </c>
      <c r="J122" s="29" cm="1">
        <f t="array" ref="J122">_xlfn.IFS($G122=$G$5,J$5,$G122=$G$6,J$6,$G122=$G$7,J$7,$G122=$G$8,J$8,$G122=$G$9,J$9,$G122=$G$10,J$10,$G122=$G$11,J$11,$G122=$G$13,J$13,$G122=$G$15,J$15,$G122=$G$16,J$16,$G122=$G$33,J$33,$G122=$G$34,J$34,$G122=$G$248,J$248,$G122=$G$250,J$250)</f>
        <v>4</v>
      </c>
      <c r="K122" s="29" t="str" cm="1">
        <f t="array" ref="K122">_xlfn.IFS($G122=$G$5,K$5,$G122=$G$6,K$6,$G122=$G$7,K$7,$G122=$G$8,K$8,$G122=$G$9,K$9,$G122=$G$10,K$10,$G122=$G$11,K$11,$G122=$G$13,K$13,$G122=$G$15,K$15,$G122=$G$16,K$16,$G122=$G$33,K$33,$G122=$G$34,K$34,$G122=$G$248,K$248,$G122=$G$250,K$250)</f>
        <v>BG sentinel + BG lure7</v>
      </c>
      <c r="L122" s="29" t="str" cm="1">
        <f t="array" ref="L122">_xlfn.IFS($G122=$G$5,L$5,$G122=$G$6,L$6,$G122=$G$7,L$7,$G122=$G$8,L$8,$G122=$G$9,L$9,$G122=$G$10,L$10,$G122=$G$11,L$11,$G122=$G$13,L$13,$G122=$G$15,L$15,$G122=$G$16,L$16,$G122=$G$33,L$33,$G122=$G$34,L$34,$G122=$G$248,L$248,$G122=$G$250,L$250)</f>
        <v>Urban habitat</v>
      </c>
      <c r="O122" s="32" t="str">
        <f t="shared" si="7"/>
        <v>A_SP_BCN_4_200902</v>
      </c>
      <c r="P122" s="33">
        <v>44076</v>
      </c>
      <c r="Q122" s="34">
        <v>0.54861111111111105</v>
      </c>
      <c r="R122" s="35"/>
      <c r="S122" s="36">
        <v>44083</v>
      </c>
      <c r="T122" s="37">
        <v>0.57291666666666663</v>
      </c>
      <c r="U122" s="38"/>
      <c r="V122" s="39" t="s">
        <v>66</v>
      </c>
      <c r="X122" s="29">
        <f t="shared" si="6"/>
        <v>7</v>
      </c>
      <c r="Y122" s="38"/>
      <c r="Z122" s="29" t="s">
        <v>68</v>
      </c>
      <c r="AA122" s="29">
        <f t="shared" si="5"/>
        <v>30</v>
      </c>
      <c r="AB122" s="29" t="s">
        <v>69</v>
      </c>
      <c r="AC122" s="29">
        <v>16</v>
      </c>
      <c r="AD122" s="29">
        <v>14</v>
      </c>
      <c r="AE122" s="29" t="s">
        <v>70</v>
      </c>
      <c r="AF122">
        <v>4</v>
      </c>
    </row>
    <row r="123" spans="1:33" x14ac:dyDescent="0.25">
      <c r="A123" s="28">
        <v>119</v>
      </c>
      <c r="B123" s="29" t="s">
        <v>60</v>
      </c>
      <c r="C123" s="29" t="s">
        <v>61</v>
      </c>
      <c r="D123" s="29" t="s">
        <v>62</v>
      </c>
      <c r="E123" s="29" t="s">
        <v>62</v>
      </c>
      <c r="F123" s="30" cm="1">
        <f t="array" ref="F123">_xlfn.IFS($G123=$G$5,F$5,$G123=$G$6,F$6,$G123=$G$7,F$7,$G123=$G$8,F$8,$G123=$G$9,F$9,$G123=$G$10,F$10,$G123=$G$11,F$11,$G123=$G$13,F$13,$G123=$G$15,F$15,$G123=$G$16,F$16,$G123=$G$33,F$33,$G123=$G$34,F$34,$G123=$G$248,F$248,$G123=$G$250,F$250)</f>
        <v>8019</v>
      </c>
      <c r="G123" s="29" t="s">
        <v>74</v>
      </c>
      <c r="H123" s="31" cm="1">
        <f t="array" ref="H123">_xlfn.IFS($G123=$G$5,H$5,$G123=$G$6,H$6,$G123=$G$7,H$7,$G123=$G$8,H$8,$G123=$G$9,H$9,$G123=$G$10,H$10,$G123=$G$11,H$11,$G123=$G$13,H$13,$G123=$G$15,H$15,$G123=$G$16,H$16,$G123=$G$33,H$33,$G123=$G$34,H$34,$G123=$G$248,H$248,$G123=$G$250,H$250)</f>
        <v>41.410684000000003</v>
      </c>
      <c r="I123" s="31" cm="1">
        <f t="array" ref="I123">_xlfn.IFS($G123=$G$5,I$5,$G123=$G$6,I$6,$G123=$G$7,I$7,$G123=$G$8,I$8,$G123=$G$9,I$9,$G123=$G$10,I$10,$G123=$G$11,I$11,$G123=$G$13,I$13,$G123=$G$15,I$15,$G123=$G$16,I$16,$G123=$G$33,I$33,$G123=$G$34,I$34,$G123=$G$248,I$248,$G123=$G$250,I$250)</f>
        <v>2.2208019999999999</v>
      </c>
      <c r="J123" s="29" cm="1">
        <f t="array" ref="J123">_xlfn.IFS($G123=$G$5,J$5,$G123=$G$6,J$6,$G123=$G$7,J$7,$G123=$G$8,J$8,$G123=$G$9,J$9,$G123=$G$10,J$10,$G123=$G$11,J$11,$G123=$G$13,J$13,$G123=$G$15,J$15,$G123=$G$16,J$16,$G123=$G$33,J$33,$G123=$G$34,J$34,$G123=$G$248,J$248,$G123=$G$250,J$250)</f>
        <v>18</v>
      </c>
      <c r="K123" s="29" t="str" cm="1">
        <f t="array" ref="K123">_xlfn.IFS($G123=$G$5,K$5,$G123=$G$6,K$6,$G123=$G$7,K$7,$G123=$G$8,K$8,$G123=$G$9,K$9,$G123=$G$10,K$10,$G123=$G$11,K$11,$G123=$G$13,K$13,$G123=$G$15,K$15,$G123=$G$16,K$16,$G123=$G$33,K$33,$G123=$G$34,K$34,$G123=$G$248,K$248,$G123=$G$250,K$250)</f>
        <v>BG sentinel + BG lure7</v>
      </c>
      <c r="L123" s="29" t="str" cm="1">
        <f t="array" ref="L123">_xlfn.IFS($G123=$G$5,L$5,$G123=$G$6,L$6,$G123=$G$7,L$7,$G123=$G$8,L$8,$G123=$G$9,L$9,$G123=$G$10,L$10,$G123=$G$11,L$11,$G123=$G$13,L$13,$G123=$G$15,L$15,$G123=$G$16,L$16,$G123=$G$33,L$33,$G123=$G$34,L$34,$G123=$G$248,L$248,$G123=$G$250,L$250)</f>
        <v>Urban habitat</v>
      </c>
      <c r="O123" s="32" t="str">
        <f t="shared" si="7"/>
        <v>A_SP_BCN_5_200902</v>
      </c>
      <c r="P123" s="33">
        <v>44076</v>
      </c>
      <c r="Q123" s="34">
        <v>0.4861111111111111</v>
      </c>
      <c r="R123" s="35"/>
      <c r="S123" s="36">
        <v>44083</v>
      </c>
      <c r="T123" s="37">
        <v>0.54513888888888895</v>
      </c>
      <c r="U123" s="38"/>
      <c r="V123" s="39" t="s">
        <v>66</v>
      </c>
      <c r="X123" s="29">
        <f t="shared" si="6"/>
        <v>7</v>
      </c>
      <c r="Y123" s="38"/>
      <c r="Z123" s="29" t="s">
        <v>68</v>
      </c>
      <c r="AA123" s="29">
        <f t="shared" si="5"/>
        <v>1</v>
      </c>
      <c r="AB123" s="29" t="s">
        <v>69</v>
      </c>
      <c r="AC123" s="29">
        <v>1</v>
      </c>
      <c r="AD123" s="29">
        <v>0</v>
      </c>
      <c r="AE123" s="29" t="s">
        <v>70</v>
      </c>
      <c r="AF123">
        <v>4</v>
      </c>
    </row>
    <row r="124" spans="1:33" x14ac:dyDescent="0.25">
      <c r="A124" s="28">
        <v>120</v>
      </c>
      <c r="B124" s="29" t="s">
        <v>60</v>
      </c>
      <c r="C124" s="29" t="s">
        <v>61</v>
      </c>
      <c r="D124" s="29" t="s">
        <v>62</v>
      </c>
      <c r="E124" s="29" t="s">
        <v>62</v>
      </c>
      <c r="F124" s="30" cm="1">
        <f t="array" ref="F124">_xlfn.IFS($G124=$G$5,F$5,$G124=$G$6,F$6,$G124=$G$7,F$7,$G124=$G$8,F$8,$G124=$G$9,F$9,$G124=$G$10,F$10,$G124=$G$11,F$11,$G124=$G$13,F$13,$G124=$G$15,F$15,$G124=$G$16,F$16,$G124=$G$33,F$33,$G124=$G$34,F$34,$G124=$G$248,F$248,$G124=$G$250,F$250)</f>
        <v>8019</v>
      </c>
      <c r="G124" s="29" t="s">
        <v>74</v>
      </c>
      <c r="H124" s="31" cm="1">
        <f t="array" ref="H124">_xlfn.IFS($G124=$G$5,H$5,$G124=$G$6,H$6,$G124=$G$7,H$7,$G124=$G$8,H$8,$G124=$G$9,H$9,$G124=$G$10,H$10,$G124=$G$11,H$11,$G124=$G$13,H$13,$G124=$G$15,H$15,$G124=$G$16,H$16,$G124=$G$33,H$33,$G124=$G$34,H$34,$G124=$G$248,H$248,$G124=$G$250,H$250)</f>
        <v>41.410684000000003</v>
      </c>
      <c r="I124" s="31" cm="1">
        <f t="array" ref="I124">_xlfn.IFS($G124=$G$5,I$5,$G124=$G$6,I$6,$G124=$G$7,I$7,$G124=$G$8,I$8,$G124=$G$9,I$9,$G124=$G$10,I$10,$G124=$G$11,I$11,$G124=$G$13,I$13,$G124=$G$15,I$15,$G124=$G$16,I$16,$G124=$G$33,I$33,$G124=$G$34,I$34,$G124=$G$248,I$248,$G124=$G$250,I$250)</f>
        <v>2.2208019999999999</v>
      </c>
      <c r="J124" s="29" cm="1">
        <f t="array" ref="J124">_xlfn.IFS($G124=$G$5,J$5,$G124=$G$6,J$6,$G124=$G$7,J$7,$G124=$G$8,J$8,$G124=$G$9,J$9,$G124=$G$10,J$10,$G124=$G$11,J$11,$G124=$G$13,J$13,$G124=$G$15,J$15,$G124=$G$16,J$16,$G124=$G$33,J$33,$G124=$G$34,J$34,$G124=$G$248,J$248,$G124=$G$250,J$250)</f>
        <v>18</v>
      </c>
      <c r="K124" s="29" t="str" cm="1">
        <f t="array" ref="K124">_xlfn.IFS($G124=$G$5,K$5,$G124=$G$6,K$6,$G124=$G$7,K$7,$G124=$G$8,K$8,$G124=$G$9,K$9,$G124=$G$10,K$10,$G124=$G$11,K$11,$G124=$G$13,K$13,$G124=$G$15,K$15,$G124=$G$16,K$16,$G124=$G$33,K$33,$G124=$G$34,K$34,$G124=$G$248,K$248,$G124=$G$250,K$250)</f>
        <v>BG sentinel + BG lure7</v>
      </c>
      <c r="L124" s="29" t="str" cm="1">
        <f t="array" ref="L124">_xlfn.IFS($G124=$G$5,L$5,$G124=$G$6,L$6,$G124=$G$7,L$7,$G124=$G$8,L$8,$G124=$G$9,L$9,$G124=$G$10,L$10,$G124=$G$11,L$11,$G124=$G$13,L$13,$G124=$G$15,L$15,$G124=$G$16,L$16,$G124=$G$33,L$33,$G124=$G$34,L$34,$G124=$G$248,L$248,$G124=$G$250,L$250)</f>
        <v>Urban habitat</v>
      </c>
      <c r="O124" s="32" t="str">
        <f t="shared" si="7"/>
        <v>A_SP_BCN_5_200902</v>
      </c>
      <c r="P124" s="33">
        <v>44076</v>
      </c>
      <c r="Q124" s="34">
        <v>0.4861111111111111</v>
      </c>
      <c r="R124" s="35"/>
      <c r="S124" s="36">
        <v>44083</v>
      </c>
      <c r="T124" s="37">
        <v>0.54513888888888895</v>
      </c>
      <c r="U124" s="38"/>
      <c r="V124" s="39" t="s">
        <v>66</v>
      </c>
      <c r="X124" s="29">
        <f t="shared" si="6"/>
        <v>7</v>
      </c>
      <c r="Y124" s="38"/>
      <c r="Z124" s="29" t="s">
        <v>75</v>
      </c>
      <c r="AA124" s="29">
        <f t="shared" si="5"/>
        <v>9</v>
      </c>
      <c r="AB124" s="29" t="s">
        <v>69</v>
      </c>
      <c r="AC124" s="29">
        <v>6</v>
      </c>
      <c r="AD124" s="29">
        <v>3</v>
      </c>
      <c r="AE124" s="29" t="s">
        <v>70</v>
      </c>
      <c r="AF124">
        <v>4</v>
      </c>
    </row>
    <row r="125" spans="1:33" x14ac:dyDescent="0.25">
      <c r="A125" s="28">
        <v>121</v>
      </c>
      <c r="B125" s="29" t="s">
        <v>60</v>
      </c>
      <c r="C125" s="29" t="s">
        <v>61</v>
      </c>
      <c r="D125" s="29" t="s">
        <v>62</v>
      </c>
      <c r="E125" s="29" t="s">
        <v>62</v>
      </c>
      <c r="F125" s="30" cm="1">
        <f t="array" ref="F125">_xlfn.IFS($G125=$G$5,F$5,$G125=$G$6,F$6,$G125=$G$7,F$7,$G125=$G$8,F$8,$G125=$G$9,F$9,$G125=$G$10,F$10,$G125=$G$11,F$11,$G125=$G$13,F$13,$G125=$G$15,F$15,$G125=$G$16,F$16,$G125=$G$33,F$33,$G125=$G$34,F$34,$G125=$G$248,F$248,$G125=$G$250,F$250)</f>
        <v>8002</v>
      </c>
      <c r="G125" s="29" t="s">
        <v>76</v>
      </c>
      <c r="H125" s="31" cm="1">
        <f t="array" ref="H125">_xlfn.IFS($G125=$G$5,H$5,$G125=$G$6,H$6,$G125=$G$7,H$7,$G125=$G$8,H$8,$G125=$G$9,H$9,$G125=$G$10,H$10,$G125=$G$11,H$11,$G125=$G$13,H$13,$G125=$G$15,H$15,$G125=$G$16,H$16,$G125=$G$33,H$33,$G125=$G$34,H$34,$G125=$G$248,H$248,$G125=$G$250,H$250)</f>
        <v>41.382339999999999</v>
      </c>
      <c r="I125" s="31" cm="1">
        <f t="array" ref="I125">_xlfn.IFS($G125=$G$5,I$5,$G125=$G$6,I$6,$G125=$G$7,I$7,$G125=$G$8,I$8,$G125=$G$9,I$9,$G125=$G$10,I$10,$G125=$G$11,I$11,$G125=$G$13,I$13,$G125=$G$15,I$15,$G125=$G$16,I$16,$G125=$G$33,I$33,$G125=$G$34,I$34,$G125=$G$248,I$248,$G125=$G$250,I$250)</f>
        <v>2.1714790000000002</v>
      </c>
      <c r="J125" s="29" cm="1">
        <f t="array" ref="J125">_xlfn.IFS($G125=$G$5,J$5,$G125=$G$6,J$6,$G125=$G$7,J$7,$G125=$G$8,J$8,$G125=$G$9,J$9,$G125=$G$10,J$10,$G125=$G$11,J$11,$G125=$G$13,J$13,$G125=$G$15,J$15,$G125=$G$16,J$16,$G125=$G$33,J$33,$G125=$G$34,J$34,$G125=$G$248,J$248,$G125=$G$250,J$250)</f>
        <v>19</v>
      </c>
      <c r="K125" s="29" t="str" cm="1">
        <f t="array" ref="K125">_xlfn.IFS($G125=$G$5,K$5,$G125=$G$6,K$6,$G125=$G$7,K$7,$G125=$G$8,K$8,$G125=$G$9,K$9,$G125=$G$10,K$10,$G125=$G$11,K$11,$G125=$G$13,K$13,$G125=$G$15,K$15,$G125=$G$16,K$16,$G125=$G$33,K$33,$G125=$G$34,K$34,$G125=$G$248,K$248,$G125=$G$250,K$250)</f>
        <v>BG sentinel + BG lure7</v>
      </c>
      <c r="L125" s="29" t="str" cm="1">
        <f t="array" ref="L125">_xlfn.IFS($G125=$G$5,L$5,$G125=$G$6,L$6,$G125=$G$7,L$7,$G125=$G$8,L$8,$G125=$G$9,L$9,$G125=$G$10,L$10,$G125=$G$11,L$11,$G125=$G$13,L$13,$G125=$G$15,L$15,$G125=$G$16,L$16,$G125=$G$33,L$33,$G125=$G$34,L$34,$G125=$G$248,L$248,$G125=$G$250,L$250)</f>
        <v>Urban habitat</v>
      </c>
      <c r="O125" s="32" t="str">
        <f t="shared" si="7"/>
        <v>A_SP_BCN_6_200902</v>
      </c>
      <c r="P125" s="33">
        <v>44076</v>
      </c>
      <c r="Q125" s="34">
        <v>0.4375</v>
      </c>
      <c r="R125" s="35"/>
      <c r="S125" s="36">
        <v>44083</v>
      </c>
      <c r="T125" s="37">
        <v>0.51041666666666663</v>
      </c>
      <c r="U125" s="38"/>
      <c r="V125" s="39" t="s">
        <v>66</v>
      </c>
      <c r="X125" s="29">
        <f t="shared" si="6"/>
        <v>7</v>
      </c>
      <c r="Y125" s="38"/>
      <c r="Z125" s="29" t="s">
        <v>68</v>
      </c>
      <c r="AA125" s="29">
        <f t="shared" si="5"/>
        <v>3</v>
      </c>
      <c r="AB125" s="29" t="s">
        <v>69</v>
      </c>
      <c r="AC125" s="29">
        <v>2</v>
      </c>
      <c r="AD125" s="29">
        <v>1</v>
      </c>
      <c r="AE125" s="29" t="s">
        <v>70</v>
      </c>
      <c r="AF125">
        <v>4</v>
      </c>
    </row>
    <row r="126" spans="1:33" x14ac:dyDescent="0.25">
      <c r="A126" s="28">
        <v>122</v>
      </c>
      <c r="B126" s="29" t="s">
        <v>60</v>
      </c>
      <c r="C126" s="29" t="s">
        <v>61</v>
      </c>
      <c r="D126" s="29" t="s">
        <v>62</v>
      </c>
      <c r="E126" s="29" t="s">
        <v>62</v>
      </c>
      <c r="F126" s="30" cm="1">
        <f t="array" ref="F126">_xlfn.IFS($G126=$G$5,F$5,$G126=$G$6,F$6,$G126=$G$7,F$7,$G126=$G$8,F$8,$G126=$G$9,F$9,$G126=$G$10,F$10,$G126=$G$11,F$11,$G126=$G$13,F$13,$G126=$G$15,F$15,$G126=$G$16,F$16,$G126=$G$33,F$33,$G126=$G$34,F$34,$G126=$G$248,F$248,$G126=$G$250,F$250)</f>
        <v>8038</v>
      </c>
      <c r="G126" s="29" t="s">
        <v>77</v>
      </c>
      <c r="H126" s="31" cm="1">
        <f t="array" ref="H126">_xlfn.IFS($G126=$G$5,H$5,$G126=$G$6,H$6,$G126=$G$7,H$7,$G126=$G$8,H$8,$G126=$G$9,H$9,$G126=$G$10,H$10,$G126=$G$11,H$11,$G126=$G$13,H$13,$G126=$G$15,H$15,$G126=$G$16,H$16,$G126=$G$33,H$33,$G126=$G$34,H$34,$G126=$G$248,H$248,$G126=$G$250,H$250)</f>
        <v>41.371864000000002</v>
      </c>
      <c r="I126" s="31" cm="1">
        <f t="array" ref="I126">_xlfn.IFS($G126=$G$5,I$5,$G126=$G$6,I$6,$G126=$G$7,I$7,$G126=$G$8,I$8,$G126=$G$9,I$9,$G126=$G$10,I$10,$G126=$G$11,I$11,$G126=$G$13,I$13,$G126=$G$15,I$15,$G126=$G$16,I$16,$G126=$G$33,I$33,$G126=$G$34,I$34,$G126=$G$248,I$248,$G126=$G$250,I$250)</f>
        <v>2.173899</v>
      </c>
      <c r="J126" s="29" cm="1">
        <f t="array" ref="J126">_xlfn.IFS($G126=$G$5,J$5,$G126=$G$6,J$6,$G126=$G$7,J$7,$G126=$G$8,J$8,$G126=$G$9,J$9,$G126=$G$10,J$10,$G126=$G$11,J$11,$G126=$G$13,J$13,$G126=$G$15,J$15,$G126=$G$16,J$16,$G126=$G$33,J$33,$G126=$G$34,J$34,$G126=$G$248,J$248,$G126=$G$250,J$250)</f>
        <v>5</v>
      </c>
      <c r="K126" s="29" t="str" cm="1">
        <f t="array" ref="K126">_xlfn.IFS($G126=$G$5,K$5,$G126=$G$6,K$6,$G126=$G$7,K$7,$G126=$G$8,K$8,$G126=$G$9,K$9,$G126=$G$10,K$10,$G126=$G$11,K$11,$G126=$G$13,K$13,$G126=$G$15,K$15,$G126=$G$16,K$16,$G126=$G$33,K$33,$G126=$G$34,K$34,$G126=$G$248,K$248,$G126=$G$250,K$250)</f>
        <v>BG sentinel + BG lure7</v>
      </c>
      <c r="L126" s="29" t="str" cm="1">
        <f t="array" ref="L126">_xlfn.IFS($G126=$G$5,L$5,$G126=$G$6,L$6,$G126=$G$7,L$7,$G126=$G$8,L$8,$G126=$G$9,L$9,$G126=$G$10,L$10,$G126=$G$11,L$11,$G126=$G$13,L$13,$G126=$G$15,L$15,$G126=$G$16,L$16,$G126=$G$33,L$33,$G126=$G$34,L$34,$G126=$G$248,L$248,$G126=$G$250,L$250)</f>
        <v>Urban habitat</v>
      </c>
      <c r="O126" s="32" t="str">
        <f t="shared" si="7"/>
        <v>A_SP_BCN_7_200902</v>
      </c>
      <c r="P126" s="33">
        <v>44076</v>
      </c>
      <c r="Q126" s="34">
        <v>0.64236111111111105</v>
      </c>
      <c r="R126" s="35"/>
      <c r="S126" s="36">
        <v>44083</v>
      </c>
      <c r="T126" s="37">
        <v>0.72222222222222221</v>
      </c>
      <c r="U126" s="38"/>
      <c r="V126" s="39" t="s">
        <v>66</v>
      </c>
      <c r="X126" s="29">
        <f t="shared" si="6"/>
        <v>7</v>
      </c>
      <c r="Y126" s="38"/>
      <c r="Z126" s="29" t="s">
        <v>68</v>
      </c>
      <c r="AA126" s="29">
        <f t="shared" si="5"/>
        <v>24</v>
      </c>
      <c r="AB126" s="29" t="s">
        <v>69</v>
      </c>
      <c r="AC126" s="29">
        <v>17</v>
      </c>
      <c r="AD126" s="29">
        <v>7</v>
      </c>
      <c r="AE126" s="29" t="s">
        <v>70</v>
      </c>
      <c r="AF126">
        <v>4</v>
      </c>
    </row>
    <row r="127" spans="1:33" x14ac:dyDescent="0.25">
      <c r="A127" s="28">
        <v>123</v>
      </c>
      <c r="B127" s="29" t="s">
        <v>60</v>
      </c>
      <c r="C127" s="29" t="s">
        <v>61</v>
      </c>
      <c r="D127" s="29" t="s">
        <v>62</v>
      </c>
      <c r="E127" s="29" t="s">
        <v>62</v>
      </c>
      <c r="F127" s="30" cm="1">
        <f t="array" ref="F127">_xlfn.IFS($G127=$G$5,F$5,$G127=$G$6,F$6,$G127=$G$7,F$7,$G127=$G$8,F$8,$G127=$G$9,F$9,$G127=$G$10,F$10,$G127=$G$11,F$11,$G127=$G$13,F$13,$G127=$G$15,F$15,$G127=$G$16,F$16,$G127=$G$33,F$33,$G127=$G$34,F$34,$G127=$G$248,F$248,$G127=$G$250,F$250)</f>
        <v>8038</v>
      </c>
      <c r="G127" s="29" t="s">
        <v>77</v>
      </c>
      <c r="H127" s="31" cm="1">
        <f t="array" ref="H127">_xlfn.IFS($G127=$G$5,H$5,$G127=$G$6,H$6,$G127=$G$7,H$7,$G127=$G$8,H$8,$G127=$G$9,H$9,$G127=$G$10,H$10,$G127=$G$11,H$11,$G127=$G$13,H$13,$G127=$G$15,H$15,$G127=$G$16,H$16,$G127=$G$33,H$33,$G127=$G$34,H$34,$G127=$G$248,H$248,$G127=$G$250,H$250)</f>
        <v>41.371864000000002</v>
      </c>
      <c r="I127" s="31" cm="1">
        <f t="array" ref="I127">_xlfn.IFS($G127=$G$5,I$5,$G127=$G$6,I$6,$G127=$G$7,I$7,$G127=$G$8,I$8,$G127=$G$9,I$9,$G127=$G$10,I$10,$G127=$G$11,I$11,$G127=$G$13,I$13,$G127=$G$15,I$15,$G127=$G$16,I$16,$G127=$G$33,I$33,$G127=$G$34,I$34,$G127=$G$248,I$248,$G127=$G$250,I$250)</f>
        <v>2.173899</v>
      </c>
      <c r="J127" s="29" cm="1">
        <f t="array" ref="J127">_xlfn.IFS($G127=$G$5,J$5,$G127=$G$6,J$6,$G127=$G$7,J$7,$G127=$G$8,J$8,$G127=$G$9,J$9,$G127=$G$10,J$10,$G127=$G$11,J$11,$G127=$G$13,J$13,$G127=$G$15,J$15,$G127=$G$16,J$16,$G127=$G$33,J$33,$G127=$G$34,J$34,$G127=$G$248,J$248,$G127=$G$250,J$250)</f>
        <v>5</v>
      </c>
      <c r="K127" s="29" t="str" cm="1">
        <f t="array" ref="K127">_xlfn.IFS($G127=$G$5,K$5,$G127=$G$6,K$6,$G127=$G$7,K$7,$G127=$G$8,K$8,$G127=$G$9,K$9,$G127=$G$10,K$10,$G127=$G$11,K$11,$G127=$G$13,K$13,$G127=$G$15,K$15,$G127=$G$16,K$16,$G127=$G$33,K$33,$G127=$G$34,K$34,$G127=$G$248,K$248,$G127=$G$250,K$250)</f>
        <v>BG sentinel + BG lure7</v>
      </c>
      <c r="L127" s="29" t="str" cm="1">
        <f t="array" ref="L127">_xlfn.IFS($G127=$G$5,L$5,$G127=$G$6,L$6,$G127=$G$7,L$7,$G127=$G$8,L$8,$G127=$G$9,L$9,$G127=$G$10,L$10,$G127=$G$11,L$11,$G127=$G$13,L$13,$G127=$G$15,L$15,$G127=$G$16,L$16,$G127=$G$33,L$33,$G127=$G$34,L$34,$G127=$G$248,L$248,$G127=$G$250,L$250)</f>
        <v>Urban habitat</v>
      </c>
      <c r="O127" s="32" t="str">
        <f t="shared" si="7"/>
        <v>A_SP_BCN_7_200902</v>
      </c>
      <c r="P127" s="33">
        <v>44076</v>
      </c>
      <c r="Q127" s="34">
        <v>0.64236111111111105</v>
      </c>
      <c r="R127" s="35"/>
      <c r="S127" s="36">
        <v>44083</v>
      </c>
      <c r="T127" s="37">
        <v>0.72222222222222221</v>
      </c>
      <c r="U127" s="38"/>
      <c r="V127" s="39" t="s">
        <v>66</v>
      </c>
      <c r="X127" s="29">
        <f t="shared" si="6"/>
        <v>7</v>
      </c>
      <c r="Y127" s="38"/>
      <c r="Z127" s="29" t="s">
        <v>75</v>
      </c>
      <c r="AA127" s="29">
        <f t="shared" si="5"/>
        <v>2</v>
      </c>
      <c r="AB127" s="29" t="s">
        <v>69</v>
      </c>
      <c r="AC127" s="29">
        <v>0</v>
      </c>
      <c r="AD127" s="29">
        <v>2</v>
      </c>
      <c r="AE127" s="29" t="s">
        <v>70</v>
      </c>
      <c r="AF127">
        <v>4</v>
      </c>
    </row>
    <row r="128" spans="1:33" x14ac:dyDescent="0.25">
      <c r="A128" s="28">
        <v>124</v>
      </c>
      <c r="B128" s="29" t="s">
        <v>60</v>
      </c>
      <c r="C128" s="29" t="s">
        <v>61</v>
      </c>
      <c r="D128" s="29" t="s">
        <v>62</v>
      </c>
      <c r="E128" s="29" t="s">
        <v>62</v>
      </c>
      <c r="F128" s="30" cm="1">
        <f t="array" ref="F128">_xlfn.IFS($G128=$G$5,F$5,$G128=$G$6,F$6,$G128=$G$7,F$7,$G128=$G$8,F$8,$G128=$G$9,F$9,$G128=$G$10,F$10,$G128=$G$11,F$11,$G128=$G$13,F$13,$G128=$G$15,F$15,$G128=$G$16,F$16,$G128=$G$33,F$33,$G128=$G$34,F$34,$G128=$G$248,F$248,$G128=$G$250,F$250)</f>
        <v>8038</v>
      </c>
      <c r="G128" s="29" t="s">
        <v>78</v>
      </c>
      <c r="H128" s="31" cm="1">
        <f t="array" ref="H128">_xlfn.IFS($G128=$G$5,H$5,$G128=$G$6,H$6,$G128=$G$7,H$7,$G128=$G$8,H$8,$G128=$G$9,H$9,$G128=$G$10,H$10,$G128=$G$11,H$11,$G128=$G$13,H$13,$G128=$G$15,H$15,$G128=$G$16,H$16,$G128=$G$33,H$33,$G128=$G$34,H$34,$G128=$G$248,H$248,$G128=$G$250,H$250)</f>
        <v>41.368589</v>
      </c>
      <c r="I128" s="31" cm="1">
        <f t="array" ref="I128">_xlfn.IFS($G128=$G$5,I$5,$G128=$G$6,I$6,$G128=$G$7,I$7,$G128=$G$8,I$8,$G128=$G$9,I$9,$G128=$G$10,I$10,$G128=$G$11,I$11,$G128=$G$13,I$13,$G128=$G$15,I$15,$G128=$G$16,I$16,$G128=$G$33,I$33,$G128=$G$34,I$34,$G128=$G$248,I$248,$G128=$G$250,I$250)</f>
        <v>2.1620900000000001</v>
      </c>
      <c r="J128" s="29" cm="1">
        <f t="array" ref="J128">_xlfn.IFS($G128=$G$5,J$5,$G128=$G$6,J$6,$G128=$G$7,J$7,$G128=$G$8,J$8,$G128=$G$9,J$9,$G128=$G$10,J$10,$G128=$G$11,J$11,$G128=$G$13,J$13,$G128=$G$15,J$15,$G128=$G$16,J$16,$G128=$G$33,J$33,$G128=$G$34,J$34,$G128=$G$248,J$248,$G128=$G$250,J$250)</f>
        <v>95</v>
      </c>
      <c r="K128" s="29" t="str" cm="1">
        <f t="array" ref="K128">_xlfn.IFS($G128=$G$5,K$5,$G128=$G$6,K$6,$G128=$G$7,K$7,$G128=$G$8,K$8,$G128=$G$9,K$9,$G128=$G$10,K$10,$G128=$G$11,K$11,$G128=$G$13,K$13,$G128=$G$15,K$15,$G128=$G$16,K$16,$G128=$G$33,K$33,$G128=$G$34,K$34,$G128=$G$248,K$248,$G128=$G$250,K$250)</f>
        <v>BG sentinel + BG lure7</v>
      </c>
      <c r="L128" s="29" t="str" cm="1">
        <f t="array" ref="L128">_xlfn.IFS($G128=$G$5,L$5,$G128=$G$6,L$6,$G128=$G$7,L$7,$G128=$G$8,L$8,$G128=$G$9,L$9,$G128=$G$10,L$10,$G128=$G$11,L$11,$G128=$G$13,L$13,$G128=$G$15,L$15,$G128=$G$16,L$16,$G128=$G$33,L$33,$G128=$G$34,L$34,$G128=$G$248,L$248,$G128=$G$250,L$250)</f>
        <v>Other</v>
      </c>
      <c r="O128" s="32" t="str">
        <f t="shared" si="7"/>
        <v>A_SP_BCN_8_200902</v>
      </c>
      <c r="P128" s="33">
        <v>44076</v>
      </c>
      <c r="Q128" s="34">
        <v>0.69097222222222221</v>
      </c>
      <c r="R128" s="35"/>
      <c r="S128" s="36">
        <v>44083</v>
      </c>
      <c r="T128" s="37">
        <v>0.74305555555555547</v>
      </c>
      <c r="U128" s="38"/>
      <c r="V128" s="39" t="s">
        <v>95</v>
      </c>
      <c r="X128" s="29">
        <f t="shared" si="6"/>
        <v>7</v>
      </c>
      <c r="Y128" s="38"/>
      <c r="Z128" s="29" t="s">
        <v>68</v>
      </c>
      <c r="AA128" s="29">
        <f t="shared" si="5"/>
        <v>54</v>
      </c>
      <c r="AB128" s="29" t="s">
        <v>69</v>
      </c>
      <c r="AC128" s="29">
        <v>53</v>
      </c>
      <c r="AD128" s="29">
        <v>1</v>
      </c>
      <c r="AE128" s="29" t="s">
        <v>70</v>
      </c>
      <c r="AF128">
        <v>2</v>
      </c>
    </row>
    <row r="129" spans="1:33" x14ac:dyDescent="0.25">
      <c r="A129" s="28">
        <v>125</v>
      </c>
      <c r="B129" s="29" t="s">
        <v>60</v>
      </c>
      <c r="C129" s="29" t="s">
        <v>61</v>
      </c>
      <c r="D129" s="29" t="s">
        <v>62</v>
      </c>
      <c r="E129" s="29" t="s">
        <v>62</v>
      </c>
      <c r="F129" s="30" cm="1">
        <f t="array" ref="F129">_xlfn.IFS($G129=$G$5,F$5,$G129=$G$6,F$6,$G129=$G$7,F$7,$G129=$G$8,F$8,$G129=$G$9,F$9,$G129=$G$10,F$10,$G129=$G$11,F$11,$G129=$G$13,F$13,$G129=$G$15,F$15,$G129=$G$16,F$16,$G129=$G$33,F$33,$G129=$G$34,F$34,$G129=$G$248,F$248,$G129=$G$250,F$250)</f>
        <v>8038</v>
      </c>
      <c r="G129" s="29" t="s">
        <v>78</v>
      </c>
      <c r="H129" s="31" cm="1">
        <f t="array" ref="H129">_xlfn.IFS($G129=$G$5,H$5,$G129=$G$6,H$6,$G129=$G$7,H$7,$G129=$G$8,H$8,$G129=$G$9,H$9,$G129=$G$10,H$10,$G129=$G$11,H$11,$G129=$G$13,H$13,$G129=$G$15,H$15,$G129=$G$16,H$16,$G129=$G$33,H$33,$G129=$G$34,H$34,$G129=$G$248,H$248,$G129=$G$250,H$250)</f>
        <v>41.368589</v>
      </c>
      <c r="I129" s="31" cm="1">
        <f t="array" ref="I129">_xlfn.IFS($G129=$G$5,I$5,$G129=$G$6,I$6,$G129=$G$7,I$7,$G129=$G$8,I$8,$G129=$G$9,I$9,$G129=$G$10,I$10,$G129=$G$11,I$11,$G129=$G$13,I$13,$G129=$G$15,I$15,$G129=$G$16,I$16,$G129=$G$33,I$33,$G129=$G$34,I$34,$G129=$G$248,I$248,$G129=$G$250,I$250)</f>
        <v>2.1620900000000001</v>
      </c>
      <c r="J129" s="29" cm="1">
        <f t="array" ref="J129">_xlfn.IFS($G129=$G$5,J$5,$G129=$G$6,J$6,$G129=$G$7,J$7,$G129=$G$8,J$8,$G129=$G$9,J$9,$G129=$G$10,J$10,$G129=$G$11,J$11,$G129=$G$13,J$13,$G129=$G$15,J$15,$G129=$G$16,J$16,$G129=$G$33,J$33,$G129=$G$34,J$34,$G129=$G$248,J$248,$G129=$G$250,J$250)</f>
        <v>95</v>
      </c>
      <c r="K129" s="29" t="str" cm="1">
        <f t="array" ref="K129">_xlfn.IFS($G129=$G$5,K$5,$G129=$G$6,K$6,$G129=$G$7,K$7,$G129=$G$8,K$8,$G129=$G$9,K$9,$G129=$G$10,K$10,$G129=$G$11,K$11,$G129=$G$13,K$13,$G129=$G$15,K$15,$G129=$G$16,K$16,$G129=$G$33,K$33,$G129=$G$34,K$34,$G129=$G$248,K$248,$G129=$G$250,K$250)</f>
        <v>BG sentinel + BG lure7</v>
      </c>
      <c r="L129" s="29" t="str" cm="1">
        <f t="array" ref="L129">_xlfn.IFS($G129=$G$5,L$5,$G129=$G$6,L$6,$G129=$G$7,L$7,$G129=$G$8,L$8,$G129=$G$9,L$9,$G129=$G$10,L$10,$G129=$G$11,L$11,$G129=$G$13,L$13,$G129=$G$15,L$15,$G129=$G$16,L$16,$G129=$G$33,L$33,$G129=$G$34,L$34,$G129=$G$248,L$248,$G129=$G$250,L$250)</f>
        <v>Other</v>
      </c>
      <c r="O129" s="32" t="str">
        <f t="shared" si="7"/>
        <v>A_SP_BCN_8_200902</v>
      </c>
      <c r="P129" s="33">
        <v>44076</v>
      </c>
      <c r="Q129" s="34">
        <v>0.69097222222222221</v>
      </c>
      <c r="R129" s="35"/>
      <c r="S129" s="36">
        <v>44083</v>
      </c>
      <c r="T129" s="37">
        <v>0.74305555555555547</v>
      </c>
      <c r="U129" s="38"/>
      <c r="V129" s="39" t="s">
        <v>66</v>
      </c>
      <c r="X129" s="29">
        <f t="shared" si="6"/>
        <v>7</v>
      </c>
      <c r="Y129" s="38"/>
      <c r="Z129" s="29" t="s">
        <v>75</v>
      </c>
      <c r="AA129" s="29">
        <f t="shared" si="5"/>
        <v>6</v>
      </c>
      <c r="AB129" s="29" t="s">
        <v>69</v>
      </c>
      <c r="AC129" s="29">
        <v>5</v>
      </c>
      <c r="AD129" s="29">
        <v>1</v>
      </c>
      <c r="AE129" s="29" t="s">
        <v>70</v>
      </c>
      <c r="AF129">
        <v>4</v>
      </c>
    </row>
    <row r="130" spans="1:33" x14ac:dyDescent="0.25">
      <c r="A130" s="28">
        <v>126</v>
      </c>
      <c r="B130" s="29" t="s">
        <v>60</v>
      </c>
      <c r="C130" s="29" t="s">
        <v>61</v>
      </c>
      <c r="D130" s="29" t="s">
        <v>62</v>
      </c>
      <c r="E130" s="29" t="s">
        <v>62</v>
      </c>
      <c r="F130" s="30" cm="1">
        <f t="array" ref="F130">_xlfn.IFS($G130=$G$5,F$5,$G130=$G$6,F$6,$G130=$G$7,F$7,$G130=$G$8,F$8,$G130=$G$9,F$9,$G130=$G$10,F$10,$G130=$G$11,F$11,$G130=$G$13,F$13,$G130=$G$15,F$15,$G130=$G$16,F$16,$G130=$G$33,F$33,$G130=$G$34,F$34,$G130=$G$248,F$248,$G130=$G$250,F$250)</f>
        <v>8038</v>
      </c>
      <c r="G130" s="29" t="s">
        <v>78</v>
      </c>
      <c r="H130" s="31" cm="1">
        <f t="array" ref="H130">_xlfn.IFS($G130=$G$5,H$5,$G130=$G$6,H$6,$G130=$G$7,H$7,$G130=$G$8,H$8,$G130=$G$9,H$9,$G130=$G$10,H$10,$G130=$G$11,H$11,$G130=$G$13,H$13,$G130=$G$15,H$15,$G130=$G$16,H$16,$G130=$G$33,H$33,$G130=$G$34,H$34,$G130=$G$248,H$248,$G130=$G$250,H$250)</f>
        <v>41.368589</v>
      </c>
      <c r="I130" s="31" cm="1">
        <f t="array" ref="I130">_xlfn.IFS($G130=$G$5,I$5,$G130=$G$6,I$6,$G130=$G$7,I$7,$G130=$G$8,I$8,$G130=$G$9,I$9,$G130=$G$10,I$10,$G130=$G$11,I$11,$G130=$G$13,I$13,$G130=$G$15,I$15,$G130=$G$16,I$16,$G130=$G$33,I$33,$G130=$G$34,I$34,$G130=$G$248,I$248,$G130=$G$250,I$250)</f>
        <v>2.1620900000000001</v>
      </c>
      <c r="J130" s="29" cm="1">
        <f t="array" ref="J130">_xlfn.IFS($G130=$G$5,J$5,$G130=$G$6,J$6,$G130=$G$7,J$7,$G130=$G$8,J$8,$G130=$G$9,J$9,$G130=$G$10,J$10,$G130=$G$11,J$11,$G130=$G$13,J$13,$G130=$G$15,J$15,$G130=$G$16,J$16,$G130=$G$33,J$33,$G130=$G$34,J$34,$G130=$G$248,J$248,$G130=$G$250,J$250)</f>
        <v>95</v>
      </c>
      <c r="K130" s="29" t="str" cm="1">
        <f t="array" ref="K130">_xlfn.IFS($G130=$G$5,K$5,$G130=$G$6,K$6,$G130=$G$7,K$7,$G130=$G$8,K$8,$G130=$G$9,K$9,$G130=$G$10,K$10,$G130=$G$11,K$11,$G130=$G$13,K$13,$G130=$G$15,K$15,$G130=$G$16,K$16,$G130=$G$33,K$33,$G130=$G$34,K$34,$G130=$G$248,K$248,$G130=$G$250,K$250)</f>
        <v>BG sentinel + BG lure7</v>
      </c>
      <c r="L130" s="29" t="str" cm="1">
        <f t="array" ref="L130">_xlfn.IFS($G130=$G$5,L$5,$G130=$G$6,L$6,$G130=$G$7,L$7,$G130=$G$8,L$8,$G130=$G$9,L$9,$G130=$G$10,L$10,$G130=$G$11,L$11,$G130=$G$13,L$13,$G130=$G$15,L$15,$G130=$G$16,L$16,$G130=$G$33,L$33,$G130=$G$34,L$34,$G130=$G$248,L$248,$G130=$G$250,L$250)</f>
        <v>Other</v>
      </c>
      <c r="O130" s="32" t="str">
        <f t="shared" si="7"/>
        <v>A_SP_BCN_8_200902</v>
      </c>
      <c r="P130" s="33">
        <v>44076</v>
      </c>
      <c r="Q130" s="34">
        <v>0.69097222222222221</v>
      </c>
      <c r="R130" s="35"/>
      <c r="S130" s="36">
        <v>44083</v>
      </c>
      <c r="T130" s="37">
        <v>0.74305555555555547</v>
      </c>
      <c r="U130" s="38"/>
      <c r="V130" s="39" t="s">
        <v>66</v>
      </c>
      <c r="W130" s="39" t="s">
        <v>96</v>
      </c>
      <c r="X130" s="29">
        <f t="shared" si="6"/>
        <v>7</v>
      </c>
      <c r="Y130" s="38"/>
      <c r="Z130" s="29" t="s">
        <v>84</v>
      </c>
      <c r="AA130" s="29">
        <f t="shared" si="5"/>
        <v>1</v>
      </c>
      <c r="AB130" s="29" t="s">
        <v>69</v>
      </c>
      <c r="AC130" s="29">
        <v>1</v>
      </c>
      <c r="AD130" s="29">
        <v>0</v>
      </c>
      <c r="AE130" s="29" t="s">
        <v>70</v>
      </c>
      <c r="AF130">
        <v>4</v>
      </c>
    </row>
    <row r="131" spans="1:33" x14ac:dyDescent="0.25">
      <c r="A131" s="28">
        <v>127</v>
      </c>
      <c r="B131" s="29" t="s">
        <v>60</v>
      </c>
      <c r="C131" s="29" t="s">
        <v>61</v>
      </c>
      <c r="D131" s="29" t="s">
        <v>62</v>
      </c>
      <c r="E131" s="29" t="s">
        <v>62</v>
      </c>
      <c r="F131" s="30" cm="1">
        <f t="array" ref="F131">_xlfn.IFS($G131=$G$5,F$5,$G131=$G$6,F$6,$G131=$G$7,F$7,$G131=$G$8,F$8,$G131=$G$9,F$9,$G131=$G$10,F$10,$G131=$G$11,F$11,$G131=$G$13,F$13,$G131=$G$15,F$15,$G131=$G$16,F$16,$G131=$G$33,F$33,$G131=$G$34,F$34,$G131=$G$248,F$248,$G131=$G$250,F$250)</f>
        <v>8034</v>
      </c>
      <c r="G131" s="29" t="s">
        <v>81</v>
      </c>
      <c r="H131" s="31" cm="1">
        <f t="array" ref="H131">_xlfn.IFS($G131=$G$5,H$5,$G131=$G$6,H$6,$G131=$G$7,H$7,$G131=$G$8,H$8,$G131=$G$9,H$9,$G131=$G$10,H$10,$G131=$G$11,H$11,$G131=$G$13,H$13,$G131=$G$15,H$15,$G131=$G$16,H$16,$G131=$G$33,H$33,$G131=$G$34,H$34,$G131=$G$248,H$248,$G131=$G$250,H$250)</f>
        <v>41.393644999999999</v>
      </c>
      <c r="I131" s="31" cm="1">
        <f t="array" ref="I131">_xlfn.IFS($G131=$G$5,I$5,$G131=$G$6,I$6,$G131=$G$7,I$7,$G131=$G$8,I$8,$G131=$G$9,I$9,$G131=$G$10,I$10,$G131=$G$11,I$11,$G131=$G$13,I$13,$G131=$G$15,I$15,$G131=$G$16,I$16,$G131=$G$33,I$33,$G131=$G$34,I$34,$G131=$G$248,I$248,$G131=$G$250,I$250)</f>
        <v>2.1216780000000002</v>
      </c>
      <c r="J131" s="29" cm="1">
        <f t="array" ref="J131">_xlfn.IFS($G131=$G$5,J$5,$G131=$G$6,J$6,$G131=$G$7,J$7,$G131=$G$8,J$8,$G131=$G$9,J$9,$G131=$G$10,J$10,$G131=$G$11,J$11,$G131=$G$13,J$13,$G131=$G$15,J$15,$G131=$G$16,J$16,$G131=$G$33,J$33,$G131=$G$34,J$34,$G131=$G$248,J$248,$G131=$G$250,J$250)</f>
        <v>98</v>
      </c>
      <c r="K131" s="29" t="str" cm="1">
        <f t="array" ref="K131">_xlfn.IFS($G131=$G$5,K$5,$G131=$G$6,K$6,$G131=$G$7,K$7,$G131=$G$8,K$8,$G131=$G$9,K$9,$G131=$G$10,K$10,$G131=$G$11,K$11,$G131=$G$13,K$13,$G131=$G$15,K$15,$G131=$G$16,K$16,$G131=$G$33,K$33,$G131=$G$34,K$34,$G131=$G$248,K$248,$G131=$G$250,K$250)</f>
        <v>BG sentinel + BG lure7</v>
      </c>
      <c r="L131" s="29" t="str" cm="1">
        <f t="array" ref="L131">_xlfn.IFS($G131=$G$5,L$5,$G131=$G$6,L$6,$G131=$G$7,L$7,$G131=$G$8,L$8,$G131=$G$9,L$9,$G131=$G$10,L$10,$G131=$G$11,L$11,$G131=$G$13,L$13,$G131=$G$15,L$15,$G131=$G$16,L$16,$G131=$G$33,L$33,$G131=$G$34,L$34,$G131=$G$248,L$248,$G131=$G$250,L$250)</f>
        <v>Other</v>
      </c>
      <c r="O131" s="32" t="str">
        <f t="shared" si="7"/>
        <v>A_SP_BCN_9_200902</v>
      </c>
      <c r="P131" s="33">
        <v>44076</v>
      </c>
      <c r="Q131" s="34">
        <v>0.75</v>
      </c>
      <c r="R131" s="35"/>
      <c r="S131" s="36">
        <v>44083</v>
      </c>
      <c r="T131" s="37">
        <v>0.68055555555555547</v>
      </c>
      <c r="U131" s="38"/>
      <c r="V131" s="39" t="s">
        <v>97</v>
      </c>
      <c r="X131" s="29">
        <f t="shared" si="6"/>
        <v>7</v>
      </c>
      <c r="Y131" s="38"/>
      <c r="AA131" s="29">
        <f t="shared" si="5"/>
        <v>0</v>
      </c>
      <c r="AF131">
        <v>1</v>
      </c>
    </row>
    <row r="132" spans="1:33" x14ac:dyDescent="0.25">
      <c r="A132" s="28">
        <v>128</v>
      </c>
      <c r="B132" s="29" t="s">
        <v>60</v>
      </c>
      <c r="C132" s="29" t="s">
        <v>61</v>
      </c>
      <c r="D132" s="29" t="s">
        <v>62</v>
      </c>
      <c r="E132" s="29" t="s">
        <v>62</v>
      </c>
      <c r="F132" s="30" cm="1">
        <f t="array" ref="F132">_xlfn.IFS($G132=$G$5,F$5,$G132=$G$6,F$6,$G132=$G$7,F$7,$G132=$G$8,F$8,$G132=$G$9,F$9,$G132=$G$10,F$10,$G132=$G$11,F$11,$G132=$G$13,F$13,$G132=$G$15,F$15,$G132=$G$16,F$16,$G132=$G$33,F$33,$G132=$G$34,F$34,$G132=$G$248,F$248,$G132=$G$250,F$250)</f>
        <v>8040</v>
      </c>
      <c r="G132" s="29" t="s">
        <v>83</v>
      </c>
      <c r="H132" s="31" cm="1">
        <f t="array" ref="H132">_xlfn.IFS($G132=$G$5,H$5,$G132=$G$6,H$6,$G132=$G$7,H$7,$G132=$G$8,H$8,$G132=$G$9,H$9,$G132=$G$10,H$10,$G132=$G$11,H$11,$G132=$G$13,H$13,$G132=$G$15,H$15,$G132=$G$16,H$16,$G132=$G$33,H$33,$G132=$G$34,H$34,$G132=$G$248,H$248,$G132=$G$250,H$250)</f>
        <v>41.343685000000001</v>
      </c>
      <c r="I132" s="31" cm="1">
        <f t="array" ref="I132">_xlfn.IFS($G132=$G$5,I$5,$G132=$G$6,I$6,$G132=$G$7,I$7,$G132=$G$8,I$8,$G132=$G$9,I$9,$G132=$G$10,I$10,$G132=$G$11,I$11,$G132=$G$13,I$13,$G132=$G$15,I$15,$G132=$G$16,I$16,$G132=$G$33,I$33,$G132=$G$34,I$34,$G132=$G$248,I$248,$G132=$G$250,I$250)</f>
        <v>2.1441490000000001</v>
      </c>
      <c r="J132" s="29" cm="1">
        <f t="array" ref="J132">_xlfn.IFS($G132=$G$5,J$5,$G132=$G$6,J$6,$G132=$G$7,J$7,$G132=$G$8,J$8,$G132=$G$9,J$9,$G132=$G$10,J$10,$G132=$G$11,J$11,$G132=$G$13,J$13,$G132=$G$15,J$15,$G132=$G$16,J$16,$G132=$G$33,J$33,$G132=$G$34,J$34,$G132=$G$248,J$248,$G132=$G$250,J$250)</f>
        <v>4</v>
      </c>
      <c r="K132" s="29" t="str" cm="1">
        <f t="array" ref="K132">_xlfn.IFS($G132=$G$5,K$5,$G132=$G$6,K$6,$G132=$G$7,K$7,$G132=$G$8,K$8,$G132=$G$9,K$9,$G132=$G$10,K$10,$G132=$G$11,K$11,$G132=$G$13,K$13,$G132=$G$15,K$15,$G132=$G$16,K$16,$G132=$G$33,K$33,$G132=$G$34,K$34,$G132=$G$248,K$248,$G132=$G$250,K$250)</f>
        <v>BG sentinel + BG lure7</v>
      </c>
      <c r="L132" s="29" t="str" cm="1">
        <f t="array" ref="L132">_xlfn.IFS($G132=$G$5,L$5,$G132=$G$6,L$6,$G132=$G$7,L$7,$G132=$G$8,L$8,$G132=$G$9,L$9,$G132=$G$10,L$10,$G132=$G$11,L$11,$G132=$G$13,L$13,$G132=$G$15,L$15,$G132=$G$16,L$16,$G132=$G$33,L$33,$G132=$G$34,L$34,$G132=$G$248,L$248,$G132=$G$250,L$250)</f>
        <v>Urban habitat</v>
      </c>
      <c r="O132" s="32" t="str">
        <f t="shared" si="7"/>
        <v>A_SP_BCN_10_200902</v>
      </c>
      <c r="P132" s="33">
        <v>44076</v>
      </c>
      <c r="Q132" s="34">
        <v>0.625</v>
      </c>
      <c r="R132" s="35"/>
      <c r="S132" s="36">
        <v>44083</v>
      </c>
      <c r="T132" s="37">
        <v>0.70833333333333337</v>
      </c>
      <c r="U132" s="38"/>
      <c r="V132" s="39" t="s">
        <v>66</v>
      </c>
      <c r="X132" s="29">
        <f t="shared" si="6"/>
        <v>7</v>
      </c>
      <c r="Y132" s="38"/>
      <c r="Z132" s="29" t="s">
        <v>68</v>
      </c>
      <c r="AA132" s="29">
        <f t="shared" si="5"/>
        <v>16</v>
      </c>
      <c r="AB132" s="29" t="s">
        <v>69</v>
      </c>
      <c r="AC132" s="29">
        <v>10</v>
      </c>
      <c r="AD132" s="29">
        <v>6</v>
      </c>
      <c r="AE132" s="29" t="s">
        <v>70</v>
      </c>
      <c r="AF132">
        <v>4</v>
      </c>
    </row>
    <row r="133" spans="1:33" x14ac:dyDescent="0.25">
      <c r="A133" s="28">
        <v>129</v>
      </c>
      <c r="B133" s="29" t="s">
        <v>60</v>
      </c>
      <c r="C133" s="29" t="s">
        <v>61</v>
      </c>
      <c r="D133" s="29" t="s">
        <v>62</v>
      </c>
      <c r="E133" s="29" t="s">
        <v>62</v>
      </c>
      <c r="F133" s="30" cm="1">
        <f t="array" ref="F133">_xlfn.IFS($G133=$G$5,F$5,$G133=$G$6,F$6,$G133=$G$7,F$7,$G133=$G$8,F$8,$G133=$G$9,F$9,$G133=$G$10,F$10,$G133=$G$11,F$11,$G133=$G$13,F$13,$G133=$G$15,F$15,$G133=$G$16,F$16,$G133=$G$33,F$33,$G133=$G$34,F$34,$G133=$G$248,F$248,$G133=$G$250,F$250)</f>
        <v>8040</v>
      </c>
      <c r="G133" s="29" t="s">
        <v>83</v>
      </c>
      <c r="H133" s="31" cm="1">
        <f t="array" ref="H133">_xlfn.IFS($G133=$G$5,H$5,$G133=$G$6,H$6,$G133=$G$7,H$7,$G133=$G$8,H$8,$G133=$G$9,H$9,$G133=$G$10,H$10,$G133=$G$11,H$11,$G133=$G$13,H$13,$G133=$G$15,H$15,$G133=$G$16,H$16,$G133=$G$33,H$33,$G133=$G$34,H$34,$G133=$G$248,H$248,$G133=$G$250,H$250)</f>
        <v>41.343685000000001</v>
      </c>
      <c r="I133" s="31" cm="1">
        <f t="array" ref="I133">_xlfn.IFS($G133=$G$5,I$5,$G133=$G$6,I$6,$G133=$G$7,I$7,$G133=$G$8,I$8,$G133=$G$9,I$9,$G133=$G$10,I$10,$G133=$G$11,I$11,$G133=$G$13,I$13,$G133=$G$15,I$15,$G133=$G$16,I$16,$G133=$G$33,I$33,$G133=$G$34,I$34,$G133=$G$248,I$248,$G133=$G$250,I$250)</f>
        <v>2.1441490000000001</v>
      </c>
      <c r="J133" s="29" cm="1">
        <f t="array" ref="J133">_xlfn.IFS($G133=$G$5,J$5,$G133=$G$6,J$6,$G133=$G$7,J$7,$G133=$G$8,J$8,$G133=$G$9,J$9,$G133=$G$10,J$10,$G133=$G$11,J$11,$G133=$G$13,J$13,$G133=$G$15,J$15,$G133=$G$16,J$16,$G133=$G$33,J$33,$G133=$G$34,J$34,$G133=$G$248,J$248,$G133=$G$250,J$250)</f>
        <v>4</v>
      </c>
      <c r="K133" s="29" t="str" cm="1">
        <f t="array" ref="K133">_xlfn.IFS($G133=$G$5,K$5,$G133=$G$6,K$6,$G133=$G$7,K$7,$G133=$G$8,K$8,$G133=$G$9,K$9,$G133=$G$10,K$10,$G133=$G$11,K$11,$G133=$G$13,K$13,$G133=$G$15,K$15,$G133=$G$16,K$16,$G133=$G$33,K$33,$G133=$G$34,K$34,$G133=$G$248,K$248,$G133=$G$250,K$250)</f>
        <v>BG sentinel + BG lure7</v>
      </c>
      <c r="L133" s="29" t="str" cm="1">
        <f t="array" ref="L133">_xlfn.IFS($G133=$G$5,L$5,$G133=$G$6,L$6,$G133=$G$7,L$7,$G133=$G$8,L$8,$G133=$G$9,L$9,$G133=$G$10,L$10,$G133=$G$11,L$11,$G133=$G$13,L$13,$G133=$G$15,L$15,$G133=$G$16,L$16,$G133=$G$33,L$33,$G133=$G$34,L$34,$G133=$G$248,L$248,$G133=$G$250,L$250)</f>
        <v>Urban habitat</v>
      </c>
      <c r="O133" s="32" t="str">
        <f t="shared" si="7"/>
        <v>A_SP_BCN_10_200902</v>
      </c>
      <c r="P133" s="33">
        <v>44076</v>
      </c>
      <c r="Q133" s="34">
        <v>0.625</v>
      </c>
      <c r="R133" s="35"/>
      <c r="S133" s="36">
        <v>44083</v>
      </c>
      <c r="T133" s="37">
        <v>0.70833333333333337</v>
      </c>
      <c r="U133" s="38"/>
      <c r="V133" s="39" t="s">
        <v>66</v>
      </c>
      <c r="X133" s="29">
        <f t="shared" si="6"/>
        <v>7</v>
      </c>
      <c r="Y133" s="38"/>
      <c r="Z133" s="29" t="s">
        <v>75</v>
      </c>
      <c r="AA133" s="29">
        <f t="shared" si="5"/>
        <v>1</v>
      </c>
      <c r="AB133" s="29" t="s">
        <v>69</v>
      </c>
      <c r="AC133" s="29">
        <v>0</v>
      </c>
      <c r="AD133" s="29">
        <v>1</v>
      </c>
      <c r="AE133" s="29" t="s">
        <v>70</v>
      </c>
      <c r="AF133">
        <v>4</v>
      </c>
    </row>
    <row r="134" spans="1:33" x14ac:dyDescent="0.25">
      <c r="A134" s="28">
        <v>130</v>
      </c>
      <c r="B134" s="29" t="s">
        <v>60</v>
      </c>
      <c r="C134" s="29" t="s">
        <v>61</v>
      </c>
      <c r="D134" s="29" t="s">
        <v>62</v>
      </c>
      <c r="E134" s="29" t="s">
        <v>62</v>
      </c>
      <c r="F134" s="30" cm="1">
        <f t="array" ref="F134">_xlfn.IFS($G134=$G$5,F$5,$G134=$G$6,F$6,$G134=$G$7,F$7,$G134=$G$8,F$8,$G134=$G$9,F$9,$G134=$G$10,F$10,$G134=$G$11,F$11,$G134=$G$13,F$13,$G134=$G$15,F$15,$G134=$G$16,F$16,$G134=$G$33,F$33,$G134=$G$34,F$34,$G134=$G$248,F$248,$G134=$G$250,F$250)</f>
        <v>8038</v>
      </c>
      <c r="G134" s="29" t="s">
        <v>85</v>
      </c>
      <c r="H134" s="31" cm="1">
        <f t="array" ref="H134">_xlfn.IFS($G134=$G$5,H$5,$G134=$G$6,H$6,$G134=$G$7,H$7,$G134=$G$8,H$8,$G134=$G$9,H$9,$G134=$G$10,H$10,$G134=$G$11,H$11,$G134=$G$13,H$13,$G134=$G$15,H$15,$G134=$G$16,H$16,$G134=$G$33,H$33,$G134=$G$34,H$34,$G134=$G$248,H$248,$G134=$G$250,H$250)</f>
        <v>41.367429999999999</v>
      </c>
      <c r="I134" s="31" cm="1">
        <f t="array" ref="I134">_xlfn.IFS($G134=$G$5,I$5,$G134=$G$6,I$6,$G134=$G$7,I$7,$G134=$G$8,I$8,$G134=$G$9,I$9,$G134=$G$10,I$10,$G134=$G$11,I$11,$G134=$G$13,I$13,$G134=$G$15,I$15,$G134=$G$16,I$16,$G134=$G$33,I$33,$G134=$G$34,I$34,$G134=$G$248,I$248,$G134=$G$250,I$250)</f>
        <v>2.1569609999999999</v>
      </c>
      <c r="J134" s="29" cm="1">
        <f t="array" ref="J134">_xlfn.IFS($G134=$G$5,J$5,$G134=$G$6,J$6,$G134=$G$7,J$7,$G134=$G$8,J$8,$G134=$G$9,J$9,$G134=$G$10,J$10,$G134=$G$11,J$11,$G134=$G$13,J$13,$G134=$G$15,J$15,$G134=$G$16,J$16,$G134=$G$33,J$33,$G134=$G$34,J$34,$G134=$G$248,J$248,$G134=$G$250,J$250)</f>
        <v>91</v>
      </c>
      <c r="K134" s="29" t="str" cm="1">
        <f t="array" ref="K134">_xlfn.IFS($G134=$G$5,K$5,$G134=$G$6,K$6,$G134=$G$7,K$7,$G134=$G$8,K$8,$G134=$G$9,K$9,$G134=$G$10,K$10,$G134=$G$11,K$11,$G134=$G$13,K$13,$G134=$G$15,K$15,$G134=$G$16,K$16,$G134=$G$33,K$33,$G134=$G$34,K$34,$G134=$G$248,K$248,$G134=$G$250,K$250)</f>
        <v>BG sentinel + BG lure7</v>
      </c>
      <c r="L134" s="29" t="str" cm="1">
        <f t="array" ref="L134">_xlfn.IFS($G134=$G$5,L$5,$G134=$G$6,L$6,$G134=$G$7,L$7,$G134=$G$8,L$8,$G134=$G$9,L$9,$G134=$G$10,L$10,$G134=$G$11,L$11,$G134=$G$13,L$13,$G134=$G$15,L$15,$G134=$G$16,L$16,$G134=$G$33,L$33,$G134=$G$34,L$34,$G134=$G$248,L$248,$G134=$G$250,L$250)</f>
        <v>Other</v>
      </c>
      <c r="O134" s="32" t="str">
        <f t="shared" si="7"/>
        <v>A_SP_BCN_11_200902</v>
      </c>
      <c r="P134" s="33">
        <v>44076</v>
      </c>
      <c r="Q134" s="34">
        <v>0.68055555555555547</v>
      </c>
      <c r="R134" s="35"/>
      <c r="S134" s="36">
        <v>44083</v>
      </c>
      <c r="T134" s="37">
        <v>0.72916666666666663</v>
      </c>
      <c r="U134" s="38"/>
      <c r="V134" s="39" t="s">
        <v>94</v>
      </c>
      <c r="W134" s="39" t="s">
        <v>98</v>
      </c>
      <c r="X134" s="29">
        <f t="shared" si="6"/>
        <v>7</v>
      </c>
      <c r="Y134" s="38"/>
      <c r="Z134" s="29" t="s">
        <v>68</v>
      </c>
      <c r="AA134" s="29">
        <f t="shared" si="5"/>
        <v>13</v>
      </c>
      <c r="AB134" s="29" t="s">
        <v>69</v>
      </c>
      <c r="AC134" s="29">
        <v>9</v>
      </c>
      <c r="AD134" s="29">
        <v>4</v>
      </c>
      <c r="AE134" s="29" t="s">
        <v>70</v>
      </c>
      <c r="AF134">
        <v>2</v>
      </c>
    </row>
    <row r="135" spans="1:33" x14ac:dyDescent="0.25">
      <c r="A135" s="28">
        <v>131</v>
      </c>
      <c r="B135" s="29" t="s">
        <v>60</v>
      </c>
      <c r="C135" s="29" t="s">
        <v>61</v>
      </c>
      <c r="D135" s="29" t="s">
        <v>62</v>
      </c>
      <c r="E135" s="29" t="s">
        <v>62</v>
      </c>
      <c r="F135" s="30" cm="1">
        <f t="array" ref="F135">_xlfn.IFS($G135=$G$5,F$5,$G135=$G$6,F$6,$G135=$G$7,F$7,$G135=$G$8,F$8,$G135=$G$9,F$9,$G135=$G$10,F$10,$G135=$G$11,F$11,$G135=$G$13,F$13,$G135=$G$15,F$15,$G135=$G$16,F$16,$G135=$G$33,F$33,$G135=$G$34,F$34,$G135=$G$248,F$248,$G135=$G$250,F$250)</f>
        <v>8038</v>
      </c>
      <c r="G135" s="29" t="s">
        <v>85</v>
      </c>
      <c r="H135" s="31" cm="1">
        <f t="array" ref="H135">_xlfn.IFS($G135=$G$5,H$5,$G135=$G$6,H$6,$G135=$G$7,H$7,$G135=$G$8,H$8,$G135=$G$9,H$9,$G135=$G$10,H$10,$G135=$G$11,H$11,$G135=$G$13,H$13,$G135=$G$15,H$15,$G135=$G$16,H$16,$G135=$G$33,H$33,$G135=$G$34,H$34,$G135=$G$248,H$248,$G135=$G$250,H$250)</f>
        <v>41.367429999999999</v>
      </c>
      <c r="I135" s="31" cm="1">
        <f t="array" ref="I135">_xlfn.IFS($G135=$G$5,I$5,$G135=$G$6,I$6,$G135=$G$7,I$7,$G135=$G$8,I$8,$G135=$G$9,I$9,$G135=$G$10,I$10,$G135=$G$11,I$11,$G135=$G$13,I$13,$G135=$G$15,I$15,$G135=$G$16,I$16,$G135=$G$33,I$33,$G135=$G$34,I$34,$G135=$G$248,I$248,$G135=$G$250,I$250)</f>
        <v>2.1569609999999999</v>
      </c>
      <c r="J135" s="29" cm="1">
        <f t="array" ref="J135">_xlfn.IFS($G135=$G$5,J$5,$G135=$G$6,J$6,$G135=$G$7,J$7,$G135=$G$8,J$8,$G135=$G$9,J$9,$G135=$G$10,J$10,$G135=$G$11,J$11,$G135=$G$13,J$13,$G135=$G$15,J$15,$G135=$G$16,J$16,$G135=$G$33,J$33,$G135=$G$34,J$34,$G135=$G$248,J$248,$G135=$G$250,J$250)</f>
        <v>91</v>
      </c>
      <c r="K135" s="29" t="str" cm="1">
        <f t="array" ref="K135">_xlfn.IFS($G135=$G$5,K$5,$G135=$G$6,K$6,$G135=$G$7,K$7,$G135=$G$8,K$8,$G135=$G$9,K$9,$G135=$G$10,K$10,$G135=$G$11,K$11,$G135=$G$13,K$13,$G135=$G$15,K$15,$G135=$G$16,K$16,$G135=$G$33,K$33,$G135=$G$34,K$34,$G135=$G$248,K$248,$G135=$G$250,K$250)</f>
        <v>BG sentinel + BG lure7</v>
      </c>
      <c r="L135" s="29" t="str" cm="1">
        <f t="array" ref="L135">_xlfn.IFS($G135=$G$5,L$5,$G135=$G$6,L$6,$G135=$G$7,L$7,$G135=$G$8,L$8,$G135=$G$9,L$9,$G135=$G$10,L$10,$G135=$G$11,L$11,$G135=$G$13,L$13,$G135=$G$15,L$15,$G135=$G$16,L$16,$G135=$G$33,L$33,$G135=$G$34,L$34,$G135=$G$248,L$248,$G135=$G$250,L$250)</f>
        <v>Other</v>
      </c>
      <c r="O135" s="32" t="str">
        <f t="shared" si="7"/>
        <v>A_SP_BCN_11_200902</v>
      </c>
      <c r="P135" s="33">
        <v>44076</v>
      </c>
      <c r="Q135" s="34">
        <v>0.68055555555555547</v>
      </c>
      <c r="R135" s="35"/>
      <c r="S135" s="36">
        <v>44083</v>
      </c>
      <c r="T135" s="37">
        <v>0.72916666666666663</v>
      </c>
      <c r="U135" s="38"/>
      <c r="V135" s="39" t="s">
        <v>94</v>
      </c>
      <c r="W135" s="39" t="s">
        <v>98</v>
      </c>
      <c r="X135" s="29">
        <f t="shared" si="6"/>
        <v>7</v>
      </c>
      <c r="Y135" s="38"/>
      <c r="Z135" s="29" t="s">
        <v>75</v>
      </c>
      <c r="AA135" s="29">
        <f t="shared" si="5"/>
        <v>2</v>
      </c>
      <c r="AB135" s="29" t="s">
        <v>69</v>
      </c>
      <c r="AC135" s="29">
        <v>2</v>
      </c>
      <c r="AD135" s="29">
        <v>0</v>
      </c>
      <c r="AE135" s="29" t="s">
        <v>70</v>
      </c>
      <c r="AF135">
        <v>2</v>
      </c>
    </row>
    <row r="136" spans="1:33" x14ac:dyDescent="0.25">
      <c r="A136" s="28">
        <v>132</v>
      </c>
      <c r="B136" s="29" t="s">
        <v>60</v>
      </c>
      <c r="C136" s="29" t="s">
        <v>61</v>
      </c>
      <c r="D136" s="29" t="s">
        <v>62</v>
      </c>
      <c r="E136" s="29" t="s">
        <v>62</v>
      </c>
      <c r="F136" s="30" cm="1">
        <f t="array" ref="F136">_xlfn.IFS($G136=$G$5,F$5,$G136=$G$6,F$6,$G136=$G$7,F$7,$G136=$G$8,F$8,$G136=$G$9,F$9,$G136=$G$10,F$10,$G136=$G$11,F$11,$G136=$G$13,F$13,$G136=$G$15,F$15,$G136=$G$16,F$16,$G136=$G$33,F$33,$G136=$G$34,F$34,$G136=$G$248,F$248,$G136=$G$250,F$250)</f>
        <v>8038</v>
      </c>
      <c r="G136" s="29" t="s">
        <v>86</v>
      </c>
      <c r="H136" s="31" cm="1">
        <f t="array" ref="H136">_xlfn.IFS($G136=$G$5,H$5,$G136=$G$6,H$6,$G136=$G$7,H$7,$G136=$G$8,H$8,$G136=$G$9,H$9,$G136=$G$10,H$10,$G136=$G$11,H$11,$G136=$G$13,H$13,$G136=$G$15,H$15,$G136=$G$16,H$16,$G136=$G$33,H$33,$G136=$G$34,H$34,$G136=$G$248,H$248,$G136=$G$250,H$250)</f>
        <v>41.363377999999997</v>
      </c>
      <c r="I136" s="31" cm="1">
        <f t="array" ref="I136">_xlfn.IFS($G136=$G$5,I$5,$G136=$G$6,I$6,$G136=$G$7,I$7,$G136=$G$8,I$8,$G136=$G$9,I$9,$G136=$G$10,I$10,$G136=$G$11,I$11,$G136=$G$13,I$13,$G136=$G$15,I$15,$G136=$G$16,I$16,$G136=$G$33,I$33,$G136=$G$34,I$34,$G136=$G$248,I$248,$G136=$G$250,I$250)</f>
        <v>2.164879</v>
      </c>
      <c r="J136" s="29" cm="1">
        <f t="array" ref="J136">_xlfn.IFS($G136=$G$5,J$5,$G136=$G$6,J$6,$G136=$G$7,J$7,$G136=$G$8,J$8,$G136=$G$9,J$9,$G136=$G$10,J$10,$G136=$G$11,J$11,$G136=$G$13,J$13,$G136=$G$15,J$15,$G136=$G$16,J$16,$G136=$G$33,J$33,$G136=$G$34,J$34,$G136=$G$248,J$248,$G136=$G$250,J$250)</f>
        <v>185</v>
      </c>
      <c r="K136" s="29" t="str" cm="1">
        <f t="array" ref="K136">_xlfn.IFS($G136=$G$5,K$5,$G136=$G$6,K$6,$G136=$G$7,K$7,$G136=$G$8,K$8,$G136=$G$9,K$9,$G136=$G$10,K$10,$G136=$G$11,K$11,$G136=$G$13,K$13,$G136=$G$15,K$15,$G136=$G$16,K$16,$G136=$G$33,K$33,$G136=$G$34,K$34,$G136=$G$248,K$248,$G136=$G$250,K$250)</f>
        <v>BG sentinel + BG lure7</v>
      </c>
      <c r="L136" s="29" t="str" cm="1">
        <f t="array" ref="L136">_xlfn.IFS($G136=$G$5,L$5,$G136=$G$6,L$6,$G136=$G$7,L$7,$G136=$G$8,L$8,$G136=$G$9,L$9,$G136=$G$10,L$10,$G136=$G$11,L$11,$G136=$G$13,L$13,$G136=$G$15,L$15,$G136=$G$16,L$16,$G136=$G$33,L$33,$G136=$G$34,L$34,$G136=$G$248,L$248,$G136=$G$250,L$250)</f>
        <v>Other</v>
      </c>
      <c r="O136" s="32" t="str">
        <f t="shared" si="7"/>
        <v>A_SP_BCN_12_200902</v>
      </c>
      <c r="P136" s="33">
        <v>44076</v>
      </c>
      <c r="Q136" s="34">
        <v>0.71527777777777779</v>
      </c>
      <c r="R136" s="35"/>
      <c r="S136" s="36">
        <v>44083</v>
      </c>
      <c r="T136" s="37">
        <v>0.76388888888888884</v>
      </c>
      <c r="U136" s="38"/>
      <c r="V136" s="39" t="s">
        <v>66</v>
      </c>
      <c r="X136" s="29">
        <f t="shared" si="6"/>
        <v>7</v>
      </c>
      <c r="Y136" s="38"/>
      <c r="Z136" s="29" t="s">
        <v>75</v>
      </c>
      <c r="AA136" s="29">
        <f t="shared" si="5"/>
        <v>58</v>
      </c>
      <c r="AB136" s="29" t="s">
        <v>69</v>
      </c>
      <c r="AC136" s="29">
        <v>54</v>
      </c>
      <c r="AD136" s="29">
        <v>4</v>
      </c>
      <c r="AE136" s="29" t="s">
        <v>70</v>
      </c>
      <c r="AF136">
        <v>4</v>
      </c>
    </row>
    <row r="137" spans="1:33" x14ac:dyDescent="0.25">
      <c r="A137" s="28">
        <v>133</v>
      </c>
      <c r="B137" s="29" t="s">
        <v>60</v>
      </c>
      <c r="C137" s="29" t="s">
        <v>61</v>
      </c>
      <c r="D137" s="29" t="s">
        <v>62</v>
      </c>
      <c r="E137" s="29" t="s">
        <v>62</v>
      </c>
      <c r="F137" s="30" cm="1">
        <f t="array" ref="F137">_xlfn.IFS($G137=$G$5,F$5,$G137=$G$6,F$6,$G137=$G$7,F$7,$G137=$G$8,F$8,$G137=$G$9,F$9,$G137=$G$10,F$10,$G137=$G$11,F$11,$G137=$G$13,F$13,$G137=$G$15,F$15,$G137=$G$16,F$16,$G137=$G$33,F$33,$G137=$G$34,F$34,$G137=$G$248,F$248,$G137=$G$250,F$250)</f>
        <v>8038</v>
      </c>
      <c r="G137" s="29" t="s">
        <v>86</v>
      </c>
      <c r="H137" s="31" cm="1">
        <f t="array" ref="H137">_xlfn.IFS($G137=$G$5,H$5,$G137=$G$6,H$6,$G137=$G$7,H$7,$G137=$G$8,H$8,$G137=$G$9,H$9,$G137=$G$10,H$10,$G137=$G$11,H$11,$G137=$G$13,H$13,$G137=$G$15,H$15,$G137=$G$16,H$16,$G137=$G$33,H$33,$G137=$G$34,H$34,$G137=$G$248,H$248,$G137=$G$250,H$250)</f>
        <v>41.363377999999997</v>
      </c>
      <c r="I137" s="31" cm="1">
        <f t="array" ref="I137">_xlfn.IFS($G137=$G$5,I$5,$G137=$G$6,I$6,$G137=$G$7,I$7,$G137=$G$8,I$8,$G137=$G$9,I$9,$G137=$G$10,I$10,$G137=$G$11,I$11,$G137=$G$13,I$13,$G137=$G$15,I$15,$G137=$G$16,I$16,$G137=$G$33,I$33,$G137=$G$34,I$34,$G137=$G$248,I$248,$G137=$G$250,I$250)</f>
        <v>2.164879</v>
      </c>
      <c r="J137" s="29" cm="1">
        <f t="array" ref="J137">_xlfn.IFS($G137=$G$5,J$5,$G137=$G$6,J$6,$G137=$G$7,J$7,$G137=$G$8,J$8,$G137=$G$9,J$9,$G137=$G$10,J$10,$G137=$G$11,J$11,$G137=$G$13,J$13,$G137=$G$15,J$15,$G137=$G$16,J$16,$G137=$G$33,J$33,$G137=$G$34,J$34,$G137=$G$248,J$248,$G137=$G$250,J$250)</f>
        <v>185</v>
      </c>
      <c r="K137" s="29" t="str" cm="1">
        <f t="array" ref="K137">_xlfn.IFS($G137=$G$5,K$5,$G137=$G$6,K$6,$G137=$G$7,K$7,$G137=$G$8,K$8,$G137=$G$9,K$9,$G137=$G$10,K$10,$G137=$G$11,K$11,$G137=$G$13,K$13,$G137=$G$15,K$15,$G137=$G$16,K$16,$G137=$G$33,K$33,$G137=$G$34,K$34,$G137=$G$248,K$248,$G137=$G$250,K$250)</f>
        <v>BG sentinel + BG lure7</v>
      </c>
      <c r="L137" s="29" t="str" cm="1">
        <f t="array" ref="L137">_xlfn.IFS($G137=$G$5,L$5,$G137=$G$6,L$6,$G137=$G$7,L$7,$G137=$G$8,L$8,$G137=$G$9,L$9,$G137=$G$10,L$10,$G137=$G$11,L$11,$G137=$G$13,L$13,$G137=$G$15,L$15,$G137=$G$16,L$16,$G137=$G$33,L$33,$G137=$G$34,L$34,$G137=$G$248,L$248,$G137=$G$250,L$250)</f>
        <v>Other</v>
      </c>
      <c r="O137" s="32" t="str">
        <f t="shared" si="7"/>
        <v>A_SP_BCN_12_200902</v>
      </c>
      <c r="P137" s="33">
        <v>44076</v>
      </c>
      <c r="Q137" s="34">
        <v>0.71527777777777779</v>
      </c>
      <c r="R137" s="35"/>
      <c r="S137" s="36">
        <v>44083</v>
      </c>
      <c r="T137" s="37">
        <v>0.76388888888888884</v>
      </c>
      <c r="U137" s="38"/>
      <c r="V137" s="39" t="s">
        <v>66</v>
      </c>
      <c r="X137" s="29">
        <f t="shared" si="6"/>
        <v>7</v>
      </c>
      <c r="Y137" s="38"/>
      <c r="Z137" s="29" t="s">
        <v>68</v>
      </c>
      <c r="AA137" s="29">
        <f t="shared" ref="AA137:AA200" si="8">SUM(AC137:AD137)</f>
        <v>4</v>
      </c>
      <c r="AB137" s="29" t="s">
        <v>69</v>
      </c>
      <c r="AC137" s="29">
        <v>4</v>
      </c>
      <c r="AD137" s="29">
        <v>0</v>
      </c>
      <c r="AE137" s="29" t="s">
        <v>70</v>
      </c>
      <c r="AF137">
        <v>4</v>
      </c>
    </row>
    <row r="138" spans="1:33" x14ac:dyDescent="0.25">
      <c r="A138" s="28">
        <v>134</v>
      </c>
      <c r="B138" s="29" t="s">
        <v>60</v>
      </c>
      <c r="C138" s="29" t="s">
        <v>61</v>
      </c>
      <c r="D138" s="29" t="s">
        <v>62</v>
      </c>
      <c r="E138" s="29" t="s">
        <v>62</v>
      </c>
      <c r="F138" s="30" cm="1">
        <f t="array" ref="F138">_xlfn.IFS($G138=$G$5,F$5,$G138=$G$6,F$6,$G138=$G$7,F$7,$G138=$G$8,F$8,$G138=$G$9,F$9,$G138=$G$10,F$10,$G138=$G$11,F$11,$G138=$G$13,F$13,$G138=$G$15,F$15,$G138=$G$16,F$16,$G138=$G$33,F$33,$G138=$G$34,F$34,$G138=$G$248,F$248,$G138=$G$250,F$250)</f>
        <v>8038</v>
      </c>
      <c r="G138" s="29" t="s">
        <v>86</v>
      </c>
      <c r="H138" s="31" cm="1">
        <f t="array" ref="H138">_xlfn.IFS($G138=$G$5,H$5,$G138=$G$6,H$6,$G138=$G$7,H$7,$G138=$G$8,H$8,$G138=$G$9,H$9,$G138=$G$10,H$10,$G138=$G$11,H$11,$G138=$G$13,H$13,$G138=$G$15,H$15,$G138=$G$16,H$16,$G138=$G$33,H$33,$G138=$G$34,H$34,$G138=$G$248,H$248,$G138=$G$250,H$250)</f>
        <v>41.363377999999997</v>
      </c>
      <c r="I138" s="31" cm="1">
        <f t="array" ref="I138">_xlfn.IFS($G138=$G$5,I$5,$G138=$G$6,I$6,$G138=$G$7,I$7,$G138=$G$8,I$8,$G138=$G$9,I$9,$G138=$G$10,I$10,$G138=$G$11,I$11,$G138=$G$13,I$13,$G138=$G$15,I$15,$G138=$G$16,I$16,$G138=$G$33,I$33,$G138=$G$34,I$34,$G138=$G$248,I$248,$G138=$G$250,I$250)</f>
        <v>2.164879</v>
      </c>
      <c r="J138" s="29" cm="1">
        <f t="array" ref="J138">_xlfn.IFS($G138=$G$5,J$5,$G138=$G$6,J$6,$G138=$G$7,J$7,$G138=$G$8,J$8,$G138=$G$9,J$9,$G138=$G$10,J$10,$G138=$G$11,J$11,$G138=$G$13,J$13,$G138=$G$15,J$15,$G138=$G$16,J$16,$G138=$G$33,J$33,$G138=$G$34,J$34,$G138=$G$248,J$248,$G138=$G$250,J$250)</f>
        <v>185</v>
      </c>
      <c r="K138" s="29" t="str" cm="1">
        <f t="array" ref="K138">_xlfn.IFS($G138=$G$5,K$5,$G138=$G$6,K$6,$G138=$G$7,K$7,$G138=$G$8,K$8,$G138=$G$9,K$9,$G138=$G$10,K$10,$G138=$G$11,K$11,$G138=$G$13,K$13,$G138=$G$15,K$15,$G138=$G$16,K$16,$G138=$G$33,K$33,$G138=$G$34,K$34,$G138=$G$248,K$248,$G138=$G$250,K$250)</f>
        <v>BG sentinel + BG lure7</v>
      </c>
      <c r="L138" s="29" t="str" cm="1">
        <f t="array" ref="L138">_xlfn.IFS($G138=$G$5,L$5,$G138=$G$6,L$6,$G138=$G$7,L$7,$G138=$G$8,L$8,$G138=$G$9,L$9,$G138=$G$10,L$10,$G138=$G$11,L$11,$G138=$G$13,L$13,$G138=$G$15,L$15,$G138=$G$16,L$16,$G138=$G$33,L$33,$G138=$G$34,L$34,$G138=$G$248,L$248,$G138=$G$250,L$250)</f>
        <v>Other</v>
      </c>
      <c r="O138" s="32" t="str">
        <f t="shared" si="7"/>
        <v>A_SP_BCN_12_200902</v>
      </c>
      <c r="P138" s="33">
        <v>44076</v>
      </c>
      <c r="Q138" s="34">
        <v>0.71527777777777779</v>
      </c>
      <c r="R138" s="35"/>
      <c r="S138" s="36">
        <v>44083</v>
      </c>
      <c r="T138" s="37">
        <v>0.76388888888888884</v>
      </c>
      <c r="U138" s="38"/>
      <c r="V138" s="39" t="s">
        <v>66</v>
      </c>
      <c r="X138" s="29">
        <f t="shared" ref="X138:X201" si="9">S138-P138</f>
        <v>7</v>
      </c>
      <c r="Y138" s="38"/>
      <c r="Z138" s="29" t="s">
        <v>84</v>
      </c>
      <c r="AA138" s="29">
        <f t="shared" si="8"/>
        <v>1</v>
      </c>
      <c r="AB138" s="29" t="s">
        <v>69</v>
      </c>
      <c r="AC138" s="29">
        <v>1</v>
      </c>
      <c r="AD138" s="29">
        <v>0</v>
      </c>
      <c r="AE138" s="29" t="s">
        <v>70</v>
      </c>
      <c r="AF138">
        <v>4</v>
      </c>
    </row>
    <row r="139" spans="1:33" x14ac:dyDescent="0.25">
      <c r="A139" s="28">
        <v>135</v>
      </c>
      <c r="B139" s="29" t="s">
        <v>60</v>
      </c>
      <c r="C139" s="29" t="s">
        <v>61</v>
      </c>
      <c r="D139" s="29" t="s">
        <v>62</v>
      </c>
      <c r="E139" s="29" t="s">
        <v>62</v>
      </c>
      <c r="F139" s="30" cm="1">
        <f t="array" ref="F139">_xlfn.IFS($G139=$G$5,F$5,$G139=$G$6,F$6,$G139=$G$7,F$7,$G139=$G$8,F$8,$G139=$G$9,F$9,$G139=$G$10,F$10,$G139=$G$11,F$11,$G139=$G$13,F$13,$G139=$G$15,F$15,$G139=$G$16,F$16,$G139=$G$33,F$33,$G139=$G$34,F$34,$G139=$G$248,F$248,$G139=$G$250,F$250)</f>
        <v>8024</v>
      </c>
      <c r="G139" s="29" t="s">
        <v>63</v>
      </c>
      <c r="H139" s="31" cm="1">
        <f t="array" ref="H139">_xlfn.IFS($G139=$G$5,H$5,$G139=$G$6,H$6,$G139=$G$7,H$7,$G139=$G$8,H$8,$G139=$G$9,H$9,$G139=$G$10,H$10,$G139=$G$11,H$11,$G139=$G$13,H$13,$G139=$G$15,H$15,$G139=$G$16,H$16,$G139=$G$33,H$33,$G139=$G$34,H$34,$G139=$G$248,H$248,$G139=$G$250,H$250)</f>
        <v>41.413573999999997</v>
      </c>
      <c r="I139" s="31" cm="1">
        <f t="array" ref="I139">_xlfn.IFS($G139=$G$5,I$5,$G139=$G$6,I$6,$G139=$G$7,I$7,$G139=$G$8,I$8,$G139=$G$9,I$9,$G139=$G$10,I$10,$G139=$G$11,I$11,$G139=$G$13,I$13,$G139=$G$15,I$15,$G139=$G$16,I$16,$G139=$G$33,I$33,$G139=$G$34,I$34,$G139=$G$248,I$248,$G139=$G$250,I$250)</f>
        <v>2.1520730000000001</v>
      </c>
      <c r="J139" s="29" cm="1">
        <f t="array" ref="J139">_xlfn.IFS($G139=$G$5,J$5,$G139=$G$6,J$6,$G139=$G$7,J$7,$G139=$G$8,J$8,$G139=$G$9,J$9,$G139=$G$10,J$10,$G139=$G$11,J$11,$G139=$G$13,J$13,$G139=$G$15,J$15,$G139=$G$16,J$16,$G139=$G$33,J$33,$G139=$G$34,J$34,$G139=$G$248,J$248,$G139=$G$250,J$250)</f>
        <v>141</v>
      </c>
      <c r="K139" s="29" t="str" cm="1">
        <f t="array" ref="K139">_xlfn.IFS($G139=$G$5,K$5,$G139=$G$6,K$6,$G139=$G$7,K$7,$G139=$G$8,K$8,$G139=$G$9,K$9,$G139=$G$10,K$10,$G139=$G$11,K$11,$G139=$G$13,K$13,$G139=$G$15,K$15,$G139=$G$16,K$16,$G139=$G$33,K$33,$G139=$G$34,K$34,$G139=$G$248,K$248,$G139=$G$250,K$250)</f>
        <v>BG sentinel + BG lure7</v>
      </c>
      <c r="L139" s="29" t="str" cm="1">
        <f t="array" ref="L139">_xlfn.IFS($G139=$G$5,L$5,$G139=$G$6,L$6,$G139=$G$7,L$7,$G139=$G$8,L$8,$G139=$G$9,L$9,$G139=$G$10,L$10,$G139=$G$11,L$11,$G139=$G$13,L$13,$G139=$G$15,L$15,$G139=$G$16,L$16,$G139=$G$33,L$33,$G139=$G$34,L$34,$G139=$G$248,L$248,$G139=$G$250,L$250)</f>
        <v>Urban habitat</v>
      </c>
      <c r="O139" s="32" t="str">
        <f t="shared" si="7"/>
        <v>A_SP_BCN_1_200909</v>
      </c>
      <c r="P139" s="33">
        <v>44083</v>
      </c>
      <c r="Q139" s="34">
        <v>0.65277777777777779</v>
      </c>
      <c r="R139" s="35"/>
      <c r="S139" s="36">
        <v>44090</v>
      </c>
      <c r="T139" s="37">
        <v>0.70833333333333337</v>
      </c>
      <c r="U139" s="38"/>
      <c r="V139" s="39" t="s">
        <v>66</v>
      </c>
      <c r="X139" s="29">
        <f t="shared" si="9"/>
        <v>7</v>
      </c>
      <c r="Y139" s="38"/>
      <c r="Z139" s="29" t="s">
        <v>68</v>
      </c>
      <c r="AA139" s="29">
        <f t="shared" si="8"/>
        <v>9</v>
      </c>
      <c r="AB139" s="29" t="s">
        <v>69</v>
      </c>
      <c r="AC139" s="29">
        <v>5</v>
      </c>
      <c r="AD139" s="29">
        <v>4</v>
      </c>
      <c r="AE139" s="29" t="s">
        <v>70</v>
      </c>
      <c r="AF139">
        <v>4</v>
      </c>
      <c r="AG139" s="40"/>
    </row>
    <row r="140" spans="1:33" x14ac:dyDescent="0.25">
      <c r="A140" s="28">
        <v>136</v>
      </c>
      <c r="B140" s="29" t="s">
        <v>60</v>
      </c>
      <c r="C140" s="29" t="s">
        <v>61</v>
      </c>
      <c r="D140" s="29" t="s">
        <v>62</v>
      </c>
      <c r="E140" s="29" t="s">
        <v>62</v>
      </c>
      <c r="F140" s="30" cm="1">
        <f t="array" ref="F140">_xlfn.IFS($G140=$G$5,F$5,$G140=$G$6,F$6,$G140=$G$7,F$7,$G140=$G$8,F$8,$G140=$G$9,F$9,$G140=$G$10,F$10,$G140=$G$11,F$11,$G140=$G$13,F$13,$G140=$G$15,F$15,$G140=$G$16,F$16,$G140=$G$33,F$33,$G140=$G$34,F$34,$G140=$G$248,F$248,$G140=$G$250,F$250)</f>
        <v>8035</v>
      </c>
      <c r="G140" s="29" t="s">
        <v>71</v>
      </c>
      <c r="H140" s="31" cm="1">
        <f t="array" ref="H140">_xlfn.IFS($G140=$G$5,H$5,$G140=$G$6,H$6,$G140=$G$7,H$7,$G140=$G$8,H$8,$G140=$G$9,H$9,$G140=$G$10,H$10,$G140=$G$11,H$11,$G140=$G$13,H$13,$G140=$G$15,H$15,$G140=$G$16,H$16,$G140=$G$33,H$33,$G140=$G$34,H$34,$G140=$G$248,H$248,$G140=$G$250,H$250)</f>
        <v>41.424387000000003</v>
      </c>
      <c r="I140" s="31" cm="1">
        <f t="array" ref="I140">_xlfn.IFS($G140=$G$5,I$5,$G140=$G$6,I$6,$G140=$G$7,I$7,$G140=$G$8,I$8,$G140=$G$9,I$9,$G140=$G$10,I$10,$G140=$G$11,I$11,$G140=$G$13,I$13,$G140=$G$15,I$15,$G140=$G$16,I$16,$G140=$G$33,I$33,$G140=$G$34,I$34,$G140=$G$248,I$248,$G140=$G$250,I$250)</f>
        <v>2.1431439999999999</v>
      </c>
      <c r="J140" s="29" cm="1">
        <f t="array" ref="J140">_xlfn.IFS($G140=$G$5,J$5,$G140=$G$6,J$6,$G140=$G$7,J$7,$G140=$G$8,J$8,$G140=$G$9,J$9,$G140=$G$10,J$10,$G140=$G$11,J$11,$G140=$G$13,J$13,$G140=$G$15,J$15,$G140=$G$16,J$16,$G140=$G$33,J$33,$G140=$G$34,J$34,$G140=$G$248,J$248,$G140=$G$250,J$250)</f>
        <v>160</v>
      </c>
      <c r="K140" s="29" t="str" cm="1">
        <f t="array" ref="K140">_xlfn.IFS($G140=$G$5,K$5,$G140=$G$6,K$6,$G140=$G$7,K$7,$G140=$G$8,K$8,$G140=$G$9,K$9,$G140=$G$10,K$10,$G140=$G$11,K$11,$G140=$G$13,K$13,$G140=$G$15,K$15,$G140=$G$16,K$16,$G140=$G$33,K$33,$G140=$G$34,K$34,$G140=$G$248,K$248,$G140=$G$250,K$250)</f>
        <v>BG sentinel + BG lure7</v>
      </c>
      <c r="L140" s="29" t="str" cm="1">
        <f t="array" ref="L140">_xlfn.IFS($G140=$G$5,L$5,$G140=$G$6,L$6,$G140=$G$7,L$7,$G140=$G$8,L$8,$G140=$G$9,L$9,$G140=$G$10,L$10,$G140=$G$11,L$11,$G140=$G$13,L$13,$G140=$G$15,L$15,$G140=$G$16,L$16,$G140=$G$33,L$33,$G140=$G$34,L$34,$G140=$G$248,L$248,$G140=$G$250,L$250)</f>
        <v>Urban habitat</v>
      </c>
      <c r="O140" s="32" t="str">
        <f t="shared" si="7"/>
        <v>A_SP_BCN_2_200909</v>
      </c>
      <c r="P140" s="33">
        <v>44083</v>
      </c>
      <c r="Q140" s="34">
        <v>0.61805555555555558</v>
      </c>
      <c r="R140" s="35"/>
      <c r="S140" s="36">
        <v>44090</v>
      </c>
      <c r="T140" s="37">
        <v>0.6875</v>
      </c>
      <c r="U140" s="38"/>
      <c r="V140" s="39" t="s">
        <v>66</v>
      </c>
      <c r="X140" s="29">
        <f t="shared" si="9"/>
        <v>7</v>
      </c>
      <c r="Y140" s="38"/>
      <c r="Z140" s="29" t="s">
        <v>68</v>
      </c>
      <c r="AA140" s="29">
        <f t="shared" si="8"/>
        <v>15</v>
      </c>
      <c r="AB140" s="29" t="s">
        <v>69</v>
      </c>
      <c r="AC140" s="29">
        <v>13</v>
      </c>
      <c r="AD140" s="29">
        <v>2</v>
      </c>
      <c r="AE140" s="29" t="s">
        <v>70</v>
      </c>
      <c r="AF140">
        <v>4</v>
      </c>
      <c r="AG140" s="40"/>
    </row>
    <row r="141" spans="1:33" x14ac:dyDescent="0.25">
      <c r="A141" s="28">
        <v>137</v>
      </c>
      <c r="B141" s="29" t="s">
        <v>60</v>
      </c>
      <c r="C141" s="29" t="s">
        <v>61</v>
      </c>
      <c r="D141" s="29" t="s">
        <v>62</v>
      </c>
      <c r="E141" s="29" t="s">
        <v>62</v>
      </c>
      <c r="F141" s="30" cm="1">
        <f t="array" ref="F141">_xlfn.IFS($G141=$G$5,F$5,$G141=$G$6,F$6,$G141=$G$7,F$7,$G141=$G$8,F$8,$G141=$G$9,F$9,$G141=$G$10,F$10,$G141=$G$11,F$11,$G141=$G$13,F$13,$G141=$G$15,F$15,$G141=$G$16,F$16,$G141=$G$33,F$33,$G141=$G$34,F$34,$G141=$G$248,F$248,$G141=$G$250,F$250)</f>
        <v>8016</v>
      </c>
      <c r="G141" s="29" t="s">
        <v>72</v>
      </c>
      <c r="H141" s="31" cm="1">
        <f t="array" ref="H141">_xlfn.IFS($G141=$G$5,H$5,$G141=$G$6,H$6,$G141=$G$7,H$7,$G141=$G$8,H$8,$G141=$G$9,H$9,$G141=$G$10,H$10,$G141=$G$11,H$11,$G141=$G$13,H$13,$G141=$G$15,H$15,$G141=$G$16,H$16,$G141=$G$33,H$33,$G141=$G$34,H$34,$G141=$G$248,H$248,$G141=$G$250,H$250)</f>
        <v>41.437435000000001</v>
      </c>
      <c r="I141" s="31" cm="1">
        <f t="array" ref="I141">_xlfn.IFS($G141=$G$5,I$5,$G141=$G$6,I$6,$G141=$G$7,I$7,$G141=$G$8,I$8,$G141=$G$9,I$9,$G141=$G$10,I$10,$G141=$G$11,I$11,$G141=$G$13,I$13,$G141=$G$15,I$15,$G141=$G$16,I$16,$G141=$G$33,I$33,$G141=$G$34,I$34,$G141=$G$248,I$248,$G141=$G$250,I$250)</f>
        <v>2.1812779999999998</v>
      </c>
      <c r="J141" s="29" cm="1">
        <f t="array" ref="J141">_xlfn.IFS($G141=$G$5,J$5,$G141=$G$6,J$6,$G141=$G$7,J$7,$G141=$G$8,J$8,$G141=$G$9,J$9,$G141=$G$10,J$10,$G141=$G$11,J$11,$G141=$G$13,J$13,$G141=$G$15,J$15,$G141=$G$16,J$16,$G141=$G$33,J$33,$G141=$G$34,J$34,$G141=$G$248,J$248,$G141=$G$250,J$250)</f>
        <v>47</v>
      </c>
      <c r="K141" s="29" t="str" cm="1">
        <f t="array" ref="K141">_xlfn.IFS($G141=$G$5,K$5,$G141=$G$6,K$6,$G141=$G$7,K$7,$G141=$G$8,K$8,$G141=$G$9,K$9,$G141=$G$10,K$10,$G141=$G$11,K$11,$G141=$G$13,K$13,$G141=$G$15,K$15,$G141=$G$16,K$16,$G141=$G$33,K$33,$G141=$G$34,K$34,$G141=$G$248,K$248,$G141=$G$250,K$250)</f>
        <v>BG sentinel + BG lure7</v>
      </c>
      <c r="L141" s="29" t="str" cm="1">
        <f t="array" ref="L141">_xlfn.IFS($G141=$G$5,L$5,$G141=$G$6,L$6,$G141=$G$7,L$7,$G141=$G$8,L$8,$G141=$G$9,L$9,$G141=$G$10,L$10,$G141=$G$11,L$11,$G141=$G$13,L$13,$G141=$G$15,L$15,$G141=$G$16,L$16,$G141=$G$33,L$33,$G141=$G$34,L$34,$G141=$G$248,L$248,$G141=$G$250,L$250)</f>
        <v>Urban habitat</v>
      </c>
      <c r="O141" s="32" t="str">
        <f t="shared" si="7"/>
        <v>A_SP_BCN_3_200909</v>
      </c>
      <c r="P141" s="33">
        <v>44083</v>
      </c>
      <c r="Q141" s="34">
        <v>0.58333333333333337</v>
      </c>
      <c r="R141" s="35"/>
      <c r="S141" s="36">
        <v>44090</v>
      </c>
      <c r="T141" s="37">
        <v>0.65972222222222221</v>
      </c>
      <c r="U141" s="38"/>
      <c r="V141" s="39" t="s">
        <v>99</v>
      </c>
      <c r="X141" s="29">
        <f t="shared" si="9"/>
        <v>7</v>
      </c>
      <c r="Y141" s="38"/>
      <c r="Z141" s="29" t="s">
        <v>68</v>
      </c>
      <c r="AA141" s="29">
        <f t="shared" si="8"/>
        <v>7</v>
      </c>
      <c r="AB141" s="29" t="s">
        <v>69</v>
      </c>
      <c r="AC141" s="29">
        <v>4</v>
      </c>
      <c r="AD141" s="29">
        <v>3</v>
      </c>
      <c r="AE141" s="29" t="s">
        <v>70</v>
      </c>
      <c r="AF141">
        <v>2</v>
      </c>
      <c r="AG141" s="40"/>
    </row>
    <row r="142" spans="1:33" x14ac:dyDescent="0.25">
      <c r="A142" s="28">
        <v>138</v>
      </c>
      <c r="B142" s="29" t="s">
        <v>60</v>
      </c>
      <c r="C142" s="29" t="s">
        <v>61</v>
      </c>
      <c r="D142" s="29" t="s">
        <v>62</v>
      </c>
      <c r="E142" s="29" t="s">
        <v>62</v>
      </c>
      <c r="F142" s="30" cm="1">
        <f t="array" ref="F142">_xlfn.IFS($G142=$G$5,F$5,$G142=$G$6,F$6,$G142=$G$7,F$7,$G142=$G$8,F$8,$G142=$G$9,F$9,$G142=$G$10,F$10,$G142=$G$11,F$11,$G142=$G$13,F$13,$G142=$G$15,F$15,$G142=$G$16,F$16,$G142=$G$33,F$33,$G142=$G$34,F$34,$G142=$G$248,F$248,$G142=$G$250,F$250)</f>
        <v>8016</v>
      </c>
      <c r="G142" s="29" t="s">
        <v>72</v>
      </c>
      <c r="H142" s="31" cm="1">
        <f t="array" ref="H142">_xlfn.IFS($G142=$G$5,H$5,$G142=$G$6,H$6,$G142=$G$7,H$7,$G142=$G$8,H$8,$G142=$G$9,H$9,$G142=$G$10,H$10,$G142=$G$11,H$11,$G142=$G$13,H$13,$G142=$G$15,H$15,$G142=$G$16,H$16,$G142=$G$33,H$33,$G142=$G$34,H$34,$G142=$G$248,H$248,$G142=$G$250,H$250)</f>
        <v>41.437435000000001</v>
      </c>
      <c r="I142" s="31" cm="1">
        <f t="array" ref="I142">_xlfn.IFS($G142=$G$5,I$5,$G142=$G$6,I$6,$G142=$G$7,I$7,$G142=$G$8,I$8,$G142=$G$9,I$9,$G142=$G$10,I$10,$G142=$G$11,I$11,$G142=$G$13,I$13,$G142=$G$15,I$15,$G142=$G$16,I$16,$G142=$G$33,I$33,$G142=$G$34,I$34,$G142=$G$248,I$248,$G142=$G$250,I$250)</f>
        <v>2.1812779999999998</v>
      </c>
      <c r="J142" s="29" cm="1">
        <f t="array" ref="J142">_xlfn.IFS($G142=$G$5,J$5,$G142=$G$6,J$6,$G142=$G$7,J$7,$G142=$G$8,J$8,$G142=$G$9,J$9,$G142=$G$10,J$10,$G142=$G$11,J$11,$G142=$G$13,J$13,$G142=$G$15,J$15,$G142=$G$16,J$16,$G142=$G$33,J$33,$G142=$G$34,J$34,$G142=$G$248,J$248,$G142=$G$250,J$250)</f>
        <v>47</v>
      </c>
      <c r="K142" s="29" t="str" cm="1">
        <f t="array" ref="K142">_xlfn.IFS($G142=$G$5,K$5,$G142=$G$6,K$6,$G142=$G$7,K$7,$G142=$G$8,K$8,$G142=$G$9,K$9,$G142=$G$10,K$10,$G142=$G$11,K$11,$G142=$G$13,K$13,$G142=$G$15,K$15,$G142=$G$16,K$16,$G142=$G$33,K$33,$G142=$G$34,K$34,$G142=$G$248,K$248,$G142=$G$250,K$250)</f>
        <v>BG sentinel + BG lure7</v>
      </c>
      <c r="L142" s="29" t="str" cm="1">
        <f t="array" ref="L142">_xlfn.IFS($G142=$G$5,L$5,$G142=$G$6,L$6,$G142=$G$7,L$7,$G142=$G$8,L$8,$G142=$G$9,L$9,$G142=$G$10,L$10,$G142=$G$11,L$11,$G142=$G$13,L$13,$G142=$G$15,L$15,$G142=$G$16,L$16,$G142=$G$33,L$33,$G142=$G$34,L$34,$G142=$G$248,L$248,$G142=$G$250,L$250)</f>
        <v>Urban habitat</v>
      </c>
      <c r="O142" s="32" t="str">
        <f t="shared" si="7"/>
        <v>A_SP_BCN_3_200909</v>
      </c>
      <c r="P142" s="33">
        <v>44083</v>
      </c>
      <c r="Q142" s="34">
        <v>0.58333333333333337</v>
      </c>
      <c r="R142" s="35"/>
      <c r="S142" s="36">
        <v>44090</v>
      </c>
      <c r="T142" s="37">
        <v>0.65972222222222221</v>
      </c>
      <c r="U142" s="38"/>
      <c r="V142" s="39" t="s">
        <v>99</v>
      </c>
      <c r="X142" s="29">
        <f t="shared" si="9"/>
        <v>7</v>
      </c>
      <c r="Y142" s="38"/>
      <c r="Z142" s="29" t="s">
        <v>75</v>
      </c>
      <c r="AA142" s="29">
        <f t="shared" si="8"/>
        <v>2</v>
      </c>
      <c r="AB142" s="29" t="s">
        <v>69</v>
      </c>
      <c r="AC142" s="29">
        <v>2</v>
      </c>
      <c r="AD142" s="29">
        <v>0</v>
      </c>
      <c r="AE142" s="29" t="s">
        <v>70</v>
      </c>
      <c r="AF142">
        <v>2</v>
      </c>
    </row>
    <row r="143" spans="1:33" x14ac:dyDescent="0.25">
      <c r="A143" s="28">
        <v>139</v>
      </c>
      <c r="B143" s="29" t="s">
        <v>60</v>
      </c>
      <c r="C143" s="29" t="s">
        <v>61</v>
      </c>
      <c r="D143" s="29" t="s">
        <v>62</v>
      </c>
      <c r="E143" s="29" t="s">
        <v>62</v>
      </c>
      <c r="F143" s="30" cm="1">
        <f t="array" ref="F143">_xlfn.IFS($G143=$G$5,F$5,$G143=$G$6,F$6,$G143=$G$7,F$7,$G143=$G$8,F$8,$G143=$G$9,F$9,$G143=$G$10,F$10,$G143=$G$11,F$11,$G143=$G$13,F$13,$G143=$G$15,F$15,$G143=$G$16,F$16,$G143=$G$33,F$33,$G143=$G$34,F$34,$G143=$G$248,F$248,$G143=$G$250,F$250)</f>
        <v>8018</v>
      </c>
      <c r="G143" s="29" t="s">
        <v>73</v>
      </c>
      <c r="H143" s="31" cm="1">
        <f t="array" ref="H143">_xlfn.IFS($G143=$G$5,H$5,$G143=$G$6,H$6,$G143=$G$7,H$7,$G143=$G$8,H$8,$G143=$G$9,H$9,$G143=$G$10,H$10,$G143=$G$11,H$11,$G143=$G$13,H$13,$G143=$G$15,H$15,$G143=$G$16,H$16,$G143=$G$33,H$33,$G143=$G$34,H$34,$G143=$G$248,H$248,$G143=$G$250,H$250)</f>
        <v>41.404924999999999</v>
      </c>
      <c r="I143" s="31" cm="1">
        <f t="array" ref="I143">_xlfn.IFS($G143=$G$5,I$5,$G143=$G$6,I$6,$G143=$G$7,I$7,$G143=$G$8,I$8,$G143=$G$9,I$9,$G143=$G$10,I$10,$G143=$G$11,I$11,$G143=$G$13,I$13,$G143=$G$15,I$15,$G143=$G$16,I$16,$G143=$G$33,I$33,$G143=$G$34,I$34,$G143=$G$248,I$248,$G143=$G$250,I$250)</f>
        <v>2.1987909999999999</v>
      </c>
      <c r="J143" s="29" cm="1">
        <f t="array" ref="J143">_xlfn.IFS($G143=$G$5,J$5,$G143=$G$6,J$6,$G143=$G$7,J$7,$G143=$G$8,J$8,$G143=$G$9,J$9,$G143=$G$10,J$10,$G143=$G$11,J$11,$G143=$G$13,J$13,$G143=$G$15,J$15,$G143=$G$16,J$16,$G143=$G$33,J$33,$G143=$G$34,J$34,$G143=$G$248,J$248,$G143=$G$250,J$250)</f>
        <v>4</v>
      </c>
      <c r="K143" s="29" t="str" cm="1">
        <f t="array" ref="K143">_xlfn.IFS($G143=$G$5,K$5,$G143=$G$6,K$6,$G143=$G$7,K$7,$G143=$G$8,K$8,$G143=$G$9,K$9,$G143=$G$10,K$10,$G143=$G$11,K$11,$G143=$G$13,K$13,$G143=$G$15,K$15,$G143=$G$16,K$16,$G143=$G$33,K$33,$G143=$G$34,K$34,$G143=$G$248,K$248,$G143=$G$250,K$250)</f>
        <v>BG sentinel + BG lure7</v>
      </c>
      <c r="L143" s="29" t="str" cm="1">
        <f t="array" ref="L143">_xlfn.IFS($G143=$G$5,L$5,$G143=$G$6,L$6,$G143=$G$7,L$7,$G143=$G$8,L$8,$G143=$G$9,L$9,$G143=$G$10,L$10,$G143=$G$11,L$11,$G143=$G$13,L$13,$G143=$G$15,L$15,$G143=$G$16,L$16,$G143=$G$33,L$33,$G143=$G$34,L$34,$G143=$G$248,L$248,$G143=$G$250,L$250)</f>
        <v>Urban habitat</v>
      </c>
      <c r="O143" s="32" t="str">
        <f t="shared" si="7"/>
        <v>A_SP_BCN_4_200909</v>
      </c>
      <c r="P143" s="33">
        <v>44083</v>
      </c>
      <c r="Q143" s="34">
        <v>0.57291666666666663</v>
      </c>
      <c r="R143" s="35"/>
      <c r="S143" s="36">
        <v>44090</v>
      </c>
      <c r="T143" s="37">
        <v>0.63888888888888895</v>
      </c>
      <c r="U143" s="38"/>
      <c r="V143" s="39" t="s">
        <v>66</v>
      </c>
      <c r="X143" s="29">
        <f t="shared" si="9"/>
        <v>7</v>
      </c>
      <c r="Y143" s="38"/>
      <c r="Z143" s="29" t="s">
        <v>68</v>
      </c>
      <c r="AA143" s="29">
        <f t="shared" si="8"/>
        <v>26</v>
      </c>
      <c r="AB143" s="29" t="s">
        <v>69</v>
      </c>
      <c r="AC143" s="29">
        <v>15</v>
      </c>
      <c r="AD143" s="29">
        <v>11</v>
      </c>
      <c r="AE143" s="29" t="s">
        <v>70</v>
      </c>
      <c r="AF143">
        <v>4</v>
      </c>
      <c r="AG143" s="40"/>
    </row>
    <row r="144" spans="1:33" x14ac:dyDescent="0.25">
      <c r="A144" s="28">
        <v>140</v>
      </c>
      <c r="B144" s="29" t="s">
        <v>60</v>
      </c>
      <c r="C144" s="29" t="s">
        <v>61</v>
      </c>
      <c r="D144" s="29" t="s">
        <v>62</v>
      </c>
      <c r="E144" s="29" t="s">
        <v>62</v>
      </c>
      <c r="F144" s="30" cm="1">
        <f t="array" ref="F144">_xlfn.IFS($G144=$G$5,F$5,$G144=$G$6,F$6,$G144=$G$7,F$7,$G144=$G$8,F$8,$G144=$G$9,F$9,$G144=$G$10,F$10,$G144=$G$11,F$11,$G144=$G$13,F$13,$G144=$G$15,F$15,$G144=$G$16,F$16,$G144=$G$33,F$33,$G144=$G$34,F$34,$G144=$G$248,F$248,$G144=$G$250,F$250)</f>
        <v>8019</v>
      </c>
      <c r="G144" s="29" t="s">
        <v>74</v>
      </c>
      <c r="H144" s="31" cm="1">
        <f t="array" ref="H144">_xlfn.IFS($G144=$G$5,H$5,$G144=$G$6,H$6,$G144=$G$7,H$7,$G144=$G$8,H$8,$G144=$G$9,H$9,$G144=$G$10,H$10,$G144=$G$11,H$11,$G144=$G$13,H$13,$G144=$G$15,H$15,$G144=$G$16,H$16,$G144=$G$33,H$33,$G144=$G$34,H$34,$G144=$G$248,H$248,$G144=$G$250,H$250)</f>
        <v>41.410684000000003</v>
      </c>
      <c r="I144" s="31" cm="1">
        <f t="array" ref="I144">_xlfn.IFS($G144=$G$5,I$5,$G144=$G$6,I$6,$G144=$G$7,I$7,$G144=$G$8,I$8,$G144=$G$9,I$9,$G144=$G$10,I$10,$G144=$G$11,I$11,$G144=$G$13,I$13,$G144=$G$15,I$15,$G144=$G$16,I$16,$G144=$G$33,I$33,$G144=$G$34,I$34,$G144=$G$248,I$248,$G144=$G$250,I$250)</f>
        <v>2.2208019999999999</v>
      </c>
      <c r="J144" s="29" cm="1">
        <f t="array" ref="J144">_xlfn.IFS($G144=$G$5,J$5,$G144=$G$6,J$6,$G144=$G$7,J$7,$G144=$G$8,J$8,$G144=$G$9,J$9,$G144=$G$10,J$10,$G144=$G$11,J$11,$G144=$G$13,J$13,$G144=$G$15,J$15,$G144=$G$16,J$16,$G144=$G$33,J$33,$G144=$G$34,J$34,$G144=$G$248,J$248,$G144=$G$250,J$250)</f>
        <v>18</v>
      </c>
      <c r="K144" s="29" t="str" cm="1">
        <f t="array" ref="K144">_xlfn.IFS($G144=$G$5,K$5,$G144=$G$6,K$6,$G144=$G$7,K$7,$G144=$G$8,K$8,$G144=$G$9,K$9,$G144=$G$10,K$10,$G144=$G$11,K$11,$G144=$G$13,K$13,$G144=$G$15,K$15,$G144=$G$16,K$16,$G144=$G$33,K$33,$G144=$G$34,K$34,$G144=$G$248,K$248,$G144=$G$250,K$250)</f>
        <v>BG sentinel + BG lure7</v>
      </c>
      <c r="L144" s="29" t="str" cm="1">
        <f t="array" ref="L144">_xlfn.IFS($G144=$G$5,L$5,$G144=$G$6,L$6,$G144=$G$7,L$7,$G144=$G$8,L$8,$G144=$G$9,L$9,$G144=$G$10,L$10,$G144=$G$11,L$11,$G144=$G$13,L$13,$G144=$G$15,L$15,$G144=$G$16,L$16,$G144=$G$33,L$33,$G144=$G$34,L$34,$G144=$G$248,L$248,$G144=$G$250,L$250)</f>
        <v>Urban habitat</v>
      </c>
      <c r="O144" s="32" t="str">
        <f t="shared" si="7"/>
        <v>A_SP_BCN_5_200909</v>
      </c>
      <c r="P144" s="33">
        <v>44083</v>
      </c>
      <c r="Q144" s="34">
        <v>0.54513888888888895</v>
      </c>
      <c r="R144" s="35"/>
      <c r="S144" s="36">
        <v>44090</v>
      </c>
      <c r="T144" s="37">
        <v>0.61458333333333337</v>
      </c>
      <c r="U144" s="38"/>
      <c r="V144" s="39" t="s">
        <v>66</v>
      </c>
      <c r="X144" s="29">
        <f t="shared" si="9"/>
        <v>7</v>
      </c>
      <c r="Y144" s="38"/>
      <c r="Z144" s="29" t="s">
        <v>68</v>
      </c>
      <c r="AA144" s="29">
        <f t="shared" si="8"/>
        <v>1</v>
      </c>
      <c r="AB144" s="29" t="s">
        <v>69</v>
      </c>
      <c r="AC144" s="29">
        <v>1</v>
      </c>
      <c r="AD144" s="29">
        <v>0</v>
      </c>
      <c r="AE144" s="29" t="s">
        <v>70</v>
      </c>
      <c r="AF144">
        <v>4</v>
      </c>
    </row>
    <row r="145" spans="1:32" x14ac:dyDescent="0.25">
      <c r="A145" s="28">
        <v>141</v>
      </c>
      <c r="B145" s="29" t="s">
        <v>60</v>
      </c>
      <c r="C145" s="29" t="s">
        <v>61</v>
      </c>
      <c r="D145" s="29" t="s">
        <v>62</v>
      </c>
      <c r="E145" s="29" t="s">
        <v>62</v>
      </c>
      <c r="F145" s="30" cm="1">
        <f t="array" ref="F145">_xlfn.IFS($G145=$G$5,F$5,$G145=$G$6,F$6,$G145=$G$7,F$7,$G145=$G$8,F$8,$G145=$G$9,F$9,$G145=$G$10,F$10,$G145=$G$11,F$11,$G145=$G$13,F$13,$G145=$G$15,F$15,$G145=$G$16,F$16,$G145=$G$33,F$33,$G145=$G$34,F$34,$G145=$G$248,F$248,$G145=$G$250,F$250)</f>
        <v>8019</v>
      </c>
      <c r="G145" s="29" t="s">
        <v>74</v>
      </c>
      <c r="H145" s="31" cm="1">
        <f t="array" ref="H145">_xlfn.IFS($G145=$G$5,H$5,$G145=$G$6,H$6,$G145=$G$7,H$7,$G145=$G$8,H$8,$G145=$G$9,H$9,$G145=$G$10,H$10,$G145=$G$11,H$11,$G145=$G$13,H$13,$G145=$G$15,H$15,$G145=$G$16,H$16,$G145=$G$33,H$33,$G145=$G$34,H$34,$G145=$G$248,H$248,$G145=$G$250,H$250)</f>
        <v>41.410684000000003</v>
      </c>
      <c r="I145" s="31" cm="1">
        <f t="array" ref="I145">_xlfn.IFS($G145=$G$5,I$5,$G145=$G$6,I$6,$G145=$G$7,I$7,$G145=$G$8,I$8,$G145=$G$9,I$9,$G145=$G$10,I$10,$G145=$G$11,I$11,$G145=$G$13,I$13,$G145=$G$15,I$15,$G145=$G$16,I$16,$G145=$G$33,I$33,$G145=$G$34,I$34,$G145=$G$248,I$248,$G145=$G$250,I$250)</f>
        <v>2.2208019999999999</v>
      </c>
      <c r="J145" s="29" cm="1">
        <f t="array" ref="J145">_xlfn.IFS($G145=$G$5,J$5,$G145=$G$6,J$6,$G145=$G$7,J$7,$G145=$G$8,J$8,$G145=$G$9,J$9,$G145=$G$10,J$10,$G145=$G$11,J$11,$G145=$G$13,J$13,$G145=$G$15,J$15,$G145=$G$16,J$16,$G145=$G$33,J$33,$G145=$G$34,J$34,$G145=$G$248,J$248,$G145=$G$250,J$250)</f>
        <v>18</v>
      </c>
      <c r="K145" s="29" t="str" cm="1">
        <f t="array" ref="K145">_xlfn.IFS($G145=$G$5,K$5,$G145=$G$6,K$6,$G145=$G$7,K$7,$G145=$G$8,K$8,$G145=$G$9,K$9,$G145=$G$10,K$10,$G145=$G$11,K$11,$G145=$G$13,K$13,$G145=$G$15,K$15,$G145=$G$16,K$16,$G145=$G$33,K$33,$G145=$G$34,K$34,$G145=$G$248,K$248,$G145=$G$250,K$250)</f>
        <v>BG sentinel + BG lure7</v>
      </c>
      <c r="L145" s="29" t="str" cm="1">
        <f t="array" ref="L145">_xlfn.IFS($G145=$G$5,L$5,$G145=$G$6,L$6,$G145=$G$7,L$7,$G145=$G$8,L$8,$G145=$G$9,L$9,$G145=$G$10,L$10,$G145=$G$11,L$11,$G145=$G$13,L$13,$G145=$G$15,L$15,$G145=$G$16,L$16,$G145=$G$33,L$33,$G145=$G$34,L$34,$G145=$G$248,L$248,$G145=$G$250,L$250)</f>
        <v>Urban habitat</v>
      </c>
      <c r="O145" s="32" t="str">
        <f>G145&amp;"_"&amp;TEXT(P145,"AAMMDD")</f>
        <v>A_SP_BCN_5_200909</v>
      </c>
      <c r="P145" s="33">
        <v>44083</v>
      </c>
      <c r="Q145" s="34">
        <v>0.54513888888888895</v>
      </c>
      <c r="R145" s="35"/>
      <c r="S145" s="36">
        <v>44090</v>
      </c>
      <c r="T145" s="37">
        <v>0.61458333333333337</v>
      </c>
      <c r="U145" s="38"/>
      <c r="V145" s="39" t="s">
        <v>66</v>
      </c>
      <c r="X145" s="29">
        <f t="shared" si="9"/>
        <v>7</v>
      </c>
      <c r="Y145" s="38"/>
      <c r="Z145" s="29" t="s">
        <v>75</v>
      </c>
      <c r="AA145" s="29">
        <f t="shared" si="8"/>
        <v>2</v>
      </c>
      <c r="AB145" s="29" t="s">
        <v>69</v>
      </c>
      <c r="AC145" s="29">
        <v>2</v>
      </c>
      <c r="AD145" s="29">
        <v>0</v>
      </c>
      <c r="AE145" s="29" t="s">
        <v>70</v>
      </c>
      <c r="AF145">
        <v>4</v>
      </c>
    </row>
    <row r="146" spans="1:32" x14ac:dyDescent="0.25">
      <c r="A146" s="28">
        <v>142</v>
      </c>
      <c r="B146" s="29" t="s">
        <v>60</v>
      </c>
      <c r="C146" s="29" t="s">
        <v>61</v>
      </c>
      <c r="D146" s="29" t="s">
        <v>62</v>
      </c>
      <c r="E146" s="29" t="s">
        <v>62</v>
      </c>
      <c r="F146" s="30" cm="1">
        <f t="array" ref="F146">_xlfn.IFS($G146=$G$5,F$5,$G146=$G$6,F$6,$G146=$G$7,F$7,$G146=$G$8,F$8,$G146=$G$9,F$9,$G146=$G$10,F$10,$G146=$G$11,F$11,$G146=$G$13,F$13,$G146=$G$15,F$15,$G146=$G$16,F$16,$G146=$G$33,F$33,$G146=$G$34,F$34,$G146=$G$248,F$248,$G146=$G$250,F$250)</f>
        <v>8002</v>
      </c>
      <c r="G146" s="29" t="s">
        <v>76</v>
      </c>
      <c r="H146" s="31" cm="1">
        <f t="array" ref="H146">_xlfn.IFS($G146=$G$5,H$5,$G146=$G$6,H$6,$G146=$G$7,H$7,$G146=$G$8,H$8,$G146=$G$9,H$9,$G146=$G$10,H$10,$G146=$G$11,H$11,$G146=$G$13,H$13,$G146=$G$15,H$15,$G146=$G$16,H$16,$G146=$G$33,H$33,$G146=$G$34,H$34,$G146=$G$248,H$248,$G146=$G$250,H$250)</f>
        <v>41.382339999999999</v>
      </c>
      <c r="I146" s="31" cm="1">
        <f t="array" ref="I146">_xlfn.IFS($G146=$G$5,I$5,$G146=$G$6,I$6,$G146=$G$7,I$7,$G146=$G$8,I$8,$G146=$G$9,I$9,$G146=$G$10,I$10,$G146=$G$11,I$11,$G146=$G$13,I$13,$G146=$G$15,I$15,$G146=$G$16,I$16,$G146=$G$33,I$33,$G146=$G$34,I$34,$G146=$G$248,I$248,$G146=$G$250,I$250)</f>
        <v>2.1714790000000002</v>
      </c>
      <c r="J146" s="29" cm="1">
        <f t="array" ref="J146">_xlfn.IFS($G146=$G$5,J$5,$G146=$G$6,J$6,$G146=$G$7,J$7,$G146=$G$8,J$8,$G146=$G$9,J$9,$G146=$G$10,J$10,$G146=$G$11,J$11,$G146=$G$13,J$13,$G146=$G$15,J$15,$G146=$G$16,J$16,$G146=$G$33,J$33,$G146=$G$34,J$34,$G146=$G$248,J$248,$G146=$G$250,J$250)</f>
        <v>19</v>
      </c>
      <c r="K146" s="29" t="str" cm="1">
        <f t="array" ref="K146">_xlfn.IFS($G146=$G$5,K$5,$G146=$G$6,K$6,$G146=$G$7,K$7,$G146=$G$8,K$8,$G146=$G$9,K$9,$G146=$G$10,K$10,$G146=$G$11,K$11,$G146=$G$13,K$13,$G146=$G$15,K$15,$G146=$G$16,K$16,$G146=$G$33,K$33,$G146=$G$34,K$34,$G146=$G$248,K$248,$G146=$G$250,K$250)</f>
        <v>BG sentinel + BG lure7</v>
      </c>
      <c r="L146" s="29" t="str" cm="1">
        <f t="array" ref="L146">_xlfn.IFS($G146=$G$5,L$5,$G146=$G$6,L$6,$G146=$G$7,L$7,$G146=$G$8,L$8,$G146=$G$9,L$9,$G146=$G$10,L$10,$G146=$G$11,L$11,$G146=$G$13,L$13,$G146=$G$15,L$15,$G146=$G$16,L$16,$G146=$G$33,L$33,$G146=$G$34,L$34,$G146=$G$248,L$248,$G146=$G$250,L$250)</f>
        <v>Urban habitat</v>
      </c>
      <c r="O146" s="32" t="str">
        <f t="shared" ref="O146:O209" si="10">G146&amp;"_"&amp;TEXT(P146,"AAMMDD")</f>
        <v>A_SP_BCN_6_200909</v>
      </c>
      <c r="P146" s="33">
        <v>44083</v>
      </c>
      <c r="Q146" s="34">
        <v>0.51041666666666663</v>
      </c>
      <c r="R146" s="35"/>
      <c r="S146" s="36">
        <v>44090</v>
      </c>
      <c r="T146" s="37">
        <v>0.58680555555555558</v>
      </c>
      <c r="U146" s="38"/>
      <c r="V146" s="39" t="s">
        <v>66</v>
      </c>
      <c r="X146" s="29">
        <f t="shared" si="9"/>
        <v>7</v>
      </c>
      <c r="Y146" s="38"/>
      <c r="Z146" s="29" t="s">
        <v>68</v>
      </c>
      <c r="AA146" s="29">
        <f t="shared" si="8"/>
        <v>3</v>
      </c>
      <c r="AB146" s="29" t="s">
        <v>69</v>
      </c>
      <c r="AC146" s="29">
        <v>3</v>
      </c>
      <c r="AD146" s="29">
        <v>0</v>
      </c>
      <c r="AE146" s="29" t="s">
        <v>70</v>
      </c>
      <c r="AF146">
        <v>4</v>
      </c>
    </row>
    <row r="147" spans="1:32" x14ac:dyDescent="0.25">
      <c r="A147" s="28">
        <v>143</v>
      </c>
      <c r="B147" s="29" t="s">
        <v>60</v>
      </c>
      <c r="C147" s="29" t="s">
        <v>61</v>
      </c>
      <c r="D147" s="29" t="s">
        <v>62</v>
      </c>
      <c r="E147" s="29" t="s">
        <v>62</v>
      </c>
      <c r="F147" s="30" cm="1">
        <f t="array" ref="F147">_xlfn.IFS($G147=$G$5,F$5,$G147=$G$6,F$6,$G147=$G$7,F$7,$G147=$G$8,F$8,$G147=$G$9,F$9,$G147=$G$10,F$10,$G147=$G$11,F$11,$G147=$G$13,F$13,$G147=$G$15,F$15,$G147=$G$16,F$16,$G147=$G$33,F$33,$G147=$G$34,F$34,$G147=$G$248,F$248,$G147=$G$250,F$250)</f>
        <v>8038</v>
      </c>
      <c r="G147" s="29" t="s">
        <v>77</v>
      </c>
      <c r="H147" s="31" cm="1">
        <f t="array" ref="H147">_xlfn.IFS($G147=$G$5,H$5,$G147=$G$6,H$6,$G147=$G$7,H$7,$G147=$G$8,H$8,$G147=$G$9,H$9,$G147=$G$10,H$10,$G147=$G$11,H$11,$G147=$G$13,H$13,$G147=$G$15,H$15,$G147=$G$16,H$16,$G147=$G$33,H$33,$G147=$G$34,H$34,$G147=$G$248,H$248,$G147=$G$250,H$250)</f>
        <v>41.371864000000002</v>
      </c>
      <c r="I147" s="31" cm="1">
        <f t="array" ref="I147">_xlfn.IFS($G147=$G$5,I$5,$G147=$G$6,I$6,$G147=$G$7,I$7,$G147=$G$8,I$8,$G147=$G$9,I$9,$G147=$G$10,I$10,$G147=$G$11,I$11,$G147=$G$13,I$13,$G147=$G$15,I$15,$G147=$G$16,I$16,$G147=$G$33,I$33,$G147=$G$34,I$34,$G147=$G$248,I$248,$G147=$G$250,I$250)</f>
        <v>2.173899</v>
      </c>
      <c r="J147" s="29" cm="1">
        <f t="array" ref="J147">_xlfn.IFS($G147=$G$5,J$5,$G147=$G$6,J$6,$G147=$G$7,J$7,$G147=$G$8,J$8,$G147=$G$9,J$9,$G147=$G$10,J$10,$G147=$G$11,J$11,$G147=$G$13,J$13,$G147=$G$15,J$15,$G147=$G$16,J$16,$G147=$G$33,J$33,$G147=$G$34,J$34,$G147=$G$248,J$248,$G147=$G$250,J$250)</f>
        <v>5</v>
      </c>
      <c r="K147" s="29" t="str" cm="1">
        <f t="array" ref="K147">_xlfn.IFS($G147=$G$5,K$5,$G147=$G$6,K$6,$G147=$G$7,K$7,$G147=$G$8,K$8,$G147=$G$9,K$9,$G147=$G$10,K$10,$G147=$G$11,K$11,$G147=$G$13,K$13,$G147=$G$15,K$15,$G147=$G$16,K$16,$G147=$G$33,K$33,$G147=$G$34,K$34,$G147=$G$248,K$248,$G147=$G$250,K$250)</f>
        <v>BG sentinel + BG lure7</v>
      </c>
      <c r="L147" s="29" t="str" cm="1">
        <f t="array" ref="L147">_xlfn.IFS($G147=$G$5,L$5,$G147=$G$6,L$6,$G147=$G$7,L$7,$G147=$G$8,L$8,$G147=$G$9,L$9,$G147=$G$10,L$10,$G147=$G$11,L$11,$G147=$G$13,L$13,$G147=$G$15,L$15,$G147=$G$16,L$16,$G147=$G$33,L$33,$G147=$G$34,L$34,$G147=$G$248,L$248,$G147=$G$250,L$250)</f>
        <v>Urban habitat</v>
      </c>
      <c r="O147" s="32" t="str">
        <f t="shared" si="10"/>
        <v>A_SP_BCN_7_200909</v>
      </c>
      <c r="P147" s="33">
        <v>44083</v>
      </c>
      <c r="Q147" s="34">
        <v>0.72222222222222221</v>
      </c>
      <c r="R147" s="35"/>
      <c r="S147" s="36">
        <v>44090</v>
      </c>
      <c r="T147" s="37">
        <v>0.52083333333333337</v>
      </c>
      <c r="U147" s="38"/>
      <c r="V147" s="39" t="s">
        <v>66</v>
      </c>
      <c r="W147" s="39" t="s">
        <v>92</v>
      </c>
      <c r="X147" s="29">
        <f t="shared" si="9"/>
        <v>7</v>
      </c>
      <c r="Y147" s="38"/>
      <c r="Z147" s="29" t="s">
        <v>68</v>
      </c>
      <c r="AA147" s="29">
        <f t="shared" si="8"/>
        <v>26</v>
      </c>
      <c r="AB147" s="29" t="s">
        <v>69</v>
      </c>
      <c r="AC147" s="29">
        <v>21</v>
      </c>
      <c r="AD147" s="29">
        <v>5</v>
      </c>
      <c r="AE147" s="29" t="s">
        <v>70</v>
      </c>
      <c r="AF147">
        <v>4</v>
      </c>
    </row>
    <row r="148" spans="1:32" x14ac:dyDescent="0.25">
      <c r="A148" s="28">
        <v>144</v>
      </c>
      <c r="B148" s="29" t="s">
        <v>60</v>
      </c>
      <c r="C148" s="29" t="s">
        <v>61</v>
      </c>
      <c r="D148" s="29" t="s">
        <v>62</v>
      </c>
      <c r="E148" s="29" t="s">
        <v>62</v>
      </c>
      <c r="F148" s="30" cm="1">
        <f t="array" ref="F148">_xlfn.IFS($G148=$G$5,F$5,$G148=$G$6,F$6,$G148=$G$7,F$7,$G148=$G$8,F$8,$G148=$G$9,F$9,$G148=$G$10,F$10,$G148=$G$11,F$11,$G148=$G$13,F$13,$G148=$G$15,F$15,$G148=$G$16,F$16,$G148=$G$33,F$33,$G148=$G$34,F$34,$G148=$G$248,F$248,$G148=$G$250,F$250)</f>
        <v>8038</v>
      </c>
      <c r="G148" s="29" t="s">
        <v>78</v>
      </c>
      <c r="H148" s="31" cm="1">
        <f t="array" ref="H148">_xlfn.IFS($G148=$G$5,H$5,$G148=$G$6,H$6,$G148=$G$7,H$7,$G148=$G$8,H$8,$G148=$G$9,H$9,$G148=$G$10,H$10,$G148=$G$11,H$11,$G148=$G$13,H$13,$G148=$G$15,H$15,$G148=$G$16,H$16,$G148=$G$33,H$33,$G148=$G$34,H$34,$G148=$G$248,H$248,$G148=$G$250,H$250)</f>
        <v>41.368589</v>
      </c>
      <c r="I148" s="31" cm="1">
        <f t="array" ref="I148">_xlfn.IFS($G148=$G$5,I$5,$G148=$G$6,I$6,$G148=$G$7,I$7,$G148=$G$8,I$8,$G148=$G$9,I$9,$G148=$G$10,I$10,$G148=$G$11,I$11,$G148=$G$13,I$13,$G148=$G$15,I$15,$G148=$G$16,I$16,$G148=$G$33,I$33,$G148=$G$34,I$34,$G148=$G$248,I$248,$G148=$G$250,I$250)</f>
        <v>2.1620900000000001</v>
      </c>
      <c r="J148" s="29" cm="1">
        <f t="array" ref="J148">_xlfn.IFS($G148=$G$5,J$5,$G148=$G$6,J$6,$G148=$G$7,J$7,$G148=$G$8,J$8,$G148=$G$9,J$9,$G148=$G$10,J$10,$G148=$G$11,J$11,$G148=$G$13,J$13,$G148=$G$15,J$15,$G148=$G$16,J$16,$G148=$G$33,J$33,$G148=$G$34,J$34,$G148=$G$248,J$248,$G148=$G$250,J$250)</f>
        <v>95</v>
      </c>
      <c r="K148" s="29" t="str" cm="1">
        <f t="array" ref="K148">_xlfn.IFS($G148=$G$5,K$5,$G148=$G$6,K$6,$G148=$G$7,K$7,$G148=$G$8,K$8,$G148=$G$9,K$9,$G148=$G$10,K$10,$G148=$G$11,K$11,$G148=$G$13,K$13,$G148=$G$15,K$15,$G148=$G$16,K$16,$G148=$G$33,K$33,$G148=$G$34,K$34,$G148=$G$248,K$248,$G148=$G$250,K$250)</f>
        <v>BG sentinel + BG lure7</v>
      </c>
      <c r="L148" s="29" t="str" cm="1">
        <f t="array" ref="L148">_xlfn.IFS($G148=$G$5,L$5,$G148=$G$6,L$6,$G148=$G$7,L$7,$G148=$G$8,L$8,$G148=$G$9,L$9,$G148=$G$10,L$10,$G148=$G$11,L$11,$G148=$G$13,L$13,$G148=$G$15,L$15,$G148=$G$16,L$16,$G148=$G$33,L$33,$G148=$G$34,L$34,$G148=$G$248,L$248,$G148=$G$250,L$250)</f>
        <v>Other</v>
      </c>
      <c r="O148" s="32" t="str">
        <f t="shared" si="10"/>
        <v>A_SP_BCN_8_200909</v>
      </c>
      <c r="P148" s="33">
        <v>44083</v>
      </c>
      <c r="Q148" s="34">
        <v>0.74305555555555547</v>
      </c>
      <c r="R148" s="35"/>
      <c r="S148" s="36">
        <v>44090</v>
      </c>
      <c r="T148" s="37">
        <v>0.54166666666666663</v>
      </c>
      <c r="U148" s="38"/>
      <c r="V148" s="39" t="s">
        <v>100</v>
      </c>
      <c r="X148" s="29">
        <f t="shared" si="9"/>
        <v>7</v>
      </c>
      <c r="Y148" s="38"/>
      <c r="Z148" s="29" t="s">
        <v>68</v>
      </c>
      <c r="AA148" s="29">
        <f t="shared" si="8"/>
        <v>127</v>
      </c>
      <c r="AB148" s="29" t="s">
        <v>69</v>
      </c>
      <c r="AC148" s="29">
        <v>111</v>
      </c>
      <c r="AD148" s="29">
        <v>16</v>
      </c>
      <c r="AE148" s="29" t="s">
        <v>70</v>
      </c>
      <c r="AF148">
        <v>3</v>
      </c>
    </row>
    <row r="149" spans="1:32" x14ac:dyDescent="0.25">
      <c r="A149" s="28">
        <v>145</v>
      </c>
      <c r="B149" s="29" t="s">
        <v>60</v>
      </c>
      <c r="C149" s="29" t="s">
        <v>61</v>
      </c>
      <c r="D149" s="29" t="s">
        <v>62</v>
      </c>
      <c r="E149" s="29" t="s">
        <v>62</v>
      </c>
      <c r="F149" s="30" cm="1">
        <f t="array" ref="F149">_xlfn.IFS($G149=$G$5,F$5,$G149=$G$6,F$6,$G149=$G$7,F$7,$G149=$G$8,F$8,$G149=$G$9,F$9,$G149=$G$10,F$10,$G149=$G$11,F$11,$G149=$G$13,F$13,$G149=$G$15,F$15,$G149=$G$16,F$16,$G149=$G$33,F$33,$G149=$G$34,F$34,$G149=$G$248,F$248,$G149=$G$250,F$250)</f>
        <v>8038</v>
      </c>
      <c r="G149" s="29" t="s">
        <v>78</v>
      </c>
      <c r="H149" s="31" cm="1">
        <f t="array" ref="H149">_xlfn.IFS($G149=$G$5,H$5,$G149=$G$6,H$6,$G149=$G$7,H$7,$G149=$G$8,H$8,$G149=$G$9,H$9,$G149=$G$10,H$10,$G149=$G$11,H$11,$G149=$G$13,H$13,$G149=$G$15,H$15,$G149=$G$16,H$16,$G149=$G$33,H$33,$G149=$G$34,H$34,$G149=$G$248,H$248,$G149=$G$250,H$250)</f>
        <v>41.368589</v>
      </c>
      <c r="I149" s="31" cm="1">
        <f t="array" ref="I149">_xlfn.IFS($G149=$G$5,I$5,$G149=$G$6,I$6,$G149=$G$7,I$7,$G149=$G$8,I$8,$G149=$G$9,I$9,$G149=$G$10,I$10,$G149=$G$11,I$11,$G149=$G$13,I$13,$G149=$G$15,I$15,$G149=$G$16,I$16,$G149=$G$33,I$33,$G149=$G$34,I$34,$G149=$G$248,I$248,$G149=$G$250,I$250)</f>
        <v>2.1620900000000001</v>
      </c>
      <c r="J149" s="29" cm="1">
        <f t="array" ref="J149">_xlfn.IFS($G149=$G$5,J$5,$G149=$G$6,J$6,$G149=$G$7,J$7,$G149=$G$8,J$8,$G149=$G$9,J$9,$G149=$G$10,J$10,$G149=$G$11,J$11,$G149=$G$13,J$13,$G149=$G$15,J$15,$G149=$G$16,J$16,$G149=$G$33,J$33,$G149=$G$34,J$34,$G149=$G$248,J$248,$G149=$G$250,J$250)</f>
        <v>95</v>
      </c>
      <c r="K149" s="29" t="str" cm="1">
        <f t="array" ref="K149">_xlfn.IFS($G149=$G$5,K$5,$G149=$G$6,K$6,$G149=$G$7,K$7,$G149=$G$8,K$8,$G149=$G$9,K$9,$G149=$G$10,K$10,$G149=$G$11,K$11,$G149=$G$13,K$13,$G149=$G$15,K$15,$G149=$G$16,K$16,$G149=$G$33,K$33,$G149=$G$34,K$34,$G149=$G$248,K$248,$G149=$G$250,K$250)</f>
        <v>BG sentinel + BG lure7</v>
      </c>
      <c r="L149" s="29" t="str" cm="1">
        <f t="array" ref="L149">_xlfn.IFS($G149=$G$5,L$5,$G149=$G$6,L$6,$G149=$G$7,L$7,$G149=$G$8,L$8,$G149=$G$9,L$9,$G149=$G$10,L$10,$G149=$G$11,L$11,$G149=$G$13,L$13,$G149=$G$15,L$15,$G149=$G$16,L$16,$G149=$G$33,L$33,$G149=$G$34,L$34,$G149=$G$248,L$248,$G149=$G$250,L$250)</f>
        <v>Other</v>
      </c>
      <c r="O149" s="32" t="str">
        <f t="shared" si="10"/>
        <v>A_SP_BCN_8_200909</v>
      </c>
      <c r="P149" s="33">
        <v>44083</v>
      </c>
      <c r="Q149" s="34">
        <v>0.74305555555555547</v>
      </c>
      <c r="R149" s="35"/>
      <c r="S149" s="36">
        <v>44090</v>
      </c>
      <c r="T149" s="37">
        <v>0.54166666666666663</v>
      </c>
      <c r="U149" s="38"/>
      <c r="V149" s="39" t="s">
        <v>100</v>
      </c>
      <c r="X149" s="29">
        <f t="shared" si="9"/>
        <v>7</v>
      </c>
      <c r="Y149" s="38"/>
      <c r="Z149" s="29" t="s">
        <v>75</v>
      </c>
      <c r="AA149" s="29">
        <f t="shared" si="8"/>
        <v>12</v>
      </c>
      <c r="AB149" s="29" t="s">
        <v>69</v>
      </c>
      <c r="AC149" s="29">
        <v>9</v>
      </c>
      <c r="AD149" s="29">
        <v>3</v>
      </c>
      <c r="AE149" s="29" t="s">
        <v>70</v>
      </c>
      <c r="AF149">
        <v>3</v>
      </c>
    </row>
    <row r="150" spans="1:32" x14ac:dyDescent="0.25">
      <c r="A150" s="28">
        <v>146</v>
      </c>
      <c r="B150" s="29" t="s">
        <v>60</v>
      </c>
      <c r="C150" s="29" t="s">
        <v>61</v>
      </c>
      <c r="D150" s="29" t="s">
        <v>62</v>
      </c>
      <c r="E150" s="29" t="s">
        <v>62</v>
      </c>
      <c r="F150" s="30" cm="1">
        <f t="array" ref="F150">_xlfn.IFS($G150=$G$5,F$5,$G150=$G$6,F$6,$G150=$G$7,F$7,$G150=$G$8,F$8,$G150=$G$9,F$9,$G150=$G$10,F$10,$G150=$G$11,F$11,$G150=$G$13,F$13,$G150=$G$15,F$15,$G150=$G$16,F$16,$G150=$G$33,F$33,$G150=$G$34,F$34,$G150=$G$248,F$248,$G150=$G$250,F$250)</f>
        <v>8034</v>
      </c>
      <c r="G150" s="29" t="s">
        <v>81</v>
      </c>
      <c r="H150" s="31" cm="1">
        <f t="array" ref="H150">_xlfn.IFS($G150=$G$5,H$5,$G150=$G$6,H$6,$G150=$G$7,H$7,$G150=$G$8,H$8,$G150=$G$9,H$9,$G150=$G$10,H$10,$G150=$G$11,H$11,$G150=$G$13,H$13,$G150=$G$15,H$15,$G150=$G$16,H$16,$G150=$G$33,H$33,$G150=$G$34,H$34,$G150=$G$248,H$248,$G150=$G$250,H$250)</f>
        <v>41.393644999999999</v>
      </c>
      <c r="I150" s="31" cm="1">
        <f t="array" ref="I150">_xlfn.IFS($G150=$G$5,I$5,$G150=$G$6,I$6,$G150=$G$7,I$7,$G150=$G$8,I$8,$G150=$G$9,I$9,$G150=$G$10,I$10,$G150=$G$11,I$11,$G150=$G$13,I$13,$G150=$G$15,I$15,$G150=$G$16,I$16,$G150=$G$33,I$33,$G150=$G$34,I$34,$G150=$G$248,I$248,$G150=$G$250,I$250)</f>
        <v>2.1216780000000002</v>
      </c>
      <c r="J150" s="29" cm="1">
        <f t="array" ref="J150">_xlfn.IFS($G150=$G$5,J$5,$G150=$G$6,J$6,$G150=$G$7,J$7,$G150=$G$8,J$8,$G150=$G$9,J$9,$G150=$G$10,J$10,$G150=$G$11,J$11,$G150=$G$13,J$13,$G150=$G$15,J$15,$G150=$G$16,J$16,$G150=$G$33,J$33,$G150=$G$34,J$34,$G150=$G$248,J$248,$G150=$G$250,J$250)</f>
        <v>98</v>
      </c>
      <c r="K150" s="29" t="str" cm="1">
        <f t="array" ref="K150">_xlfn.IFS($G150=$G$5,K$5,$G150=$G$6,K$6,$G150=$G$7,K$7,$G150=$G$8,K$8,$G150=$G$9,K$9,$G150=$G$10,K$10,$G150=$G$11,K$11,$G150=$G$13,K$13,$G150=$G$15,K$15,$G150=$G$16,K$16,$G150=$G$33,K$33,$G150=$G$34,K$34,$G150=$G$248,K$248,$G150=$G$250,K$250)</f>
        <v>BG sentinel + BG lure7</v>
      </c>
      <c r="L150" s="29" t="str" cm="1">
        <f t="array" ref="L150">_xlfn.IFS($G150=$G$5,L$5,$G150=$G$6,L$6,$G150=$G$7,L$7,$G150=$G$8,L$8,$G150=$G$9,L$9,$G150=$G$10,L$10,$G150=$G$11,L$11,$G150=$G$13,L$13,$G150=$G$15,L$15,$G150=$G$16,L$16,$G150=$G$33,L$33,$G150=$G$34,L$34,$G150=$G$248,L$248,$G150=$G$250,L$250)</f>
        <v>Other</v>
      </c>
      <c r="O150" s="32" t="str">
        <f t="shared" si="10"/>
        <v>A_SP_BCN_9_200909</v>
      </c>
      <c r="P150" s="33">
        <v>44083</v>
      </c>
      <c r="Q150" s="34">
        <v>0.68055555555555547</v>
      </c>
      <c r="R150" s="35"/>
      <c r="S150" s="36">
        <v>44090</v>
      </c>
      <c r="T150" s="37">
        <v>0.73958333333333337</v>
      </c>
      <c r="U150" s="38"/>
      <c r="V150" s="39" t="s">
        <v>66</v>
      </c>
      <c r="X150" s="29">
        <f t="shared" si="9"/>
        <v>7</v>
      </c>
      <c r="Y150" s="38"/>
      <c r="Z150" s="29" t="s">
        <v>68</v>
      </c>
      <c r="AA150" s="29">
        <f t="shared" si="8"/>
        <v>6</v>
      </c>
      <c r="AB150" s="29" t="s">
        <v>69</v>
      </c>
      <c r="AC150" s="29">
        <v>6</v>
      </c>
      <c r="AD150" s="29">
        <v>0</v>
      </c>
      <c r="AE150" s="29" t="s">
        <v>70</v>
      </c>
      <c r="AF150">
        <v>4</v>
      </c>
    </row>
    <row r="151" spans="1:32" x14ac:dyDescent="0.25">
      <c r="A151" s="28">
        <v>147</v>
      </c>
      <c r="B151" s="29" t="s">
        <v>60</v>
      </c>
      <c r="C151" s="29" t="s">
        <v>61</v>
      </c>
      <c r="D151" s="29" t="s">
        <v>62</v>
      </c>
      <c r="E151" s="29" t="s">
        <v>62</v>
      </c>
      <c r="F151" s="30" cm="1">
        <f t="array" ref="F151">_xlfn.IFS($G151=$G$5,F$5,$G151=$G$6,F$6,$G151=$G$7,F$7,$G151=$G$8,F$8,$G151=$G$9,F$9,$G151=$G$10,F$10,$G151=$G$11,F$11,$G151=$G$13,F$13,$G151=$G$15,F$15,$G151=$G$16,F$16,$G151=$G$33,F$33,$G151=$G$34,F$34,$G151=$G$248,F$248,$G151=$G$250,F$250)</f>
        <v>8040</v>
      </c>
      <c r="G151" s="29" t="s">
        <v>83</v>
      </c>
      <c r="H151" s="31" cm="1">
        <f t="array" ref="H151">_xlfn.IFS($G151=$G$5,H$5,$G151=$G$6,H$6,$G151=$G$7,H$7,$G151=$G$8,H$8,$G151=$G$9,H$9,$G151=$G$10,H$10,$G151=$G$11,H$11,$G151=$G$13,H$13,$G151=$G$15,H$15,$G151=$G$16,H$16,$G151=$G$33,H$33,$G151=$G$34,H$34,$G151=$G$248,H$248,$G151=$G$250,H$250)</f>
        <v>41.343685000000001</v>
      </c>
      <c r="I151" s="31" cm="1">
        <f t="array" ref="I151">_xlfn.IFS($G151=$G$5,I$5,$G151=$G$6,I$6,$G151=$G$7,I$7,$G151=$G$8,I$8,$G151=$G$9,I$9,$G151=$G$10,I$10,$G151=$G$11,I$11,$G151=$G$13,I$13,$G151=$G$15,I$15,$G151=$G$16,I$16,$G151=$G$33,I$33,$G151=$G$34,I$34,$G151=$G$248,I$248,$G151=$G$250,I$250)</f>
        <v>2.1441490000000001</v>
      </c>
      <c r="J151" s="29" cm="1">
        <f t="array" ref="J151">_xlfn.IFS($G151=$G$5,J$5,$G151=$G$6,J$6,$G151=$G$7,J$7,$G151=$G$8,J$8,$G151=$G$9,J$9,$G151=$G$10,J$10,$G151=$G$11,J$11,$G151=$G$13,J$13,$G151=$G$15,J$15,$G151=$G$16,J$16,$G151=$G$33,J$33,$G151=$G$34,J$34,$G151=$G$248,J$248,$G151=$G$250,J$250)</f>
        <v>4</v>
      </c>
      <c r="K151" s="29" t="str" cm="1">
        <f t="array" ref="K151">_xlfn.IFS($G151=$G$5,K$5,$G151=$G$6,K$6,$G151=$G$7,K$7,$G151=$G$8,K$8,$G151=$G$9,K$9,$G151=$G$10,K$10,$G151=$G$11,K$11,$G151=$G$13,K$13,$G151=$G$15,K$15,$G151=$G$16,K$16,$G151=$G$33,K$33,$G151=$G$34,K$34,$G151=$G$248,K$248,$G151=$G$250,K$250)</f>
        <v>BG sentinel + BG lure7</v>
      </c>
      <c r="L151" s="29" t="str" cm="1">
        <f t="array" ref="L151">_xlfn.IFS($G151=$G$5,L$5,$G151=$G$6,L$6,$G151=$G$7,L$7,$G151=$G$8,L$8,$G151=$G$9,L$9,$G151=$G$10,L$10,$G151=$G$11,L$11,$G151=$G$13,L$13,$G151=$G$15,L$15,$G151=$G$16,L$16,$G151=$G$33,L$33,$G151=$G$34,L$34,$G151=$G$248,L$248,$G151=$G$250,L$250)</f>
        <v>Urban habitat</v>
      </c>
      <c r="O151" s="32" t="str">
        <f t="shared" si="10"/>
        <v>A_SP_BCN_10_200909</v>
      </c>
      <c r="P151" s="33">
        <v>44083</v>
      </c>
      <c r="Q151" s="34">
        <v>0.70833333333333337</v>
      </c>
      <c r="R151" s="35"/>
      <c r="S151" s="36">
        <v>44090</v>
      </c>
      <c r="T151" s="37">
        <v>0.50694444444444442</v>
      </c>
      <c r="U151" s="38"/>
      <c r="V151" s="39" t="s">
        <v>66</v>
      </c>
      <c r="X151" s="29">
        <f t="shared" si="9"/>
        <v>7</v>
      </c>
      <c r="Y151" s="38"/>
      <c r="Z151" s="29" t="s">
        <v>68</v>
      </c>
      <c r="AA151" s="29">
        <f t="shared" si="8"/>
        <v>8</v>
      </c>
      <c r="AB151" s="29" t="s">
        <v>69</v>
      </c>
      <c r="AC151" s="29">
        <v>3</v>
      </c>
      <c r="AD151" s="29">
        <v>5</v>
      </c>
      <c r="AE151" s="29" t="s">
        <v>70</v>
      </c>
      <c r="AF151">
        <v>4</v>
      </c>
    </row>
    <row r="152" spans="1:32" x14ac:dyDescent="0.25">
      <c r="A152" s="28">
        <v>148</v>
      </c>
      <c r="B152" s="29" t="s">
        <v>60</v>
      </c>
      <c r="C152" s="29" t="s">
        <v>61</v>
      </c>
      <c r="D152" s="29" t="s">
        <v>62</v>
      </c>
      <c r="E152" s="29" t="s">
        <v>62</v>
      </c>
      <c r="F152" s="30" cm="1">
        <f t="array" ref="F152">_xlfn.IFS($G152=$G$5,F$5,$G152=$G$6,F$6,$G152=$G$7,F$7,$G152=$G$8,F$8,$G152=$G$9,F$9,$G152=$G$10,F$10,$G152=$G$11,F$11,$G152=$G$13,F$13,$G152=$G$15,F$15,$G152=$G$16,F$16,$G152=$G$33,F$33,$G152=$G$34,F$34,$G152=$G$248,F$248,$G152=$G$250,F$250)</f>
        <v>8038</v>
      </c>
      <c r="G152" s="29" t="s">
        <v>85</v>
      </c>
      <c r="H152" s="31" cm="1">
        <f t="array" ref="H152">_xlfn.IFS($G152=$G$5,H$5,$G152=$G$6,H$6,$G152=$G$7,H$7,$G152=$G$8,H$8,$G152=$G$9,H$9,$G152=$G$10,H$10,$G152=$G$11,H$11,$G152=$G$13,H$13,$G152=$G$15,H$15,$G152=$G$16,H$16,$G152=$G$33,H$33,$G152=$G$34,H$34,$G152=$G$248,H$248,$G152=$G$250,H$250)</f>
        <v>41.367429999999999</v>
      </c>
      <c r="I152" s="31" cm="1">
        <f t="array" ref="I152">_xlfn.IFS($G152=$G$5,I$5,$G152=$G$6,I$6,$G152=$G$7,I$7,$G152=$G$8,I$8,$G152=$G$9,I$9,$G152=$G$10,I$10,$G152=$G$11,I$11,$G152=$G$13,I$13,$G152=$G$15,I$15,$G152=$G$16,I$16,$G152=$G$33,I$33,$G152=$G$34,I$34,$G152=$G$248,I$248,$G152=$G$250,I$250)</f>
        <v>2.1569609999999999</v>
      </c>
      <c r="J152" s="29" cm="1">
        <f t="array" ref="J152">_xlfn.IFS($G152=$G$5,J$5,$G152=$G$6,J$6,$G152=$G$7,J$7,$G152=$G$8,J$8,$G152=$G$9,J$9,$G152=$G$10,J$10,$G152=$G$11,J$11,$G152=$G$13,J$13,$G152=$G$15,J$15,$G152=$G$16,J$16,$G152=$G$33,J$33,$G152=$G$34,J$34,$G152=$G$248,J$248,$G152=$G$250,J$250)</f>
        <v>91</v>
      </c>
      <c r="K152" s="29" t="str" cm="1">
        <f t="array" ref="K152">_xlfn.IFS($G152=$G$5,K$5,$G152=$G$6,K$6,$G152=$G$7,K$7,$G152=$G$8,K$8,$G152=$G$9,K$9,$G152=$G$10,K$10,$G152=$G$11,K$11,$G152=$G$13,K$13,$G152=$G$15,K$15,$G152=$G$16,K$16,$G152=$G$33,K$33,$G152=$G$34,K$34,$G152=$G$248,K$248,$G152=$G$250,K$250)</f>
        <v>BG sentinel + BG lure7</v>
      </c>
      <c r="L152" s="29" t="str" cm="1">
        <f t="array" ref="L152">_xlfn.IFS($G152=$G$5,L$5,$G152=$G$6,L$6,$G152=$G$7,L$7,$G152=$G$8,L$8,$G152=$G$9,L$9,$G152=$G$10,L$10,$G152=$G$11,L$11,$G152=$G$13,L$13,$G152=$G$15,L$15,$G152=$G$16,L$16,$G152=$G$33,L$33,$G152=$G$34,L$34,$G152=$G$248,L$248,$G152=$G$250,L$250)</f>
        <v>Other</v>
      </c>
      <c r="O152" s="32" t="str">
        <f t="shared" si="10"/>
        <v>A_SP_BCN_11_200909</v>
      </c>
      <c r="P152" s="33">
        <v>44083</v>
      </c>
      <c r="Q152" s="34">
        <v>0.72916666666666663</v>
      </c>
      <c r="R152" s="35"/>
      <c r="S152" s="36">
        <v>44090</v>
      </c>
      <c r="T152" s="37">
        <v>0.53125</v>
      </c>
      <c r="U152" s="38"/>
      <c r="V152" s="39" t="s">
        <v>66</v>
      </c>
      <c r="X152" s="29">
        <f t="shared" si="9"/>
        <v>7</v>
      </c>
      <c r="Y152" s="38"/>
      <c r="Z152" s="29" t="s">
        <v>68</v>
      </c>
      <c r="AA152" s="29">
        <f t="shared" si="8"/>
        <v>62</v>
      </c>
      <c r="AB152" s="29" t="s">
        <v>69</v>
      </c>
      <c r="AC152" s="29">
        <v>42</v>
      </c>
      <c r="AD152" s="29">
        <v>20</v>
      </c>
      <c r="AE152" s="29" t="s">
        <v>70</v>
      </c>
      <c r="AF152">
        <v>4</v>
      </c>
    </row>
    <row r="153" spans="1:32" x14ac:dyDescent="0.25">
      <c r="A153" s="28">
        <v>149</v>
      </c>
      <c r="B153" s="29" t="s">
        <v>60</v>
      </c>
      <c r="C153" s="29" t="s">
        <v>61</v>
      </c>
      <c r="D153" s="29" t="s">
        <v>62</v>
      </c>
      <c r="E153" s="29" t="s">
        <v>62</v>
      </c>
      <c r="F153" s="30" cm="1">
        <f t="array" ref="F153">_xlfn.IFS($G153=$G$5,F$5,$G153=$G$6,F$6,$G153=$G$7,F$7,$G153=$G$8,F$8,$G153=$G$9,F$9,$G153=$G$10,F$10,$G153=$G$11,F$11,$G153=$G$13,F$13,$G153=$G$15,F$15,$G153=$G$16,F$16,$G153=$G$33,F$33,$G153=$G$34,F$34,$G153=$G$248,F$248,$G153=$G$250,F$250)</f>
        <v>8038</v>
      </c>
      <c r="G153" s="29" t="s">
        <v>86</v>
      </c>
      <c r="H153" s="31" cm="1">
        <f t="array" ref="H153">_xlfn.IFS($G153=$G$5,H$5,$G153=$G$6,H$6,$G153=$G$7,H$7,$G153=$G$8,H$8,$G153=$G$9,H$9,$G153=$G$10,H$10,$G153=$G$11,H$11,$G153=$G$13,H$13,$G153=$G$15,H$15,$G153=$G$16,H$16,$G153=$G$33,H$33,$G153=$G$34,H$34,$G153=$G$248,H$248,$G153=$G$250,H$250)</f>
        <v>41.363377999999997</v>
      </c>
      <c r="I153" s="31" cm="1">
        <f t="array" ref="I153">_xlfn.IFS($G153=$G$5,I$5,$G153=$G$6,I$6,$G153=$G$7,I$7,$G153=$G$8,I$8,$G153=$G$9,I$9,$G153=$G$10,I$10,$G153=$G$11,I$11,$G153=$G$13,I$13,$G153=$G$15,I$15,$G153=$G$16,I$16,$G153=$G$33,I$33,$G153=$G$34,I$34,$G153=$G$248,I$248,$G153=$G$250,I$250)</f>
        <v>2.164879</v>
      </c>
      <c r="J153" s="29" cm="1">
        <f t="array" ref="J153">_xlfn.IFS($G153=$G$5,J$5,$G153=$G$6,J$6,$G153=$G$7,J$7,$G153=$G$8,J$8,$G153=$G$9,J$9,$G153=$G$10,J$10,$G153=$G$11,J$11,$G153=$G$13,J$13,$G153=$G$15,J$15,$G153=$G$16,J$16,$G153=$G$33,J$33,$G153=$G$34,J$34,$G153=$G$248,J$248,$G153=$G$250,J$250)</f>
        <v>185</v>
      </c>
      <c r="K153" s="29" t="str" cm="1">
        <f t="array" ref="K153">_xlfn.IFS($G153=$G$5,K$5,$G153=$G$6,K$6,$G153=$G$7,K$7,$G153=$G$8,K$8,$G153=$G$9,K$9,$G153=$G$10,K$10,$G153=$G$11,K$11,$G153=$G$13,K$13,$G153=$G$15,K$15,$G153=$G$16,K$16,$G153=$G$33,K$33,$G153=$G$34,K$34,$G153=$G$248,K$248,$G153=$G$250,K$250)</f>
        <v>BG sentinel + BG lure7</v>
      </c>
      <c r="L153" s="29" t="str" cm="1">
        <f t="array" ref="L153">_xlfn.IFS($G153=$G$5,L$5,$G153=$G$6,L$6,$G153=$G$7,L$7,$G153=$G$8,L$8,$G153=$G$9,L$9,$G153=$G$10,L$10,$G153=$G$11,L$11,$G153=$G$13,L$13,$G153=$G$15,L$15,$G153=$G$16,L$16,$G153=$G$33,L$33,$G153=$G$34,L$34,$G153=$G$248,L$248,$G153=$G$250,L$250)</f>
        <v>Other</v>
      </c>
      <c r="O153" s="32" t="str">
        <f t="shared" si="10"/>
        <v>A_SP_BCN_12_200909</v>
      </c>
      <c r="P153" s="33">
        <v>44083</v>
      </c>
      <c r="Q153" s="34">
        <v>0.76388888888888884</v>
      </c>
      <c r="R153" s="35"/>
      <c r="S153" s="36">
        <v>44090</v>
      </c>
      <c r="T153" s="37">
        <v>0.54166666666666663</v>
      </c>
      <c r="U153" s="38"/>
      <c r="V153" s="39" t="s">
        <v>66</v>
      </c>
      <c r="X153" s="29">
        <f t="shared" si="9"/>
        <v>7</v>
      </c>
      <c r="Y153" s="38"/>
      <c r="Z153" s="29" t="s">
        <v>68</v>
      </c>
      <c r="AA153" s="29">
        <f t="shared" si="8"/>
        <v>11</v>
      </c>
      <c r="AB153" s="29" t="s">
        <v>69</v>
      </c>
      <c r="AC153" s="29">
        <v>9</v>
      </c>
      <c r="AD153" s="29">
        <v>2</v>
      </c>
      <c r="AE153" s="29" t="s">
        <v>70</v>
      </c>
      <c r="AF153">
        <v>4</v>
      </c>
    </row>
    <row r="154" spans="1:32" x14ac:dyDescent="0.25">
      <c r="A154" s="28">
        <v>150</v>
      </c>
      <c r="B154" s="29" t="s">
        <v>60</v>
      </c>
      <c r="C154" s="29" t="s">
        <v>61</v>
      </c>
      <c r="D154" s="29" t="s">
        <v>62</v>
      </c>
      <c r="E154" s="29" t="s">
        <v>62</v>
      </c>
      <c r="F154" s="30" cm="1">
        <f t="array" ref="F154">_xlfn.IFS($G154=$G$5,F$5,$G154=$G$6,F$6,$G154=$G$7,F$7,$G154=$G$8,F$8,$G154=$G$9,F$9,$G154=$G$10,F$10,$G154=$G$11,F$11,$G154=$G$13,F$13,$G154=$G$15,F$15,$G154=$G$16,F$16,$G154=$G$33,F$33,$G154=$G$34,F$34,$G154=$G$248,F$248,$G154=$G$250,F$250)</f>
        <v>8038</v>
      </c>
      <c r="G154" s="29" t="s">
        <v>86</v>
      </c>
      <c r="H154" s="31" cm="1">
        <f t="array" ref="H154">_xlfn.IFS($G154=$G$5,H$5,$G154=$G$6,H$6,$G154=$G$7,H$7,$G154=$G$8,H$8,$G154=$G$9,H$9,$G154=$G$10,H$10,$G154=$G$11,H$11,$G154=$G$13,H$13,$G154=$G$15,H$15,$G154=$G$16,H$16,$G154=$G$33,H$33,$G154=$G$34,H$34,$G154=$G$248,H$248,$G154=$G$250,H$250)</f>
        <v>41.363377999999997</v>
      </c>
      <c r="I154" s="31" cm="1">
        <f t="array" ref="I154">_xlfn.IFS($G154=$G$5,I$5,$G154=$G$6,I$6,$G154=$G$7,I$7,$G154=$G$8,I$8,$G154=$G$9,I$9,$G154=$G$10,I$10,$G154=$G$11,I$11,$G154=$G$13,I$13,$G154=$G$15,I$15,$G154=$G$16,I$16,$G154=$G$33,I$33,$G154=$G$34,I$34,$G154=$G$248,I$248,$G154=$G$250,I$250)</f>
        <v>2.164879</v>
      </c>
      <c r="J154" s="29" cm="1">
        <f t="array" ref="J154">_xlfn.IFS($G154=$G$5,J$5,$G154=$G$6,J$6,$G154=$G$7,J$7,$G154=$G$8,J$8,$G154=$G$9,J$9,$G154=$G$10,J$10,$G154=$G$11,J$11,$G154=$G$13,J$13,$G154=$G$15,J$15,$G154=$G$16,J$16,$G154=$G$33,J$33,$G154=$G$34,J$34,$G154=$G$248,J$248,$G154=$G$250,J$250)</f>
        <v>185</v>
      </c>
      <c r="K154" s="29" t="str" cm="1">
        <f t="array" ref="K154">_xlfn.IFS($G154=$G$5,K$5,$G154=$G$6,K$6,$G154=$G$7,K$7,$G154=$G$8,K$8,$G154=$G$9,K$9,$G154=$G$10,K$10,$G154=$G$11,K$11,$G154=$G$13,K$13,$G154=$G$15,K$15,$G154=$G$16,K$16,$G154=$G$33,K$33,$G154=$G$34,K$34,$G154=$G$248,K$248,$G154=$G$250,K$250)</f>
        <v>BG sentinel + BG lure7</v>
      </c>
      <c r="L154" s="29" t="str" cm="1">
        <f t="array" ref="L154">_xlfn.IFS($G154=$G$5,L$5,$G154=$G$6,L$6,$G154=$G$7,L$7,$G154=$G$8,L$8,$G154=$G$9,L$9,$G154=$G$10,L$10,$G154=$G$11,L$11,$G154=$G$13,L$13,$G154=$G$15,L$15,$G154=$G$16,L$16,$G154=$G$33,L$33,$G154=$G$34,L$34,$G154=$G$248,L$248,$G154=$G$250,L$250)</f>
        <v>Other</v>
      </c>
      <c r="O154" s="32" t="str">
        <f t="shared" si="10"/>
        <v>A_SP_BCN_12_200909</v>
      </c>
      <c r="P154" s="33">
        <v>44083</v>
      </c>
      <c r="Q154" s="34">
        <v>0.76388888888888884</v>
      </c>
      <c r="R154" s="35"/>
      <c r="S154" s="36">
        <v>44090</v>
      </c>
      <c r="T154" s="37">
        <v>0.54166666666666663</v>
      </c>
      <c r="U154" s="38"/>
      <c r="V154" s="39" t="s">
        <v>66</v>
      </c>
      <c r="X154" s="29">
        <f t="shared" si="9"/>
        <v>7</v>
      </c>
      <c r="Y154" s="38"/>
      <c r="Z154" s="29" t="s">
        <v>75</v>
      </c>
      <c r="AA154" s="29">
        <f t="shared" si="8"/>
        <v>64</v>
      </c>
      <c r="AB154" s="29" t="s">
        <v>69</v>
      </c>
      <c r="AC154" s="29">
        <v>60</v>
      </c>
      <c r="AD154" s="29">
        <v>4</v>
      </c>
      <c r="AE154" s="29" t="s">
        <v>70</v>
      </c>
      <c r="AF154">
        <v>4</v>
      </c>
    </row>
    <row r="155" spans="1:32" x14ac:dyDescent="0.25">
      <c r="A155" s="28">
        <v>151</v>
      </c>
      <c r="B155" s="29" t="s">
        <v>60</v>
      </c>
      <c r="C155" s="29" t="s">
        <v>61</v>
      </c>
      <c r="D155" s="29" t="s">
        <v>62</v>
      </c>
      <c r="E155" s="29" t="s">
        <v>62</v>
      </c>
      <c r="F155" s="30" cm="1">
        <f t="array" ref="F155">_xlfn.IFS($G155=$G$5,F$5,$G155=$G$6,F$6,$G155=$G$7,F$7,$G155=$G$8,F$8,$G155=$G$9,F$9,$G155=$G$10,F$10,$G155=$G$11,F$11,$G155=$G$13,F$13,$G155=$G$15,F$15,$G155=$G$16,F$16,$G155=$G$33,F$33,$G155=$G$34,F$34,$G155=$G$248,F$248,$G155=$G$250,F$250)</f>
        <v>8038</v>
      </c>
      <c r="G155" s="29" t="s">
        <v>86</v>
      </c>
      <c r="H155" s="31" cm="1">
        <f t="array" ref="H155">_xlfn.IFS($G155=$G$5,H$5,$G155=$G$6,H$6,$G155=$G$7,H$7,$G155=$G$8,H$8,$G155=$G$9,H$9,$G155=$G$10,H$10,$G155=$G$11,H$11,$G155=$G$13,H$13,$G155=$G$15,H$15,$G155=$G$16,H$16,$G155=$G$33,H$33,$G155=$G$34,H$34,$G155=$G$248,H$248,$G155=$G$250,H$250)</f>
        <v>41.363377999999997</v>
      </c>
      <c r="I155" s="31" cm="1">
        <f t="array" ref="I155">_xlfn.IFS($G155=$G$5,I$5,$G155=$G$6,I$6,$G155=$G$7,I$7,$G155=$G$8,I$8,$G155=$G$9,I$9,$G155=$G$10,I$10,$G155=$G$11,I$11,$G155=$G$13,I$13,$G155=$G$15,I$15,$G155=$G$16,I$16,$G155=$G$33,I$33,$G155=$G$34,I$34,$G155=$G$248,I$248,$G155=$G$250,I$250)</f>
        <v>2.164879</v>
      </c>
      <c r="J155" s="29" cm="1">
        <f t="array" ref="J155">_xlfn.IFS($G155=$G$5,J$5,$G155=$G$6,J$6,$G155=$G$7,J$7,$G155=$G$8,J$8,$G155=$G$9,J$9,$G155=$G$10,J$10,$G155=$G$11,J$11,$G155=$G$13,J$13,$G155=$G$15,J$15,$G155=$G$16,J$16,$G155=$G$33,J$33,$G155=$G$34,J$34,$G155=$G$248,J$248,$G155=$G$250,J$250)</f>
        <v>185</v>
      </c>
      <c r="K155" s="29" t="str" cm="1">
        <f t="array" ref="K155">_xlfn.IFS($G155=$G$5,K$5,$G155=$G$6,K$6,$G155=$G$7,K$7,$G155=$G$8,K$8,$G155=$G$9,K$9,$G155=$G$10,K$10,$G155=$G$11,K$11,$G155=$G$13,K$13,$G155=$G$15,K$15,$G155=$G$16,K$16,$G155=$G$33,K$33,$G155=$G$34,K$34,$G155=$G$248,K$248,$G155=$G$250,K$250)</f>
        <v>BG sentinel + BG lure7</v>
      </c>
      <c r="L155" s="29" t="str" cm="1">
        <f t="array" ref="L155">_xlfn.IFS($G155=$G$5,L$5,$G155=$G$6,L$6,$G155=$G$7,L$7,$G155=$G$8,L$8,$G155=$G$9,L$9,$G155=$G$10,L$10,$G155=$G$11,L$11,$G155=$G$13,L$13,$G155=$G$15,L$15,$G155=$G$16,L$16,$G155=$G$33,L$33,$G155=$G$34,L$34,$G155=$G$248,L$248,$G155=$G$250,L$250)</f>
        <v>Other</v>
      </c>
      <c r="O155" s="32" t="str">
        <f t="shared" si="10"/>
        <v>A_SP_BCN_12_200909</v>
      </c>
      <c r="P155" s="33">
        <v>44083</v>
      </c>
      <c r="Q155" s="34">
        <v>0.76388888888888884</v>
      </c>
      <c r="R155" s="35"/>
      <c r="S155" s="36">
        <v>44090</v>
      </c>
      <c r="T155" s="37">
        <v>0.54166666666666663</v>
      </c>
      <c r="U155" s="38"/>
      <c r="V155" s="39" t="s">
        <v>66</v>
      </c>
      <c r="X155" s="29">
        <f t="shared" si="9"/>
        <v>7</v>
      </c>
      <c r="Y155" s="38"/>
      <c r="Z155" s="29" t="s">
        <v>84</v>
      </c>
      <c r="AA155" s="29">
        <f t="shared" si="8"/>
        <v>1</v>
      </c>
      <c r="AB155" s="29" t="s">
        <v>69</v>
      </c>
      <c r="AC155" s="29">
        <v>1</v>
      </c>
      <c r="AD155" s="29">
        <v>0</v>
      </c>
      <c r="AE155" s="29" t="s">
        <v>70</v>
      </c>
      <c r="AF155">
        <v>4</v>
      </c>
    </row>
    <row r="156" spans="1:32" x14ac:dyDescent="0.25">
      <c r="A156" s="28">
        <v>152</v>
      </c>
      <c r="B156" s="29" t="s">
        <v>60</v>
      </c>
      <c r="C156" s="29" t="s">
        <v>61</v>
      </c>
      <c r="D156" s="29" t="s">
        <v>62</v>
      </c>
      <c r="E156" s="29" t="s">
        <v>62</v>
      </c>
      <c r="F156" s="30" cm="1">
        <f t="array" ref="F156">_xlfn.IFS($G156=$G$5,F$5,$G156=$G$6,F$6,$G156=$G$7,F$7,$G156=$G$8,F$8,$G156=$G$9,F$9,$G156=$G$10,F$10,$G156=$G$11,F$11,$G156=$G$13,F$13,$G156=$G$15,F$15,$G156=$G$16,F$16,$G156=$G$33,F$33,$G156=$G$34,F$34,$G156=$G$248,F$248,$G156=$G$250,F$250)</f>
        <v>8024</v>
      </c>
      <c r="G156" s="29" t="s">
        <v>63</v>
      </c>
      <c r="H156" s="31" cm="1">
        <f t="array" ref="H156">_xlfn.IFS($G156=$G$5,H$5,$G156=$G$6,H$6,$G156=$G$7,H$7,$G156=$G$8,H$8,$G156=$G$9,H$9,$G156=$G$10,H$10,$G156=$G$11,H$11,$G156=$G$13,H$13,$G156=$G$15,H$15,$G156=$G$16,H$16,$G156=$G$33,H$33,$G156=$G$34,H$34,$G156=$G$248,H$248,$G156=$G$250,H$250)</f>
        <v>41.413573999999997</v>
      </c>
      <c r="I156" s="31" cm="1">
        <f t="array" ref="I156">_xlfn.IFS($G156=$G$5,I$5,$G156=$G$6,I$6,$G156=$G$7,I$7,$G156=$G$8,I$8,$G156=$G$9,I$9,$G156=$G$10,I$10,$G156=$G$11,I$11,$G156=$G$13,I$13,$G156=$G$15,I$15,$G156=$G$16,I$16,$G156=$G$33,I$33,$G156=$G$34,I$34,$G156=$G$248,I$248,$G156=$G$250,I$250)</f>
        <v>2.1520730000000001</v>
      </c>
      <c r="J156" s="29" cm="1">
        <f t="array" ref="J156">_xlfn.IFS($G156=$G$5,J$5,$G156=$G$6,J$6,$G156=$G$7,J$7,$G156=$G$8,J$8,$G156=$G$9,J$9,$G156=$G$10,J$10,$G156=$G$11,J$11,$G156=$G$13,J$13,$G156=$G$15,J$15,$G156=$G$16,J$16,$G156=$G$33,J$33,$G156=$G$34,J$34,$G156=$G$248,J$248,$G156=$G$250,J$250)</f>
        <v>141</v>
      </c>
      <c r="K156" s="29" t="str" cm="1">
        <f t="array" ref="K156">_xlfn.IFS($G156=$G$5,K$5,$G156=$G$6,K$6,$G156=$G$7,K$7,$G156=$G$8,K$8,$G156=$G$9,K$9,$G156=$G$10,K$10,$G156=$G$11,K$11,$G156=$G$13,K$13,$G156=$G$15,K$15,$G156=$G$16,K$16,$G156=$G$33,K$33,$G156=$G$34,K$34,$G156=$G$248,K$248,$G156=$G$250,K$250)</f>
        <v>BG sentinel + BG lure7</v>
      </c>
      <c r="L156" s="29" t="str" cm="1">
        <f t="array" ref="L156">_xlfn.IFS($G156=$G$5,L$5,$G156=$G$6,L$6,$G156=$G$7,L$7,$G156=$G$8,L$8,$G156=$G$9,L$9,$G156=$G$10,L$10,$G156=$G$11,L$11,$G156=$G$13,L$13,$G156=$G$15,L$15,$G156=$G$16,L$16,$G156=$G$33,L$33,$G156=$G$34,L$34,$G156=$G$248,L$248,$G156=$G$250,L$250)</f>
        <v>Urban habitat</v>
      </c>
      <c r="O156" s="32" t="str">
        <f t="shared" si="10"/>
        <v>A_SP_BCN_1_200916</v>
      </c>
      <c r="P156" s="33">
        <v>44090</v>
      </c>
      <c r="Q156" s="34">
        <v>0.70833333333333337</v>
      </c>
      <c r="R156" s="35"/>
      <c r="S156" s="36">
        <v>44097</v>
      </c>
      <c r="T156" s="37">
        <v>0.67708333333333337</v>
      </c>
      <c r="U156" s="38"/>
      <c r="V156" s="39" t="s">
        <v>66</v>
      </c>
      <c r="X156" s="29">
        <f t="shared" si="9"/>
        <v>7</v>
      </c>
      <c r="Y156" s="38"/>
      <c r="Z156" s="29" t="s">
        <v>68</v>
      </c>
      <c r="AA156" s="29">
        <f t="shared" si="8"/>
        <v>2</v>
      </c>
      <c r="AB156" s="29" t="s">
        <v>69</v>
      </c>
      <c r="AC156" s="29">
        <v>1</v>
      </c>
      <c r="AD156" s="29">
        <v>1</v>
      </c>
      <c r="AE156" s="29" t="s">
        <v>70</v>
      </c>
      <c r="AF156">
        <v>4</v>
      </c>
    </row>
    <row r="157" spans="1:32" x14ac:dyDescent="0.25">
      <c r="A157" s="28">
        <v>153</v>
      </c>
      <c r="B157" s="29" t="s">
        <v>60</v>
      </c>
      <c r="C157" s="29" t="s">
        <v>61</v>
      </c>
      <c r="D157" s="29" t="s">
        <v>62</v>
      </c>
      <c r="E157" s="29" t="s">
        <v>62</v>
      </c>
      <c r="F157" s="30" cm="1">
        <f t="array" ref="F157">_xlfn.IFS($G157=$G$5,F$5,$G157=$G$6,F$6,$G157=$G$7,F$7,$G157=$G$8,F$8,$G157=$G$9,F$9,$G157=$G$10,F$10,$G157=$G$11,F$11,$G157=$G$13,F$13,$G157=$G$15,F$15,$G157=$G$16,F$16,$G157=$G$33,F$33,$G157=$G$34,F$34,$G157=$G$248,F$248,$G157=$G$250,F$250)</f>
        <v>8035</v>
      </c>
      <c r="G157" s="29" t="s">
        <v>71</v>
      </c>
      <c r="H157" s="31" cm="1">
        <f t="array" ref="H157">_xlfn.IFS($G157=$G$5,H$5,$G157=$G$6,H$6,$G157=$G$7,H$7,$G157=$G$8,H$8,$G157=$G$9,H$9,$G157=$G$10,H$10,$G157=$G$11,H$11,$G157=$G$13,H$13,$G157=$G$15,H$15,$G157=$G$16,H$16,$G157=$G$33,H$33,$G157=$G$34,H$34,$G157=$G$248,H$248,$G157=$G$250,H$250)</f>
        <v>41.424387000000003</v>
      </c>
      <c r="I157" s="31" cm="1">
        <f t="array" ref="I157">_xlfn.IFS($G157=$G$5,I$5,$G157=$G$6,I$6,$G157=$G$7,I$7,$G157=$G$8,I$8,$G157=$G$9,I$9,$G157=$G$10,I$10,$G157=$G$11,I$11,$G157=$G$13,I$13,$G157=$G$15,I$15,$G157=$G$16,I$16,$G157=$G$33,I$33,$G157=$G$34,I$34,$G157=$G$248,I$248,$G157=$G$250,I$250)</f>
        <v>2.1431439999999999</v>
      </c>
      <c r="J157" s="29" cm="1">
        <f t="array" ref="J157">_xlfn.IFS($G157=$G$5,J$5,$G157=$G$6,J$6,$G157=$G$7,J$7,$G157=$G$8,J$8,$G157=$G$9,J$9,$G157=$G$10,J$10,$G157=$G$11,J$11,$G157=$G$13,J$13,$G157=$G$15,J$15,$G157=$G$16,J$16,$G157=$G$33,J$33,$G157=$G$34,J$34,$G157=$G$248,J$248,$G157=$G$250,J$250)</f>
        <v>160</v>
      </c>
      <c r="K157" s="29" t="str" cm="1">
        <f t="array" ref="K157">_xlfn.IFS($G157=$G$5,K$5,$G157=$G$6,K$6,$G157=$G$7,K$7,$G157=$G$8,K$8,$G157=$G$9,K$9,$G157=$G$10,K$10,$G157=$G$11,K$11,$G157=$G$13,K$13,$G157=$G$15,K$15,$G157=$G$16,K$16,$G157=$G$33,K$33,$G157=$G$34,K$34,$G157=$G$248,K$248,$G157=$G$250,K$250)</f>
        <v>BG sentinel + BG lure7</v>
      </c>
      <c r="L157" s="29" t="str" cm="1">
        <f t="array" ref="L157">_xlfn.IFS($G157=$G$5,L$5,$G157=$G$6,L$6,$G157=$G$7,L$7,$G157=$G$8,L$8,$G157=$G$9,L$9,$G157=$G$10,L$10,$G157=$G$11,L$11,$G157=$G$13,L$13,$G157=$G$15,L$15,$G157=$G$16,L$16,$G157=$G$33,L$33,$G157=$G$34,L$34,$G157=$G$248,L$248,$G157=$G$250,L$250)</f>
        <v>Urban habitat</v>
      </c>
      <c r="O157" s="32" t="str">
        <f t="shared" si="10"/>
        <v>A_SP_BCN_2_200916</v>
      </c>
      <c r="P157" s="33">
        <v>44090</v>
      </c>
      <c r="Q157" s="34">
        <v>0.6875</v>
      </c>
      <c r="R157" s="35"/>
      <c r="S157" s="36">
        <v>44097</v>
      </c>
      <c r="T157" s="37">
        <v>0.69791666666666663</v>
      </c>
      <c r="U157" s="38"/>
      <c r="V157" s="39" t="s">
        <v>66</v>
      </c>
      <c r="X157" s="29">
        <f t="shared" si="9"/>
        <v>7</v>
      </c>
      <c r="Y157" s="38"/>
      <c r="Z157" s="29" t="s">
        <v>68</v>
      </c>
      <c r="AA157" s="29">
        <f t="shared" si="8"/>
        <v>7</v>
      </c>
      <c r="AB157" s="29" t="s">
        <v>69</v>
      </c>
      <c r="AC157" s="29">
        <v>5</v>
      </c>
      <c r="AD157" s="29">
        <v>2</v>
      </c>
      <c r="AE157" s="29" t="s">
        <v>70</v>
      </c>
      <c r="AF157">
        <v>4</v>
      </c>
    </row>
    <row r="158" spans="1:32" x14ac:dyDescent="0.25">
      <c r="A158" s="28">
        <v>154</v>
      </c>
      <c r="B158" s="29" t="s">
        <v>60</v>
      </c>
      <c r="C158" s="29" t="s">
        <v>61</v>
      </c>
      <c r="D158" s="29" t="s">
        <v>62</v>
      </c>
      <c r="E158" s="29" t="s">
        <v>62</v>
      </c>
      <c r="F158" s="30" cm="1">
        <f t="array" ref="F158">_xlfn.IFS($G158=$G$5,F$5,$G158=$G$6,F$6,$G158=$G$7,F$7,$G158=$G$8,F$8,$G158=$G$9,F$9,$G158=$G$10,F$10,$G158=$G$11,F$11,$G158=$G$13,F$13,$G158=$G$15,F$15,$G158=$G$16,F$16,$G158=$G$33,F$33,$G158=$G$34,F$34,$G158=$G$248,F$248,$G158=$G$250,F$250)</f>
        <v>8016</v>
      </c>
      <c r="G158" s="29" t="s">
        <v>72</v>
      </c>
      <c r="H158" s="31" cm="1">
        <f t="array" ref="H158">_xlfn.IFS($G158=$G$5,H$5,$G158=$G$6,H$6,$G158=$G$7,H$7,$G158=$G$8,H$8,$G158=$G$9,H$9,$G158=$G$10,H$10,$G158=$G$11,H$11,$G158=$G$13,H$13,$G158=$G$15,H$15,$G158=$G$16,H$16,$G158=$G$33,H$33,$G158=$G$34,H$34,$G158=$G$248,H$248,$G158=$G$250,H$250)</f>
        <v>41.437435000000001</v>
      </c>
      <c r="I158" s="31" cm="1">
        <f t="array" ref="I158">_xlfn.IFS($G158=$G$5,I$5,$G158=$G$6,I$6,$G158=$G$7,I$7,$G158=$G$8,I$8,$G158=$G$9,I$9,$G158=$G$10,I$10,$G158=$G$11,I$11,$G158=$G$13,I$13,$G158=$G$15,I$15,$G158=$G$16,I$16,$G158=$G$33,I$33,$G158=$G$34,I$34,$G158=$G$248,I$248,$G158=$G$250,I$250)</f>
        <v>2.1812779999999998</v>
      </c>
      <c r="J158" s="29" cm="1">
        <f t="array" ref="J158">_xlfn.IFS($G158=$G$5,J$5,$G158=$G$6,J$6,$G158=$G$7,J$7,$G158=$G$8,J$8,$G158=$G$9,J$9,$G158=$G$10,J$10,$G158=$G$11,J$11,$G158=$G$13,J$13,$G158=$G$15,J$15,$G158=$G$16,J$16,$G158=$G$33,J$33,$G158=$G$34,J$34,$G158=$G$248,J$248,$G158=$G$250,J$250)</f>
        <v>47</v>
      </c>
      <c r="K158" s="29" t="str" cm="1">
        <f t="array" ref="K158">_xlfn.IFS($G158=$G$5,K$5,$G158=$G$6,K$6,$G158=$G$7,K$7,$G158=$G$8,K$8,$G158=$G$9,K$9,$G158=$G$10,K$10,$G158=$G$11,K$11,$G158=$G$13,K$13,$G158=$G$15,K$15,$G158=$G$16,K$16,$G158=$G$33,K$33,$G158=$G$34,K$34,$G158=$G$248,K$248,$G158=$G$250,K$250)</f>
        <v>BG sentinel + BG lure7</v>
      </c>
      <c r="L158" s="29" t="str" cm="1">
        <f t="array" ref="L158">_xlfn.IFS($G158=$G$5,L$5,$G158=$G$6,L$6,$G158=$G$7,L$7,$G158=$G$8,L$8,$G158=$G$9,L$9,$G158=$G$10,L$10,$G158=$G$11,L$11,$G158=$G$13,L$13,$G158=$G$15,L$15,$G158=$G$16,L$16,$G158=$G$33,L$33,$G158=$G$34,L$34,$G158=$G$248,L$248,$G158=$G$250,L$250)</f>
        <v>Urban habitat</v>
      </c>
      <c r="O158" s="32" t="str">
        <f t="shared" si="10"/>
        <v>A_SP_BCN_3_200916</v>
      </c>
      <c r="P158" s="33">
        <v>44090</v>
      </c>
      <c r="Q158" s="34">
        <v>0.65972222222222221</v>
      </c>
      <c r="R158" s="35"/>
      <c r="S158" s="36">
        <v>44097</v>
      </c>
      <c r="T158" s="37">
        <v>0.72916666666666663</v>
      </c>
      <c r="U158" s="38"/>
      <c r="V158" s="39" t="s">
        <v>66</v>
      </c>
      <c r="W158" s="39" t="s">
        <v>101</v>
      </c>
      <c r="X158" s="29">
        <f t="shared" si="9"/>
        <v>7</v>
      </c>
      <c r="Y158" s="38"/>
      <c r="Z158" s="29" t="s">
        <v>68</v>
      </c>
      <c r="AA158" s="29">
        <f t="shared" si="8"/>
        <v>42</v>
      </c>
      <c r="AB158" s="29" t="s">
        <v>69</v>
      </c>
      <c r="AC158" s="29">
        <v>23</v>
      </c>
      <c r="AD158" s="29">
        <v>19</v>
      </c>
      <c r="AE158" s="29" t="s">
        <v>70</v>
      </c>
      <c r="AF158">
        <v>4</v>
      </c>
    </row>
    <row r="159" spans="1:32" x14ac:dyDescent="0.25">
      <c r="A159" s="28">
        <v>155</v>
      </c>
      <c r="B159" s="29" t="s">
        <v>60</v>
      </c>
      <c r="C159" s="29" t="s">
        <v>61</v>
      </c>
      <c r="D159" s="29" t="s">
        <v>62</v>
      </c>
      <c r="E159" s="29" t="s">
        <v>62</v>
      </c>
      <c r="F159" s="30" cm="1">
        <f t="array" ref="F159">_xlfn.IFS($G159=$G$5,F$5,$G159=$G$6,F$6,$G159=$G$7,F$7,$G159=$G$8,F$8,$G159=$G$9,F$9,$G159=$G$10,F$10,$G159=$G$11,F$11,$G159=$G$13,F$13,$G159=$G$15,F$15,$G159=$G$16,F$16,$G159=$G$33,F$33,$G159=$G$34,F$34,$G159=$G$248,F$248,$G159=$G$250,F$250)</f>
        <v>8016</v>
      </c>
      <c r="G159" s="29" t="s">
        <v>72</v>
      </c>
      <c r="H159" s="31" cm="1">
        <f t="array" ref="H159">_xlfn.IFS($G159=$G$5,H$5,$G159=$G$6,H$6,$G159=$G$7,H$7,$G159=$G$8,H$8,$G159=$G$9,H$9,$G159=$G$10,H$10,$G159=$G$11,H$11,$G159=$G$13,H$13,$G159=$G$15,H$15,$G159=$G$16,H$16,$G159=$G$33,H$33,$G159=$G$34,H$34,$G159=$G$248,H$248,$G159=$G$250,H$250)</f>
        <v>41.437435000000001</v>
      </c>
      <c r="I159" s="31" cm="1">
        <f t="array" ref="I159">_xlfn.IFS($G159=$G$5,I$5,$G159=$G$6,I$6,$G159=$G$7,I$7,$G159=$G$8,I$8,$G159=$G$9,I$9,$G159=$G$10,I$10,$G159=$G$11,I$11,$G159=$G$13,I$13,$G159=$G$15,I$15,$G159=$G$16,I$16,$G159=$G$33,I$33,$G159=$G$34,I$34,$G159=$G$248,I$248,$G159=$G$250,I$250)</f>
        <v>2.1812779999999998</v>
      </c>
      <c r="J159" s="29" cm="1">
        <f t="array" ref="J159">_xlfn.IFS($G159=$G$5,J$5,$G159=$G$6,J$6,$G159=$G$7,J$7,$G159=$G$8,J$8,$G159=$G$9,J$9,$G159=$G$10,J$10,$G159=$G$11,J$11,$G159=$G$13,J$13,$G159=$G$15,J$15,$G159=$G$16,J$16,$G159=$G$33,J$33,$G159=$G$34,J$34,$G159=$G$248,J$248,$G159=$G$250,J$250)</f>
        <v>47</v>
      </c>
      <c r="K159" s="29" t="str" cm="1">
        <f t="array" ref="K159">_xlfn.IFS($G159=$G$5,K$5,$G159=$G$6,K$6,$G159=$G$7,K$7,$G159=$G$8,K$8,$G159=$G$9,K$9,$G159=$G$10,K$10,$G159=$G$11,K$11,$G159=$G$13,K$13,$G159=$G$15,K$15,$G159=$G$16,K$16,$G159=$G$33,K$33,$G159=$G$34,K$34,$G159=$G$248,K$248,$G159=$G$250,K$250)</f>
        <v>BG sentinel + BG lure7</v>
      </c>
      <c r="L159" s="29" t="str" cm="1">
        <f t="array" ref="L159">_xlfn.IFS($G159=$G$5,L$5,$G159=$G$6,L$6,$G159=$G$7,L$7,$G159=$G$8,L$8,$G159=$G$9,L$9,$G159=$G$10,L$10,$G159=$G$11,L$11,$G159=$G$13,L$13,$G159=$G$15,L$15,$G159=$G$16,L$16,$G159=$G$33,L$33,$G159=$G$34,L$34,$G159=$G$248,L$248,$G159=$G$250,L$250)</f>
        <v>Urban habitat</v>
      </c>
      <c r="O159" s="32" t="str">
        <f t="shared" si="10"/>
        <v>A_SP_BCN_3_200916</v>
      </c>
      <c r="P159" s="33">
        <v>44090</v>
      </c>
      <c r="Q159" s="34">
        <v>0.65972222222222221</v>
      </c>
      <c r="R159" s="35"/>
      <c r="S159" s="36">
        <v>44097</v>
      </c>
      <c r="T159" s="37">
        <v>0.72916666666666663</v>
      </c>
      <c r="U159" s="38"/>
      <c r="V159" s="39" t="s">
        <v>66</v>
      </c>
      <c r="X159" s="29">
        <f t="shared" si="9"/>
        <v>7</v>
      </c>
      <c r="Y159" s="38"/>
      <c r="Z159" s="29" t="s">
        <v>75</v>
      </c>
      <c r="AA159" s="29">
        <f t="shared" si="8"/>
        <v>2</v>
      </c>
      <c r="AB159" s="29" t="s">
        <v>69</v>
      </c>
      <c r="AC159" s="29">
        <v>2</v>
      </c>
      <c r="AD159" s="29">
        <v>0</v>
      </c>
      <c r="AE159" s="29" t="s">
        <v>70</v>
      </c>
      <c r="AF159">
        <v>4</v>
      </c>
    </row>
    <row r="160" spans="1:32" x14ac:dyDescent="0.25">
      <c r="A160" s="28">
        <v>156</v>
      </c>
      <c r="B160" s="29" t="s">
        <v>60</v>
      </c>
      <c r="C160" s="29" t="s">
        <v>61</v>
      </c>
      <c r="D160" s="29" t="s">
        <v>62</v>
      </c>
      <c r="E160" s="29" t="s">
        <v>62</v>
      </c>
      <c r="F160" s="30" cm="1">
        <f t="array" ref="F160">_xlfn.IFS($G160=$G$5,F$5,$G160=$G$6,F$6,$G160=$G$7,F$7,$G160=$G$8,F$8,$G160=$G$9,F$9,$G160=$G$10,F$10,$G160=$G$11,F$11,$G160=$G$13,F$13,$G160=$G$15,F$15,$G160=$G$16,F$16,$G160=$G$33,F$33,$G160=$G$34,F$34,$G160=$G$248,F$248,$G160=$G$250,F$250)</f>
        <v>8018</v>
      </c>
      <c r="G160" s="29" t="s">
        <v>73</v>
      </c>
      <c r="H160" s="31" cm="1">
        <f t="array" ref="H160">_xlfn.IFS($G160=$G$5,H$5,$G160=$G$6,H$6,$G160=$G$7,H$7,$G160=$G$8,H$8,$G160=$G$9,H$9,$G160=$G$10,H$10,$G160=$G$11,H$11,$G160=$G$13,H$13,$G160=$G$15,H$15,$G160=$G$16,H$16,$G160=$G$33,H$33,$G160=$G$34,H$34,$G160=$G$248,H$248,$G160=$G$250,H$250)</f>
        <v>41.404924999999999</v>
      </c>
      <c r="I160" s="31" cm="1">
        <f t="array" ref="I160">_xlfn.IFS($G160=$G$5,I$5,$G160=$G$6,I$6,$G160=$G$7,I$7,$G160=$G$8,I$8,$G160=$G$9,I$9,$G160=$G$10,I$10,$G160=$G$11,I$11,$G160=$G$13,I$13,$G160=$G$15,I$15,$G160=$G$16,I$16,$G160=$G$33,I$33,$G160=$G$34,I$34,$G160=$G$248,I$248,$G160=$G$250,I$250)</f>
        <v>2.1987909999999999</v>
      </c>
      <c r="J160" s="29" cm="1">
        <f t="array" ref="J160">_xlfn.IFS($G160=$G$5,J$5,$G160=$G$6,J$6,$G160=$G$7,J$7,$G160=$G$8,J$8,$G160=$G$9,J$9,$G160=$G$10,J$10,$G160=$G$11,J$11,$G160=$G$13,J$13,$G160=$G$15,J$15,$G160=$G$16,J$16,$G160=$G$33,J$33,$G160=$G$34,J$34,$G160=$G$248,J$248,$G160=$G$250,J$250)</f>
        <v>4</v>
      </c>
      <c r="K160" s="29" t="str" cm="1">
        <f t="array" ref="K160">_xlfn.IFS($G160=$G$5,K$5,$G160=$G$6,K$6,$G160=$G$7,K$7,$G160=$G$8,K$8,$G160=$G$9,K$9,$G160=$G$10,K$10,$G160=$G$11,K$11,$G160=$G$13,K$13,$G160=$G$15,K$15,$G160=$G$16,K$16,$G160=$G$33,K$33,$G160=$G$34,K$34,$G160=$G$248,K$248,$G160=$G$250,K$250)</f>
        <v>BG sentinel + BG lure7</v>
      </c>
      <c r="L160" s="29" t="str" cm="1">
        <f t="array" ref="L160">_xlfn.IFS($G160=$G$5,L$5,$G160=$G$6,L$6,$G160=$G$7,L$7,$G160=$G$8,L$8,$G160=$G$9,L$9,$G160=$G$10,L$10,$G160=$G$11,L$11,$G160=$G$13,L$13,$G160=$G$15,L$15,$G160=$G$16,L$16,$G160=$G$33,L$33,$G160=$G$34,L$34,$G160=$G$248,L$248,$G160=$G$250,L$250)</f>
        <v>Urban habitat</v>
      </c>
      <c r="O160" s="32" t="str">
        <f t="shared" si="10"/>
        <v>A_SP_BCN_4_200916</v>
      </c>
      <c r="P160" s="33">
        <v>44090</v>
      </c>
      <c r="Q160" s="34">
        <v>0.63888888888888895</v>
      </c>
      <c r="R160" s="35"/>
      <c r="S160" s="36">
        <v>44097</v>
      </c>
      <c r="T160" s="37">
        <v>0.75</v>
      </c>
      <c r="U160" s="38"/>
      <c r="V160" s="39" t="s">
        <v>66</v>
      </c>
      <c r="X160" s="29">
        <f t="shared" si="9"/>
        <v>7</v>
      </c>
      <c r="Y160" s="38"/>
      <c r="Z160" s="29" t="s">
        <v>68</v>
      </c>
      <c r="AA160" s="29">
        <f t="shared" si="8"/>
        <v>1</v>
      </c>
      <c r="AB160" s="29" t="s">
        <v>69</v>
      </c>
      <c r="AC160" s="29">
        <v>1</v>
      </c>
      <c r="AD160" s="29">
        <v>0</v>
      </c>
      <c r="AE160" s="29" t="s">
        <v>70</v>
      </c>
      <c r="AF160">
        <v>4</v>
      </c>
    </row>
    <row r="161" spans="1:32" x14ac:dyDescent="0.25">
      <c r="A161" s="28">
        <v>157</v>
      </c>
      <c r="B161" s="29" t="s">
        <v>60</v>
      </c>
      <c r="C161" s="29" t="s">
        <v>61</v>
      </c>
      <c r="D161" s="29" t="s">
        <v>62</v>
      </c>
      <c r="E161" s="29" t="s">
        <v>62</v>
      </c>
      <c r="F161" s="30" cm="1">
        <f t="array" ref="F161">_xlfn.IFS($G161=$G$5,F$5,$G161=$G$6,F$6,$G161=$G$7,F$7,$G161=$G$8,F$8,$G161=$G$9,F$9,$G161=$G$10,F$10,$G161=$G$11,F$11,$G161=$G$13,F$13,$G161=$G$15,F$15,$G161=$G$16,F$16,$G161=$G$33,F$33,$G161=$G$34,F$34,$G161=$G$248,F$248,$G161=$G$250,F$250)</f>
        <v>8019</v>
      </c>
      <c r="G161" s="29" t="s">
        <v>74</v>
      </c>
      <c r="H161" s="31" cm="1">
        <f t="array" ref="H161">_xlfn.IFS($G161=$G$5,H$5,$G161=$G$6,H$6,$G161=$G$7,H$7,$G161=$G$8,H$8,$G161=$G$9,H$9,$G161=$G$10,H$10,$G161=$G$11,H$11,$G161=$G$13,H$13,$G161=$G$15,H$15,$G161=$G$16,H$16,$G161=$G$33,H$33,$G161=$G$34,H$34,$G161=$G$248,H$248,$G161=$G$250,H$250)</f>
        <v>41.410684000000003</v>
      </c>
      <c r="I161" s="31" cm="1">
        <f t="array" ref="I161">_xlfn.IFS($G161=$G$5,I$5,$G161=$G$6,I$6,$G161=$G$7,I$7,$G161=$G$8,I$8,$G161=$G$9,I$9,$G161=$G$10,I$10,$G161=$G$11,I$11,$G161=$G$13,I$13,$G161=$G$15,I$15,$G161=$G$16,I$16,$G161=$G$33,I$33,$G161=$G$34,I$34,$G161=$G$248,I$248,$G161=$G$250,I$250)</f>
        <v>2.2208019999999999</v>
      </c>
      <c r="J161" s="29" cm="1">
        <f t="array" ref="J161">_xlfn.IFS($G161=$G$5,J$5,$G161=$G$6,J$6,$G161=$G$7,J$7,$G161=$G$8,J$8,$G161=$G$9,J$9,$G161=$G$10,J$10,$G161=$G$11,J$11,$G161=$G$13,J$13,$G161=$G$15,J$15,$G161=$G$16,J$16,$G161=$G$33,J$33,$G161=$G$34,J$34,$G161=$G$248,J$248,$G161=$G$250,J$250)</f>
        <v>18</v>
      </c>
      <c r="K161" s="29" t="str" cm="1">
        <f t="array" ref="K161">_xlfn.IFS($G161=$G$5,K$5,$G161=$G$6,K$6,$G161=$G$7,K$7,$G161=$G$8,K$8,$G161=$G$9,K$9,$G161=$G$10,K$10,$G161=$G$11,K$11,$G161=$G$13,K$13,$G161=$G$15,K$15,$G161=$G$16,K$16,$G161=$G$33,K$33,$G161=$G$34,K$34,$G161=$G$248,K$248,$G161=$G$250,K$250)</f>
        <v>BG sentinel + BG lure7</v>
      </c>
      <c r="L161" s="29" t="str" cm="1">
        <f t="array" ref="L161">_xlfn.IFS($G161=$G$5,L$5,$G161=$G$6,L$6,$G161=$G$7,L$7,$G161=$G$8,L$8,$G161=$G$9,L$9,$G161=$G$10,L$10,$G161=$G$11,L$11,$G161=$G$13,L$13,$G161=$G$15,L$15,$G161=$G$16,L$16,$G161=$G$33,L$33,$G161=$G$34,L$34,$G161=$G$248,L$248,$G161=$G$250,L$250)</f>
        <v>Urban habitat</v>
      </c>
      <c r="O161" s="32" t="str">
        <f t="shared" si="10"/>
        <v>A_SP_BCN_5_200916</v>
      </c>
      <c r="P161" s="33">
        <v>44090</v>
      </c>
      <c r="Q161" s="34">
        <v>0.61458333333333337</v>
      </c>
      <c r="R161" s="35"/>
      <c r="S161" s="36">
        <v>44097</v>
      </c>
      <c r="T161" s="37">
        <v>0.76388888888888884</v>
      </c>
      <c r="U161" s="38"/>
      <c r="V161" s="39" t="s">
        <v>66</v>
      </c>
      <c r="X161" s="29">
        <f t="shared" si="9"/>
        <v>7</v>
      </c>
      <c r="Y161" s="38"/>
      <c r="AA161" s="29">
        <f t="shared" si="8"/>
        <v>0</v>
      </c>
      <c r="AF161">
        <v>4</v>
      </c>
    </row>
    <row r="162" spans="1:32" x14ac:dyDescent="0.25">
      <c r="A162" s="28">
        <v>158</v>
      </c>
      <c r="B162" s="29" t="s">
        <v>60</v>
      </c>
      <c r="C162" s="29" t="s">
        <v>61</v>
      </c>
      <c r="D162" s="29" t="s">
        <v>62</v>
      </c>
      <c r="E162" s="29" t="s">
        <v>62</v>
      </c>
      <c r="F162" s="30" cm="1">
        <f t="array" ref="F162">_xlfn.IFS($G162=$G$5,F$5,$G162=$G$6,F$6,$G162=$G$7,F$7,$G162=$G$8,F$8,$G162=$G$9,F$9,$G162=$G$10,F$10,$G162=$G$11,F$11,$G162=$G$13,F$13,$G162=$G$15,F$15,$G162=$G$16,F$16,$G162=$G$33,F$33,$G162=$G$34,F$34,$G162=$G$248,F$248,$G162=$G$250,F$250)</f>
        <v>8002</v>
      </c>
      <c r="G162" s="29" t="s">
        <v>76</v>
      </c>
      <c r="H162" s="31" cm="1">
        <f t="array" ref="H162">_xlfn.IFS($G162=$G$5,H$5,$G162=$G$6,H$6,$G162=$G$7,H$7,$G162=$G$8,H$8,$G162=$G$9,H$9,$G162=$G$10,H$10,$G162=$G$11,H$11,$G162=$G$13,H$13,$G162=$G$15,H$15,$G162=$G$16,H$16,$G162=$G$33,H$33,$G162=$G$34,H$34,$G162=$G$248,H$248,$G162=$G$250,H$250)</f>
        <v>41.382339999999999</v>
      </c>
      <c r="I162" s="31" cm="1">
        <f t="array" ref="I162">_xlfn.IFS($G162=$G$5,I$5,$G162=$G$6,I$6,$G162=$G$7,I$7,$G162=$G$8,I$8,$G162=$G$9,I$9,$G162=$G$10,I$10,$G162=$G$11,I$11,$G162=$G$13,I$13,$G162=$G$15,I$15,$G162=$G$16,I$16,$G162=$G$33,I$33,$G162=$G$34,I$34,$G162=$G$248,I$248,$G162=$G$250,I$250)</f>
        <v>2.1714790000000002</v>
      </c>
      <c r="J162" s="29" cm="1">
        <f t="array" ref="J162">_xlfn.IFS($G162=$G$5,J$5,$G162=$G$6,J$6,$G162=$G$7,J$7,$G162=$G$8,J$8,$G162=$G$9,J$9,$G162=$G$10,J$10,$G162=$G$11,J$11,$G162=$G$13,J$13,$G162=$G$15,J$15,$G162=$G$16,J$16,$G162=$G$33,J$33,$G162=$G$34,J$34,$G162=$G$248,J$248,$G162=$G$250,J$250)</f>
        <v>19</v>
      </c>
      <c r="K162" s="29" t="str" cm="1">
        <f t="array" ref="K162">_xlfn.IFS($G162=$G$5,K$5,$G162=$G$6,K$6,$G162=$G$7,K$7,$G162=$G$8,K$8,$G162=$G$9,K$9,$G162=$G$10,K$10,$G162=$G$11,K$11,$G162=$G$13,K$13,$G162=$G$15,K$15,$G162=$G$16,K$16,$G162=$G$33,K$33,$G162=$G$34,K$34,$G162=$G$248,K$248,$G162=$G$250,K$250)</f>
        <v>BG sentinel + BG lure7</v>
      </c>
      <c r="L162" s="29" t="str" cm="1">
        <f t="array" ref="L162">_xlfn.IFS($G162=$G$5,L$5,$G162=$G$6,L$6,$G162=$G$7,L$7,$G162=$G$8,L$8,$G162=$G$9,L$9,$G162=$G$10,L$10,$G162=$G$11,L$11,$G162=$G$13,L$13,$G162=$G$15,L$15,$G162=$G$16,L$16,$G162=$G$33,L$33,$G162=$G$34,L$34,$G162=$G$248,L$248,$G162=$G$250,L$250)</f>
        <v>Urban habitat</v>
      </c>
      <c r="O162" s="32" t="str">
        <f t="shared" si="10"/>
        <v>A_SP_BCN_6_200916</v>
      </c>
      <c r="P162" s="33">
        <v>44090</v>
      </c>
      <c r="Q162" s="34">
        <v>0.58680555555555558</v>
      </c>
      <c r="R162" s="35"/>
      <c r="S162" s="36">
        <v>44097</v>
      </c>
      <c r="T162" s="37">
        <v>0.60069444444444442</v>
      </c>
      <c r="U162" s="38"/>
      <c r="V162" s="39" t="s">
        <v>66</v>
      </c>
      <c r="X162" s="29">
        <f t="shared" si="9"/>
        <v>7</v>
      </c>
      <c r="Y162" s="38"/>
      <c r="Z162" s="29" t="s">
        <v>68</v>
      </c>
      <c r="AA162" s="29">
        <f t="shared" si="8"/>
        <v>4</v>
      </c>
      <c r="AB162" s="29" t="s">
        <v>69</v>
      </c>
      <c r="AC162" s="29">
        <v>3</v>
      </c>
      <c r="AD162" s="29">
        <v>1</v>
      </c>
      <c r="AE162" s="29" t="s">
        <v>70</v>
      </c>
      <c r="AF162">
        <v>4</v>
      </c>
    </row>
    <row r="163" spans="1:32" x14ac:dyDescent="0.25">
      <c r="A163" s="28">
        <v>159</v>
      </c>
      <c r="B163" s="29" t="s">
        <v>60</v>
      </c>
      <c r="C163" s="29" t="s">
        <v>61</v>
      </c>
      <c r="D163" s="29" t="s">
        <v>62</v>
      </c>
      <c r="E163" s="29" t="s">
        <v>62</v>
      </c>
      <c r="F163" s="30" cm="1">
        <f t="array" ref="F163">_xlfn.IFS($G163=$G$5,F$5,$G163=$G$6,F$6,$G163=$G$7,F$7,$G163=$G$8,F$8,$G163=$G$9,F$9,$G163=$G$10,F$10,$G163=$G$11,F$11,$G163=$G$13,F$13,$G163=$G$15,F$15,$G163=$G$16,F$16,$G163=$G$33,F$33,$G163=$G$34,F$34,$G163=$G$248,F$248,$G163=$G$250,F$250)</f>
        <v>8038</v>
      </c>
      <c r="G163" s="29" t="s">
        <v>77</v>
      </c>
      <c r="H163" s="31" cm="1">
        <f t="array" ref="H163">_xlfn.IFS($G163=$G$5,H$5,$G163=$G$6,H$6,$G163=$G$7,H$7,$G163=$G$8,H$8,$G163=$G$9,H$9,$G163=$G$10,H$10,$G163=$G$11,H$11,$G163=$G$13,H$13,$G163=$G$15,H$15,$G163=$G$16,H$16,$G163=$G$33,H$33,$G163=$G$34,H$34,$G163=$G$248,H$248,$G163=$G$250,H$250)</f>
        <v>41.371864000000002</v>
      </c>
      <c r="I163" s="31" cm="1">
        <f t="array" ref="I163">_xlfn.IFS($G163=$G$5,I$5,$G163=$G$6,I$6,$G163=$G$7,I$7,$G163=$G$8,I$8,$G163=$G$9,I$9,$G163=$G$10,I$10,$G163=$G$11,I$11,$G163=$G$13,I$13,$G163=$G$15,I$15,$G163=$G$16,I$16,$G163=$G$33,I$33,$G163=$G$34,I$34,$G163=$G$248,I$248,$G163=$G$250,I$250)</f>
        <v>2.173899</v>
      </c>
      <c r="J163" s="29" cm="1">
        <f t="array" ref="J163">_xlfn.IFS($G163=$G$5,J$5,$G163=$G$6,J$6,$G163=$G$7,J$7,$G163=$G$8,J$8,$G163=$G$9,J$9,$G163=$G$10,J$10,$G163=$G$11,J$11,$G163=$G$13,J$13,$G163=$G$15,J$15,$G163=$G$16,J$16,$G163=$G$33,J$33,$G163=$G$34,J$34,$G163=$G$248,J$248,$G163=$G$250,J$250)</f>
        <v>5</v>
      </c>
      <c r="K163" s="29" t="str" cm="1">
        <f t="array" ref="K163">_xlfn.IFS($G163=$G$5,K$5,$G163=$G$6,K$6,$G163=$G$7,K$7,$G163=$G$8,K$8,$G163=$G$9,K$9,$G163=$G$10,K$10,$G163=$G$11,K$11,$G163=$G$13,K$13,$G163=$G$15,K$15,$G163=$G$16,K$16,$G163=$G$33,K$33,$G163=$G$34,K$34,$G163=$G$248,K$248,$G163=$G$250,K$250)</f>
        <v>BG sentinel + BG lure7</v>
      </c>
      <c r="L163" s="29" t="str" cm="1">
        <f t="array" ref="L163">_xlfn.IFS($G163=$G$5,L$5,$G163=$G$6,L$6,$G163=$G$7,L$7,$G163=$G$8,L$8,$G163=$G$9,L$9,$G163=$G$10,L$10,$G163=$G$11,L$11,$G163=$G$13,L$13,$G163=$G$15,L$15,$G163=$G$16,L$16,$G163=$G$33,L$33,$G163=$G$34,L$34,$G163=$G$248,L$248,$G163=$G$250,L$250)</f>
        <v>Urban habitat</v>
      </c>
      <c r="O163" s="32" t="str">
        <f t="shared" si="10"/>
        <v>A_SP_BCN_7_200916</v>
      </c>
      <c r="P163" s="33">
        <v>44090</v>
      </c>
      <c r="Q163" s="34">
        <v>0.52083333333333337</v>
      </c>
      <c r="R163" s="35"/>
      <c r="S163" s="36">
        <v>44097</v>
      </c>
      <c r="T163" s="37">
        <v>0.54166666666666663</v>
      </c>
      <c r="U163" s="38"/>
      <c r="V163" s="39" t="s">
        <v>88</v>
      </c>
      <c r="X163" s="29">
        <f t="shared" si="9"/>
        <v>7</v>
      </c>
      <c r="Y163" s="38"/>
      <c r="Z163" s="29" t="s">
        <v>68</v>
      </c>
      <c r="AA163" s="29">
        <f t="shared" si="8"/>
        <v>25</v>
      </c>
      <c r="AB163" s="29" t="s">
        <v>69</v>
      </c>
      <c r="AC163" s="29">
        <v>22</v>
      </c>
      <c r="AD163" s="29">
        <v>3</v>
      </c>
      <c r="AE163" s="29" t="s">
        <v>70</v>
      </c>
      <c r="AF163">
        <v>2</v>
      </c>
    </row>
    <row r="164" spans="1:32" x14ac:dyDescent="0.25">
      <c r="A164" s="28">
        <v>160</v>
      </c>
      <c r="B164" s="29" t="s">
        <v>60</v>
      </c>
      <c r="C164" s="29" t="s">
        <v>61</v>
      </c>
      <c r="D164" s="29" t="s">
        <v>62</v>
      </c>
      <c r="E164" s="29" t="s">
        <v>62</v>
      </c>
      <c r="F164" s="30" cm="1">
        <f t="array" ref="F164">_xlfn.IFS($G164=$G$5,F$5,$G164=$G$6,F$6,$G164=$G$7,F$7,$G164=$G$8,F$8,$G164=$G$9,F$9,$G164=$G$10,F$10,$G164=$G$11,F$11,$G164=$G$13,F$13,$G164=$G$15,F$15,$G164=$G$16,F$16,$G164=$G$33,F$33,$G164=$G$34,F$34,$G164=$G$248,F$248,$G164=$G$250,F$250)</f>
        <v>8038</v>
      </c>
      <c r="G164" s="29" t="s">
        <v>78</v>
      </c>
      <c r="H164" s="31" cm="1">
        <f t="array" ref="H164">_xlfn.IFS($G164=$G$5,H$5,$G164=$G$6,H$6,$G164=$G$7,H$7,$G164=$G$8,H$8,$G164=$G$9,H$9,$G164=$G$10,H$10,$G164=$G$11,H$11,$G164=$G$13,H$13,$G164=$G$15,H$15,$G164=$G$16,H$16,$G164=$G$33,H$33,$G164=$G$34,H$34,$G164=$G$248,H$248,$G164=$G$250,H$250)</f>
        <v>41.368589</v>
      </c>
      <c r="I164" s="31" cm="1">
        <f t="array" ref="I164">_xlfn.IFS($G164=$G$5,I$5,$G164=$G$6,I$6,$G164=$G$7,I$7,$G164=$G$8,I$8,$G164=$G$9,I$9,$G164=$G$10,I$10,$G164=$G$11,I$11,$G164=$G$13,I$13,$G164=$G$15,I$15,$G164=$G$16,I$16,$G164=$G$33,I$33,$G164=$G$34,I$34,$G164=$G$248,I$248,$G164=$G$250,I$250)</f>
        <v>2.1620900000000001</v>
      </c>
      <c r="J164" s="29" cm="1">
        <f t="array" ref="J164">_xlfn.IFS($G164=$G$5,J$5,$G164=$G$6,J$6,$G164=$G$7,J$7,$G164=$G$8,J$8,$G164=$G$9,J$9,$G164=$G$10,J$10,$G164=$G$11,J$11,$G164=$G$13,J$13,$G164=$G$15,J$15,$G164=$G$16,J$16,$G164=$G$33,J$33,$G164=$G$34,J$34,$G164=$G$248,J$248,$G164=$G$250,J$250)</f>
        <v>95</v>
      </c>
      <c r="K164" s="29" t="str" cm="1">
        <f t="array" ref="K164">_xlfn.IFS($G164=$G$5,K$5,$G164=$G$6,K$6,$G164=$G$7,K$7,$G164=$G$8,K$8,$G164=$G$9,K$9,$G164=$G$10,K$10,$G164=$G$11,K$11,$G164=$G$13,K$13,$G164=$G$15,K$15,$G164=$G$16,K$16,$G164=$G$33,K$33,$G164=$G$34,K$34,$G164=$G$248,K$248,$G164=$G$250,K$250)</f>
        <v>BG sentinel + BG lure7</v>
      </c>
      <c r="L164" s="29" t="str" cm="1">
        <f t="array" ref="L164">_xlfn.IFS($G164=$G$5,L$5,$G164=$G$6,L$6,$G164=$G$7,L$7,$G164=$G$8,L$8,$G164=$G$9,L$9,$G164=$G$10,L$10,$G164=$G$11,L$11,$G164=$G$13,L$13,$G164=$G$15,L$15,$G164=$G$16,L$16,$G164=$G$33,L$33,$G164=$G$34,L$34,$G164=$G$248,L$248,$G164=$G$250,L$250)</f>
        <v>Other</v>
      </c>
      <c r="O164" s="32" t="str">
        <f t="shared" si="10"/>
        <v>A_SP_BCN_8_200916</v>
      </c>
      <c r="P164" s="33">
        <v>44090</v>
      </c>
      <c r="Q164" s="34">
        <v>0.54166666666666663</v>
      </c>
      <c r="R164" s="35"/>
      <c r="S164" s="36">
        <v>44097</v>
      </c>
      <c r="T164" s="37">
        <v>0.55555555555555558</v>
      </c>
      <c r="U164" s="38"/>
      <c r="V164" s="39" t="s">
        <v>102</v>
      </c>
      <c r="X164" s="29">
        <f t="shared" si="9"/>
        <v>7</v>
      </c>
      <c r="Y164" s="38"/>
      <c r="Z164" s="29" t="s">
        <v>68</v>
      </c>
      <c r="AA164" s="29">
        <f t="shared" si="8"/>
        <v>53</v>
      </c>
      <c r="AB164" s="29" t="s">
        <v>69</v>
      </c>
      <c r="AC164" s="29">
        <v>41</v>
      </c>
      <c r="AD164" s="29">
        <v>12</v>
      </c>
      <c r="AE164" s="29" t="s">
        <v>70</v>
      </c>
      <c r="AF164">
        <v>3</v>
      </c>
    </row>
    <row r="165" spans="1:32" x14ac:dyDescent="0.25">
      <c r="A165" s="28">
        <v>161</v>
      </c>
      <c r="B165" s="29" t="s">
        <v>60</v>
      </c>
      <c r="C165" s="29" t="s">
        <v>61</v>
      </c>
      <c r="D165" s="29" t="s">
        <v>62</v>
      </c>
      <c r="E165" s="29" t="s">
        <v>62</v>
      </c>
      <c r="F165" s="30" cm="1">
        <f t="array" ref="F165">_xlfn.IFS($G165=$G$5,F$5,$G165=$G$6,F$6,$G165=$G$7,F$7,$G165=$G$8,F$8,$G165=$G$9,F$9,$G165=$G$10,F$10,$G165=$G$11,F$11,$G165=$G$13,F$13,$G165=$G$15,F$15,$G165=$G$16,F$16,$G165=$G$33,F$33,$G165=$G$34,F$34,$G165=$G$248,F$248,$G165=$G$250,F$250)</f>
        <v>8038</v>
      </c>
      <c r="G165" s="29" t="s">
        <v>78</v>
      </c>
      <c r="H165" s="31" cm="1">
        <f t="array" ref="H165">_xlfn.IFS($G165=$G$5,H$5,$G165=$G$6,H$6,$G165=$G$7,H$7,$G165=$G$8,H$8,$G165=$G$9,H$9,$G165=$G$10,H$10,$G165=$G$11,H$11,$G165=$G$13,H$13,$G165=$G$15,H$15,$G165=$G$16,H$16,$G165=$G$33,H$33,$G165=$G$34,H$34,$G165=$G$248,H$248,$G165=$G$250,H$250)</f>
        <v>41.368589</v>
      </c>
      <c r="I165" s="31" cm="1">
        <f t="array" ref="I165">_xlfn.IFS($G165=$G$5,I$5,$G165=$G$6,I$6,$G165=$G$7,I$7,$G165=$G$8,I$8,$G165=$G$9,I$9,$G165=$G$10,I$10,$G165=$G$11,I$11,$G165=$G$13,I$13,$G165=$G$15,I$15,$G165=$G$16,I$16,$G165=$G$33,I$33,$G165=$G$34,I$34,$G165=$G$248,I$248,$G165=$G$250,I$250)</f>
        <v>2.1620900000000001</v>
      </c>
      <c r="J165" s="29" cm="1">
        <f t="array" ref="J165">_xlfn.IFS($G165=$G$5,J$5,$G165=$G$6,J$6,$G165=$G$7,J$7,$G165=$G$8,J$8,$G165=$G$9,J$9,$G165=$G$10,J$10,$G165=$G$11,J$11,$G165=$G$13,J$13,$G165=$G$15,J$15,$G165=$G$16,J$16,$G165=$G$33,J$33,$G165=$G$34,J$34,$G165=$G$248,J$248,$G165=$G$250,J$250)</f>
        <v>95</v>
      </c>
      <c r="K165" s="29" t="str" cm="1">
        <f t="array" ref="K165">_xlfn.IFS($G165=$G$5,K$5,$G165=$G$6,K$6,$G165=$G$7,K$7,$G165=$G$8,K$8,$G165=$G$9,K$9,$G165=$G$10,K$10,$G165=$G$11,K$11,$G165=$G$13,K$13,$G165=$G$15,K$15,$G165=$G$16,K$16,$G165=$G$33,K$33,$G165=$G$34,K$34,$G165=$G$248,K$248,$G165=$G$250,K$250)</f>
        <v>BG sentinel + BG lure7</v>
      </c>
      <c r="L165" s="29" t="str" cm="1">
        <f t="array" ref="L165">_xlfn.IFS($G165=$G$5,L$5,$G165=$G$6,L$6,$G165=$G$7,L$7,$G165=$G$8,L$8,$G165=$G$9,L$9,$G165=$G$10,L$10,$G165=$G$11,L$11,$G165=$G$13,L$13,$G165=$G$15,L$15,$G165=$G$16,L$16,$G165=$G$33,L$33,$G165=$G$34,L$34,$G165=$G$248,L$248,$G165=$G$250,L$250)</f>
        <v>Other</v>
      </c>
      <c r="O165" s="32" t="str">
        <f t="shared" si="10"/>
        <v>A_SP_BCN_8_200916</v>
      </c>
      <c r="P165" s="33">
        <v>44090</v>
      </c>
      <c r="Q165" s="34">
        <v>0.54166666666666663</v>
      </c>
      <c r="R165" s="35"/>
      <c r="S165" s="36">
        <v>44097</v>
      </c>
      <c r="T165" s="37">
        <v>0.55555555555555558</v>
      </c>
      <c r="U165" s="38"/>
      <c r="V165" s="39" t="s">
        <v>102</v>
      </c>
      <c r="X165" s="29">
        <f t="shared" si="9"/>
        <v>7</v>
      </c>
      <c r="Y165" s="38"/>
      <c r="Z165" s="29" t="s">
        <v>75</v>
      </c>
      <c r="AA165" s="29">
        <f t="shared" si="8"/>
        <v>3</v>
      </c>
      <c r="AB165" s="29" t="s">
        <v>69</v>
      </c>
      <c r="AC165" s="29">
        <v>3</v>
      </c>
      <c r="AD165" s="29">
        <v>0</v>
      </c>
      <c r="AE165" s="29" t="s">
        <v>70</v>
      </c>
      <c r="AF165">
        <v>3</v>
      </c>
    </row>
    <row r="166" spans="1:32" x14ac:dyDescent="0.25">
      <c r="A166" s="28">
        <v>162</v>
      </c>
      <c r="B166" s="29" t="s">
        <v>60</v>
      </c>
      <c r="C166" s="29" t="s">
        <v>61</v>
      </c>
      <c r="D166" s="29" t="s">
        <v>62</v>
      </c>
      <c r="E166" s="29" t="s">
        <v>62</v>
      </c>
      <c r="F166" s="30" cm="1">
        <f t="array" ref="F166">_xlfn.IFS($G166=$G$5,F$5,$G166=$G$6,F$6,$G166=$G$7,F$7,$G166=$G$8,F$8,$G166=$G$9,F$9,$G166=$G$10,F$10,$G166=$G$11,F$11,$G166=$G$13,F$13,$G166=$G$15,F$15,$G166=$G$16,F$16,$G166=$G$33,F$33,$G166=$G$34,F$34,$G166=$G$248,F$248,$G166=$G$250,F$250)</f>
        <v>8038</v>
      </c>
      <c r="G166" s="29" t="s">
        <v>78</v>
      </c>
      <c r="H166" s="31" cm="1">
        <f t="array" ref="H166">_xlfn.IFS($G166=$G$5,H$5,$G166=$G$6,H$6,$G166=$G$7,H$7,$G166=$G$8,H$8,$G166=$G$9,H$9,$G166=$G$10,H$10,$G166=$G$11,H$11,$G166=$G$13,H$13,$G166=$G$15,H$15,$G166=$G$16,H$16,$G166=$G$33,H$33,$G166=$G$34,H$34,$G166=$G$248,H$248,$G166=$G$250,H$250)</f>
        <v>41.368589</v>
      </c>
      <c r="I166" s="31" cm="1">
        <f t="array" ref="I166">_xlfn.IFS($G166=$G$5,I$5,$G166=$G$6,I$6,$G166=$G$7,I$7,$G166=$G$8,I$8,$G166=$G$9,I$9,$G166=$G$10,I$10,$G166=$G$11,I$11,$G166=$G$13,I$13,$G166=$G$15,I$15,$G166=$G$16,I$16,$G166=$G$33,I$33,$G166=$G$34,I$34,$G166=$G$248,I$248,$G166=$G$250,I$250)</f>
        <v>2.1620900000000001</v>
      </c>
      <c r="J166" s="29" cm="1">
        <f t="array" ref="J166">_xlfn.IFS($G166=$G$5,J$5,$G166=$G$6,J$6,$G166=$G$7,J$7,$G166=$G$8,J$8,$G166=$G$9,J$9,$G166=$G$10,J$10,$G166=$G$11,J$11,$G166=$G$13,J$13,$G166=$G$15,J$15,$G166=$G$16,J$16,$G166=$G$33,J$33,$G166=$G$34,J$34,$G166=$G$248,J$248,$G166=$G$250,J$250)</f>
        <v>95</v>
      </c>
      <c r="K166" s="29" t="str" cm="1">
        <f t="array" ref="K166">_xlfn.IFS($G166=$G$5,K$5,$G166=$G$6,K$6,$G166=$G$7,K$7,$G166=$G$8,K$8,$G166=$G$9,K$9,$G166=$G$10,K$10,$G166=$G$11,K$11,$G166=$G$13,K$13,$G166=$G$15,K$15,$G166=$G$16,K$16,$G166=$G$33,K$33,$G166=$G$34,K$34,$G166=$G$248,K$248,$G166=$G$250,K$250)</f>
        <v>BG sentinel + BG lure7</v>
      </c>
      <c r="L166" s="29" t="str" cm="1">
        <f t="array" ref="L166">_xlfn.IFS($G166=$G$5,L$5,$G166=$G$6,L$6,$G166=$G$7,L$7,$G166=$G$8,L$8,$G166=$G$9,L$9,$G166=$G$10,L$10,$G166=$G$11,L$11,$G166=$G$13,L$13,$G166=$G$15,L$15,$G166=$G$16,L$16,$G166=$G$33,L$33,$G166=$G$34,L$34,$G166=$G$248,L$248,$G166=$G$250,L$250)</f>
        <v>Other</v>
      </c>
      <c r="O166" s="32" t="str">
        <f t="shared" si="10"/>
        <v>A_SP_BCN_8_200916</v>
      </c>
      <c r="P166" s="33">
        <v>44090</v>
      </c>
      <c r="Q166" s="34">
        <v>0.54166666666666663</v>
      </c>
      <c r="R166" s="35"/>
      <c r="S166" s="36">
        <v>44097</v>
      </c>
      <c r="T166" s="37">
        <v>0.55555555555555558</v>
      </c>
      <c r="U166" s="38"/>
      <c r="V166" s="39" t="s">
        <v>102</v>
      </c>
      <c r="X166" s="29">
        <f t="shared" si="9"/>
        <v>7</v>
      </c>
      <c r="Y166" s="38"/>
      <c r="Z166" s="29" t="s">
        <v>84</v>
      </c>
      <c r="AA166" s="29">
        <f t="shared" si="8"/>
        <v>1</v>
      </c>
      <c r="AB166" s="29" t="s">
        <v>69</v>
      </c>
      <c r="AC166" s="29">
        <v>1</v>
      </c>
      <c r="AD166" s="29">
        <v>0</v>
      </c>
      <c r="AE166" s="29" t="s">
        <v>70</v>
      </c>
      <c r="AF166">
        <v>3</v>
      </c>
    </row>
    <row r="167" spans="1:32" x14ac:dyDescent="0.25">
      <c r="A167" s="28">
        <v>163</v>
      </c>
      <c r="B167" s="29" t="s">
        <v>60</v>
      </c>
      <c r="C167" s="29" t="s">
        <v>61</v>
      </c>
      <c r="D167" s="29" t="s">
        <v>62</v>
      </c>
      <c r="E167" s="29" t="s">
        <v>62</v>
      </c>
      <c r="F167" s="30" cm="1">
        <f t="array" ref="F167">_xlfn.IFS($G167=$G$5,F$5,$G167=$G$6,F$6,$G167=$G$7,F$7,$G167=$G$8,F$8,$G167=$G$9,F$9,$G167=$G$10,F$10,$G167=$G$11,F$11,$G167=$G$13,F$13,$G167=$G$15,F$15,$G167=$G$16,F$16,$G167=$G$33,F$33,$G167=$G$34,F$34,$G167=$G$248,F$248,$G167=$G$250,F$250)</f>
        <v>8034</v>
      </c>
      <c r="G167" s="29" t="s">
        <v>81</v>
      </c>
      <c r="H167" s="31" cm="1">
        <f t="array" ref="H167">_xlfn.IFS($G167=$G$5,H$5,$G167=$G$6,H$6,$G167=$G$7,H$7,$G167=$G$8,H$8,$G167=$G$9,H$9,$G167=$G$10,H$10,$G167=$G$11,H$11,$G167=$G$13,H$13,$G167=$G$15,H$15,$G167=$G$16,H$16,$G167=$G$33,H$33,$G167=$G$34,H$34,$G167=$G$248,H$248,$G167=$G$250,H$250)</f>
        <v>41.393644999999999</v>
      </c>
      <c r="I167" s="31" cm="1">
        <f t="array" ref="I167">_xlfn.IFS($G167=$G$5,I$5,$G167=$G$6,I$6,$G167=$G$7,I$7,$G167=$G$8,I$8,$G167=$G$9,I$9,$G167=$G$10,I$10,$G167=$G$11,I$11,$G167=$G$13,I$13,$G167=$G$15,I$15,$G167=$G$16,I$16,$G167=$G$33,I$33,$G167=$G$34,I$34,$G167=$G$248,I$248,$G167=$G$250,I$250)</f>
        <v>2.1216780000000002</v>
      </c>
      <c r="J167" s="29" cm="1">
        <f t="array" ref="J167">_xlfn.IFS($G167=$G$5,J$5,$G167=$G$6,J$6,$G167=$G$7,J$7,$G167=$G$8,J$8,$G167=$G$9,J$9,$G167=$G$10,J$10,$G167=$G$11,J$11,$G167=$G$13,J$13,$G167=$G$15,J$15,$G167=$G$16,J$16,$G167=$G$33,J$33,$G167=$G$34,J$34,$G167=$G$248,J$248,$G167=$G$250,J$250)</f>
        <v>98</v>
      </c>
      <c r="K167" s="29" t="str" cm="1">
        <f t="array" ref="K167">_xlfn.IFS($G167=$G$5,K$5,$G167=$G$6,K$6,$G167=$G$7,K$7,$G167=$G$8,K$8,$G167=$G$9,K$9,$G167=$G$10,K$10,$G167=$G$11,K$11,$G167=$G$13,K$13,$G167=$G$15,K$15,$G167=$G$16,K$16,$G167=$G$33,K$33,$G167=$G$34,K$34,$G167=$G$248,K$248,$G167=$G$250,K$250)</f>
        <v>BG sentinel + BG lure7</v>
      </c>
      <c r="L167" s="29" t="str" cm="1">
        <f t="array" ref="L167">_xlfn.IFS($G167=$G$5,L$5,$G167=$G$6,L$6,$G167=$G$7,L$7,$G167=$G$8,L$8,$G167=$G$9,L$9,$G167=$G$10,L$10,$G167=$G$11,L$11,$G167=$G$13,L$13,$G167=$G$15,L$15,$G167=$G$16,L$16,$G167=$G$33,L$33,$G167=$G$34,L$34,$G167=$G$248,L$248,$G167=$G$250,L$250)</f>
        <v>Other</v>
      </c>
      <c r="O167" s="32" t="str">
        <f t="shared" si="10"/>
        <v>A_SP_BCN_9_200916</v>
      </c>
      <c r="P167" s="33">
        <v>44090</v>
      </c>
      <c r="Q167" s="34">
        <v>0.73958333333333337</v>
      </c>
      <c r="R167" s="35"/>
      <c r="S167" s="36">
        <v>44097</v>
      </c>
      <c r="T167" s="37">
        <v>0.63541666666666663</v>
      </c>
      <c r="U167" s="38"/>
      <c r="V167" s="39" t="s">
        <v>66</v>
      </c>
      <c r="W167" s="39" t="s">
        <v>101</v>
      </c>
      <c r="X167" s="29">
        <f t="shared" si="9"/>
        <v>7</v>
      </c>
      <c r="Y167" s="38"/>
      <c r="Z167" s="29" t="s">
        <v>68</v>
      </c>
      <c r="AA167" s="29">
        <f t="shared" si="8"/>
        <v>11</v>
      </c>
      <c r="AB167" s="29" t="s">
        <v>69</v>
      </c>
      <c r="AC167" s="29">
        <v>11</v>
      </c>
      <c r="AD167" s="29">
        <v>0</v>
      </c>
      <c r="AE167" s="29" t="s">
        <v>70</v>
      </c>
      <c r="AF167">
        <v>4</v>
      </c>
    </row>
    <row r="168" spans="1:32" x14ac:dyDescent="0.25">
      <c r="A168" s="28">
        <v>164</v>
      </c>
      <c r="B168" s="29" t="s">
        <v>60</v>
      </c>
      <c r="C168" s="29" t="s">
        <v>61</v>
      </c>
      <c r="D168" s="29" t="s">
        <v>62</v>
      </c>
      <c r="E168" s="29" t="s">
        <v>62</v>
      </c>
      <c r="F168" s="30" cm="1">
        <f t="array" ref="F168">_xlfn.IFS($G168=$G$5,F$5,$G168=$G$6,F$6,$G168=$G$7,F$7,$G168=$G$8,F$8,$G168=$G$9,F$9,$G168=$G$10,F$10,$G168=$G$11,F$11,$G168=$G$13,F$13,$G168=$G$15,F$15,$G168=$G$16,F$16,$G168=$G$33,F$33,$G168=$G$34,F$34,$G168=$G$248,F$248,$G168=$G$250,F$250)</f>
        <v>8040</v>
      </c>
      <c r="G168" s="29" t="s">
        <v>83</v>
      </c>
      <c r="H168" s="31" cm="1">
        <f t="array" ref="H168">_xlfn.IFS($G168=$G$5,H$5,$G168=$G$6,H$6,$G168=$G$7,H$7,$G168=$G$8,H$8,$G168=$G$9,H$9,$G168=$G$10,H$10,$G168=$G$11,H$11,$G168=$G$13,H$13,$G168=$G$15,H$15,$G168=$G$16,H$16,$G168=$G$33,H$33,$G168=$G$34,H$34,$G168=$G$248,H$248,$G168=$G$250,H$250)</f>
        <v>41.343685000000001</v>
      </c>
      <c r="I168" s="31" cm="1">
        <f t="array" ref="I168">_xlfn.IFS($G168=$G$5,I$5,$G168=$G$6,I$6,$G168=$G$7,I$7,$G168=$G$8,I$8,$G168=$G$9,I$9,$G168=$G$10,I$10,$G168=$G$11,I$11,$G168=$G$13,I$13,$G168=$G$15,I$15,$G168=$G$16,I$16,$G168=$G$33,I$33,$G168=$G$34,I$34,$G168=$G$248,I$248,$G168=$G$250,I$250)</f>
        <v>2.1441490000000001</v>
      </c>
      <c r="J168" s="29" cm="1">
        <f t="array" ref="J168">_xlfn.IFS($G168=$G$5,J$5,$G168=$G$6,J$6,$G168=$G$7,J$7,$G168=$G$8,J$8,$G168=$G$9,J$9,$G168=$G$10,J$10,$G168=$G$11,J$11,$G168=$G$13,J$13,$G168=$G$15,J$15,$G168=$G$16,J$16,$G168=$G$33,J$33,$G168=$G$34,J$34,$G168=$G$248,J$248,$G168=$G$250,J$250)</f>
        <v>4</v>
      </c>
      <c r="K168" s="29" t="str" cm="1">
        <f t="array" ref="K168">_xlfn.IFS($G168=$G$5,K$5,$G168=$G$6,K$6,$G168=$G$7,K$7,$G168=$G$8,K$8,$G168=$G$9,K$9,$G168=$G$10,K$10,$G168=$G$11,K$11,$G168=$G$13,K$13,$G168=$G$15,K$15,$G168=$G$16,K$16,$G168=$G$33,K$33,$G168=$G$34,K$34,$G168=$G$248,K$248,$G168=$G$250,K$250)</f>
        <v>BG sentinel + BG lure7</v>
      </c>
      <c r="L168" s="29" t="str" cm="1">
        <f t="array" ref="L168">_xlfn.IFS($G168=$G$5,L$5,$G168=$G$6,L$6,$G168=$G$7,L$7,$G168=$G$8,L$8,$G168=$G$9,L$9,$G168=$G$10,L$10,$G168=$G$11,L$11,$G168=$G$13,L$13,$G168=$G$15,L$15,$G168=$G$16,L$16,$G168=$G$33,L$33,$G168=$G$34,L$34,$G168=$G$248,L$248,$G168=$G$250,L$250)</f>
        <v>Urban habitat</v>
      </c>
      <c r="O168" s="32" t="str">
        <f t="shared" si="10"/>
        <v>A_SP_BCN_10_200916</v>
      </c>
      <c r="P168" s="33">
        <v>44090</v>
      </c>
      <c r="Q168" s="34">
        <v>0.50694444444444442</v>
      </c>
      <c r="R168" s="35"/>
      <c r="S168" s="36">
        <v>44097</v>
      </c>
      <c r="T168" s="37">
        <v>0.52777777777777779</v>
      </c>
      <c r="U168" s="38"/>
      <c r="V168" s="39" t="s">
        <v>66</v>
      </c>
      <c r="W168" s="39" t="s">
        <v>103</v>
      </c>
      <c r="X168" s="29">
        <f t="shared" si="9"/>
        <v>7</v>
      </c>
      <c r="Y168" s="38"/>
      <c r="Z168" s="29" t="s">
        <v>68</v>
      </c>
      <c r="AA168" s="29">
        <f t="shared" si="8"/>
        <v>51</v>
      </c>
      <c r="AB168" s="29" t="s">
        <v>69</v>
      </c>
      <c r="AC168" s="29">
        <v>26</v>
      </c>
      <c r="AD168" s="29">
        <v>25</v>
      </c>
      <c r="AE168" s="29" t="s">
        <v>70</v>
      </c>
      <c r="AF168">
        <v>4</v>
      </c>
    </row>
    <row r="169" spans="1:32" x14ac:dyDescent="0.25">
      <c r="A169" s="28">
        <v>165</v>
      </c>
      <c r="B169" s="29" t="s">
        <v>60</v>
      </c>
      <c r="C169" s="29" t="s">
        <v>61</v>
      </c>
      <c r="D169" s="29" t="s">
        <v>62</v>
      </c>
      <c r="E169" s="29" t="s">
        <v>62</v>
      </c>
      <c r="F169" s="30" cm="1">
        <f t="array" ref="F169">_xlfn.IFS($G169=$G$5,F$5,$G169=$G$6,F$6,$G169=$G$7,F$7,$G169=$G$8,F$8,$G169=$G$9,F$9,$G169=$G$10,F$10,$G169=$G$11,F$11,$G169=$G$13,F$13,$G169=$G$15,F$15,$G169=$G$16,F$16,$G169=$G$33,F$33,$G169=$G$34,F$34,$G169=$G$248,F$248,$G169=$G$250,F$250)</f>
        <v>8038</v>
      </c>
      <c r="G169" s="29" t="s">
        <v>85</v>
      </c>
      <c r="H169" s="31" cm="1">
        <f t="array" ref="H169">_xlfn.IFS($G169=$G$5,H$5,$G169=$G$6,H$6,$G169=$G$7,H$7,$G169=$G$8,H$8,$G169=$G$9,H$9,$G169=$G$10,H$10,$G169=$G$11,H$11,$G169=$G$13,H$13,$G169=$G$15,H$15,$G169=$G$16,H$16,$G169=$G$33,H$33,$G169=$G$34,H$34,$G169=$G$248,H$248,$G169=$G$250,H$250)</f>
        <v>41.367429999999999</v>
      </c>
      <c r="I169" s="31" cm="1">
        <f t="array" ref="I169">_xlfn.IFS($G169=$G$5,I$5,$G169=$G$6,I$6,$G169=$G$7,I$7,$G169=$G$8,I$8,$G169=$G$9,I$9,$G169=$G$10,I$10,$G169=$G$11,I$11,$G169=$G$13,I$13,$G169=$G$15,I$15,$G169=$G$16,I$16,$G169=$G$33,I$33,$G169=$G$34,I$34,$G169=$G$248,I$248,$G169=$G$250,I$250)</f>
        <v>2.1569609999999999</v>
      </c>
      <c r="J169" s="29" cm="1">
        <f t="array" ref="J169">_xlfn.IFS($G169=$G$5,J$5,$G169=$G$6,J$6,$G169=$G$7,J$7,$G169=$G$8,J$8,$G169=$G$9,J$9,$G169=$G$10,J$10,$G169=$G$11,J$11,$G169=$G$13,J$13,$G169=$G$15,J$15,$G169=$G$16,J$16,$G169=$G$33,J$33,$G169=$G$34,J$34,$G169=$G$248,J$248,$G169=$G$250,J$250)</f>
        <v>91</v>
      </c>
      <c r="K169" s="29" t="str" cm="1">
        <f t="array" ref="K169">_xlfn.IFS($G169=$G$5,K$5,$G169=$G$6,K$6,$G169=$G$7,K$7,$G169=$G$8,K$8,$G169=$G$9,K$9,$G169=$G$10,K$10,$G169=$G$11,K$11,$G169=$G$13,K$13,$G169=$G$15,K$15,$G169=$G$16,K$16,$G169=$G$33,K$33,$G169=$G$34,K$34,$G169=$G$248,K$248,$G169=$G$250,K$250)</f>
        <v>BG sentinel + BG lure7</v>
      </c>
      <c r="L169" s="29" t="str" cm="1">
        <f t="array" ref="L169">_xlfn.IFS($G169=$G$5,L$5,$G169=$G$6,L$6,$G169=$G$7,L$7,$G169=$G$8,L$8,$G169=$G$9,L$9,$G169=$G$10,L$10,$G169=$G$11,L$11,$G169=$G$13,L$13,$G169=$G$15,L$15,$G169=$G$16,L$16,$G169=$G$33,L$33,$G169=$G$34,L$34,$G169=$G$248,L$248,$G169=$G$250,L$250)</f>
        <v>Other</v>
      </c>
      <c r="O169" s="32" t="str">
        <f t="shared" si="10"/>
        <v>A_SP_BCN_11_200916</v>
      </c>
      <c r="P169" s="33">
        <v>44090</v>
      </c>
      <c r="Q169" s="34">
        <v>0.53125</v>
      </c>
      <c r="R169" s="35"/>
      <c r="S169" s="36">
        <v>44097</v>
      </c>
      <c r="T169" s="37">
        <v>0.54861111111111105</v>
      </c>
      <c r="U169" s="38"/>
      <c r="V169" s="39" t="s">
        <v>66</v>
      </c>
      <c r="X169" s="29">
        <f t="shared" si="9"/>
        <v>7</v>
      </c>
      <c r="Y169" s="38"/>
      <c r="Z169" s="29" t="s">
        <v>68</v>
      </c>
      <c r="AA169" s="29">
        <f t="shared" si="8"/>
        <v>24</v>
      </c>
      <c r="AB169" s="29" t="s">
        <v>69</v>
      </c>
      <c r="AC169" s="29">
        <v>21</v>
      </c>
      <c r="AD169" s="29">
        <v>3</v>
      </c>
      <c r="AE169" s="29" t="s">
        <v>70</v>
      </c>
      <c r="AF169">
        <v>4</v>
      </c>
    </row>
    <row r="170" spans="1:32" x14ac:dyDescent="0.25">
      <c r="A170" s="28">
        <v>166</v>
      </c>
      <c r="B170" s="29" t="s">
        <v>60</v>
      </c>
      <c r="C170" s="29" t="s">
        <v>61</v>
      </c>
      <c r="D170" s="29" t="s">
        <v>62</v>
      </c>
      <c r="E170" s="29" t="s">
        <v>62</v>
      </c>
      <c r="F170" s="30" cm="1">
        <f t="array" ref="F170">_xlfn.IFS($G170=$G$5,F$5,$G170=$G$6,F$6,$G170=$G$7,F$7,$G170=$G$8,F$8,$G170=$G$9,F$9,$G170=$G$10,F$10,$G170=$G$11,F$11,$G170=$G$13,F$13,$G170=$G$15,F$15,$G170=$G$16,F$16,$G170=$G$33,F$33,$G170=$G$34,F$34,$G170=$G$248,F$248,$G170=$G$250,F$250)</f>
        <v>8038</v>
      </c>
      <c r="G170" s="29" t="s">
        <v>86</v>
      </c>
      <c r="H170" s="31" cm="1">
        <f t="array" ref="H170">_xlfn.IFS($G170=$G$5,H$5,$G170=$G$6,H$6,$G170=$G$7,H$7,$G170=$G$8,H$8,$G170=$G$9,H$9,$G170=$G$10,H$10,$G170=$G$11,H$11,$G170=$G$13,H$13,$G170=$G$15,H$15,$G170=$G$16,H$16,$G170=$G$33,H$33,$G170=$G$34,H$34,$G170=$G$248,H$248,$G170=$G$250,H$250)</f>
        <v>41.363377999999997</v>
      </c>
      <c r="I170" s="31" cm="1">
        <f t="array" ref="I170">_xlfn.IFS($G170=$G$5,I$5,$G170=$G$6,I$6,$G170=$G$7,I$7,$G170=$G$8,I$8,$G170=$G$9,I$9,$G170=$G$10,I$10,$G170=$G$11,I$11,$G170=$G$13,I$13,$G170=$G$15,I$15,$G170=$G$16,I$16,$G170=$G$33,I$33,$G170=$G$34,I$34,$G170=$G$248,I$248,$G170=$G$250,I$250)</f>
        <v>2.164879</v>
      </c>
      <c r="J170" s="29" cm="1">
        <f t="array" ref="J170">_xlfn.IFS($G170=$G$5,J$5,$G170=$G$6,J$6,$G170=$G$7,J$7,$G170=$G$8,J$8,$G170=$G$9,J$9,$G170=$G$10,J$10,$G170=$G$11,J$11,$G170=$G$13,J$13,$G170=$G$15,J$15,$G170=$G$16,J$16,$G170=$G$33,J$33,$G170=$G$34,J$34,$G170=$G$248,J$248,$G170=$G$250,J$250)</f>
        <v>185</v>
      </c>
      <c r="K170" s="29" t="str" cm="1">
        <f t="array" ref="K170">_xlfn.IFS($G170=$G$5,K$5,$G170=$G$6,K$6,$G170=$G$7,K$7,$G170=$G$8,K$8,$G170=$G$9,K$9,$G170=$G$10,K$10,$G170=$G$11,K$11,$G170=$G$13,K$13,$G170=$G$15,K$15,$G170=$G$16,K$16,$G170=$G$33,K$33,$G170=$G$34,K$34,$G170=$G$248,K$248,$G170=$G$250,K$250)</f>
        <v>BG sentinel + BG lure7</v>
      </c>
      <c r="L170" s="29" t="str" cm="1">
        <f t="array" ref="L170">_xlfn.IFS($G170=$G$5,L$5,$G170=$G$6,L$6,$G170=$G$7,L$7,$G170=$G$8,L$8,$G170=$G$9,L$9,$G170=$G$10,L$10,$G170=$G$11,L$11,$G170=$G$13,L$13,$G170=$G$15,L$15,$G170=$G$16,L$16,$G170=$G$33,L$33,$G170=$G$34,L$34,$G170=$G$248,L$248,$G170=$G$250,L$250)</f>
        <v>Other</v>
      </c>
      <c r="O170" s="32" t="str">
        <f t="shared" si="10"/>
        <v>A_SP_BCN_12_200916</v>
      </c>
      <c r="P170" s="33">
        <v>44090</v>
      </c>
      <c r="Q170" s="34">
        <v>0.54166666666666663</v>
      </c>
      <c r="R170" s="35"/>
      <c r="S170" s="36">
        <v>44097</v>
      </c>
      <c r="T170" s="37">
        <v>0.57291666666666663</v>
      </c>
      <c r="U170" s="38"/>
      <c r="V170" s="39" t="s">
        <v>66</v>
      </c>
      <c r="X170" s="29">
        <f t="shared" si="9"/>
        <v>7</v>
      </c>
      <c r="Y170" s="38"/>
      <c r="Z170" s="29" t="s">
        <v>68</v>
      </c>
      <c r="AA170" s="29">
        <f t="shared" si="8"/>
        <v>5</v>
      </c>
      <c r="AB170" s="29" t="s">
        <v>69</v>
      </c>
      <c r="AC170" s="29">
        <v>5</v>
      </c>
      <c r="AD170" s="29">
        <v>0</v>
      </c>
      <c r="AE170" s="29" t="s">
        <v>70</v>
      </c>
      <c r="AF170">
        <v>4</v>
      </c>
    </row>
    <row r="171" spans="1:32" x14ac:dyDescent="0.25">
      <c r="A171" s="28">
        <v>167</v>
      </c>
      <c r="B171" s="29" t="s">
        <v>60</v>
      </c>
      <c r="C171" s="29" t="s">
        <v>61</v>
      </c>
      <c r="D171" s="29" t="s">
        <v>62</v>
      </c>
      <c r="E171" s="29" t="s">
        <v>62</v>
      </c>
      <c r="F171" s="30" cm="1">
        <f t="array" ref="F171">_xlfn.IFS($G171=$G$5,F$5,$G171=$G$6,F$6,$G171=$G$7,F$7,$G171=$G$8,F$8,$G171=$G$9,F$9,$G171=$G$10,F$10,$G171=$G$11,F$11,$G171=$G$13,F$13,$G171=$G$15,F$15,$G171=$G$16,F$16,$G171=$G$33,F$33,$G171=$G$34,F$34,$G171=$G$248,F$248,$G171=$G$250,F$250)</f>
        <v>8038</v>
      </c>
      <c r="G171" s="29" t="s">
        <v>86</v>
      </c>
      <c r="H171" s="31" cm="1">
        <f t="array" ref="H171">_xlfn.IFS($G171=$G$5,H$5,$G171=$G$6,H$6,$G171=$G$7,H$7,$G171=$G$8,H$8,$G171=$G$9,H$9,$G171=$G$10,H$10,$G171=$G$11,H$11,$G171=$G$13,H$13,$G171=$G$15,H$15,$G171=$G$16,H$16,$G171=$G$33,H$33,$G171=$G$34,H$34,$G171=$G$248,H$248,$G171=$G$250,H$250)</f>
        <v>41.363377999999997</v>
      </c>
      <c r="I171" s="31" cm="1">
        <f t="array" ref="I171">_xlfn.IFS($G171=$G$5,I$5,$G171=$G$6,I$6,$G171=$G$7,I$7,$G171=$G$8,I$8,$G171=$G$9,I$9,$G171=$G$10,I$10,$G171=$G$11,I$11,$G171=$G$13,I$13,$G171=$G$15,I$15,$G171=$G$16,I$16,$G171=$G$33,I$33,$G171=$G$34,I$34,$G171=$G$248,I$248,$G171=$G$250,I$250)</f>
        <v>2.164879</v>
      </c>
      <c r="J171" s="29" cm="1">
        <f t="array" ref="J171">_xlfn.IFS($G171=$G$5,J$5,$G171=$G$6,J$6,$G171=$G$7,J$7,$G171=$G$8,J$8,$G171=$G$9,J$9,$G171=$G$10,J$10,$G171=$G$11,J$11,$G171=$G$13,J$13,$G171=$G$15,J$15,$G171=$G$16,J$16,$G171=$G$33,J$33,$G171=$G$34,J$34,$G171=$G$248,J$248,$G171=$G$250,J$250)</f>
        <v>185</v>
      </c>
      <c r="K171" s="29" t="str" cm="1">
        <f t="array" ref="K171">_xlfn.IFS($G171=$G$5,K$5,$G171=$G$6,K$6,$G171=$G$7,K$7,$G171=$G$8,K$8,$G171=$G$9,K$9,$G171=$G$10,K$10,$G171=$G$11,K$11,$G171=$G$13,K$13,$G171=$G$15,K$15,$G171=$G$16,K$16,$G171=$G$33,K$33,$G171=$G$34,K$34,$G171=$G$248,K$248,$G171=$G$250,K$250)</f>
        <v>BG sentinel + BG lure7</v>
      </c>
      <c r="L171" s="29" t="str" cm="1">
        <f t="array" ref="L171">_xlfn.IFS($G171=$G$5,L$5,$G171=$G$6,L$6,$G171=$G$7,L$7,$G171=$G$8,L$8,$G171=$G$9,L$9,$G171=$G$10,L$10,$G171=$G$11,L$11,$G171=$G$13,L$13,$G171=$G$15,L$15,$G171=$G$16,L$16,$G171=$G$33,L$33,$G171=$G$34,L$34,$G171=$G$248,L$248,$G171=$G$250,L$250)</f>
        <v>Other</v>
      </c>
      <c r="O171" s="32" t="str">
        <f t="shared" si="10"/>
        <v>A_SP_BCN_12_200916</v>
      </c>
      <c r="P171" s="33">
        <v>44090</v>
      </c>
      <c r="Q171" s="34">
        <v>0.54166666666666663</v>
      </c>
      <c r="R171" s="35"/>
      <c r="S171" s="36">
        <v>44097</v>
      </c>
      <c r="T171" s="37">
        <v>0.57291666666666663</v>
      </c>
      <c r="U171" s="38"/>
      <c r="V171" s="39" t="s">
        <v>66</v>
      </c>
      <c r="X171" s="29">
        <f t="shared" si="9"/>
        <v>7</v>
      </c>
      <c r="Y171" s="38"/>
      <c r="Z171" s="29" t="s">
        <v>75</v>
      </c>
      <c r="AA171" s="29">
        <f t="shared" si="8"/>
        <v>14</v>
      </c>
      <c r="AB171" s="29" t="s">
        <v>69</v>
      </c>
      <c r="AC171" s="29">
        <v>12</v>
      </c>
      <c r="AD171" s="29">
        <v>2</v>
      </c>
      <c r="AE171" s="29" t="s">
        <v>70</v>
      </c>
      <c r="AF171">
        <v>4</v>
      </c>
    </row>
    <row r="172" spans="1:32" x14ac:dyDescent="0.25">
      <c r="A172" s="28">
        <v>168</v>
      </c>
      <c r="B172" s="29" t="s">
        <v>60</v>
      </c>
      <c r="C172" s="29" t="s">
        <v>61</v>
      </c>
      <c r="D172" s="29" t="s">
        <v>62</v>
      </c>
      <c r="E172" s="29" t="s">
        <v>62</v>
      </c>
      <c r="F172" s="30" cm="1">
        <f t="array" ref="F172">_xlfn.IFS($G172=$G$5,F$5,$G172=$G$6,F$6,$G172=$G$7,F$7,$G172=$G$8,F$8,$G172=$G$9,F$9,$G172=$G$10,F$10,$G172=$G$11,F$11,$G172=$G$13,F$13,$G172=$G$15,F$15,$G172=$G$16,F$16,$G172=$G$33,F$33,$G172=$G$34,F$34,$G172=$G$248,F$248,$G172=$G$250,F$250)</f>
        <v>8024</v>
      </c>
      <c r="G172" s="29" t="s">
        <v>63</v>
      </c>
      <c r="H172" s="31" cm="1">
        <f t="array" ref="H172">_xlfn.IFS($G172=$G$5,H$5,$G172=$G$6,H$6,$G172=$G$7,H$7,$G172=$G$8,H$8,$G172=$G$9,H$9,$G172=$G$10,H$10,$G172=$G$11,H$11,$G172=$G$13,H$13,$G172=$G$15,H$15,$G172=$G$16,H$16,$G172=$G$33,H$33,$G172=$G$34,H$34,$G172=$G$248,H$248,$G172=$G$250,H$250)</f>
        <v>41.413573999999997</v>
      </c>
      <c r="I172" s="31" cm="1">
        <f t="array" ref="I172">_xlfn.IFS($G172=$G$5,I$5,$G172=$G$6,I$6,$G172=$G$7,I$7,$G172=$G$8,I$8,$G172=$G$9,I$9,$G172=$G$10,I$10,$G172=$G$11,I$11,$G172=$G$13,I$13,$G172=$G$15,I$15,$G172=$G$16,I$16,$G172=$G$33,I$33,$G172=$G$34,I$34,$G172=$G$248,I$248,$G172=$G$250,I$250)</f>
        <v>2.1520730000000001</v>
      </c>
      <c r="J172" s="29" cm="1">
        <f t="array" ref="J172">_xlfn.IFS($G172=$G$5,J$5,$G172=$G$6,J$6,$G172=$G$7,J$7,$G172=$G$8,J$8,$G172=$G$9,J$9,$G172=$G$10,J$10,$G172=$G$11,J$11,$G172=$G$13,J$13,$G172=$G$15,J$15,$G172=$G$16,J$16,$G172=$G$33,J$33,$G172=$G$34,J$34,$G172=$G$248,J$248,$G172=$G$250,J$250)</f>
        <v>141</v>
      </c>
      <c r="K172" s="29" t="str" cm="1">
        <f t="array" ref="K172">_xlfn.IFS($G172=$G$5,K$5,$G172=$G$6,K$6,$G172=$G$7,K$7,$G172=$G$8,K$8,$G172=$G$9,K$9,$G172=$G$10,K$10,$G172=$G$11,K$11,$G172=$G$13,K$13,$G172=$G$15,K$15,$G172=$G$16,K$16,$G172=$G$33,K$33,$G172=$G$34,K$34,$G172=$G$248,K$248,$G172=$G$250,K$250)</f>
        <v>BG sentinel + BG lure7</v>
      </c>
      <c r="L172" s="29" t="str" cm="1">
        <f t="array" ref="L172">_xlfn.IFS($G172=$G$5,L$5,$G172=$G$6,L$6,$G172=$G$7,L$7,$G172=$G$8,L$8,$G172=$G$9,L$9,$G172=$G$10,L$10,$G172=$G$11,L$11,$G172=$G$13,L$13,$G172=$G$15,L$15,$G172=$G$16,L$16,$G172=$G$33,L$33,$G172=$G$34,L$34,$G172=$G$248,L$248,$G172=$G$250,L$250)</f>
        <v>Urban habitat</v>
      </c>
      <c r="O172" s="32" t="str">
        <f t="shared" si="10"/>
        <v>A_SP_BCN_1_200923</v>
      </c>
      <c r="P172" s="33">
        <v>44097</v>
      </c>
      <c r="Q172" s="34">
        <v>0.67708333333333337</v>
      </c>
      <c r="R172" s="35"/>
      <c r="S172" s="36">
        <v>44104</v>
      </c>
      <c r="T172" s="37">
        <v>0.69097222222222221</v>
      </c>
      <c r="U172" s="38"/>
      <c r="V172" s="39" t="s">
        <v>66</v>
      </c>
      <c r="X172" s="29">
        <f t="shared" si="9"/>
        <v>7</v>
      </c>
      <c r="Y172" s="38"/>
      <c r="Z172" s="29" t="s">
        <v>68</v>
      </c>
      <c r="AA172" s="29">
        <f t="shared" si="8"/>
        <v>45</v>
      </c>
      <c r="AB172" s="29" t="s">
        <v>69</v>
      </c>
      <c r="AC172" s="29">
        <v>34</v>
      </c>
      <c r="AD172" s="29">
        <v>11</v>
      </c>
      <c r="AE172" s="29" t="s">
        <v>70</v>
      </c>
      <c r="AF172">
        <v>4</v>
      </c>
    </row>
    <row r="173" spans="1:32" x14ac:dyDescent="0.25">
      <c r="A173" s="28">
        <v>169</v>
      </c>
      <c r="B173" s="29" t="s">
        <v>60</v>
      </c>
      <c r="C173" s="29" t="s">
        <v>61</v>
      </c>
      <c r="D173" s="29" t="s">
        <v>62</v>
      </c>
      <c r="E173" s="29" t="s">
        <v>62</v>
      </c>
      <c r="F173" s="30" cm="1">
        <f t="array" ref="F173">_xlfn.IFS($G173=$G$5,F$5,$G173=$G$6,F$6,$G173=$G$7,F$7,$G173=$G$8,F$8,$G173=$G$9,F$9,$G173=$G$10,F$10,$G173=$G$11,F$11,$G173=$G$13,F$13,$G173=$G$15,F$15,$G173=$G$16,F$16,$G173=$G$33,F$33,$G173=$G$34,F$34,$G173=$G$248,F$248,$G173=$G$250,F$250)</f>
        <v>8024</v>
      </c>
      <c r="G173" s="29" t="s">
        <v>63</v>
      </c>
      <c r="H173" s="31" cm="1">
        <f t="array" ref="H173">_xlfn.IFS($G173=$G$5,H$5,$G173=$G$6,H$6,$G173=$G$7,H$7,$G173=$G$8,H$8,$G173=$G$9,H$9,$G173=$G$10,H$10,$G173=$G$11,H$11,$G173=$G$13,H$13,$G173=$G$15,H$15,$G173=$G$16,H$16,$G173=$G$33,H$33,$G173=$G$34,H$34,$G173=$G$248,H$248,$G173=$G$250,H$250)</f>
        <v>41.413573999999997</v>
      </c>
      <c r="I173" s="31" cm="1">
        <f t="array" ref="I173">_xlfn.IFS($G173=$G$5,I$5,$G173=$G$6,I$6,$G173=$G$7,I$7,$G173=$G$8,I$8,$G173=$G$9,I$9,$G173=$G$10,I$10,$G173=$G$11,I$11,$G173=$G$13,I$13,$G173=$G$15,I$15,$G173=$G$16,I$16,$G173=$G$33,I$33,$G173=$G$34,I$34,$G173=$G$248,I$248,$G173=$G$250,I$250)</f>
        <v>2.1520730000000001</v>
      </c>
      <c r="J173" s="29" cm="1">
        <f t="array" ref="J173">_xlfn.IFS($G173=$G$5,J$5,$G173=$G$6,J$6,$G173=$G$7,J$7,$G173=$G$8,J$8,$G173=$G$9,J$9,$G173=$G$10,J$10,$G173=$G$11,J$11,$G173=$G$13,J$13,$G173=$G$15,J$15,$G173=$G$16,J$16,$G173=$G$33,J$33,$G173=$G$34,J$34,$G173=$G$248,J$248,$G173=$G$250,J$250)</f>
        <v>141</v>
      </c>
      <c r="K173" s="29" t="str" cm="1">
        <f t="array" ref="K173">_xlfn.IFS($G173=$G$5,K$5,$G173=$G$6,K$6,$G173=$G$7,K$7,$G173=$G$8,K$8,$G173=$G$9,K$9,$G173=$G$10,K$10,$G173=$G$11,K$11,$G173=$G$13,K$13,$G173=$G$15,K$15,$G173=$G$16,K$16,$G173=$G$33,K$33,$G173=$G$34,K$34,$G173=$G$248,K$248,$G173=$G$250,K$250)</f>
        <v>BG sentinel + BG lure7</v>
      </c>
      <c r="L173" s="29" t="str" cm="1">
        <f t="array" ref="L173">_xlfn.IFS($G173=$G$5,L$5,$G173=$G$6,L$6,$G173=$G$7,L$7,$G173=$G$8,L$8,$G173=$G$9,L$9,$G173=$G$10,L$10,$G173=$G$11,L$11,$G173=$G$13,L$13,$G173=$G$15,L$15,$G173=$G$16,L$16,$G173=$G$33,L$33,$G173=$G$34,L$34,$G173=$G$248,L$248,$G173=$G$250,L$250)</f>
        <v>Urban habitat</v>
      </c>
      <c r="O173" s="32" t="str">
        <f t="shared" si="10"/>
        <v>A_SP_BCN_1_200923</v>
      </c>
      <c r="P173" s="33">
        <v>44097</v>
      </c>
      <c r="Q173" s="34">
        <v>0.67708333333333337</v>
      </c>
      <c r="R173" s="35"/>
      <c r="S173" s="36">
        <v>44104</v>
      </c>
      <c r="T173" s="37">
        <v>0.69097222222222221</v>
      </c>
      <c r="U173" s="38"/>
      <c r="V173" s="39" t="s">
        <v>66</v>
      </c>
      <c r="X173" s="29">
        <f t="shared" si="9"/>
        <v>7</v>
      </c>
      <c r="Y173" s="38"/>
      <c r="Z173" s="29" t="s">
        <v>84</v>
      </c>
      <c r="AA173" s="29">
        <f t="shared" si="8"/>
        <v>1</v>
      </c>
      <c r="AB173" s="29" t="s">
        <v>69</v>
      </c>
      <c r="AC173" s="29">
        <v>0</v>
      </c>
      <c r="AD173" s="29">
        <v>1</v>
      </c>
      <c r="AE173" s="29" t="s">
        <v>70</v>
      </c>
      <c r="AF173">
        <v>4</v>
      </c>
    </row>
    <row r="174" spans="1:32" x14ac:dyDescent="0.25">
      <c r="A174" s="28">
        <v>170</v>
      </c>
      <c r="B174" s="29" t="s">
        <v>60</v>
      </c>
      <c r="C174" s="29" t="s">
        <v>61</v>
      </c>
      <c r="D174" s="29" t="s">
        <v>62</v>
      </c>
      <c r="E174" s="29" t="s">
        <v>62</v>
      </c>
      <c r="F174" s="30" cm="1">
        <f t="array" ref="F174">_xlfn.IFS($G174=$G$5,F$5,$G174=$G$6,F$6,$G174=$G$7,F$7,$G174=$G$8,F$8,$G174=$G$9,F$9,$G174=$G$10,F$10,$G174=$G$11,F$11,$G174=$G$13,F$13,$G174=$G$15,F$15,$G174=$G$16,F$16,$G174=$G$33,F$33,$G174=$G$34,F$34,$G174=$G$248,F$248,$G174=$G$250,F$250)</f>
        <v>8035</v>
      </c>
      <c r="G174" s="29" t="s">
        <v>71</v>
      </c>
      <c r="H174" s="31" cm="1">
        <f t="array" ref="H174">_xlfn.IFS($G174=$G$5,H$5,$G174=$G$6,H$6,$G174=$G$7,H$7,$G174=$G$8,H$8,$G174=$G$9,H$9,$G174=$G$10,H$10,$G174=$G$11,H$11,$G174=$G$13,H$13,$G174=$G$15,H$15,$G174=$G$16,H$16,$G174=$G$33,H$33,$G174=$G$34,H$34,$G174=$G$248,H$248,$G174=$G$250,H$250)</f>
        <v>41.424387000000003</v>
      </c>
      <c r="I174" s="31" cm="1">
        <f t="array" ref="I174">_xlfn.IFS($G174=$G$5,I$5,$G174=$G$6,I$6,$G174=$G$7,I$7,$G174=$G$8,I$8,$G174=$G$9,I$9,$G174=$G$10,I$10,$G174=$G$11,I$11,$G174=$G$13,I$13,$G174=$G$15,I$15,$G174=$G$16,I$16,$G174=$G$33,I$33,$G174=$G$34,I$34,$G174=$G$248,I$248,$G174=$G$250,I$250)</f>
        <v>2.1431439999999999</v>
      </c>
      <c r="J174" s="29" cm="1">
        <f t="array" ref="J174">_xlfn.IFS($G174=$G$5,J$5,$G174=$G$6,J$6,$G174=$G$7,J$7,$G174=$G$8,J$8,$G174=$G$9,J$9,$G174=$G$10,J$10,$G174=$G$11,J$11,$G174=$G$13,J$13,$G174=$G$15,J$15,$G174=$G$16,J$16,$G174=$G$33,J$33,$G174=$G$34,J$34,$G174=$G$248,J$248,$G174=$G$250,J$250)</f>
        <v>160</v>
      </c>
      <c r="K174" s="29" t="str" cm="1">
        <f t="array" ref="K174">_xlfn.IFS($G174=$G$5,K$5,$G174=$G$6,K$6,$G174=$G$7,K$7,$G174=$G$8,K$8,$G174=$G$9,K$9,$G174=$G$10,K$10,$G174=$G$11,K$11,$G174=$G$13,K$13,$G174=$G$15,K$15,$G174=$G$16,K$16,$G174=$G$33,K$33,$G174=$G$34,K$34,$G174=$G$248,K$248,$G174=$G$250,K$250)</f>
        <v>BG sentinel + BG lure7</v>
      </c>
      <c r="L174" s="29" t="str" cm="1">
        <f t="array" ref="L174">_xlfn.IFS($G174=$G$5,L$5,$G174=$G$6,L$6,$G174=$G$7,L$7,$G174=$G$8,L$8,$G174=$G$9,L$9,$G174=$G$10,L$10,$G174=$G$11,L$11,$G174=$G$13,L$13,$G174=$G$15,L$15,$G174=$G$16,L$16,$G174=$G$33,L$33,$G174=$G$34,L$34,$G174=$G$248,L$248,$G174=$G$250,L$250)</f>
        <v>Urban habitat</v>
      </c>
      <c r="O174" s="32" t="str">
        <f t="shared" si="10"/>
        <v>A_SP_BCN_2_200923</v>
      </c>
      <c r="P174" s="33">
        <v>44097</v>
      </c>
      <c r="Q174" s="34">
        <v>0.69791666666666663</v>
      </c>
      <c r="R174" s="35"/>
      <c r="S174" s="36">
        <v>44104</v>
      </c>
      <c r="T174" s="37">
        <v>0.71875</v>
      </c>
      <c r="U174" s="38"/>
      <c r="V174" s="39" t="s">
        <v>66</v>
      </c>
      <c r="W174" s="39" t="s">
        <v>101</v>
      </c>
      <c r="X174" s="29">
        <f t="shared" si="9"/>
        <v>7</v>
      </c>
      <c r="Y174" s="38"/>
      <c r="Z174" s="29" t="s">
        <v>68</v>
      </c>
      <c r="AA174" s="29">
        <f t="shared" si="8"/>
        <v>11</v>
      </c>
      <c r="AB174" s="29" t="s">
        <v>69</v>
      </c>
      <c r="AC174" s="29">
        <v>9</v>
      </c>
      <c r="AD174" s="29">
        <v>2</v>
      </c>
      <c r="AE174" s="29" t="s">
        <v>70</v>
      </c>
      <c r="AF174">
        <v>4</v>
      </c>
    </row>
    <row r="175" spans="1:32" x14ac:dyDescent="0.25">
      <c r="A175" s="28">
        <v>171</v>
      </c>
      <c r="B175" s="29" t="s">
        <v>60</v>
      </c>
      <c r="C175" s="29" t="s">
        <v>61</v>
      </c>
      <c r="D175" s="29" t="s">
        <v>62</v>
      </c>
      <c r="E175" s="29" t="s">
        <v>62</v>
      </c>
      <c r="F175" s="30" cm="1">
        <f t="array" ref="F175">_xlfn.IFS($G175=$G$5,F$5,$G175=$G$6,F$6,$G175=$G$7,F$7,$G175=$G$8,F$8,$G175=$G$9,F$9,$G175=$G$10,F$10,$G175=$G$11,F$11,$G175=$G$13,F$13,$G175=$G$15,F$15,$G175=$G$16,F$16,$G175=$G$33,F$33,$G175=$G$34,F$34,$G175=$G$248,F$248,$G175=$G$250,F$250)</f>
        <v>8016</v>
      </c>
      <c r="G175" s="29" t="s">
        <v>72</v>
      </c>
      <c r="H175" s="31" cm="1">
        <f t="array" ref="H175">_xlfn.IFS($G175=$G$5,H$5,$G175=$G$6,H$6,$G175=$G$7,H$7,$G175=$G$8,H$8,$G175=$G$9,H$9,$G175=$G$10,H$10,$G175=$G$11,H$11,$G175=$G$13,H$13,$G175=$G$15,H$15,$G175=$G$16,H$16,$G175=$G$33,H$33,$G175=$G$34,H$34,$G175=$G$248,H$248,$G175=$G$250,H$250)</f>
        <v>41.437435000000001</v>
      </c>
      <c r="I175" s="31" cm="1">
        <f t="array" ref="I175">_xlfn.IFS($G175=$G$5,I$5,$G175=$G$6,I$6,$G175=$G$7,I$7,$G175=$G$8,I$8,$G175=$G$9,I$9,$G175=$G$10,I$10,$G175=$G$11,I$11,$G175=$G$13,I$13,$G175=$G$15,I$15,$G175=$G$16,I$16,$G175=$G$33,I$33,$G175=$G$34,I$34,$G175=$G$248,I$248,$G175=$G$250,I$250)</f>
        <v>2.1812779999999998</v>
      </c>
      <c r="J175" s="29" cm="1">
        <f t="array" ref="J175">_xlfn.IFS($G175=$G$5,J$5,$G175=$G$6,J$6,$G175=$G$7,J$7,$G175=$G$8,J$8,$G175=$G$9,J$9,$G175=$G$10,J$10,$G175=$G$11,J$11,$G175=$G$13,J$13,$G175=$G$15,J$15,$G175=$G$16,J$16,$G175=$G$33,J$33,$G175=$G$34,J$34,$G175=$G$248,J$248,$G175=$G$250,J$250)</f>
        <v>47</v>
      </c>
      <c r="K175" s="29" t="str" cm="1">
        <f t="array" ref="K175">_xlfn.IFS($G175=$G$5,K$5,$G175=$G$6,K$6,$G175=$G$7,K$7,$G175=$G$8,K$8,$G175=$G$9,K$9,$G175=$G$10,K$10,$G175=$G$11,K$11,$G175=$G$13,K$13,$G175=$G$15,K$15,$G175=$G$16,K$16,$G175=$G$33,K$33,$G175=$G$34,K$34,$G175=$G$248,K$248,$G175=$G$250,K$250)</f>
        <v>BG sentinel + BG lure7</v>
      </c>
      <c r="L175" s="29" t="str" cm="1">
        <f t="array" ref="L175">_xlfn.IFS($G175=$G$5,L$5,$G175=$G$6,L$6,$G175=$G$7,L$7,$G175=$G$8,L$8,$G175=$G$9,L$9,$G175=$G$10,L$10,$G175=$G$11,L$11,$G175=$G$13,L$13,$G175=$G$15,L$15,$G175=$G$16,L$16,$G175=$G$33,L$33,$G175=$G$34,L$34,$G175=$G$248,L$248,$G175=$G$250,L$250)</f>
        <v>Urban habitat</v>
      </c>
      <c r="O175" s="32" t="str">
        <f t="shared" si="10"/>
        <v>A_SP_BCN_3_200923</v>
      </c>
      <c r="P175" s="33">
        <v>44097</v>
      </c>
      <c r="Q175" s="34">
        <v>0.72916666666666663</v>
      </c>
      <c r="R175" s="35"/>
      <c r="S175" s="36">
        <v>44104</v>
      </c>
      <c r="T175" s="37">
        <v>0.77083333333333337</v>
      </c>
      <c r="U175" s="38"/>
      <c r="V175" s="39" t="s">
        <v>66</v>
      </c>
      <c r="X175" s="29">
        <f t="shared" si="9"/>
        <v>7</v>
      </c>
      <c r="Y175" s="38"/>
      <c r="Z175" s="29" t="s">
        <v>68</v>
      </c>
      <c r="AA175" s="29">
        <f t="shared" si="8"/>
        <v>27</v>
      </c>
      <c r="AB175" s="29" t="s">
        <v>69</v>
      </c>
      <c r="AC175" s="29">
        <v>22</v>
      </c>
      <c r="AD175" s="29">
        <v>5</v>
      </c>
      <c r="AE175" s="29" t="s">
        <v>70</v>
      </c>
      <c r="AF175">
        <v>4</v>
      </c>
    </row>
    <row r="176" spans="1:32" x14ac:dyDescent="0.25">
      <c r="A176" s="28">
        <v>172</v>
      </c>
      <c r="B176" s="29" t="s">
        <v>60</v>
      </c>
      <c r="C176" s="29" t="s">
        <v>61</v>
      </c>
      <c r="D176" s="29" t="s">
        <v>62</v>
      </c>
      <c r="E176" s="29" t="s">
        <v>62</v>
      </c>
      <c r="F176" s="30" cm="1">
        <f t="array" ref="F176">_xlfn.IFS($G176=$G$5,F$5,$G176=$G$6,F$6,$G176=$G$7,F$7,$G176=$G$8,F$8,$G176=$G$9,F$9,$G176=$G$10,F$10,$G176=$G$11,F$11,$G176=$G$13,F$13,$G176=$G$15,F$15,$G176=$G$16,F$16,$G176=$G$33,F$33,$G176=$G$34,F$34,$G176=$G$248,F$248,$G176=$G$250,F$250)</f>
        <v>8018</v>
      </c>
      <c r="G176" s="29" t="s">
        <v>73</v>
      </c>
      <c r="H176" s="31" cm="1">
        <f t="array" ref="H176">_xlfn.IFS($G176=$G$5,H$5,$G176=$G$6,H$6,$G176=$G$7,H$7,$G176=$G$8,H$8,$G176=$G$9,H$9,$G176=$G$10,H$10,$G176=$G$11,H$11,$G176=$G$13,H$13,$G176=$G$15,H$15,$G176=$G$16,H$16,$G176=$G$33,H$33,$G176=$G$34,H$34,$G176=$G$248,H$248,$G176=$G$250,H$250)</f>
        <v>41.404924999999999</v>
      </c>
      <c r="I176" s="31" cm="1">
        <f t="array" ref="I176">_xlfn.IFS($G176=$G$5,I$5,$G176=$G$6,I$6,$G176=$G$7,I$7,$G176=$G$8,I$8,$G176=$G$9,I$9,$G176=$G$10,I$10,$G176=$G$11,I$11,$G176=$G$13,I$13,$G176=$G$15,I$15,$G176=$G$16,I$16,$G176=$G$33,I$33,$G176=$G$34,I$34,$G176=$G$248,I$248,$G176=$G$250,I$250)</f>
        <v>2.1987909999999999</v>
      </c>
      <c r="J176" s="29" cm="1">
        <f t="array" ref="J176">_xlfn.IFS($G176=$G$5,J$5,$G176=$G$6,J$6,$G176=$G$7,J$7,$G176=$G$8,J$8,$G176=$G$9,J$9,$G176=$G$10,J$10,$G176=$G$11,J$11,$G176=$G$13,J$13,$G176=$G$15,J$15,$G176=$G$16,J$16,$G176=$G$33,J$33,$G176=$G$34,J$34,$G176=$G$248,J$248,$G176=$G$250,J$250)</f>
        <v>4</v>
      </c>
      <c r="K176" s="29" t="str" cm="1">
        <f t="array" ref="K176">_xlfn.IFS($G176=$G$5,K$5,$G176=$G$6,K$6,$G176=$G$7,K$7,$G176=$G$8,K$8,$G176=$G$9,K$9,$G176=$G$10,K$10,$G176=$G$11,K$11,$G176=$G$13,K$13,$G176=$G$15,K$15,$G176=$G$16,K$16,$G176=$G$33,K$33,$G176=$G$34,K$34,$G176=$G$248,K$248,$G176=$G$250,K$250)</f>
        <v>BG sentinel + BG lure7</v>
      </c>
      <c r="L176" s="29" t="str" cm="1">
        <f t="array" ref="L176">_xlfn.IFS($G176=$G$5,L$5,$G176=$G$6,L$6,$G176=$G$7,L$7,$G176=$G$8,L$8,$G176=$G$9,L$9,$G176=$G$10,L$10,$G176=$G$11,L$11,$G176=$G$13,L$13,$G176=$G$15,L$15,$G176=$G$16,L$16,$G176=$G$33,L$33,$G176=$G$34,L$34,$G176=$G$248,L$248,$G176=$G$250,L$250)</f>
        <v>Urban habitat</v>
      </c>
      <c r="O176" s="32" t="str">
        <f t="shared" si="10"/>
        <v>A_SP_BCN_4_200923</v>
      </c>
      <c r="P176" s="33">
        <v>44097</v>
      </c>
      <c r="Q176" s="34">
        <v>0.75</v>
      </c>
      <c r="R176" s="35"/>
      <c r="S176" s="36">
        <v>44104</v>
      </c>
      <c r="T176" s="37">
        <v>0.79513888888888884</v>
      </c>
      <c r="U176" s="38"/>
      <c r="V176" s="39" t="s">
        <v>99</v>
      </c>
      <c r="X176" s="29">
        <f t="shared" si="9"/>
        <v>7</v>
      </c>
      <c r="Y176" s="38"/>
      <c r="Z176" s="29" t="s">
        <v>68</v>
      </c>
      <c r="AA176" s="29">
        <f t="shared" si="8"/>
        <v>9</v>
      </c>
      <c r="AB176" s="29" t="s">
        <v>69</v>
      </c>
      <c r="AC176" s="29">
        <v>7</v>
      </c>
      <c r="AD176" s="29">
        <v>2</v>
      </c>
      <c r="AE176" s="29" t="s">
        <v>70</v>
      </c>
      <c r="AF176">
        <v>2</v>
      </c>
    </row>
    <row r="177" spans="1:32" x14ac:dyDescent="0.25">
      <c r="A177" s="28">
        <v>173</v>
      </c>
      <c r="B177" s="29" t="s">
        <v>60</v>
      </c>
      <c r="C177" s="29" t="s">
        <v>61</v>
      </c>
      <c r="D177" s="29" t="s">
        <v>62</v>
      </c>
      <c r="E177" s="29" t="s">
        <v>62</v>
      </c>
      <c r="F177" s="30" cm="1">
        <f t="array" ref="F177">_xlfn.IFS($G177=$G$5,F$5,$G177=$G$6,F$6,$G177=$G$7,F$7,$G177=$G$8,F$8,$G177=$G$9,F$9,$G177=$G$10,F$10,$G177=$G$11,F$11,$G177=$G$13,F$13,$G177=$G$15,F$15,$G177=$G$16,F$16,$G177=$G$33,F$33,$G177=$G$34,F$34,$G177=$G$248,F$248,$G177=$G$250,F$250)</f>
        <v>8019</v>
      </c>
      <c r="G177" s="29" t="s">
        <v>74</v>
      </c>
      <c r="H177" s="31" cm="1">
        <f t="array" ref="H177">_xlfn.IFS($G177=$G$5,H$5,$G177=$G$6,H$6,$G177=$G$7,H$7,$G177=$G$8,H$8,$G177=$G$9,H$9,$G177=$G$10,H$10,$G177=$G$11,H$11,$G177=$G$13,H$13,$G177=$G$15,H$15,$G177=$G$16,H$16,$G177=$G$33,H$33,$G177=$G$34,H$34,$G177=$G$248,H$248,$G177=$G$250,H$250)</f>
        <v>41.410684000000003</v>
      </c>
      <c r="I177" s="31" cm="1">
        <f t="array" ref="I177">_xlfn.IFS($G177=$G$5,I$5,$G177=$G$6,I$6,$G177=$G$7,I$7,$G177=$G$8,I$8,$G177=$G$9,I$9,$G177=$G$10,I$10,$G177=$G$11,I$11,$G177=$G$13,I$13,$G177=$G$15,I$15,$G177=$G$16,I$16,$G177=$G$33,I$33,$G177=$G$34,I$34,$G177=$G$248,I$248,$G177=$G$250,I$250)</f>
        <v>2.2208019999999999</v>
      </c>
      <c r="J177" s="29" cm="1">
        <f t="array" ref="J177">_xlfn.IFS($G177=$G$5,J$5,$G177=$G$6,J$6,$G177=$G$7,J$7,$G177=$G$8,J$8,$G177=$G$9,J$9,$G177=$G$10,J$10,$G177=$G$11,J$11,$G177=$G$13,J$13,$G177=$G$15,J$15,$G177=$G$16,J$16,$G177=$G$33,J$33,$G177=$G$34,J$34,$G177=$G$248,J$248,$G177=$G$250,J$250)</f>
        <v>18</v>
      </c>
      <c r="K177" s="29" t="str" cm="1">
        <f t="array" ref="K177">_xlfn.IFS($G177=$G$5,K$5,$G177=$G$6,K$6,$G177=$G$7,K$7,$G177=$G$8,K$8,$G177=$G$9,K$9,$G177=$G$10,K$10,$G177=$G$11,K$11,$G177=$G$13,K$13,$G177=$G$15,K$15,$G177=$G$16,K$16,$G177=$G$33,K$33,$G177=$G$34,K$34,$G177=$G$248,K$248,$G177=$G$250,K$250)</f>
        <v>BG sentinel + BG lure7</v>
      </c>
      <c r="L177" s="29" t="str" cm="1">
        <f t="array" ref="L177">_xlfn.IFS($G177=$G$5,L$5,$G177=$G$6,L$6,$G177=$G$7,L$7,$G177=$G$8,L$8,$G177=$G$9,L$9,$G177=$G$10,L$10,$G177=$G$11,L$11,$G177=$G$13,L$13,$G177=$G$15,L$15,$G177=$G$16,L$16,$G177=$G$33,L$33,$G177=$G$34,L$34,$G177=$G$248,L$248,$G177=$G$250,L$250)</f>
        <v>Urban habitat</v>
      </c>
      <c r="O177" s="32" t="str">
        <f t="shared" si="10"/>
        <v>A_SP_BCN_5_200923</v>
      </c>
      <c r="P177" s="33">
        <v>44097</v>
      </c>
      <c r="Q177" s="34">
        <v>0.76388888888888884</v>
      </c>
      <c r="R177" s="35"/>
      <c r="S177" s="36">
        <v>44104</v>
      </c>
      <c r="T177" s="37">
        <v>0.80902777777777779</v>
      </c>
      <c r="U177" s="38"/>
      <c r="V177" s="39" t="s">
        <v>66</v>
      </c>
      <c r="X177" s="29">
        <f t="shared" si="9"/>
        <v>7</v>
      </c>
      <c r="Y177" s="38"/>
      <c r="Z177" s="29" t="s">
        <v>75</v>
      </c>
      <c r="AA177" s="29">
        <f t="shared" si="8"/>
        <v>1</v>
      </c>
      <c r="AB177" s="29" t="s">
        <v>69</v>
      </c>
      <c r="AC177" s="29">
        <v>1</v>
      </c>
      <c r="AD177" s="29">
        <v>0</v>
      </c>
      <c r="AE177" s="29" t="s">
        <v>70</v>
      </c>
      <c r="AF177">
        <v>4</v>
      </c>
    </row>
    <row r="178" spans="1:32" x14ac:dyDescent="0.25">
      <c r="A178" s="28">
        <v>174</v>
      </c>
      <c r="B178" s="29" t="s">
        <v>60</v>
      </c>
      <c r="C178" s="29" t="s">
        <v>61</v>
      </c>
      <c r="D178" s="29" t="s">
        <v>62</v>
      </c>
      <c r="E178" s="29" t="s">
        <v>62</v>
      </c>
      <c r="F178" s="30" cm="1">
        <f t="array" ref="F178">_xlfn.IFS($G178=$G$5,F$5,$G178=$G$6,F$6,$G178=$G$7,F$7,$G178=$G$8,F$8,$G178=$G$9,F$9,$G178=$G$10,F$10,$G178=$G$11,F$11,$G178=$G$13,F$13,$G178=$G$15,F$15,$G178=$G$16,F$16,$G178=$G$33,F$33,$G178=$G$34,F$34,$G178=$G$248,F$248,$G178=$G$250,F$250)</f>
        <v>8002</v>
      </c>
      <c r="G178" s="29" t="s">
        <v>76</v>
      </c>
      <c r="H178" s="31" cm="1">
        <f t="array" ref="H178">_xlfn.IFS($G178=$G$5,H$5,$G178=$G$6,H$6,$G178=$G$7,H$7,$G178=$G$8,H$8,$G178=$G$9,H$9,$G178=$G$10,H$10,$G178=$G$11,H$11,$G178=$G$13,H$13,$G178=$G$15,H$15,$G178=$G$16,H$16,$G178=$G$33,H$33,$G178=$G$34,H$34,$G178=$G$248,H$248,$G178=$G$250,H$250)</f>
        <v>41.382339999999999</v>
      </c>
      <c r="I178" s="31" cm="1">
        <f t="array" ref="I178">_xlfn.IFS($G178=$G$5,I$5,$G178=$G$6,I$6,$G178=$G$7,I$7,$G178=$G$8,I$8,$G178=$G$9,I$9,$G178=$G$10,I$10,$G178=$G$11,I$11,$G178=$G$13,I$13,$G178=$G$15,I$15,$G178=$G$16,I$16,$G178=$G$33,I$33,$G178=$G$34,I$34,$G178=$G$248,I$248,$G178=$G$250,I$250)</f>
        <v>2.1714790000000002</v>
      </c>
      <c r="J178" s="29" cm="1">
        <f t="array" ref="J178">_xlfn.IFS($G178=$G$5,J$5,$G178=$G$6,J$6,$G178=$G$7,J$7,$G178=$G$8,J$8,$G178=$G$9,J$9,$G178=$G$10,J$10,$G178=$G$11,J$11,$G178=$G$13,J$13,$G178=$G$15,J$15,$G178=$G$16,J$16,$G178=$G$33,J$33,$G178=$G$34,J$34,$G178=$G$248,J$248,$G178=$G$250,J$250)</f>
        <v>19</v>
      </c>
      <c r="K178" s="29" t="str" cm="1">
        <f t="array" ref="K178">_xlfn.IFS($G178=$G$5,K$5,$G178=$G$6,K$6,$G178=$G$7,K$7,$G178=$G$8,K$8,$G178=$G$9,K$9,$G178=$G$10,K$10,$G178=$G$11,K$11,$G178=$G$13,K$13,$G178=$G$15,K$15,$G178=$G$16,K$16,$G178=$G$33,K$33,$G178=$G$34,K$34,$G178=$G$248,K$248,$G178=$G$250,K$250)</f>
        <v>BG sentinel + BG lure7</v>
      </c>
      <c r="L178" s="29" t="str" cm="1">
        <f t="array" ref="L178">_xlfn.IFS($G178=$G$5,L$5,$G178=$G$6,L$6,$G178=$G$7,L$7,$G178=$G$8,L$8,$G178=$G$9,L$9,$G178=$G$10,L$10,$G178=$G$11,L$11,$G178=$G$13,L$13,$G178=$G$15,L$15,$G178=$G$16,L$16,$G178=$G$33,L$33,$G178=$G$34,L$34,$G178=$G$248,L$248,$G178=$G$250,L$250)</f>
        <v>Urban habitat</v>
      </c>
      <c r="O178" s="32" t="str">
        <f t="shared" si="10"/>
        <v>A_SP_BCN_6_200923</v>
      </c>
      <c r="P178" s="33">
        <v>44097</v>
      </c>
      <c r="Q178" s="34">
        <v>0.60069444444444442</v>
      </c>
      <c r="R178" s="35"/>
      <c r="S178" s="36">
        <v>44104</v>
      </c>
      <c r="T178" s="37">
        <v>0.61111111111111105</v>
      </c>
      <c r="U178" s="38"/>
      <c r="V178" s="39" t="s">
        <v>66</v>
      </c>
      <c r="X178" s="29">
        <f t="shared" si="9"/>
        <v>7</v>
      </c>
      <c r="Y178" s="38"/>
      <c r="Z178" s="29" t="s">
        <v>68</v>
      </c>
      <c r="AA178" s="29">
        <f t="shared" si="8"/>
        <v>6</v>
      </c>
      <c r="AB178" s="29" t="s">
        <v>69</v>
      </c>
      <c r="AC178" s="29">
        <v>4</v>
      </c>
      <c r="AD178" s="29">
        <v>2</v>
      </c>
      <c r="AE178" s="29" t="s">
        <v>70</v>
      </c>
      <c r="AF178">
        <v>4</v>
      </c>
    </row>
    <row r="179" spans="1:32" x14ac:dyDescent="0.25">
      <c r="A179" s="28">
        <v>175</v>
      </c>
      <c r="B179" s="29" t="s">
        <v>60</v>
      </c>
      <c r="C179" s="29" t="s">
        <v>61</v>
      </c>
      <c r="D179" s="29" t="s">
        <v>62</v>
      </c>
      <c r="E179" s="29" t="s">
        <v>62</v>
      </c>
      <c r="F179" s="30" cm="1">
        <f t="array" ref="F179">_xlfn.IFS($G179=$G$5,F$5,$G179=$G$6,F$6,$G179=$G$7,F$7,$G179=$G$8,F$8,$G179=$G$9,F$9,$G179=$G$10,F$10,$G179=$G$11,F$11,$G179=$G$13,F$13,$G179=$G$15,F$15,$G179=$G$16,F$16,$G179=$G$33,F$33,$G179=$G$34,F$34,$G179=$G$248,F$248,$G179=$G$250,F$250)</f>
        <v>8038</v>
      </c>
      <c r="G179" s="29" t="s">
        <v>77</v>
      </c>
      <c r="H179" s="31" cm="1">
        <f t="array" ref="H179">_xlfn.IFS($G179=$G$5,H$5,$G179=$G$6,H$6,$G179=$G$7,H$7,$G179=$G$8,H$8,$G179=$G$9,H$9,$G179=$G$10,H$10,$G179=$G$11,H$11,$G179=$G$13,H$13,$G179=$G$15,H$15,$G179=$G$16,H$16,$G179=$G$33,H$33,$G179=$G$34,H$34,$G179=$G$248,H$248,$G179=$G$250,H$250)</f>
        <v>41.371864000000002</v>
      </c>
      <c r="I179" s="31" cm="1">
        <f t="array" ref="I179">_xlfn.IFS($G179=$G$5,I$5,$G179=$G$6,I$6,$G179=$G$7,I$7,$G179=$G$8,I$8,$G179=$G$9,I$9,$G179=$G$10,I$10,$G179=$G$11,I$11,$G179=$G$13,I$13,$G179=$G$15,I$15,$G179=$G$16,I$16,$G179=$G$33,I$33,$G179=$G$34,I$34,$G179=$G$248,I$248,$G179=$G$250,I$250)</f>
        <v>2.173899</v>
      </c>
      <c r="J179" s="29" cm="1">
        <f t="array" ref="J179">_xlfn.IFS($G179=$G$5,J$5,$G179=$G$6,J$6,$G179=$G$7,J$7,$G179=$G$8,J$8,$G179=$G$9,J$9,$G179=$G$10,J$10,$G179=$G$11,J$11,$G179=$G$13,J$13,$G179=$G$15,J$15,$G179=$G$16,J$16,$G179=$G$33,J$33,$G179=$G$34,J$34,$G179=$G$248,J$248,$G179=$G$250,J$250)</f>
        <v>5</v>
      </c>
      <c r="K179" s="29" t="str" cm="1">
        <f t="array" ref="K179">_xlfn.IFS($G179=$G$5,K$5,$G179=$G$6,K$6,$G179=$G$7,K$7,$G179=$G$8,K$8,$G179=$G$9,K$9,$G179=$G$10,K$10,$G179=$G$11,K$11,$G179=$G$13,K$13,$G179=$G$15,K$15,$G179=$G$16,K$16,$G179=$G$33,K$33,$G179=$G$34,K$34,$G179=$G$248,K$248,$G179=$G$250,K$250)</f>
        <v>BG sentinel + BG lure7</v>
      </c>
      <c r="L179" s="29" t="str" cm="1">
        <f t="array" ref="L179">_xlfn.IFS($G179=$G$5,L$5,$G179=$G$6,L$6,$G179=$G$7,L$7,$G179=$G$8,L$8,$G179=$G$9,L$9,$G179=$G$10,L$10,$G179=$G$11,L$11,$G179=$G$13,L$13,$G179=$G$15,L$15,$G179=$G$16,L$16,$G179=$G$33,L$33,$G179=$G$34,L$34,$G179=$G$248,L$248,$G179=$G$250,L$250)</f>
        <v>Urban habitat</v>
      </c>
      <c r="O179" s="32" t="str">
        <f t="shared" si="10"/>
        <v>A_SP_BCN_7_200923</v>
      </c>
      <c r="P179" s="33">
        <v>44097</v>
      </c>
      <c r="Q179" s="34">
        <v>0.54166666666666663</v>
      </c>
      <c r="R179" s="35"/>
      <c r="S179" s="36">
        <v>44104</v>
      </c>
      <c r="T179" s="37">
        <v>0.51736111111111105</v>
      </c>
      <c r="U179" s="38"/>
      <c r="V179" s="39" t="s">
        <v>66</v>
      </c>
      <c r="X179" s="29">
        <f t="shared" si="9"/>
        <v>7</v>
      </c>
      <c r="Y179" s="38"/>
      <c r="Z179" s="29" t="s">
        <v>68</v>
      </c>
      <c r="AA179" s="29">
        <f t="shared" si="8"/>
        <v>72</v>
      </c>
      <c r="AB179" s="29" t="s">
        <v>69</v>
      </c>
      <c r="AC179" s="29">
        <v>63</v>
      </c>
      <c r="AD179" s="29">
        <v>9</v>
      </c>
      <c r="AE179" s="29" t="s">
        <v>70</v>
      </c>
      <c r="AF179">
        <v>4</v>
      </c>
    </row>
    <row r="180" spans="1:32" x14ac:dyDescent="0.25">
      <c r="A180" s="28">
        <v>176</v>
      </c>
      <c r="B180" s="29" t="s">
        <v>60</v>
      </c>
      <c r="C180" s="29" t="s">
        <v>61</v>
      </c>
      <c r="D180" s="29" t="s">
        <v>62</v>
      </c>
      <c r="E180" s="29" t="s">
        <v>62</v>
      </c>
      <c r="F180" s="30" cm="1">
        <f t="array" ref="F180">_xlfn.IFS($G180=$G$5,F$5,$G180=$G$6,F$6,$G180=$G$7,F$7,$G180=$G$8,F$8,$G180=$G$9,F$9,$G180=$G$10,F$10,$G180=$G$11,F$11,$G180=$G$13,F$13,$G180=$G$15,F$15,$G180=$G$16,F$16,$G180=$G$33,F$33,$G180=$G$34,F$34,$G180=$G$248,F$248,$G180=$G$250,F$250)</f>
        <v>8038</v>
      </c>
      <c r="G180" s="29" t="s">
        <v>77</v>
      </c>
      <c r="H180" s="31" cm="1">
        <f t="array" ref="H180">_xlfn.IFS($G180=$G$5,H$5,$G180=$G$6,H$6,$G180=$G$7,H$7,$G180=$G$8,H$8,$G180=$G$9,H$9,$G180=$G$10,H$10,$G180=$G$11,H$11,$G180=$G$13,H$13,$G180=$G$15,H$15,$G180=$G$16,H$16,$G180=$G$33,H$33,$G180=$G$34,H$34,$G180=$G$248,H$248,$G180=$G$250,H$250)</f>
        <v>41.371864000000002</v>
      </c>
      <c r="I180" s="31" cm="1">
        <f t="array" ref="I180">_xlfn.IFS($G180=$G$5,I$5,$G180=$G$6,I$6,$G180=$G$7,I$7,$G180=$G$8,I$8,$G180=$G$9,I$9,$G180=$G$10,I$10,$G180=$G$11,I$11,$G180=$G$13,I$13,$G180=$G$15,I$15,$G180=$G$16,I$16,$G180=$G$33,I$33,$G180=$G$34,I$34,$G180=$G$248,I$248,$G180=$G$250,I$250)</f>
        <v>2.173899</v>
      </c>
      <c r="J180" s="29" cm="1">
        <f t="array" ref="J180">_xlfn.IFS($G180=$G$5,J$5,$G180=$G$6,J$6,$G180=$G$7,J$7,$G180=$G$8,J$8,$G180=$G$9,J$9,$G180=$G$10,J$10,$G180=$G$11,J$11,$G180=$G$13,J$13,$G180=$G$15,J$15,$G180=$G$16,J$16,$G180=$G$33,J$33,$G180=$G$34,J$34,$G180=$G$248,J$248,$G180=$G$250,J$250)</f>
        <v>5</v>
      </c>
      <c r="K180" s="29" t="str" cm="1">
        <f t="array" ref="K180">_xlfn.IFS($G180=$G$5,K$5,$G180=$G$6,K$6,$G180=$G$7,K$7,$G180=$G$8,K$8,$G180=$G$9,K$9,$G180=$G$10,K$10,$G180=$G$11,K$11,$G180=$G$13,K$13,$G180=$G$15,K$15,$G180=$G$16,K$16,$G180=$G$33,K$33,$G180=$G$34,K$34,$G180=$G$248,K$248,$G180=$G$250,K$250)</f>
        <v>BG sentinel + BG lure7</v>
      </c>
      <c r="L180" s="29" t="str" cm="1">
        <f t="array" ref="L180">_xlfn.IFS($G180=$G$5,L$5,$G180=$G$6,L$6,$G180=$G$7,L$7,$G180=$G$8,L$8,$G180=$G$9,L$9,$G180=$G$10,L$10,$G180=$G$11,L$11,$G180=$G$13,L$13,$G180=$G$15,L$15,$G180=$G$16,L$16,$G180=$G$33,L$33,$G180=$G$34,L$34,$G180=$G$248,L$248,$G180=$G$250,L$250)</f>
        <v>Urban habitat</v>
      </c>
      <c r="O180" s="32" t="str">
        <f t="shared" si="10"/>
        <v>A_SP_BCN_7_200923</v>
      </c>
      <c r="P180" s="33">
        <v>44097</v>
      </c>
      <c r="Q180" s="34">
        <v>0.54166666666666663</v>
      </c>
      <c r="R180" s="35"/>
      <c r="S180" s="36">
        <v>44104</v>
      </c>
      <c r="T180" s="37">
        <v>0.51736111111111105</v>
      </c>
      <c r="U180" s="38"/>
      <c r="V180" s="39" t="s">
        <v>66</v>
      </c>
      <c r="X180" s="29">
        <f t="shared" si="9"/>
        <v>7</v>
      </c>
      <c r="Y180" s="38"/>
      <c r="Z180" s="29" t="s">
        <v>75</v>
      </c>
      <c r="AA180" s="29">
        <f t="shared" si="8"/>
        <v>1</v>
      </c>
      <c r="AB180" s="29" t="s">
        <v>69</v>
      </c>
      <c r="AC180" s="29">
        <v>1</v>
      </c>
      <c r="AD180" s="29">
        <v>0</v>
      </c>
      <c r="AE180" s="29" t="s">
        <v>70</v>
      </c>
      <c r="AF180">
        <v>4</v>
      </c>
    </row>
    <row r="181" spans="1:32" x14ac:dyDescent="0.25">
      <c r="A181" s="28">
        <v>177</v>
      </c>
      <c r="B181" s="29" t="s">
        <v>60</v>
      </c>
      <c r="C181" s="29" t="s">
        <v>61</v>
      </c>
      <c r="D181" s="29" t="s">
        <v>62</v>
      </c>
      <c r="E181" s="29" t="s">
        <v>62</v>
      </c>
      <c r="F181" s="30" cm="1">
        <f t="array" ref="F181">_xlfn.IFS($G181=$G$5,F$5,$G181=$G$6,F$6,$G181=$G$7,F$7,$G181=$G$8,F$8,$G181=$G$9,F$9,$G181=$G$10,F$10,$G181=$G$11,F$11,$G181=$G$13,F$13,$G181=$G$15,F$15,$G181=$G$16,F$16,$G181=$G$33,F$33,$G181=$G$34,F$34,$G181=$G$248,F$248,$G181=$G$250,F$250)</f>
        <v>8038</v>
      </c>
      <c r="G181" s="29" t="s">
        <v>78</v>
      </c>
      <c r="H181" s="31" cm="1">
        <f t="array" ref="H181">_xlfn.IFS($G181=$G$5,H$5,$G181=$G$6,H$6,$G181=$G$7,H$7,$G181=$G$8,H$8,$G181=$G$9,H$9,$G181=$G$10,H$10,$G181=$G$11,H$11,$G181=$G$13,H$13,$G181=$G$15,H$15,$G181=$G$16,H$16,$G181=$G$33,H$33,$G181=$G$34,H$34,$G181=$G$248,H$248,$G181=$G$250,H$250)</f>
        <v>41.368589</v>
      </c>
      <c r="I181" s="31" cm="1">
        <f t="array" ref="I181">_xlfn.IFS($G181=$G$5,I$5,$G181=$G$6,I$6,$G181=$G$7,I$7,$G181=$G$8,I$8,$G181=$G$9,I$9,$G181=$G$10,I$10,$G181=$G$11,I$11,$G181=$G$13,I$13,$G181=$G$15,I$15,$G181=$G$16,I$16,$G181=$G$33,I$33,$G181=$G$34,I$34,$G181=$G$248,I$248,$G181=$G$250,I$250)</f>
        <v>2.1620900000000001</v>
      </c>
      <c r="J181" s="29" cm="1">
        <f t="array" ref="J181">_xlfn.IFS($G181=$G$5,J$5,$G181=$G$6,J$6,$G181=$G$7,J$7,$G181=$G$8,J$8,$G181=$G$9,J$9,$G181=$G$10,J$10,$G181=$G$11,J$11,$G181=$G$13,J$13,$G181=$G$15,J$15,$G181=$G$16,J$16,$G181=$G$33,J$33,$G181=$G$34,J$34,$G181=$G$248,J$248,$G181=$G$250,J$250)</f>
        <v>95</v>
      </c>
      <c r="K181" s="29" t="str" cm="1">
        <f t="array" ref="K181">_xlfn.IFS($G181=$G$5,K$5,$G181=$G$6,K$6,$G181=$G$7,K$7,$G181=$G$8,K$8,$G181=$G$9,K$9,$G181=$G$10,K$10,$G181=$G$11,K$11,$G181=$G$13,K$13,$G181=$G$15,K$15,$G181=$G$16,K$16,$G181=$G$33,K$33,$G181=$G$34,K$34,$G181=$G$248,K$248,$G181=$G$250,K$250)</f>
        <v>BG sentinel + BG lure7</v>
      </c>
      <c r="L181" s="29" t="str" cm="1">
        <f t="array" ref="L181">_xlfn.IFS($G181=$G$5,L$5,$G181=$G$6,L$6,$G181=$G$7,L$7,$G181=$G$8,L$8,$G181=$G$9,L$9,$G181=$G$10,L$10,$G181=$G$11,L$11,$G181=$G$13,L$13,$G181=$G$15,L$15,$G181=$G$16,L$16,$G181=$G$33,L$33,$G181=$G$34,L$34,$G181=$G$248,L$248,$G181=$G$250,L$250)</f>
        <v>Other</v>
      </c>
      <c r="O181" s="32" t="str">
        <f t="shared" si="10"/>
        <v>A_SP_BCN_8_200923</v>
      </c>
      <c r="P181" s="33">
        <v>44097</v>
      </c>
      <c r="Q181" s="34">
        <v>0.55555555555555558</v>
      </c>
      <c r="R181" s="35"/>
      <c r="S181" s="36">
        <v>44104</v>
      </c>
      <c r="T181" s="37">
        <v>0.54861111111111105</v>
      </c>
      <c r="U181" s="38"/>
      <c r="V181" s="39" t="s">
        <v>66</v>
      </c>
      <c r="X181" s="29">
        <f t="shared" si="9"/>
        <v>7</v>
      </c>
      <c r="Y181" s="38"/>
      <c r="Z181" s="29" t="s">
        <v>68</v>
      </c>
      <c r="AA181" s="29">
        <f t="shared" si="8"/>
        <v>49</v>
      </c>
      <c r="AB181" s="29" t="s">
        <v>69</v>
      </c>
      <c r="AC181" s="29">
        <v>46</v>
      </c>
      <c r="AD181" s="29">
        <v>3</v>
      </c>
      <c r="AE181" s="29" t="s">
        <v>70</v>
      </c>
      <c r="AF181">
        <v>4</v>
      </c>
    </row>
    <row r="182" spans="1:32" x14ac:dyDescent="0.25">
      <c r="A182" s="28">
        <v>178</v>
      </c>
      <c r="B182" s="29" t="s">
        <v>60</v>
      </c>
      <c r="C182" s="29" t="s">
        <v>61</v>
      </c>
      <c r="D182" s="29" t="s">
        <v>62</v>
      </c>
      <c r="E182" s="29" t="s">
        <v>62</v>
      </c>
      <c r="F182" s="30" cm="1">
        <f t="array" ref="F182">_xlfn.IFS($G182=$G$5,F$5,$G182=$G$6,F$6,$G182=$G$7,F$7,$G182=$G$8,F$8,$G182=$G$9,F$9,$G182=$G$10,F$10,$G182=$G$11,F$11,$G182=$G$13,F$13,$G182=$G$15,F$15,$G182=$G$16,F$16,$G182=$G$33,F$33,$G182=$G$34,F$34,$G182=$G$248,F$248,$G182=$G$250,F$250)</f>
        <v>8038</v>
      </c>
      <c r="G182" s="29" t="s">
        <v>78</v>
      </c>
      <c r="H182" s="31" cm="1">
        <f t="array" ref="H182">_xlfn.IFS($G182=$G$5,H$5,$G182=$G$6,H$6,$G182=$G$7,H$7,$G182=$G$8,H$8,$G182=$G$9,H$9,$G182=$G$10,H$10,$G182=$G$11,H$11,$G182=$G$13,H$13,$G182=$G$15,H$15,$G182=$G$16,H$16,$G182=$G$33,H$33,$G182=$G$34,H$34,$G182=$G$248,H$248,$G182=$G$250,H$250)</f>
        <v>41.368589</v>
      </c>
      <c r="I182" s="31" cm="1">
        <f t="array" ref="I182">_xlfn.IFS($G182=$G$5,I$5,$G182=$G$6,I$6,$G182=$G$7,I$7,$G182=$G$8,I$8,$G182=$G$9,I$9,$G182=$G$10,I$10,$G182=$G$11,I$11,$G182=$G$13,I$13,$G182=$G$15,I$15,$G182=$G$16,I$16,$G182=$G$33,I$33,$G182=$G$34,I$34,$G182=$G$248,I$248,$G182=$G$250,I$250)</f>
        <v>2.1620900000000001</v>
      </c>
      <c r="J182" s="29" cm="1">
        <f t="array" ref="J182">_xlfn.IFS($G182=$G$5,J$5,$G182=$G$6,J$6,$G182=$G$7,J$7,$G182=$G$8,J$8,$G182=$G$9,J$9,$G182=$G$10,J$10,$G182=$G$11,J$11,$G182=$G$13,J$13,$G182=$G$15,J$15,$G182=$G$16,J$16,$G182=$G$33,J$33,$G182=$G$34,J$34,$G182=$G$248,J$248,$G182=$G$250,J$250)</f>
        <v>95</v>
      </c>
      <c r="K182" s="29" t="str" cm="1">
        <f t="array" ref="K182">_xlfn.IFS($G182=$G$5,K$5,$G182=$G$6,K$6,$G182=$G$7,K$7,$G182=$G$8,K$8,$G182=$G$9,K$9,$G182=$G$10,K$10,$G182=$G$11,K$11,$G182=$G$13,K$13,$G182=$G$15,K$15,$G182=$G$16,K$16,$G182=$G$33,K$33,$G182=$G$34,K$34,$G182=$G$248,K$248,$G182=$G$250,K$250)</f>
        <v>BG sentinel + BG lure7</v>
      </c>
      <c r="L182" s="29" t="str" cm="1">
        <f t="array" ref="L182">_xlfn.IFS($G182=$G$5,L$5,$G182=$G$6,L$6,$G182=$G$7,L$7,$G182=$G$8,L$8,$G182=$G$9,L$9,$G182=$G$10,L$10,$G182=$G$11,L$11,$G182=$G$13,L$13,$G182=$G$15,L$15,$G182=$G$16,L$16,$G182=$G$33,L$33,$G182=$G$34,L$34,$G182=$G$248,L$248,$G182=$G$250,L$250)</f>
        <v>Other</v>
      </c>
      <c r="O182" s="32" t="str">
        <f t="shared" si="10"/>
        <v>A_SP_BCN_8_200923</v>
      </c>
      <c r="P182" s="33">
        <v>44097</v>
      </c>
      <c r="Q182" s="34">
        <v>0.55555555555555558</v>
      </c>
      <c r="R182" s="35"/>
      <c r="S182" s="36">
        <v>44104</v>
      </c>
      <c r="T182" s="37">
        <v>0.54861111111111105</v>
      </c>
      <c r="U182" s="38"/>
      <c r="V182" s="39" t="s">
        <v>66</v>
      </c>
      <c r="X182" s="29">
        <f t="shared" si="9"/>
        <v>7</v>
      </c>
      <c r="Y182" s="38"/>
      <c r="Z182" s="29" t="s">
        <v>75</v>
      </c>
      <c r="AA182" s="29">
        <f t="shared" si="8"/>
        <v>3</v>
      </c>
      <c r="AB182" s="29" t="s">
        <v>69</v>
      </c>
      <c r="AC182" s="29">
        <v>3</v>
      </c>
      <c r="AD182" s="29">
        <v>0</v>
      </c>
      <c r="AE182" s="29" t="s">
        <v>70</v>
      </c>
      <c r="AF182">
        <v>4</v>
      </c>
    </row>
    <row r="183" spans="1:32" x14ac:dyDescent="0.25">
      <c r="A183" s="28">
        <v>179</v>
      </c>
      <c r="B183" s="29" t="s">
        <v>60</v>
      </c>
      <c r="C183" s="29" t="s">
        <v>61</v>
      </c>
      <c r="D183" s="29" t="s">
        <v>62</v>
      </c>
      <c r="E183" s="29" t="s">
        <v>62</v>
      </c>
      <c r="F183" s="30" cm="1">
        <f t="array" ref="F183">_xlfn.IFS($G183=$G$5,F$5,$G183=$G$6,F$6,$G183=$G$7,F$7,$G183=$G$8,F$8,$G183=$G$9,F$9,$G183=$G$10,F$10,$G183=$G$11,F$11,$G183=$G$13,F$13,$G183=$G$15,F$15,$G183=$G$16,F$16,$G183=$G$33,F$33,$G183=$G$34,F$34,$G183=$G$248,F$248,$G183=$G$250,F$250)</f>
        <v>8038</v>
      </c>
      <c r="G183" s="29" t="s">
        <v>78</v>
      </c>
      <c r="H183" s="31" cm="1">
        <f t="array" ref="H183">_xlfn.IFS($G183=$G$5,H$5,$G183=$G$6,H$6,$G183=$G$7,H$7,$G183=$G$8,H$8,$G183=$G$9,H$9,$G183=$G$10,H$10,$G183=$G$11,H$11,$G183=$G$13,H$13,$G183=$G$15,H$15,$G183=$G$16,H$16,$G183=$G$33,H$33,$G183=$G$34,H$34,$G183=$G$248,H$248,$G183=$G$250,H$250)</f>
        <v>41.368589</v>
      </c>
      <c r="I183" s="31" cm="1">
        <f t="array" ref="I183">_xlfn.IFS($G183=$G$5,I$5,$G183=$G$6,I$6,$G183=$G$7,I$7,$G183=$G$8,I$8,$G183=$G$9,I$9,$G183=$G$10,I$10,$G183=$G$11,I$11,$G183=$G$13,I$13,$G183=$G$15,I$15,$G183=$G$16,I$16,$G183=$G$33,I$33,$G183=$G$34,I$34,$G183=$G$248,I$248,$G183=$G$250,I$250)</f>
        <v>2.1620900000000001</v>
      </c>
      <c r="J183" s="29" cm="1">
        <f t="array" ref="J183">_xlfn.IFS($G183=$G$5,J$5,$G183=$G$6,J$6,$G183=$G$7,J$7,$G183=$G$8,J$8,$G183=$G$9,J$9,$G183=$G$10,J$10,$G183=$G$11,J$11,$G183=$G$13,J$13,$G183=$G$15,J$15,$G183=$G$16,J$16,$G183=$G$33,J$33,$G183=$G$34,J$34,$G183=$G$248,J$248,$G183=$G$250,J$250)</f>
        <v>95</v>
      </c>
      <c r="K183" s="29" t="str" cm="1">
        <f t="array" ref="K183">_xlfn.IFS($G183=$G$5,K$5,$G183=$G$6,K$6,$G183=$G$7,K$7,$G183=$G$8,K$8,$G183=$G$9,K$9,$G183=$G$10,K$10,$G183=$G$11,K$11,$G183=$G$13,K$13,$G183=$G$15,K$15,$G183=$G$16,K$16,$G183=$G$33,K$33,$G183=$G$34,K$34,$G183=$G$248,K$248,$G183=$G$250,K$250)</f>
        <v>BG sentinel + BG lure7</v>
      </c>
      <c r="L183" s="29" t="str" cm="1">
        <f t="array" ref="L183">_xlfn.IFS($G183=$G$5,L$5,$G183=$G$6,L$6,$G183=$G$7,L$7,$G183=$G$8,L$8,$G183=$G$9,L$9,$G183=$G$10,L$10,$G183=$G$11,L$11,$G183=$G$13,L$13,$G183=$G$15,L$15,$G183=$G$16,L$16,$G183=$G$33,L$33,$G183=$G$34,L$34,$G183=$G$248,L$248,$G183=$G$250,L$250)</f>
        <v>Other</v>
      </c>
      <c r="O183" s="32" t="str">
        <f t="shared" si="10"/>
        <v>A_SP_BCN_8_200923</v>
      </c>
      <c r="P183" s="33">
        <v>44097</v>
      </c>
      <c r="Q183" s="34">
        <v>0.55555555555555558</v>
      </c>
      <c r="R183" s="35"/>
      <c r="S183" s="36">
        <v>44104</v>
      </c>
      <c r="T183" s="37">
        <v>0.54861111111111105</v>
      </c>
      <c r="U183" s="38"/>
      <c r="V183" s="39" t="s">
        <v>66</v>
      </c>
      <c r="X183" s="29">
        <f t="shared" si="9"/>
        <v>7</v>
      </c>
      <c r="Y183" s="38"/>
      <c r="Z183" s="29" t="s">
        <v>84</v>
      </c>
      <c r="AA183" s="29">
        <f t="shared" si="8"/>
        <v>2</v>
      </c>
      <c r="AB183" s="29" t="s">
        <v>69</v>
      </c>
      <c r="AC183" s="29">
        <v>1</v>
      </c>
      <c r="AD183" s="29">
        <v>1</v>
      </c>
      <c r="AE183" s="29" t="s">
        <v>70</v>
      </c>
      <c r="AF183">
        <v>4</v>
      </c>
    </row>
    <row r="184" spans="1:32" x14ac:dyDescent="0.25">
      <c r="A184" s="28">
        <v>180</v>
      </c>
      <c r="B184" s="29" t="s">
        <v>60</v>
      </c>
      <c r="C184" s="29" t="s">
        <v>61</v>
      </c>
      <c r="D184" s="29" t="s">
        <v>62</v>
      </c>
      <c r="E184" s="29" t="s">
        <v>62</v>
      </c>
      <c r="F184" s="30" cm="1">
        <f t="array" ref="F184">_xlfn.IFS($G184=$G$5,F$5,$G184=$G$6,F$6,$G184=$G$7,F$7,$G184=$G$8,F$8,$G184=$G$9,F$9,$G184=$G$10,F$10,$G184=$G$11,F$11,$G184=$G$13,F$13,$G184=$G$15,F$15,$G184=$G$16,F$16,$G184=$G$33,F$33,$G184=$G$34,F$34,$G184=$G$248,F$248,$G184=$G$250,F$250)</f>
        <v>8034</v>
      </c>
      <c r="G184" s="29" t="s">
        <v>81</v>
      </c>
      <c r="H184" s="31" cm="1">
        <f t="array" ref="H184">_xlfn.IFS($G184=$G$5,H$5,$G184=$G$6,H$6,$G184=$G$7,H$7,$G184=$G$8,H$8,$G184=$G$9,H$9,$G184=$G$10,H$10,$G184=$G$11,H$11,$G184=$G$13,H$13,$G184=$G$15,H$15,$G184=$G$16,H$16,$G184=$G$33,H$33,$G184=$G$34,H$34,$G184=$G$248,H$248,$G184=$G$250,H$250)</f>
        <v>41.393644999999999</v>
      </c>
      <c r="I184" s="31" cm="1">
        <f t="array" ref="I184">_xlfn.IFS($G184=$G$5,I$5,$G184=$G$6,I$6,$G184=$G$7,I$7,$G184=$G$8,I$8,$G184=$G$9,I$9,$G184=$G$10,I$10,$G184=$G$11,I$11,$G184=$G$13,I$13,$G184=$G$15,I$15,$G184=$G$16,I$16,$G184=$G$33,I$33,$G184=$G$34,I$34,$G184=$G$248,I$248,$G184=$G$250,I$250)</f>
        <v>2.1216780000000002</v>
      </c>
      <c r="J184" s="29" cm="1">
        <f t="array" ref="J184">_xlfn.IFS($G184=$G$5,J$5,$G184=$G$6,J$6,$G184=$G$7,J$7,$G184=$G$8,J$8,$G184=$G$9,J$9,$G184=$G$10,J$10,$G184=$G$11,J$11,$G184=$G$13,J$13,$G184=$G$15,J$15,$G184=$G$16,J$16,$G184=$G$33,J$33,$G184=$G$34,J$34,$G184=$G$248,J$248,$G184=$G$250,J$250)</f>
        <v>98</v>
      </c>
      <c r="K184" s="29" t="str" cm="1">
        <f t="array" ref="K184">_xlfn.IFS($G184=$G$5,K$5,$G184=$G$6,K$6,$G184=$G$7,K$7,$G184=$G$8,K$8,$G184=$G$9,K$9,$G184=$G$10,K$10,$G184=$G$11,K$11,$G184=$G$13,K$13,$G184=$G$15,K$15,$G184=$G$16,K$16,$G184=$G$33,K$33,$G184=$G$34,K$34,$G184=$G$248,K$248,$G184=$G$250,K$250)</f>
        <v>BG sentinel + BG lure7</v>
      </c>
      <c r="L184" s="29" t="str" cm="1">
        <f t="array" ref="L184">_xlfn.IFS($G184=$G$5,L$5,$G184=$G$6,L$6,$G184=$G$7,L$7,$G184=$G$8,L$8,$G184=$G$9,L$9,$G184=$G$10,L$10,$G184=$G$11,L$11,$G184=$G$13,L$13,$G184=$G$15,L$15,$G184=$G$16,L$16,$G184=$G$33,L$33,$G184=$G$34,L$34,$G184=$G$248,L$248,$G184=$G$250,L$250)</f>
        <v>Other</v>
      </c>
      <c r="O184" s="32" t="str">
        <f t="shared" si="10"/>
        <v>A_SP_BCN_9_200923</v>
      </c>
      <c r="P184" s="33">
        <v>44097</v>
      </c>
      <c r="Q184" s="34">
        <v>0.63541666666666663</v>
      </c>
      <c r="R184" s="35"/>
      <c r="S184" s="36">
        <v>44104</v>
      </c>
      <c r="T184" s="37">
        <v>0.64236111111111105</v>
      </c>
      <c r="U184" s="38"/>
      <c r="V184" s="39" t="s">
        <v>66</v>
      </c>
      <c r="X184" s="29">
        <f t="shared" si="9"/>
        <v>7</v>
      </c>
      <c r="Y184" s="38"/>
      <c r="Z184" s="29" t="s">
        <v>68</v>
      </c>
      <c r="AA184" s="29">
        <f t="shared" si="8"/>
        <v>11</v>
      </c>
      <c r="AB184" s="29" t="s">
        <v>69</v>
      </c>
      <c r="AC184" s="29">
        <v>10</v>
      </c>
      <c r="AD184" s="29">
        <v>1</v>
      </c>
      <c r="AE184" s="29" t="s">
        <v>70</v>
      </c>
      <c r="AF184">
        <v>4</v>
      </c>
    </row>
    <row r="185" spans="1:32" x14ac:dyDescent="0.25">
      <c r="A185" s="28">
        <v>181</v>
      </c>
      <c r="B185" s="29" t="s">
        <v>60</v>
      </c>
      <c r="C185" s="29" t="s">
        <v>61</v>
      </c>
      <c r="D185" s="29" t="s">
        <v>62</v>
      </c>
      <c r="E185" s="29" t="s">
        <v>62</v>
      </c>
      <c r="F185" s="30" cm="1">
        <f t="array" ref="F185">_xlfn.IFS($G185=$G$5,F$5,$G185=$G$6,F$6,$G185=$G$7,F$7,$G185=$G$8,F$8,$G185=$G$9,F$9,$G185=$G$10,F$10,$G185=$G$11,F$11,$G185=$G$13,F$13,$G185=$G$15,F$15,$G185=$G$16,F$16,$G185=$G$33,F$33,$G185=$G$34,F$34,$G185=$G$248,F$248,$G185=$G$250,F$250)</f>
        <v>8040</v>
      </c>
      <c r="G185" s="29" t="s">
        <v>83</v>
      </c>
      <c r="H185" s="31" cm="1">
        <f t="array" ref="H185">_xlfn.IFS($G185=$G$5,H$5,$G185=$G$6,H$6,$G185=$G$7,H$7,$G185=$G$8,H$8,$G185=$G$9,H$9,$G185=$G$10,H$10,$G185=$G$11,H$11,$G185=$G$13,H$13,$G185=$G$15,H$15,$G185=$G$16,H$16,$G185=$G$33,H$33,$G185=$G$34,H$34,$G185=$G$248,H$248,$G185=$G$250,H$250)</f>
        <v>41.343685000000001</v>
      </c>
      <c r="I185" s="31" cm="1">
        <f t="array" ref="I185">_xlfn.IFS($G185=$G$5,I$5,$G185=$G$6,I$6,$G185=$G$7,I$7,$G185=$G$8,I$8,$G185=$G$9,I$9,$G185=$G$10,I$10,$G185=$G$11,I$11,$G185=$G$13,I$13,$G185=$G$15,I$15,$G185=$G$16,I$16,$G185=$G$33,I$33,$G185=$G$34,I$34,$G185=$G$248,I$248,$G185=$G$250,I$250)</f>
        <v>2.1441490000000001</v>
      </c>
      <c r="J185" s="29" cm="1">
        <f t="array" ref="J185">_xlfn.IFS($G185=$G$5,J$5,$G185=$G$6,J$6,$G185=$G$7,J$7,$G185=$G$8,J$8,$G185=$G$9,J$9,$G185=$G$10,J$10,$G185=$G$11,J$11,$G185=$G$13,J$13,$G185=$G$15,J$15,$G185=$G$16,J$16,$G185=$G$33,J$33,$G185=$G$34,J$34,$G185=$G$248,J$248,$G185=$G$250,J$250)</f>
        <v>4</v>
      </c>
      <c r="K185" s="29" t="str" cm="1">
        <f t="array" ref="K185">_xlfn.IFS($G185=$G$5,K$5,$G185=$G$6,K$6,$G185=$G$7,K$7,$G185=$G$8,K$8,$G185=$G$9,K$9,$G185=$G$10,K$10,$G185=$G$11,K$11,$G185=$G$13,K$13,$G185=$G$15,K$15,$G185=$G$16,K$16,$G185=$G$33,K$33,$G185=$G$34,K$34,$G185=$G$248,K$248,$G185=$G$250,K$250)</f>
        <v>BG sentinel + BG lure7</v>
      </c>
      <c r="L185" s="29" t="str" cm="1">
        <f t="array" ref="L185">_xlfn.IFS($G185=$G$5,L$5,$G185=$G$6,L$6,$G185=$G$7,L$7,$G185=$G$8,L$8,$G185=$G$9,L$9,$G185=$G$10,L$10,$G185=$G$11,L$11,$G185=$G$13,L$13,$G185=$G$15,L$15,$G185=$G$16,L$16,$G185=$G$33,L$33,$G185=$G$34,L$34,$G185=$G$248,L$248,$G185=$G$250,L$250)</f>
        <v>Urban habitat</v>
      </c>
      <c r="O185" s="32" t="str">
        <f t="shared" si="10"/>
        <v>A_SP_BCN_10_200923</v>
      </c>
      <c r="P185" s="33">
        <v>44097</v>
      </c>
      <c r="Q185" s="34">
        <v>0.52777777777777779</v>
      </c>
      <c r="R185" s="35"/>
      <c r="S185" s="36">
        <v>44104</v>
      </c>
      <c r="T185" s="37">
        <v>0.50694444444444442</v>
      </c>
      <c r="U185" s="38"/>
      <c r="V185" s="39" t="s">
        <v>66</v>
      </c>
      <c r="X185" s="29">
        <f t="shared" si="9"/>
        <v>7</v>
      </c>
      <c r="Y185" s="38"/>
      <c r="Z185" s="29" t="s">
        <v>68</v>
      </c>
      <c r="AA185" s="29">
        <f t="shared" si="8"/>
        <v>26</v>
      </c>
      <c r="AB185" s="29" t="s">
        <v>69</v>
      </c>
      <c r="AC185" s="29">
        <v>20</v>
      </c>
      <c r="AD185" s="29">
        <v>6</v>
      </c>
      <c r="AE185" s="29" t="s">
        <v>70</v>
      </c>
      <c r="AF185">
        <v>4</v>
      </c>
    </row>
    <row r="186" spans="1:32" x14ac:dyDescent="0.25">
      <c r="A186" s="28">
        <v>182</v>
      </c>
      <c r="B186" s="29" t="s">
        <v>60</v>
      </c>
      <c r="C186" s="29" t="s">
        <v>61</v>
      </c>
      <c r="D186" s="29" t="s">
        <v>62</v>
      </c>
      <c r="E186" s="29" t="s">
        <v>62</v>
      </c>
      <c r="F186" s="30" cm="1">
        <f t="array" ref="F186">_xlfn.IFS($G186=$G$5,F$5,$G186=$G$6,F$6,$G186=$G$7,F$7,$G186=$G$8,F$8,$G186=$G$9,F$9,$G186=$G$10,F$10,$G186=$G$11,F$11,$G186=$G$13,F$13,$G186=$G$15,F$15,$G186=$G$16,F$16,$G186=$G$33,F$33,$G186=$G$34,F$34,$G186=$G$248,F$248,$G186=$G$250,F$250)</f>
        <v>8038</v>
      </c>
      <c r="G186" s="29" t="s">
        <v>85</v>
      </c>
      <c r="H186" s="31" cm="1">
        <f t="array" ref="H186">_xlfn.IFS($G186=$G$5,H$5,$G186=$G$6,H$6,$G186=$G$7,H$7,$G186=$G$8,H$8,$G186=$G$9,H$9,$G186=$G$10,H$10,$G186=$G$11,H$11,$G186=$G$13,H$13,$G186=$G$15,H$15,$G186=$G$16,H$16,$G186=$G$33,H$33,$G186=$G$34,H$34,$G186=$G$248,H$248,$G186=$G$250,H$250)</f>
        <v>41.367429999999999</v>
      </c>
      <c r="I186" s="31" cm="1">
        <f t="array" ref="I186">_xlfn.IFS($G186=$G$5,I$5,$G186=$G$6,I$6,$G186=$G$7,I$7,$G186=$G$8,I$8,$G186=$G$9,I$9,$G186=$G$10,I$10,$G186=$G$11,I$11,$G186=$G$13,I$13,$G186=$G$15,I$15,$G186=$G$16,I$16,$G186=$G$33,I$33,$G186=$G$34,I$34,$G186=$G$248,I$248,$G186=$G$250,I$250)</f>
        <v>2.1569609999999999</v>
      </c>
      <c r="J186" s="29" cm="1">
        <f t="array" ref="J186">_xlfn.IFS($G186=$G$5,J$5,$G186=$G$6,J$6,$G186=$G$7,J$7,$G186=$G$8,J$8,$G186=$G$9,J$9,$G186=$G$10,J$10,$G186=$G$11,J$11,$G186=$G$13,J$13,$G186=$G$15,J$15,$G186=$G$16,J$16,$G186=$G$33,J$33,$G186=$G$34,J$34,$G186=$G$248,J$248,$G186=$G$250,J$250)</f>
        <v>91</v>
      </c>
      <c r="K186" s="29" t="str" cm="1">
        <f t="array" ref="K186">_xlfn.IFS($G186=$G$5,K$5,$G186=$G$6,K$6,$G186=$G$7,K$7,$G186=$G$8,K$8,$G186=$G$9,K$9,$G186=$G$10,K$10,$G186=$G$11,K$11,$G186=$G$13,K$13,$G186=$G$15,K$15,$G186=$G$16,K$16,$G186=$G$33,K$33,$G186=$G$34,K$34,$G186=$G$248,K$248,$G186=$G$250,K$250)</f>
        <v>BG sentinel + BG lure7</v>
      </c>
      <c r="L186" s="29" t="str" cm="1">
        <f t="array" ref="L186">_xlfn.IFS($G186=$G$5,L$5,$G186=$G$6,L$6,$G186=$G$7,L$7,$G186=$G$8,L$8,$G186=$G$9,L$9,$G186=$G$10,L$10,$G186=$G$11,L$11,$G186=$G$13,L$13,$G186=$G$15,L$15,$G186=$G$16,L$16,$G186=$G$33,L$33,$G186=$G$34,L$34,$G186=$G$248,L$248,$G186=$G$250,L$250)</f>
        <v>Other</v>
      </c>
      <c r="O186" s="32" t="str">
        <f t="shared" si="10"/>
        <v>A_SP_BCN_11_200923</v>
      </c>
      <c r="P186" s="33">
        <v>44097</v>
      </c>
      <c r="Q186" s="34">
        <v>0.54861111111111105</v>
      </c>
      <c r="R186" s="35"/>
      <c r="S186" s="36">
        <v>44104</v>
      </c>
      <c r="T186" s="37">
        <v>0.53472222222222221</v>
      </c>
      <c r="U186" s="38"/>
      <c r="V186" s="39" t="s">
        <v>66</v>
      </c>
      <c r="X186" s="29">
        <f t="shared" si="9"/>
        <v>7</v>
      </c>
      <c r="Y186" s="38"/>
      <c r="Z186" s="29" t="s">
        <v>68</v>
      </c>
      <c r="AA186" s="29">
        <f t="shared" si="8"/>
        <v>41</v>
      </c>
      <c r="AB186" s="29" t="s">
        <v>69</v>
      </c>
      <c r="AC186" s="29">
        <v>36</v>
      </c>
      <c r="AD186" s="29">
        <v>5</v>
      </c>
      <c r="AE186" s="29" t="s">
        <v>70</v>
      </c>
      <c r="AF186">
        <v>4</v>
      </c>
    </row>
    <row r="187" spans="1:32" x14ac:dyDescent="0.25">
      <c r="A187" s="28">
        <v>183</v>
      </c>
      <c r="B187" s="29" t="s">
        <v>60</v>
      </c>
      <c r="C187" s="29" t="s">
        <v>61</v>
      </c>
      <c r="D187" s="29" t="s">
        <v>62</v>
      </c>
      <c r="E187" s="29" t="s">
        <v>62</v>
      </c>
      <c r="F187" s="30" cm="1">
        <f t="array" ref="F187">_xlfn.IFS($G187=$G$5,F$5,$G187=$G$6,F$6,$G187=$G$7,F$7,$G187=$G$8,F$8,$G187=$G$9,F$9,$G187=$G$10,F$10,$G187=$G$11,F$11,$G187=$G$13,F$13,$G187=$G$15,F$15,$G187=$G$16,F$16,$G187=$G$33,F$33,$G187=$G$34,F$34,$G187=$G$248,F$248,$G187=$G$250,F$250)</f>
        <v>8038</v>
      </c>
      <c r="G187" s="29" t="s">
        <v>86</v>
      </c>
      <c r="H187" s="31" cm="1">
        <f t="array" ref="H187">_xlfn.IFS($G187=$G$5,H$5,$G187=$G$6,H$6,$G187=$G$7,H$7,$G187=$G$8,H$8,$G187=$G$9,H$9,$G187=$G$10,H$10,$G187=$G$11,H$11,$G187=$G$13,H$13,$G187=$G$15,H$15,$G187=$G$16,H$16,$G187=$G$33,H$33,$G187=$G$34,H$34,$G187=$G$248,H$248,$G187=$G$250,H$250)</f>
        <v>41.363377999999997</v>
      </c>
      <c r="I187" s="31" cm="1">
        <f t="array" ref="I187">_xlfn.IFS($G187=$G$5,I$5,$G187=$G$6,I$6,$G187=$G$7,I$7,$G187=$G$8,I$8,$G187=$G$9,I$9,$G187=$G$10,I$10,$G187=$G$11,I$11,$G187=$G$13,I$13,$G187=$G$15,I$15,$G187=$G$16,I$16,$G187=$G$33,I$33,$G187=$G$34,I$34,$G187=$G$248,I$248,$G187=$G$250,I$250)</f>
        <v>2.164879</v>
      </c>
      <c r="J187" s="29" cm="1">
        <f t="array" ref="J187">_xlfn.IFS($G187=$G$5,J$5,$G187=$G$6,J$6,$G187=$G$7,J$7,$G187=$G$8,J$8,$G187=$G$9,J$9,$G187=$G$10,J$10,$G187=$G$11,J$11,$G187=$G$13,J$13,$G187=$G$15,J$15,$G187=$G$16,J$16,$G187=$G$33,J$33,$G187=$G$34,J$34,$G187=$G$248,J$248,$G187=$G$250,J$250)</f>
        <v>185</v>
      </c>
      <c r="K187" s="29" t="str" cm="1">
        <f t="array" ref="K187">_xlfn.IFS($G187=$G$5,K$5,$G187=$G$6,K$6,$G187=$G$7,K$7,$G187=$G$8,K$8,$G187=$G$9,K$9,$G187=$G$10,K$10,$G187=$G$11,K$11,$G187=$G$13,K$13,$G187=$G$15,K$15,$G187=$G$16,K$16,$G187=$G$33,K$33,$G187=$G$34,K$34,$G187=$G$248,K$248,$G187=$G$250,K$250)</f>
        <v>BG sentinel + BG lure7</v>
      </c>
      <c r="L187" s="29" t="str" cm="1">
        <f t="array" ref="L187">_xlfn.IFS($G187=$G$5,L$5,$G187=$G$6,L$6,$G187=$G$7,L$7,$G187=$G$8,L$8,$G187=$G$9,L$9,$G187=$G$10,L$10,$G187=$G$11,L$11,$G187=$G$13,L$13,$G187=$G$15,L$15,$G187=$G$16,L$16,$G187=$G$33,L$33,$G187=$G$34,L$34,$G187=$G$248,L$248,$G187=$G$250,L$250)</f>
        <v>Other</v>
      </c>
      <c r="O187" s="32" t="str">
        <f t="shared" si="10"/>
        <v>A_SP_BCN_12_200923</v>
      </c>
      <c r="P187" s="33">
        <v>44097</v>
      </c>
      <c r="Q187" s="34">
        <v>0.57291666666666663</v>
      </c>
      <c r="R187" s="35"/>
      <c r="S187" s="36">
        <v>44104</v>
      </c>
      <c r="T187" s="37">
        <v>0.58333333333333337</v>
      </c>
      <c r="U187" s="38"/>
      <c r="V187" s="39" t="s">
        <v>66</v>
      </c>
      <c r="X187" s="29">
        <f t="shared" si="9"/>
        <v>7</v>
      </c>
      <c r="Y187" s="38"/>
      <c r="Z187" s="29" t="s">
        <v>68</v>
      </c>
      <c r="AA187" s="29">
        <f t="shared" si="8"/>
        <v>4</v>
      </c>
      <c r="AB187" s="29" t="s">
        <v>69</v>
      </c>
      <c r="AC187" s="29">
        <v>3</v>
      </c>
      <c r="AD187" s="29">
        <v>1</v>
      </c>
      <c r="AE187" s="29" t="s">
        <v>70</v>
      </c>
      <c r="AF187">
        <v>4</v>
      </c>
    </row>
    <row r="188" spans="1:32" x14ac:dyDescent="0.25">
      <c r="A188" s="28">
        <v>184</v>
      </c>
      <c r="B188" s="29" t="s">
        <v>60</v>
      </c>
      <c r="C188" s="29" t="s">
        <v>61</v>
      </c>
      <c r="D188" s="29" t="s">
        <v>62</v>
      </c>
      <c r="E188" s="29" t="s">
        <v>62</v>
      </c>
      <c r="F188" s="30" cm="1">
        <f t="array" ref="F188">_xlfn.IFS($G188=$G$5,F$5,$G188=$G$6,F$6,$G188=$G$7,F$7,$G188=$G$8,F$8,$G188=$G$9,F$9,$G188=$G$10,F$10,$G188=$G$11,F$11,$G188=$G$13,F$13,$G188=$G$15,F$15,$G188=$G$16,F$16,$G188=$G$33,F$33,$G188=$G$34,F$34,$G188=$G$248,F$248,$G188=$G$250,F$250)</f>
        <v>8038</v>
      </c>
      <c r="G188" s="29" t="s">
        <v>86</v>
      </c>
      <c r="H188" s="31" cm="1">
        <f t="array" ref="H188">_xlfn.IFS($G188=$G$5,H$5,$G188=$G$6,H$6,$G188=$G$7,H$7,$G188=$G$8,H$8,$G188=$G$9,H$9,$G188=$G$10,H$10,$G188=$G$11,H$11,$G188=$G$13,H$13,$G188=$G$15,H$15,$G188=$G$16,H$16,$G188=$G$33,H$33,$G188=$G$34,H$34,$G188=$G$248,H$248,$G188=$G$250,H$250)</f>
        <v>41.363377999999997</v>
      </c>
      <c r="I188" s="31" cm="1">
        <f t="array" ref="I188">_xlfn.IFS($G188=$G$5,I$5,$G188=$G$6,I$6,$G188=$G$7,I$7,$G188=$G$8,I$8,$G188=$G$9,I$9,$G188=$G$10,I$10,$G188=$G$11,I$11,$G188=$G$13,I$13,$G188=$G$15,I$15,$G188=$G$16,I$16,$G188=$G$33,I$33,$G188=$G$34,I$34,$G188=$G$248,I$248,$G188=$G$250,I$250)</f>
        <v>2.164879</v>
      </c>
      <c r="J188" s="29" cm="1">
        <f t="array" ref="J188">_xlfn.IFS($G188=$G$5,J$5,$G188=$G$6,J$6,$G188=$G$7,J$7,$G188=$G$8,J$8,$G188=$G$9,J$9,$G188=$G$10,J$10,$G188=$G$11,J$11,$G188=$G$13,J$13,$G188=$G$15,J$15,$G188=$G$16,J$16,$G188=$G$33,J$33,$G188=$G$34,J$34,$G188=$G$248,J$248,$G188=$G$250,J$250)</f>
        <v>185</v>
      </c>
      <c r="K188" s="29" t="str" cm="1">
        <f t="array" ref="K188">_xlfn.IFS($G188=$G$5,K$5,$G188=$G$6,K$6,$G188=$G$7,K$7,$G188=$G$8,K$8,$G188=$G$9,K$9,$G188=$G$10,K$10,$G188=$G$11,K$11,$G188=$G$13,K$13,$G188=$G$15,K$15,$G188=$G$16,K$16,$G188=$G$33,K$33,$G188=$G$34,K$34,$G188=$G$248,K$248,$G188=$G$250,K$250)</f>
        <v>BG sentinel + BG lure7</v>
      </c>
      <c r="L188" s="29" t="str" cm="1">
        <f t="array" ref="L188">_xlfn.IFS($G188=$G$5,L$5,$G188=$G$6,L$6,$G188=$G$7,L$7,$G188=$G$8,L$8,$G188=$G$9,L$9,$G188=$G$10,L$10,$G188=$G$11,L$11,$G188=$G$13,L$13,$G188=$G$15,L$15,$G188=$G$16,L$16,$G188=$G$33,L$33,$G188=$G$34,L$34,$G188=$G$248,L$248,$G188=$G$250,L$250)</f>
        <v>Other</v>
      </c>
      <c r="O188" s="32" t="str">
        <f t="shared" si="10"/>
        <v>A_SP_BCN_12_200923</v>
      </c>
      <c r="P188" s="33">
        <v>44097</v>
      </c>
      <c r="Q188" s="34">
        <v>0.57291666666666663</v>
      </c>
      <c r="R188" s="35"/>
      <c r="S188" s="36">
        <v>44104</v>
      </c>
      <c r="T188" s="37">
        <v>0.58333333333333337</v>
      </c>
      <c r="U188" s="38"/>
      <c r="V188" s="39" t="s">
        <v>66</v>
      </c>
      <c r="X188" s="29">
        <f t="shared" si="9"/>
        <v>7</v>
      </c>
      <c r="Y188" s="38"/>
      <c r="Z188" s="29" t="s">
        <v>75</v>
      </c>
      <c r="AA188" s="29">
        <f t="shared" si="8"/>
        <v>6</v>
      </c>
      <c r="AB188" s="29" t="s">
        <v>69</v>
      </c>
      <c r="AC188" s="29">
        <v>5</v>
      </c>
      <c r="AD188" s="29">
        <v>1</v>
      </c>
      <c r="AE188" s="29" t="s">
        <v>70</v>
      </c>
      <c r="AF188">
        <v>4</v>
      </c>
    </row>
    <row r="189" spans="1:32" x14ac:dyDescent="0.25">
      <c r="A189" s="28">
        <v>185</v>
      </c>
      <c r="B189" s="29" t="s">
        <v>60</v>
      </c>
      <c r="C189" s="29" t="s">
        <v>61</v>
      </c>
      <c r="D189" s="29" t="s">
        <v>62</v>
      </c>
      <c r="E189" s="29" t="s">
        <v>62</v>
      </c>
      <c r="F189" s="30" cm="1">
        <f t="array" ref="F189">_xlfn.IFS($G189=$G$5,F$5,$G189=$G$6,F$6,$G189=$G$7,F$7,$G189=$G$8,F$8,$G189=$G$9,F$9,$G189=$G$10,F$10,$G189=$G$11,F$11,$G189=$G$13,F$13,$G189=$G$15,F$15,$G189=$G$16,F$16,$G189=$G$33,F$33,$G189=$G$34,F$34,$G189=$G$248,F$248,$G189=$G$250,F$250)</f>
        <v>8038</v>
      </c>
      <c r="G189" s="29" t="s">
        <v>86</v>
      </c>
      <c r="H189" s="31" cm="1">
        <f t="array" ref="H189">_xlfn.IFS($G189=$G$5,H$5,$G189=$G$6,H$6,$G189=$G$7,H$7,$G189=$G$8,H$8,$G189=$G$9,H$9,$G189=$G$10,H$10,$G189=$G$11,H$11,$G189=$G$13,H$13,$G189=$G$15,H$15,$G189=$G$16,H$16,$G189=$G$33,H$33,$G189=$G$34,H$34,$G189=$G$248,H$248,$G189=$G$250,H$250)</f>
        <v>41.363377999999997</v>
      </c>
      <c r="I189" s="31" cm="1">
        <f t="array" ref="I189">_xlfn.IFS($G189=$G$5,I$5,$G189=$G$6,I$6,$G189=$G$7,I$7,$G189=$G$8,I$8,$G189=$G$9,I$9,$G189=$G$10,I$10,$G189=$G$11,I$11,$G189=$G$13,I$13,$G189=$G$15,I$15,$G189=$G$16,I$16,$G189=$G$33,I$33,$G189=$G$34,I$34,$G189=$G$248,I$248,$G189=$G$250,I$250)</f>
        <v>2.164879</v>
      </c>
      <c r="J189" s="29" cm="1">
        <f t="array" ref="J189">_xlfn.IFS($G189=$G$5,J$5,$G189=$G$6,J$6,$G189=$G$7,J$7,$G189=$G$8,J$8,$G189=$G$9,J$9,$G189=$G$10,J$10,$G189=$G$11,J$11,$G189=$G$13,J$13,$G189=$G$15,J$15,$G189=$G$16,J$16,$G189=$G$33,J$33,$G189=$G$34,J$34,$G189=$G$248,J$248,$G189=$G$250,J$250)</f>
        <v>185</v>
      </c>
      <c r="K189" s="29" t="str" cm="1">
        <f t="array" ref="K189">_xlfn.IFS($G189=$G$5,K$5,$G189=$G$6,K$6,$G189=$G$7,K$7,$G189=$G$8,K$8,$G189=$G$9,K$9,$G189=$G$10,K$10,$G189=$G$11,K$11,$G189=$G$13,K$13,$G189=$G$15,K$15,$G189=$G$16,K$16,$G189=$G$33,K$33,$G189=$G$34,K$34,$G189=$G$248,K$248,$G189=$G$250,K$250)</f>
        <v>BG sentinel + BG lure7</v>
      </c>
      <c r="L189" s="29" t="str" cm="1">
        <f t="array" ref="L189">_xlfn.IFS($G189=$G$5,L$5,$G189=$G$6,L$6,$G189=$G$7,L$7,$G189=$G$8,L$8,$G189=$G$9,L$9,$G189=$G$10,L$10,$G189=$G$11,L$11,$G189=$G$13,L$13,$G189=$G$15,L$15,$G189=$G$16,L$16,$G189=$G$33,L$33,$G189=$G$34,L$34,$G189=$G$248,L$248,$G189=$G$250,L$250)</f>
        <v>Other</v>
      </c>
      <c r="O189" s="32" t="str">
        <f t="shared" si="10"/>
        <v>A_SP_BCN_12_200923</v>
      </c>
      <c r="P189" s="33">
        <v>44097</v>
      </c>
      <c r="Q189" s="34">
        <v>0.57291666666666663</v>
      </c>
      <c r="R189" s="35"/>
      <c r="S189" s="36">
        <v>44104</v>
      </c>
      <c r="T189" s="37">
        <v>0.58333333333333337</v>
      </c>
      <c r="U189" s="38"/>
      <c r="V189" s="39" t="s">
        <v>66</v>
      </c>
      <c r="X189" s="29">
        <f t="shared" si="9"/>
        <v>7</v>
      </c>
      <c r="Y189" s="38"/>
      <c r="Z189" s="29" t="s">
        <v>84</v>
      </c>
      <c r="AA189" s="29">
        <f t="shared" si="8"/>
        <v>3</v>
      </c>
      <c r="AB189" s="29" t="s">
        <v>69</v>
      </c>
      <c r="AC189" s="29">
        <v>0</v>
      </c>
      <c r="AD189" s="29">
        <v>3</v>
      </c>
      <c r="AE189" s="29" t="s">
        <v>70</v>
      </c>
      <c r="AF189">
        <v>4</v>
      </c>
    </row>
    <row r="190" spans="1:32" x14ac:dyDescent="0.25">
      <c r="A190" s="28">
        <v>186</v>
      </c>
      <c r="B190" s="29" t="s">
        <v>60</v>
      </c>
      <c r="C190" s="29" t="s">
        <v>61</v>
      </c>
      <c r="D190" s="29" t="s">
        <v>62</v>
      </c>
      <c r="E190" s="29" t="s">
        <v>62</v>
      </c>
      <c r="F190" s="30" cm="1">
        <f t="array" ref="F190">_xlfn.IFS($G190=$G$5,F$5,$G190=$G$6,F$6,$G190=$G$7,F$7,$G190=$G$8,F$8,$G190=$G$9,F$9,$G190=$G$10,F$10,$G190=$G$11,F$11,$G190=$G$13,F$13,$G190=$G$15,F$15,$G190=$G$16,F$16,$G190=$G$33,F$33,$G190=$G$34,F$34,$G190=$G$248,F$248,$G190=$G$250,F$250)</f>
        <v>8024</v>
      </c>
      <c r="G190" s="29" t="s">
        <v>63</v>
      </c>
      <c r="H190" s="31" cm="1">
        <f t="array" ref="H190">_xlfn.IFS($G190=$G$5,H$5,$G190=$G$6,H$6,$G190=$G$7,H$7,$G190=$G$8,H$8,$G190=$G$9,H$9,$G190=$G$10,H$10,$G190=$G$11,H$11,$G190=$G$13,H$13,$G190=$G$15,H$15,$G190=$G$16,H$16,$G190=$G$33,H$33,$G190=$G$34,H$34,$G190=$G$248,H$248,$G190=$G$250,H$250)</f>
        <v>41.413573999999997</v>
      </c>
      <c r="I190" s="31" cm="1">
        <f t="array" ref="I190">_xlfn.IFS($G190=$G$5,I$5,$G190=$G$6,I$6,$G190=$G$7,I$7,$G190=$G$8,I$8,$G190=$G$9,I$9,$G190=$G$10,I$10,$G190=$G$11,I$11,$G190=$G$13,I$13,$G190=$G$15,I$15,$G190=$G$16,I$16,$G190=$G$33,I$33,$G190=$G$34,I$34,$G190=$G$248,I$248,$G190=$G$250,I$250)</f>
        <v>2.1520730000000001</v>
      </c>
      <c r="J190" s="29" cm="1">
        <f t="array" ref="J190">_xlfn.IFS($G190=$G$5,J$5,$G190=$G$6,J$6,$G190=$G$7,J$7,$G190=$G$8,J$8,$G190=$G$9,J$9,$G190=$G$10,J$10,$G190=$G$11,J$11,$G190=$G$13,J$13,$G190=$G$15,J$15,$G190=$G$16,J$16,$G190=$G$33,J$33,$G190=$G$34,J$34,$G190=$G$248,J$248,$G190=$G$250,J$250)</f>
        <v>141</v>
      </c>
      <c r="K190" s="29" t="str" cm="1">
        <f t="array" ref="K190">_xlfn.IFS($G190=$G$5,K$5,$G190=$G$6,K$6,$G190=$G$7,K$7,$G190=$G$8,K$8,$G190=$G$9,K$9,$G190=$G$10,K$10,$G190=$G$11,K$11,$G190=$G$13,K$13,$G190=$G$15,K$15,$G190=$G$16,K$16,$G190=$G$33,K$33,$G190=$G$34,K$34,$G190=$G$248,K$248,$G190=$G$250,K$250)</f>
        <v>BG sentinel + BG lure7</v>
      </c>
      <c r="L190" s="29" t="str" cm="1">
        <f t="array" ref="L190">_xlfn.IFS($G190=$G$5,L$5,$G190=$G$6,L$6,$G190=$G$7,L$7,$G190=$G$8,L$8,$G190=$G$9,L$9,$G190=$G$10,L$10,$G190=$G$11,L$11,$G190=$G$13,L$13,$G190=$G$15,L$15,$G190=$G$16,L$16,$G190=$G$33,L$33,$G190=$G$34,L$34,$G190=$G$248,L$248,$G190=$G$250,L$250)</f>
        <v>Urban habitat</v>
      </c>
      <c r="O190" s="32" t="str">
        <f t="shared" si="10"/>
        <v>A_SP_BCN_1_200930</v>
      </c>
      <c r="P190" s="33">
        <v>44104</v>
      </c>
      <c r="Q190" s="34">
        <v>0.69097222222222221</v>
      </c>
      <c r="R190" s="35"/>
      <c r="S190" s="36">
        <v>44111</v>
      </c>
      <c r="T190" s="37">
        <v>0.64583333333333337</v>
      </c>
      <c r="U190" s="38"/>
      <c r="V190" s="39" t="s">
        <v>66</v>
      </c>
      <c r="X190" s="29">
        <f t="shared" si="9"/>
        <v>7</v>
      </c>
      <c r="Y190" s="38"/>
      <c r="Z190" s="29" t="s">
        <v>68</v>
      </c>
      <c r="AA190" s="29">
        <f t="shared" si="8"/>
        <v>60</v>
      </c>
      <c r="AB190" s="29" t="s">
        <v>69</v>
      </c>
      <c r="AC190" s="29">
        <v>36</v>
      </c>
      <c r="AD190" s="29">
        <v>24</v>
      </c>
      <c r="AE190" s="29" t="s">
        <v>70</v>
      </c>
      <c r="AF190">
        <v>4</v>
      </c>
    </row>
    <row r="191" spans="1:32" x14ac:dyDescent="0.25">
      <c r="A191" s="28">
        <v>187</v>
      </c>
      <c r="B191" s="29" t="s">
        <v>60</v>
      </c>
      <c r="C191" s="29" t="s">
        <v>61</v>
      </c>
      <c r="D191" s="29" t="s">
        <v>62</v>
      </c>
      <c r="E191" s="29" t="s">
        <v>62</v>
      </c>
      <c r="F191" s="30" cm="1">
        <f t="array" ref="F191">_xlfn.IFS($G191=$G$5,F$5,$G191=$G$6,F$6,$G191=$G$7,F$7,$G191=$G$8,F$8,$G191=$G$9,F$9,$G191=$G$10,F$10,$G191=$G$11,F$11,$G191=$G$13,F$13,$G191=$G$15,F$15,$G191=$G$16,F$16,$G191=$G$33,F$33,$G191=$G$34,F$34,$G191=$G$248,F$248,$G191=$G$250,F$250)</f>
        <v>8024</v>
      </c>
      <c r="G191" s="29" t="s">
        <v>63</v>
      </c>
      <c r="H191" s="31" cm="1">
        <f t="array" ref="H191">_xlfn.IFS($G191=$G$5,H$5,$G191=$G$6,H$6,$G191=$G$7,H$7,$G191=$G$8,H$8,$G191=$G$9,H$9,$G191=$G$10,H$10,$G191=$G$11,H$11,$G191=$G$13,H$13,$G191=$G$15,H$15,$G191=$G$16,H$16,$G191=$G$33,H$33,$G191=$G$34,H$34,$G191=$G$248,H$248,$G191=$G$250,H$250)</f>
        <v>41.413573999999997</v>
      </c>
      <c r="I191" s="31" cm="1">
        <f t="array" ref="I191">_xlfn.IFS($G191=$G$5,I$5,$G191=$G$6,I$6,$G191=$G$7,I$7,$G191=$G$8,I$8,$G191=$G$9,I$9,$G191=$G$10,I$10,$G191=$G$11,I$11,$G191=$G$13,I$13,$G191=$G$15,I$15,$G191=$G$16,I$16,$G191=$G$33,I$33,$G191=$G$34,I$34,$G191=$G$248,I$248,$G191=$G$250,I$250)</f>
        <v>2.1520730000000001</v>
      </c>
      <c r="J191" s="29" cm="1">
        <f t="array" ref="J191">_xlfn.IFS($G191=$G$5,J$5,$G191=$G$6,J$6,$G191=$G$7,J$7,$G191=$G$8,J$8,$G191=$G$9,J$9,$G191=$G$10,J$10,$G191=$G$11,J$11,$G191=$G$13,J$13,$G191=$G$15,J$15,$G191=$G$16,J$16,$G191=$G$33,J$33,$G191=$G$34,J$34,$G191=$G$248,J$248,$G191=$G$250,J$250)</f>
        <v>141</v>
      </c>
      <c r="K191" s="29" t="str" cm="1">
        <f t="array" ref="K191">_xlfn.IFS($G191=$G$5,K$5,$G191=$G$6,K$6,$G191=$G$7,K$7,$G191=$G$8,K$8,$G191=$G$9,K$9,$G191=$G$10,K$10,$G191=$G$11,K$11,$G191=$G$13,K$13,$G191=$G$15,K$15,$G191=$G$16,K$16,$G191=$G$33,K$33,$G191=$G$34,K$34,$G191=$G$248,K$248,$G191=$G$250,K$250)</f>
        <v>BG sentinel + BG lure7</v>
      </c>
      <c r="L191" s="29" t="str" cm="1">
        <f t="array" ref="L191">_xlfn.IFS($G191=$G$5,L$5,$G191=$G$6,L$6,$G191=$G$7,L$7,$G191=$G$8,L$8,$G191=$G$9,L$9,$G191=$G$10,L$10,$G191=$G$11,L$11,$G191=$G$13,L$13,$G191=$G$15,L$15,$G191=$G$16,L$16,$G191=$G$33,L$33,$G191=$G$34,L$34,$G191=$G$248,L$248,$G191=$G$250,L$250)</f>
        <v>Urban habitat</v>
      </c>
      <c r="O191" s="32" t="str">
        <f t="shared" si="10"/>
        <v>A_SP_BCN_1_200930</v>
      </c>
      <c r="P191" s="33">
        <v>44104</v>
      </c>
      <c r="Q191" s="34">
        <v>0.69097222222222221</v>
      </c>
      <c r="R191" s="35"/>
      <c r="S191" s="36">
        <v>44111</v>
      </c>
      <c r="T191" s="37">
        <v>0.64583333333333337</v>
      </c>
      <c r="U191" s="38"/>
      <c r="V191" s="39" t="s">
        <v>66</v>
      </c>
      <c r="X191" s="29">
        <f t="shared" si="9"/>
        <v>7</v>
      </c>
      <c r="Y191" s="38"/>
      <c r="Z191" s="29" t="s">
        <v>75</v>
      </c>
      <c r="AA191" s="29">
        <f t="shared" si="8"/>
        <v>1</v>
      </c>
      <c r="AB191" s="29" t="s">
        <v>69</v>
      </c>
      <c r="AC191" s="29">
        <v>0</v>
      </c>
      <c r="AD191" s="29">
        <v>1</v>
      </c>
      <c r="AE191" s="29" t="s">
        <v>70</v>
      </c>
      <c r="AF191">
        <v>4</v>
      </c>
    </row>
    <row r="192" spans="1:32" x14ac:dyDescent="0.25">
      <c r="A192" s="28">
        <v>188</v>
      </c>
      <c r="B192" s="29" t="s">
        <v>60</v>
      </c>
      <c r="C192" s="29" t="s">
        <v>61</v>
      </c>
      <c r="D192" s="29" t="s">
        <v>62</v>
      </c>
      <c r="E192" s="29" t="s">
        <v>62</v>
      </c>
      <c r="F192" s="30" cm="1">
        <f t="array" ref="F192">_xlfn.IFS($G192=$G$5,F$5,$G192=$G$6,F$6,$G192=$G$7,F$7,$G192=$G$8,F$8,$G192=$G$9,F$9,$G192=$G$10,F$10,$G192=$G$11,F$11,$G192=$G$13,F$13,$G192=$G$15,F$15,$G192=$G$16,F$16,$G192=$G$33,F$33,$G192=$G$34,F$34,$G192=$G$248,F$248,$G192=$G$250,F$250)</f>
        <v>8035</v>
      </c>
      <c r="G192" s="29" t="s">
        <v>71</v>
      </c>
      <c r="H192" s="31" cm="1">
        <f t="array" ref="H192">_xlfn.IFS($G192=$G$5,H$5,$G192=$G$6,H$6,$G192=$G$7,H$7,$G192=$G$8,H$8,$G192=$G$9,H$9,$G192=$G$10,H$10,$G192=$G$11,H$11,$G192=$G$13,H$13,$G192=$G$15,H$15,$G192=$G$16,H$16,$G192=$G$33,H$33,$G192=$G$34,H$34,$G192=$G$248,H$248,$G192=$G$250,H$250)</f>
        <v>41.424387000000003</v>
      </c>
      <c r="I192" s="31" cm="1">
        <f t="array" ref="I192">_xlfn.IFS($G192=$G$5,I$5,$G192=$G$6,I$6,$G192=$G$7,I$7,$G192=$G$8,I$8,$G192=$G$9,I$9,$G192=$G$10,I$10,$G192=$G$11,I$11,$G192=$G$13,I$13,$G192=$G$15,I$15,$G192=$G$16,I$16,$G192=$G$33,I$33,$G192=$G$34,I$34,$G192=$G$248,I$248,$G192=$G$250,I$250)</f>
        <v>2.1431439999999999</v>
      </c>
      <c r="J192" s="29" cm="1">
        <f t="array" ref="J192">_xlfn.IFS($G192=$G$5,J$5,$G192=$G$6,J$6,$G192=$G$7,J$7,$G192=$G$8,J$8,$G192=$G$9,J$9,$G192=$G$10,J$10,$G192=$G$11,J$11,$G192=$G$13,J$13,$G192=$G$15,J$15,$G192=$G$16,J$16,$G192=$G$33,J$33,$G192=$G$34,J$34,$G192=$G$248,J$248,$G192=$G$250,J$250)</f>
        <v>160</v>
      </c>
      <c r="K192" s="29" t="str" cm="1">
        <f t="array" ref="K192">_xlfn.IFS($G192=$G$5,K$5,$G192=$G$6,K$6,$G192=$G$7,K$7,$G192=$G$8,K$8,$G192=$G$9,K$9,$G192=$G$10,K$10,$G192=$G$11,K$11,$G192=$G$13,K$13,$G192=$G$15,K$15,$G192=$G$16,K$16,$G192=$G$33,K$33,$G192=$G$34,K$34,$G192=$G$248,K$248,$G192=$G$250,K$250)</f>
        <v>BG sentinel + BG lure7</v>
      </c>
      <c r="L192" s="29" t="str" cm="1">
        <f t="array" ref="L192">_xlfn.IFS($G192=$G$5,L$5,$G192=$G$6,L$6,$G192=$G$7,L$7,$G192=$G$8,L$8,$G192=$G$9,L$9,$G192=$G$10,L$10,$G192=$G$11,L$11,$G192=$G$13,L$13,$G192=$G$15,L$15,$G192=$G$16,L$16,$G192=$G$33,L$33,$G192=$G$34,L$34,$G192=$G$248,L$248,$G192=$G$250,L$250)</f>
        <v>Urban habitat</v>
      </c>
      <c r="O192" s="32" t="str">
        <f t="shared" si="10"/>
        <v>A_SP_BCN_2_200930</v>
      </c>
      <c r="P192" s="33">
        <v>44104</v>
      </c>
      <c r="Q192" s="34">
        <v>0.71875</v>
      </c>
      <c r="R192" s="35"/>
      <c r="S192" s="36">
        <v>44111</v>
      </c>
      <c r="T192" s="37">
        <v>0.66666666666666663</v>
      </c>
      <c r="U192" s="38"/>
      <c r="V192" s="39" t="s">
        <v>66</v>
      </c>
      <c r="X192" s="29">
        <f t="shared" si="9"/>
        <v>7</v>
      </c>
      <c r="Y192" s="38"/>
      <c r="Z192" s="29" t="s">
        <v>68</v>
      </c>
      <c r="AA192" s="29">
        <f t="shared" si="8"/>
        <v>3</v>
      </c>
      <c r="AB192" s="29" t="s">
        <v>69</v>
      </c>
      <c r="AC192" s="29">
        <v>3</v>
      </c>
      <c r="AD192" s="29">
        <v>0</v>
      </c>
      <c r="AE192" s="29" t="s">
        <v>70</v>
      </c>
      <c r="AF192">
        <v>4</v>
      </c>
    </row>
    <row r="193" spans="1:32" x14ac:dyDescent="0.25">
      <c r="A193" s="28">
        <v>189</v>
      </c>
      <c r="B193" s="29" t="s">
        <v>60</v>
      </c>
      <c r="C193" s="29" t="s">
        <v>61</v>
      </c>
      <c r="D193" s="29" t="s">
        <v>62</v>
      </c>
      <c r="E193" s="29" t="s">
        <v>62</v>
      </c>
      <c r="F193" s="30" cm="1">
        <f t="array" ref="F193">_xlfn.IFS($G193=$G$5,F$5,$G193=$G$6,F$6,$G193=$G$7,F$7,$G193=$G$8,F$8,$G193=$G$9,F$9,$G193=$G$10,F$10,$G193=$G$11,F$11,$G193=$G$13,F$13,$G193=$G$15,F$15,$G193=$G$16,F$16,$G193=$G$33,F$33,$G193=$G$34,F$34,$G193=$G$248,F$248,$G193=$G$250,F$250)</f>
        <v>8016</v>
      </c>
      <c r="G193" s="29" t="s">
        <v>72</v>
      </c>
      <c r="H193" s="31" cm="1">
        <f t="array" ref="H193">_xlfn.IFS($G193=$G$5,H$5,$G193=$G$6,H$6,$G193=$G$7,H$7,$G193=$G$8,H$8,$G193=$G$9,H$9,$G193=$G$10,H$10,$G193=$G$11,H$11,$G193=$G$13,H$13,$G193=$G$15,H$15,$G193=$G$16,H$16,$G193=$G$33,H$33,$G193=$G$34,H$34,$G193=$G$248,H$248,$G193=$G$250,H$250)</f>
        <v>41.437435000000001</v>
      </c>
      <c r="I193" s="31" cm="1">
        <f t="array" ref="I193">_xlfn.IFS($G193=$G$5,I$5,$G193=$G$6,I$6,$G193=$G$7,I$7,$G193=$G$8,I$8,$G193=$G$9,I$9,$G193=$G$10,I$10,$G193=$G$11,I$11,$G193=$G$13,I$13,$G193=$G$15,I$15,$G193=$G$16,I$16,$G193=$G$33,I$33,$G193=$G$34,I$34,$G193=$G$248,I$248,$G193=$G$250,I$250)</f>
        <v>2.1812779999999998</v>
      </c>
      <c r="J193" s="29" cm="1">
        <f t="array" ref="J193">_xlfn.IFS($G193=$G$5,J$5,$G193=$G$6,J$6,$G193=$G$7,J$7,$G193=$G$8,J$8,$G193=$G$9,J$9,$G193=$G$10,J$10,$G193=$G$11,J$11,$G193=$G$13,J$13,$G193=$G$15,J$15,$G193=$G$16,J$16,$G193=$G$33,J$33,$G193=$G$34,J$34,$G193=$G$248,J$248,$G193=$G$250,J$250)</f>
        <v>47</v>
      </c>
      <c r="K193" s="29" t="str" cm="1">
        <f t="array" ref="K193">_xlfn.IFS($G193=$G$5,K$5,$G193=$G$6,K$6,$G193=$G$7,K$7,$G193=$G$8,K$8,$G193=$G$9,K$9,$G193=$G$10,K$10,$G193=$G$11,K$11,$G193=$G$13,K$13,$G193=$G$15,K$15,$G193=$G$16,K$16,$G193=$G$33,K$33,$G193=$G$34,K$34,$G193=$G$248,K$248,$G193=$G$250,K$250)</f>
        <v>BG sentinel + BG lure7</v>
      </c>
      <c r="L193" s="29" t="str" cm="1">
        <f t="array" ref="L193">_xlfn.IFS($G193=$G$5,L$5,$G193=$G$6,L$6,$G193=$G$7,L$7,$G193=$G$8,L$8,$G193=$G$9,L$9,$G193=$G$10,L$10,$G193=$G$11,L$11,$G193=$G$13,L$13,$G193=$G$15,L$15,$G193=$G$16,L$16,$G193=$G$33,L$33,$G193=$G$34,L$34,$G193=$G$248,L$248,$G193=$G$250,L$250)</f>
        <v>Urban habitat</v>
      </c>
      <c r="O193" s="32" t="str">
        <f t="shared" si="10"/>
        <v>A_SP_BCN_3_200930</v>
      </c>
      <c r="P193" s="33">
        <v>44104</v>
      </c>
      <c r="Q193" s="34">
        <v>0.77083333333333337</v>
      </c>
      <c r="R193" s="35"/>
      <c r="S193" s="36">
        <v>44111</v>
      </c>
      <c r="T193" s="37">
        <v>0.72222222222222221</v>
      </c>
      <c r="U193" s="38"/>
      <c r="V193" s="39" t="s">
        <v>66</v>
      </c>
      <c r="X193" s="29">
        <f t="shared" si="9"/>
        <v>7</v>
      </c>
      <c r="Y193" s="38"/>
      <c r="Z193" s="29" t="s">
        <v>68</v>
      </c>
      <c r="AA193" s="29">
        <f t="shared" si="8"/>
        <v>5</v>
      </c>
      <c r="AB193" s="29" t="s">
        <v>69</v>
      </c>
      <c r="AC193" s="29">
        <v>2</v>
      </c>
      <c r="AD193" s="29">
        <v>3</v>
      </c>
      <c r="AE193" s="29" t="s">
        <v>70</v>
      </c>
      <c r="AF193">
        <v>4</v>
      </c>
    </row>
    <row r="194" spans="1:32" x14ac:dyDescent="0.25">
      <c r="A194" s="28">
        <v>190</v>
      </c>
      <c r="B194" s="29" t="s">
        <v>60</v>
      </c>
      <c r="C194" s="29" t="s">
        <v>61</v>
      </c>
      <c r="D194" s="29" t="s">
        <v>62</v>
      </c>
      <c r="E194" s="29" t="s">
        <v>62</v>
      </c>
      <c r="F194" s="30" cm="1">
        <f t="array" ref="F194">_xlfn.IFS($G194=$G$5,F$5,$G194=$G$6,F$6,$G194=$G$7,F$7,$G194=$G$8,F$8,$G194=$G$9,F$9,$G194=$G$10,F$10,$G194=$G$11,F$11,$G194=$G$13,F$13,$G194=$G$15,F$15,$G194=$G$16,F$16,$G194=$G$33,F$33,$G194=$G$34,F$34,$G194=$G$248,F$248,$G194=$G$250,F$250)</f>
        <v>8016</v>
      </c>
      <c r="G194" s="29" t="s">
        <v>72</v>
      </c>
      <c r="H194" s="31" cm="1">
        <f t="array" ref="H194">_xlfn.IFS($G194=$G$5,H$5,$G194=$G$6,H$6,$G194=$G$7,H$7,$G194=$G$8,H$8,$G194=$G$9,H$9,$G194=$G$10,H$10,$G194=$G$11,H$11,$G194=$G$13,H$13,$G194=$G$15,H$15,$G194=$G$16,H$16,$G194=$G$33,H$33,$G194=$G$34,H$34,$G194=$G$248,H$248,$G194=$G$250,H$250)</f>
        <v>41.437435000000001</v>
      </c>
      <c r="I194" s="31" cm="1">
        <f t="array" ref="I194">_xlfn.IFS($G194=$G$5,I$5,$G194=$G$6,I$6,$G194=$G$7,I$7,$G194=$G$8,I$8,$G194=$G$9,I$9,$G194=$G$10,I$10,$G194=$G$11,I$11,$G194=$G$13,I$13,$G194=$G$15,I$15,$G194=$G$16,I$16,$G194=$G$33,I$33,$G194=$G$34,I$34,$G194=$G$248,I$248,$G194=$G$250,I$250)</f>
        <v>2.1812779999999998</v>
      </c>
      <c r="J194" s="29" cm="1">
        <f t="array" ref="J194">_xlfn.IFS($G194=$G$5,J$5,$G194=$G$6,J$6,$G194=$G$7,J$7,$G194=$G$8,J$8,$G194=$G$9,J$9,$G194=$G$10,J$10,$G194=$G$11,J$11,$G194=$G$13,J$13,$G194=$G$15,J$15,$G194=$G$16,J$16,$G194=$G$33,J$33,$G194=$G$34,J$34,$G194=$G$248,J$248,$G194=$G$250,J$250)</f>
        <v>47</v>
      </c>
      <c r="K194" s="29" t="str" cm="1">
        <f t="array" ref="K194">_xlfn.IFS($G194=$G$5,K$5,$G194=$G$6,K$6,$G194=$G$7,K$7,$G194=$G$8,K$8,$G194=$G$9,K$9,$G194=$G$10,K$10,$G194=$G$11,K$11,$G194=$G$13,K$13,$G194=$G$15,K$15,$G194=$G$16,K$16,$G194=$G$33,K$33,$G194=$G$34,K$34,$G194=$G$248,K$248,$G194=$G$250,K$250)</f>
        <v>BG sentinel + BG lure7</v>
      </c>
      <c r="L194" s="29" t="str" cm="1">
        <f t="array" ref="L194">_xlfn.IFS($G194=$G$5,L$5,$G194=$G$6,L$6,$G194=$G$7,L$7,$G194=$G$8,L$8,$G194=$G$9,L$9,$G194=$G$10,L$10,$G194=$G$11,L$11,$G194=$G$13,L$13,$G194=$G$15,L$15,$G194=$G$16,L$16,$G194=$G$33,L$33,$G194=$G$34,L$34,$G194=$G$248,L$248,$G194=$G$250,L$250)</f>
        <v>Urban habitat</v>
      </c>
      <c r="O194" s="32" t="str">
        <f t="shared" si="10"/>
        <v>A_SP_BCN_3_200930</v>
      </c>
      <c r="P194" s="33">
        <v>44104</v>
      </c>
      <c r="Q194" s="34">
        <v>0.77083333333333337</v>
      </c>
      <c r="R194" s="35"/>
      <c r="S194" s="36">
        <v>44111</v>
      </c>
      <c r="T194" s="37">
        <v>0.72222222222222221</v>
      </c>
      <c r="U194" s="38"/>
      <c r="V194" s="39" t="s">
        <v>66</v>
      </c>
      <c r="X194" s="29">
        <f t="shared" si="9"/>
        <v>7</v>
      </c>
      <c r="Y194" s="38"/>
      <c r="Z194" s="29" t="s">
        <v>75</v>
      </c>
      <c r="AA194" s="29">
        <f t="shared" si="8"/>
        <v>2</v>
      </c>
      <c r="AB194" s="29" t="s">
        <v>69</v>
      </c>
      <c r="AC194" s="29">
        <v>1</v>
      </c>
      <c r="AD194" s="29">
        <v>1</v>
      </c>
      <c r="AE194" s="29" t="s">
        <v>70</v>
      </c>
      <c r="AF194">
        <v>4</v>
      </c>
    </row>
    <row r="195" spans="1:32" x14ac:dyDescent="0.25">
      <c r="A195" s="28">
        <v>191</v>
      </c>
      <c r="B195" s="29" t="s">
        <v>60</v>
      </c>
      <c r="C195" s="29" t="s">
        <v>61</v>
      </c>
      <c r="D195" s="29" t="s">
        <v>62</v>
      </c>
      <c r="E195" s="29" t="s">
        <v>62</v>
      </c>
      <c r="F195" s="30" cm="1">
        <f t="array" ref="F195">_xlfn.IFS($G195=$G$5,F$5,$G195=$G$6,F$6,$G195=$G$7,F$7,$G195=$G$8,F$8,$G195=$G$9,F$9,$G195=$G$10,F$10,$G195=$G$11,F$11,$G195=$G$13,F$13,$G195=$G$15,F$15,$G195=$G$16,F$16,$G195=$G$33,F$33,$G195=$G$34,F$34,$G195=$G$248,F$248,$G195=$G$250,F$250)</f>
        <v>8018</v>
      </c>
      <c r="G195" s="29" t="s">
        <v>73</v>
      </c>
      <c r="H195" s="31" cm="1">
        <f t="array" ref="H195">_xlfn.IFS($G195=$G$5,H$5,$G195=$G$6,H$6,$G195=$G$7,H$7,$G195=$G$8,H$8,$G195=$G$9,H$9,$G195=$G$10,H$10,$G195=$G$11,H$11,$G195=$G$13,H$13,$G195=$G$15,H$15,$G195=$G$16,H$16,$G195=$G$33,H$33,$G195=$G$34,H$34,$G195=$G$248,H$248,$G195=$G$250,H$250)</f>
        <v>41.404924999999999</v>
      </c>
      <c r="I195" s="31" cm="1">
        <f t="array" ref="I195">_xlfn.IFS($G195=$G$5,I$5,$G195=$G$6,I$6,$G195=$G$7,I$7,$G195=$G$8,I$8,$G195=$G$9,I$9,$G195=$G$10,I$10,$G195=$G$11,I$11,$G195=$G$13,I$13,$G195=$G$15,I$15,$G195=$G$16,I$16,$G195=$G$33,I$33,$G195=$G$34,I$34,$G195=$G$248,I$248,$G195=$G$250,I$250)</f>
        <v>2.1987909999999999</v>
      </c>
      <c r="J195" s="29" cm="1">
        <f t="array" ref="J195">_xlfn.IFS($G195=$G$5,J$5,$G195=$G$6,J$6,$G195=$G$7,J$7,$G195=$G$8,J$8,$G195=$G$9,J$9,$G195=$G$10,J$10,$G195=$G$11,J$11,$G195=$G$13,J$13,$G195=$G$15,J$15,$G195=$G$16,J$16,$G195=$G$33,J$33,$G195=$G$34,J$34,$G195=$G$248,J$248,$G195=$G$250,J$250)</f>
        <v>4</v>
      </c>
      <c r="K195" s="29" t="str" cm="1">
        <f t="array" ref="K195">_xlfn.IFS($G195=$G$5,K$5,$G195=$G$6,K$6,$G195=$G$7,K$7,$G195=$G$8,K$8,$G195=$G$9,K$9,$G195=$G$10,K$10,$G195=$G$11,K$11,$G195=$G$13,K$13,$G195=$G$15,K$15,$G195=$G$16,K$16,$G195=$G$33,K$33,$G195=$G$34,K$34,$G195=$G$248,K$248,$G195=$G$250,K$250)</f>
        <v>BG sentinel + BG lure7</v>
      </c>
      <c r="L195" s="29" t="str" cm="1">
        <f t="array" ref="L195">_xlfn.IFS($G195=$G$5,L$5,$G195=$G$6,L$6,$G195=$G$7,L$7,$G195=$G$8,L$8,$G195=$G$9,L$9,$G195=$G$10,L$10,$G195=$G$11,L$11,$G195=$G$13,L$13,$G195=$G$15,L$15,$G195=$G$16,L$16,$G195=$G$33,L$33,$G195=$G$34,L$34,$G195=$G$248,L$248,$G195=$G$250,L$250)</f>
        <v>Urban habitat</v>
      </c>
      <c r="O195" s="32" t="str">
        <f t="shared" si="10"/>
        <v>A_SP_BCN_4_200930</v>
      </c>
      <c r="P195" s="33">
        <v>44104</v>
      </c>
      <c r="Q195" s="34">
        <v>0.79513888888888884</v>
      </c>
      <c r="R195" s="35"/>
      <c r="S195" s="36">
        <v>44111</v>
      </c>
      <c r="T195" s="37">
        <v>0.74652777777777779</v>
      </c>
      <c r="U195" s="38"/>
      <c r="V195" s="39" t="s">
        <v>66</v>
      </c>
      <c r="X195" s="29">
        <f t="shared" si="9"/>
        <v>7</v>
      </c>
      <c r="Y195" s="38"/>
      <c r="Z195" s="29" t="s">
        <v>68</v>
      </c>
      <c r="AA195" s="29">
        <f t="shared" si="8"/>
        <v>2</v>
      </c>
      <c r="AB195" s="29" t="s">
        <v>69</v>
      </c>
      <c r="AC195" s="29">
        <v>2</v>
      </c>
      <c r="AD195" s="29">
        <v>0</v>
      </c>
      <c r="AE195" s="29" t="s">
        <v>70</v>
      </c>
      <c r="AF195">
        <v>4</v>
      </c>
    </row>
    <row r="196" spans="1:32" x14ac:dyDescent="0.25">
      <c r="A196" s="28">
        <v>192</v>
      </c>
      <c r="B196" s="29" t="s">
        <v>60</v>
      </c>
      <c r="C196" s="29" t="s">
        <v>61</v>
      </c>
      <c r="D196" s="29" t="s">
        <v>62</v>
      </c>
      <c r="E196" s="29" t="s">
        <v>62</v>
      </c>
      <c r="F196" s="30" cm="1">
        <f t="array" ref="F196">_xlfn.IFS($G196=$G$5,F$5,$G196=$G$6,F$6,$G196=$G$7,F$7,$G196=$G$8,F$8,$G196=$G$9,F$9,$G196=$G$10,F$10,$G196=$G$11,F$11,$G196=$G$13,F$13,$G196=$G$15,F$15,$G196=$G$16,F$16,$G196=$G$33,F$33,$G196=$G$34,F$34,$G196=$G$248,F$248,$G196=$G$250,F$250)</f>
        <v>8019</v>
      </c>
      <c r="G196" s="29" t="s">
        <v>74</v>
      </c>
      <c r="H196" s="31" cm="1">
        <f t="array" ref="H196">_xlfn.IFS($G196=$G$5,H$5,$G196=$G$6,H$6,$G196=$G$7,H$7,$G196=$G$8,H$8,$G196=$G$9,H$9,$G196=$G$10,H$10,$G196=$G$11,H$11,$G196=$G$13,H$13,$G196=$G$15,H$15,$G196=$G$16,H$16,$G196=$G$33,H$33,$G196=$G$34,H$34,$G196=$G$248,H$248,$G196=$G$250,H$250)</f>
        <v>41.410684000000003</v>
      </c>
      <c r="I196" s="31" cm="1">
        <f t="array" ref="I196">_xlfn.IFS($G196=$G$5,I$5,$G196=$G$6,I$6,$G196=$G$7,I$7,$G196=$G$8,I$8,$G196=$G$9,I$9,$G196=$G$10,I$10,$G196=$G$11,I$11,$G196=$G$13,I$13,$G196=$G$15,I$15,$G196=$G$16,I$16,$G196=$G$33,I$33,$G196=$G$34,I$34,$G196=$G$248,I$248,$G196=$G$250,I$250)</f>
        <v>2.2208019999999999</v>
      </c>
      <c r="J196" s="29" cm="1">
        <f t="array" ref="J196">_xlfn.IFS($G196=$G$5,J$5,$G196=$G$6,J$6,$G196=$G$7,J$7,$G196=$G$8,J$8,$G196=$G$9,J$9,$G196=$G$10,J$10,$G196=$G$11,J$11,$G196=$G$13,J$13,$G196=$G$15,J$15,$G196=$G$16,J$16,$G196=$G$33,J$33,$G196=$G$34,J$34,$G196=$G$248,J$248,$G196=$G$250,J$250)</f>
        <v>18</v>
      </c>
      <c r="K196" s="29" t="str" cm="1">
        <f t="array" ref="K196">_xlfn.IFS($G196=$G$5,K$5,$G196=$G$6,K$6,$G196=$G$7,K$7,$G196=$G$8,K$8,$G196=$G$9,K$9,$G196=$G$10,K$10,$G196=$G$11,K$11,$G196=$G$13,K$13,$G196=$G$15,K$15,$G196=$G$16,K$16,$G196=$G$33,K$33,$G196=$G$34,K$34,$G196=$G$248,K$248,$G196=$G$250,K$250)</f>
        <v>BG sentinel + BG lure7</v>
      </c>
      <c r="L196" s="29" t="str" cm="1">
        <f t="array" ref="L196">_xlfn.IFS($G196=$G$5,L$5,$G196=$G$6,L$6,$G196=$G$7,L$7,$G196=$G$8,L$8,$G196=$G$9,L$9,$G196=$G$10,L$10,$G196=$G$11,L$11,$G196=$G$13,L$13,$G196=$G$15,L$15,$G196=$G$16,L$16,$G196=$G$33,L$33,$G196=$G$34,L$34,$G196=$G$248,L$248,$G196=$G$250,L$250)</f>
        <v>Urban habitat</v>
      </c>
      <c r="O196" s="32" t="str">
        <f t="shared" si="10"/>
        <v>A_SP_BCN_5_200930</v>
      </c>
      <c r="P196" s="33">
        <v>44104</v>
      </c>
      <c r="Q196" s="34">
        <v>0.80902777777777779</v>
      </c>
      <c r="R196" s="35"/>
      <c r="S196" s="36">
        <v>44111</v>
      </c>
      <c r="T196" s="37">
        <v>0.76388888888888884</v>
      </c>
      <c r="U196" s="38"/>
      <c r="V196" s="39" t="s">
        <v>66</v>
      </c>
      <c r="X196" s="29">
        <f t="shared" si="9"/>
        <v>7</v>
      </c>
      <c r="Y196" s="38"/>
      <c r="AA196" s="29">
        <f t="shared" si="8"/>
        <v>0</v>
      </c>
      <c r="AF196">
        <v>4</v>
      </c>
    </row>
    <row r="197" spans="1:32" x14ac:dyDescent="0.25">
      <c r="A197" s="28">
        <v>193</v>
      </c>
      <c r="B197" s="29" t="s">
        <v>60</v>
      </c>
      <c r="C197" s="29" t="s">
        <v>61</v>
      </c>
      <c r="D197" s="29" t="s">
        <v>62</v>
      </c>
      <c r="E197" s="29" t="s">
        <v>62</v>
      </c>
      <c r="F197" s="30" cm="1">
        <f t="array" ref="F197">_xlfn.IFS($G197=$G$5,F$5,$G197=$G$6,F$6,$G197=$G$7,F$7,$G197=$G$8,F$8,$G197=$G$9,F$9,$G197=$G$10,F$10,$G197=$G$11,F$11,$G197=$G$13,F$13,$G197=$G$15,F$15,$G197=$G$16,F$16,$G197=$G$33,F$33,$G197=$G$34,F$34,$G197=$G$248,F$248,$G197=$G$250,F$250)</f>
        <v>8002</v>
      </c>
      <c r="G197" s="29" t="s">
        <v>76</v>
      </c>
      <c r="H197" s="31" cm="1">
        <f t="array" ref="H197">_xlfn.IFS($G197=$G$5,H$5,$G197=$G$6,H$6,$G197=$G$7,H$7,$G197=$G$8,H$8,$G197=$G$9,H$9,$G197=$G$10,H$10,$G197=$G$11,H$11,$G197=$G$13,H$13,$G197=$G$15,H$15,$G197=$G$16,H$16,$G197=$G$33,H$33,$G197=$G$34,H$34,$G197=$G$248,H$248,$G197=$G$250,H$250)</f>
        <v>41.382339999999999</v>
      </c>
      <c r="I197" s="31" cm="1">
        <f t="array" ref="I197">_xlfn.IFS($G197=$G$5,I$5,$G197=$G$6,I$6,$G197=$G$7,I$7,$G197=$G$8,I$8,$G197=$G$9,I$9,$G197=$G$10,I$10,$G197=$G$11,I$11,$G197=$G$13,I$13,$G197=$G$15,I$15,$G197=$G$16,I$16,$G197=$G$33,I$33,$G197=$G$34,I$34,$G197=$G$248,I$248,$G197=$G$250,I$250)</f>
        <v>2.1714790000000002</v>
      </c>
      <c r="J197" s="29" cm="1">
        <f t="array" ref="J197">_xlfn.IFS($G197=$G$5,J$5,$G197=$G$6,J$6,$G197=$G$7,J$7,$G197=$G$8,J$8,$G197=$G$9,J$9,$G197=$G$10,J$10,$G197=$G$11,J$11,$G197=$G$13,J$13,$G197=$G$15,J$15,$G197=$G$16,J$16,$G197=$G$33,J$33,$G197=$G$34,J$34,$G197=$G$248,J$248,$G197=$G$250,J$250)</f>
        <v>19</v>
      </c>
      <c r="K197" s="29" t="str" cm="1">
        <f t="array" ref="K197">_xlfn.IFS($G197=$G$5,K$5,$G197=$G$6,K$6,$G197=$G$7,K$7,$G197=$G$8,K$8,$G197=$G$9,K$9,$G197=$G$10,K$10,$G197=$G$11,K$11,$G197=$G$13,K$13,$G197=$G$15,K$15,$G197=$G$16,K$16,$G197=$G$33,K$33,$G197=$G$34,K$34,$G197=$G$248,K$248,$G197=$G$250,K$250)</f>
        <v>BG sentinel + BG lure7</v>
      </c>
      <c r="L197" s="29" t="str" cm="1">
        <f t="array" ref="L197">_xlfn.IFS($G197=$G$5,L$5,$G197=$G$6,L$6,$G197=$G$7,L$7,$G197=$G$8,L$8,$G197=$G$9,L$9,$G197=$G$10,L$10,$G197=$G$11,L$11,$G197=$G$13,L$13,$G197=$G$15,L$15,$G197=$G$16,L$16,$G197=$G$33,L$33,$G197=$G$34,L$34,$G197=$G$248,L$248,$G197=$G$250,L$250)</f>
        <v>Urban habitat</v>
      </c>
      <c r="O197" s="32" t="str">
        <f t="shared" si="10"/>
        <v>A_SP_BCN_6_200930</v>
      </c>
      <c r="P197" s="33">
        <v>44104</v>
      </c>
      <c r="Q197" s="34">
        <v>0.61111111111111105</v>
      </c>
      <c r="R197" s="35"/>
      <c r="S197" s="36">
        <v>44111</v>
      </c>
      <c r="T197" s="37">
        <v>0.58333333333333337</v>
      </c>
      <c r="U197" s="38"/>
      <c r="V197" s="39" t="s">
        <v>66</v>
      </c>
      <c r="X197" s="29">
        <f t="shared" si="9"/>
        <v>7</v>
      </c>
      <c r="Y197" s="38"/>
      <c r="Z197" s="29" t="s">
        <v>68</v>
      </c>
      <c r="AA197" s="29">
        <f t="shared" si="8"/>
        <v>2</v>
      </c>
      <c r="AB197" s="29" t="s">
        <v>69</v>
      </c>
      <c r="AC197" s="29">
        <v>2</v>
      </c>
      <c r="AD197" s="29">
        <v>0</v>
      </c>
      <c r="AE197" s="29" t="s">
        <v>70</v>
      </c>
      <c r="AF197">
        <v>4</v>
      </c>
    </row>
    <row r="198" spans="1:32" x14ac:dyDescent="0.25">
      <c r="A198" s="28">
        <v>194</v>
      </c>
      <c r="B198" s="29" t="s">
        <v>60</v>
      </c>
      <c r="C198" s="29" t="s">
        <v>61</v>
      </c>
      <c r="D198" s="29" t="s">
        <v>62</v>
      </c>
      <c r="E198" s="29" t="s">
        <v>62</v>
      </c>
      <c r="F198" s="30" cm="1">
        <f t="array" ref="F198">_xlfn.IFS($G198=$G$5,F$5,$G198=$G$6,F$6,$G198=$G$7,F$7,$G198=$G$8,F$8,$G198=$G$9,F$9,$G198=$G$10,F$10,$G198=$G$11,F$11,$G198=$G$13,F$13,$G198=$G$15,F$15,$G198=$G$16,F$16,$G198=$G$33,F$33,$G198=$G$34,F$34,$G198=$G$248,F$248,$G198=$G$250,F$250)</f>
        <v>8038</v>
      </c>
      <c r="G198" s="29" t="s">
        <v>77</v>
      </c>
      <c r="H198" s="31" cm="1">
        <f t="array" ref="H198">_xlfn.IFS($G198=$G$5,H$5,$G198=$G$6,H$6,$G198=$G$7,H$7,$G198=$G$8,H$8,$G198=$G$9,H$9,$G198=$G$10,H$10,$G198=$G$11,H$11,$G198=$G$13,H$13,$G198=$G$15,H$15,$G198=$G$16,H$16,$G198=$G$33,H$33,$G198=$G$34,H$34,$G198=$G$248,H$248,$G198=$G$250,H$250)</f>
        <v>41.371864000000002</v>
      </c>
      <c r="I198" s="31" cm="1">
        <f t="array" ref="I198">_xlfn.IFS($G198=$G$5,I$5,$G198=$G$6,I$6,$G198=$G$7,I$7,$G198=$G$8,I$8,$G198=$G$9,I$9,$G198=$G$10,I$10,$G198=$G$11,I$11,$G198=$G$13,I$13,$G198=$G$15,I$15,$G198=$G$16,I$16,$G198=$G$33,I$33,$G198=$G$34,I$34,$G198=$G$248,I$248,$G198=$G$250,I$250)</f>
        <v>2.173899</v>
      </c>
      <c r="J198" s="29" cm="1">
        <f t="array" ref="J198">_xlfn.IFS($G198=$G$5,J$5,$G198=$G$6,J$6,$G198=$G$7,J$7,$G198=$G$8,J$8,$G198=$G$9,J$9,$G198=$G$10,J$10,$G198=$G$11,J$11,$G198=$G$13,J$13,$G198=$G$15,J$15,$G198=$G$16,J$16,$G198=$G$33,J$33,$G198=$G$34,J$34,$G198=$G$248,J$248,$G198=$G$250,J$250)</f>
        <v>5</v>
      </c>
      <c r="K198" s="29" t="str" cm="1">
        <f t="array" ref="K198">_xlfn.IFS($G198=$G$5,K$5,$G198=$G$6,K$6,$G198=$G$7,K$7,$G198=$G$8,K$8,$G198=$G$9,K$9,$G198=$G$10,K$10,$G198=$G$11,K$11,$G198=$G$13,K$13,$G198=$G$15,K$15,$G198=$G$16,K$16,$G198=$G$33,K$33,$G198=$G$34,K$34,$G198=$G$248,K$248,$G198=$G$250,K$250)</f>
        <v>BG sentinel + BG lure7</v>
      </c>
      <c r="L198" s="29" t="str" cm="1">
        <f t="array" ref="L198">_xlfn.IFS($G198=$G$5,L$5,$G198=$G$6,L$6,$G198=$G$7,L$7,$G198=$G$8,L$8,$G198=$G$9,L$9,$G198=$G$10,L$10,$G198=$G$11,L$11,$G198=$G$13,L$13,$G198=$G$15,L$15,$G198=$G$16,L$16,$G198=$G$33,L$33,$G198=$G$34,L$34,$G198=$G$248,L$248,$G198=$G$250,L$250)</f>
        <v>Urban habitat</v>
      </c>
      <c r="O198" s="32" t="str">
        <f t="shared" si="10"/>
        <v>A_SP_BCN_7_200930</v>
      </c>
      <c r="P198" s="33">
        <v>44104</v>
      </c>
      <c r="Q198" s="34">
        <v>0.51736111111111105</v>
      </c>
      <c r="R198" s="35"/>
      <c r="S198" s="36">
        <v>44111</v>
      </c>
      <c r="T198" s="37">
        <v>0.5</v>
      </c>
      <c r="U198" s="38"/>
      <c r="V198" s="39" t="s">
        <v>88</v>
      </c>
      <c r="X198" s="29">
        <f t="shared" si="9"/>
        <v>7</v>
      </c>
      <c r="Y198" s="38"/>
      <c r="Z198" s="29" t="s">
        <v>68</v>
      </c>
      <c r="AA198" s="29">
        <f t="shared" si="8"/>
        <v>4</v>
      </c>
      <c r="AB198" s="29" t="s">
        <v>69</v>
      </c>
      <c r="AC198" s="29">
        <v>3</v>
      </c>
      <c r="AD198" s="29">
        <v>1</v>
      </c>
      <c r="AE198" s="29" t="s">
        <v>70</v>
      </c>
      <c r="AF198">
        <v>2</v>
      </c>
    </row>
    <row r="199" spans="1:32" x14ac:dyDescent="0.25">
      <c r="A199" s="28">
        <v>195</v>
      </c>
      <c r="B199" s="29" t="s">
        <v>60</v>
      </c>
      <c r="C199" s="29" t="s">
        <v>61</v>
      </c>
      <c r="D199" s="29" t="s">
        <v>62</v>
      </c>
      <c r="E199" s="29" t="s">
        <v>62</v>
      </c>
      <c r="F199" s="30" cm="1">
        <f t="array" ref="F199">_xlfn.IFS($G199=$G$5,F$5,$G199=$G$6,F$6,$G199=$G$7,F$7,$G199=$G$8,F$8,$G199=$G$9,F$9,$G199=$G$10,F$10,$G199=$G$11,F$11,$G199=$G$13,F$13,$G199=$G$15,F$15,$G199=$G$16,F$16,$G199=$G$33,F$33,$G199=$G$34,F$34,$G199=$G$248,F$248,$G199=$G$250,F$250)</f>
        <v>8038</v>
      </c>
      <c r="G199" s="29" t="s">
        <v>78</v>
      </c>
      <c r="H199" s="31" cm="1">
        <f t="array" ref="H199">_xlfn.IFS($G199=$G$5,H$5,$G199=$G$6,H$6,$G199=$G$7,H$7,$G199=$G$8,H$8,$G199=$G$9,H$9,$G199=$G$10,H$10,$G199=$G$11,H$11,$G199=$G$13,H$13,$G199=$G$15,H$15,$G199=$G$16,H$16,$G199=$G$33,H$33,$G199=$G$34,H$34,$G199=$G$248,H$248,$G199=$G$250,H$250)</f>
        <v>41.368589</v>
      </c>
      <c r="I199" s="31" cm="1">
        <f t="array" ref="I199">_xlfn.IFS($G199=$G$5,I$5,$G199=$G$6,I$6,$G199=$G$7,I$7,$G199=$G$8,I$8,$G199=$G$9,I$9,$G199=$G$10,I$10,$G199=$G$11,I$11,$G199=$G$13,I$13,$G199=$G$15,I$15,$G199=$G$16,I$16,$G199=$G$33,I$33,$G199=$G$34,I$34,$G199=$G$248,I$248,$G199=$G$250,I$250)</f>
        <v>2.1620900000000001</v>
      </c>
      <c r="J199" s="29" cm="1">
        <f t="array" ref="J199">_xlfn.IFS($G199=$G$5,J$5,$G199=$G$6,J$6,$G199=$G$7,J$7,$G199=$G$8,J$8,$G199=$G$9,J$9,$G199=$G$10,J$10,$G199=$G$11,J$11,$G199=$G$13,J$13,$G199=$G$15,J$15,$G199=$G$16,J$16,$G199=$G$33,J$33,$G199=$G$34,J$34,$G199=$G$248,J$248,$G199=$G$250,J$250)</f>
        <v>95</v>
      </c>
      <c r="K199" s="29" t="str" cm="1">
        <f t="array" ref="K199">_xlfn.IFS($G199=$G$5,K$5,$G199=$G$6,K$6,$G199=$G$7,K$7,$G199=$G$8,K$8,$G199=$G$9,K$9,$G199=$G$10,K$10,$G199=$G$11,K$11,$G199=$G$13,K$13,$G199=$G$15,K$15,$G199=$G$16,K$16,$G199=$G$33,K$33,$G199=$G$34,K$34,$G199=$G$248,K$248,$G199=$G$250,K$250)</f>
        <v>BG sentinel + BG lure7</v>
      </c>
      <c r="L199" s="29" t="str" cm="1">
        <f t="array" ref="L199">_xlfn.IFS($G199=$G$5,L$5,$G199=$G$6,L$6,$G199=$G$7,L$7,$G199=$G$8,L$8,$G199=$G$9,L$9,$G199=$G$10,L$10,$G199=$G$11,L$11,$G199=$G$13,L$13,$G199=$G$15,L$15,$G199=$G$16,L$16,$G199=$G$33,L$33,$G199=$G$34,L$34,$G199=$G$248,L$248,$G199=$G$250,L$250)</f>
        <v>Other</v>
      </c>
      <c r="O199" s="32" t="str">
        <f t="shared" si="10"/>
        <v>A_SP_BCN_8_200930</v>
      </c>
      <c r="P199" s="33">
        <v>44104</v>
      </c>
      <c r="Q199" s="34">
        <v>0.54861111111111105</v>
      </c>
      <c r="R199" s="35"/>
      <c r="S199" s="36">
        <v>44111</v>
      </c>
      <c r="T199" s="37">
        <v>0.51736111111111105</v>
      </c>
      <c r="U199" s="38"/>
      <c r="V199" s="39" t="s">
        <v>104</v>
      </c>
      <c r="X199" s="29">
        <f t="shared" si="9"/>
        <v>7</v>
      </c>
      <c r="Y199" s="38"/>
      <c r="Z199" s="29" t="s">
        <v>68</v>
      </c>
      <c r="AA199" s="29">
        <f t="shared" si="8"/>
        <v>16</v>
      </c>
      <c r="AB199" s="29" t="s">
        <v>69</v>
      </c>
      <c r="AC199" s="29">
        <v>16</v>
      </c>
      <c r="AD199" s="29">
        <v>0</v>
      </c>
      <c r="AE199" s="29" t="s">
        <v>70</v>
      </c>
      <c r="AF199">
        <v>2</v>
      </c>
    </row>
    <row r="200" spans="1:32" x14ac:dyDescent="0.25">
      <c r="A200" s="28">
        <v>196</v>
      </c>
      <c r="B200" s="29" t="s">
        <v>60</v>
      </c>
      <c r="C200" s="29" t="s">
        <v>61</v>
      </c>
      <c r="D200" s="29" t="s">
        <v>62</v>
      </c>
      <c r="E200" s="29" t="s">
        <v>62</v>
      </c>
      <c r="F200" s="30" cm="1">
        <f t="array" ref="F200">_xlfn.IFS($G200=$G$5,F$5,$G200=$G$6,F$6,$G200=$G$7,F$7,$G200=$G$8,F$8,$G200=$G$9,F$9,$G200=$G$10,F$10,$G200=$G$11,F$11,$G200=$G$13,F$13,$G200=$G$15,F$15,$G200=$G$16,F$16,$G200=$G$33,F$33,$G200=$G$34,F$34,$G200=$G$248,F$248,$G200=$G$250,F$250)</f>
        <v>8038</v>
      </c>
      <c r="G200" s="29" t="s">
        <v>78</v>
      </c>
      <c r="H200" s="31" cm="1">
        <f t="array" ref="H200">_xlfn.IFS($G200=$G$5,H$5,$G200=$G$6,H$6,$G200=$G$7,H$7,$G200=$G$8,H$8,$G200=$G$9,H$9,$G200=$G$10,H$10,$G200=$G$11,H$11,$G200=$G$13,H$13,$G200=$G$15,H$15,$G200=$G$16,H$16,$G200=$G$33,H$33,$G200=$G$34,H$34,$G200=$G$248,H$248,$G200=$G$250,H$250)</f>
        <v>41.368589</v>
      </c>
      <c r="I200" s="31" cm="1">
        <f t="array" ref="I200">_xlfn.IFS($G200=$G$5,I$5,$G200=$G$6,I$6,$G200=$G$7,I$7,$G200=$G$8,I$8,$G200=$G$9,I$9,$G200=$G$10,I$10,$G200=$G$11,I$11,$G200=$G$13,I$13,$G200=$G$15,I$15,$G200=$G$16,I$16,$G200=$G$33,I$33,$G200=$G$34,I$34,$G200=$G$248,I$248,$G200=$G$250,I$250)</f>
        <v>2.1620900000000001</v>
      </c>
      <c r="J200" s="29" cm="1">
        <f t="array" ref="J200">_xlfn.IFS($G200=$G$5,J$5,$G200=$G$6,J$6,$G200=$G$7,J$7,$G200=$G$8,J$8,$G200=$G$9,J$9,$G200=$G$10,J$10,$G200=$G$11,J$11,$G200=$G$13,J$13,$G200=$G$15,J$15,$G200=$G$16,J$16,$G200=$G$33,J$33,$G200=$G$34,J$34,$G200=$G$248,J$248,$G200=$G$250,J$250)</f>
        <v>95</v>
      </c>
      <c r="K200" s="29" t="str" cm="1">
        <f t="array" ref="K200">_xlfn.IFS($G200=$G$5,K$5,$G200=$G$6,K$6,$G200=$G$7,K$7,$G200=$G$8,K$8,$G200=$G$9,K$9,$G200=$G$10,K$10,$G200=$G$11,K$11,$G200=$G$13,K$13,$G200=$G$15,K$15,$G200=$G$16,K$16,$G200=$G$33,K$33,$G200=$G$34,K$34,$G200=$G$248,K$248,$G200=$G$250,K$250)</f>
        <v>BG sentinel + BG lure7</v>
      </c>
      <c r="L200" s="29" t="str" cm="1">
        <f t="array" ref="L200">_xlfn.IFS($G200=$G$5,L$5,$G200=$G$6,L$6,$G200=$G$7,L$7,$G200=$G$8,L$8,$G200=$G$9,L$9,$G200=$G$10,L$10,$G200=$G$11,L$11,$G200=$G$13,L$13,$G200=$G$15,L$15,$G200=$G$16,L$16,$G200=$G$33,L$33,$G200=$G$34,L$34,$G200=$G$248,L$248,$G200=$G$250,L$250)</f>
        <v>Other</v>
      </c>
      <c r="O200" s="32" t="str">
        <f t="shared" si="10"/>
        <v>A_SP_BCN_8_200930</v>
      </c>
      <c r="P200" s="33">
        <v>44104</v>
      </c>
      <c r="Q200" s="34">
        <v>0.54861111111111105</v>
      </c>
      <c r="R200" s="35"/>
      <c r="S200" s="36">
        <v>44111</v>
      </c>
      <c r="T200" s="37">
        <v>0.51736111111111105</v>
      </c>
      <c r="U200" s="38"/>
      <c r="V200" s="39" t="s">
        <v>104</v>
      </c>
      <c r="X200" s="29">
        <f t="shared" si="9"/>
        <v>7</v>
      </c>
      <c r="Y200" s="38"/>
      <c r="Z200" s="29" t="s">
        <v>84</v>
      </c>
      <c r="AA200" s="29">
        <f t="shared" si="8"/>
        <v>2</v>
      </c>
      <c r="AB200" s="29" t="s">
        <v>69</v>
      </c>
      <c r="AC200" s="29">
        <v>1</v>
      </c>
      <c r="AD200" s="29">
        <v>1</v>
      </c>
      <c r="AE200" s="29" t="s">
        <v>70</v>
      </c>
      <c r="AF200">
        <v>2</v>
      </c>
    </row>
    <row r="201" spans="1:32" x14ac:dyDescent="0.25">
      <c r="A201" s="28">
        <v>197</v>
      </c>
      <c r="B201" s="29" t="s">
        <v>60</v>
      </c>
      <c r="C201" s="29" t="s">
        <v>61</v>
      </c>
      <c r="D201" s="29" t="s">
        <v>62</v>
      </c>
      <c r="E201" s="29" t="s">
        <v>62</v>
      </c>
      <c r="F201" s="30" cm="1">
        <f t="array" ref="F201">_xlfn.IFS($G201=$G$5,F$5,$G201=$G$6,F$6,$G201=$G$7,F$7,$G201=$G$8,F$8,$G201=$G$9,F$9,$G201=$G$10,F$10,$G201=$G$11,F$11,$G201=$G$13,F$13,$G201=$G$15,F$15,$G201=$G$16,F$16,$G201=$G$33,F$33,$G201=$G$34,F$34,$G201=$G$248,F$248,$G201=$G$250,F$250)</f>
        <v>8034</v>
      </c>
      <c r="G201" s="29" t="s">
        <v>81</v>
      </c>
      <c r="H201" s="31" cm="1">
        <f t="array" ref="H201">_xlfn.IFS($G201=$G$5,H$5,$G201=$G$6,H$6,$G201=$G$7,H$7,$G201=$G$8,H$8,$G201=$G$9,H$9,$G201=$G$10,H$10,$G201=$G$11,H$11,$G201=$G$13,H$13,$G201=$G$15,H$15,$G201=$G$16,H$16,$G201=$G$33,H$33,$G201=$G$34,H$34,$G201=$G$248,H$248,$G201=$G$250,H$250)</f>
        <v>41.393644999999999</v>
      </c>
      <c r="I201" s="31" cm="1">
        <f t="array" ref="I201">_xlfn.IFS($G201=$G$5,I$5,$G201=$G$6,I$6,$G201=$G$7,I$7,$G201=$G$8,I$8,$G201=$G$9,I$9,$G201=$G$10,I$10,$G201=$G$11,I$11,$G201=$G$13,I$13,$G201=$G$15,I$15,$G201=$G$16,I$16,$G201=$G$33,I$33,$G201=$G$34,I$34,$G201=$G$248,I$248,$G201=$G$250,I$250)</f>
        <v>2.1216780000000002</v>
      </c>
      <c r="J201" s="29" cm="1">
        <f t="array" ref="J201">_xlfn.IFS($G201=$G$5,J$5,$G201=$G$6,J$6,$G201=$G$7,J$7,$G201=$G$8,J$8,$G201=$G$9,J$9,$G201=$G$10,J$10,$G201=$G$11,J$11,$G201=$G$13,J$13,$G201=$G$15,J$15,$G201=$G$16,J$16,$G201=$G$33,J$33,$G201=$G$34,J$34,$G201=$G$248,J$248,$G201=$G$250,J$250)</f>
        <v>98</v>
      </c>
      <c r="K201" s="29" t="str" cm="1">
        <f t="array" ref="K201">_xlfn.IFS($G201=$G$5,K$5,$G201=$G$6,K$6,$G201=$G$7,K$7,$G201=$G$8,K$8,$G201=$G$9,K$9,$G201=$G$10,K$10,$G201=$G$11,K$11,$G201=$G$13,K$13,$G201=$G$15,K$15,$G201=$G$16,K$16,$G201=$G$33,K$33,$G201=$G$34,K$34,$G201=$G$248,K$248,$G201=$G$250,K$250)</f>
        <v>BG sentinel + BG lure7</v>
      </c>
      <c r="L201" s="29" t="str" cm="1">
        <f t="array" ref="L201">_xlfn.IFS($G201=$G$5,L$5,$G201=$G$6,L$6,$G201=$G$7,L$7,$G201=$G$8,L$8,$G201=$G$9,L$9,$G201=$G$10,L$10,$G201=$G$11,L$11,$G201=$G$13,L$13,$G201=$G$15,L$15,$G201=$G$16,L$16,$G201=$G$33,L$33,$G201=$G$34,L$34,$G201=$G$248,L$248,$G201=$G$250,L$250)</f>
        <v>Other</v>
      </c>
      <c r="O201" s="32" t="str">
        <f t="shared" si="10"/>
        <v>A_SP_BCN_9_200930</v>
      </c>
      <c r="P201" s="33">
        <v>44104</v>
      </c>
      <c r="Q201" s="34">
        <v>0.64236111111111105</v>
      </c>
      <c r="R201" s="35"/>
      <c r="S201" s="36">
        <v>44111</v>
      </c>
      <c r="T201" s="37">
        <v>0.61458333333333337</v>
      </c>
      <c r="U201" s="38"/>
      <c r="V201" s="39" t="s">
        <v>66</v>
      </c>
      <c r="X201" s="29">
        <f t="shared" si="9"/>
        <v>7</v>
      </c>
      <c r="Y201" s="38"/>
      <c r="Z201" s="29" t="s">
        <v>68</v>
      </c>
      <c r="AA201" s="29">
        <f t="shared" ref="AA201:AA264" si="11">SUM(AC201:AD201)</f>
        <v>3</v>
      </c>
      <c r="AB201" s="29" t="s">
        <v>69</v>
      </c>
      <c r="AC201" s="29">
        <v>3</v>
      </c>
      <c r="AD201" s="29">
        <v>0</v>
      </c>
      <c r="AE201" s="29" t="s">
        <v>70</v>
      </c>
      <c r="AF201">
        <v>4</v>
      </c>
    </row>
    <row r="202" spans="1:32" x14ac:dyDescent="0.25">
      <c r="A202" s="28">
        <v>198</v>
      </c>
      <c r="B202" s="29" t="s">
        <v>60</v>
      </c>
      <c r="C202" s="29" t="s">
        <v>61</v>
      </c>
      <c r="D202" s="29" t="s">
        <v>62</v>
      </c>
      <c r="E202" s="29" t="s">
        <v>62</v>
      </c>
      <c r="F202" s="30" cm="1">
        <f t="array" ref="F202">_xlfn.IFS($G202=$G$5,F$5,$G202=$G$6,F$6,$G202=$G$7,F$7,$G202=$G$8,F$8,$G202=$G$9,F$9,$G202=$G$10,F$10,$G202=$G$11,F$11,$G202=$G$13,F$13,$G202=$G$15,F$15,$G202=$G$16,F$16,$G202=$G$33,F$33,$G202=$G$34,F$34,$G202=$G$248,F$248,$G202=$G$250,F$250)</f>
        <v>8034</v>
      </c>
      <c r="G202" s="29" t="s">
        <v>81</v>
      </c>
      <c r="H202" s="31" cm="1">
        <f t="array" ref="H202">_xlfn.IFS($G202=$G$5,H$5,$G202=$G$6,H$6,$G202=$G$7,H$7,$G202=$G$8,H$8,$G202=$G$9,H$9,$G202=$G$10,H$10,$G202=$G$11,H$11,$G202=$G$13,H$13,$G202=$G$15,H$15,$G202=$G$16,H$16,$G202=$G$33,H$33,$G202=$G$34,H$34,$G202=$G$248,H$248,$G202=$G$250,H$250)</f>
        <v>41.393644999999999</v>
      </c>
      <c r="I202" s="31" cm="1">
        <f t="array" ref="I202">_xlfn.IFS($G202=$G$5,I$5,$G202=$G$6,I$6,$G202=$G$7,I$7,$G202=$G$8,I$8,$G202=$G$9,I$9,$G202=$G$10,I$10,$G202=$G$11,I$11,$G202=$G$13,I$13,$G202=$G$15,I$15,$G202=$G$16,I$16,$G202=$G$33,I$33,$G202=$G$34,I$34,$G202=$G$248,I$248,$G202=$G$250,I$250)</f>
        <v>2.1216780000000002</v>
      </c>
      <c r="J202" s="29" cm="1">
        <f t="array" ref="J202">_xlfn.IFS($G202=$G$5,J$5,$G202=$G$6,J$6,$G202=$G$7,J$7,$G202=$G$8,J$8,$G202=$G$9,J$9,$G202=$G$10,J$10,$G202=$G$11,J$11,$G202=$G$13,J$13,$G202=$G$15,J$15,$G202=$G$16,J$16,$G202=$G$33,J$33,$G202=$G$34,J$34,$G202=$G$248,J$248,$G202=$G$250,J$250)</f>
        <v>98</v>
      </c>
      <c r="K202" s="29" t="str" cm="1">
        <f t="array" ref="K202">_xlfn.IFS($G202=$G$5,K$5,$G202=$G$6,K$6,$G202=$G$7,K$7,$G202=$G$8,K$8,$G202=$G$9,K$9,$G202=$G$10,K$10,$G202=$G$11,K$11,$G202=$G$13,K$13,$G202=$G$15,K$15,$G202=$G$16,K$16,$G202=$G$33,K$33,$G202=$G$34,K$34,$G202=$G$248,K$248,$G202=$G$250,K$250)</f>
        <v>BG sentinel + BG lure7</v>
      </c>
      <c r="L202" s="29" t="str" cm="1">
        <f t="array" ref="L202">_xlfn.IFS($G202=$G$5,L$5,$G202=$G$6,L$6,$G202=$G$7,L$7,$G202=$G$8,L$8,$G202=$G$9,L$9,$G202=$G$10,L$10,$G202=$G$11,L$11,$G202=$G$13,L$13,$G202=$G$15,L$15,$G202=$G$16,L$16,$G202=$G$33,L$33,$G202=$G$34,L$34,$G202=$G$248,L$248,$G202=$G$250,L$250)</f>
        <v>Other</v>
      </c>
      <c r="O202" s="32" t="str">
        <f t="shared" si="10"/>
        <v>A_SP_BCN_9_200930</v>
      </c>
      <c r="P202" s="33">
        <v>44104</v>
      </c>
      <c r="Q202" s="34">
        <v>0.64236111111111105</v>
      </c>
      <c r="R202" s="35"/>
      <c r="S202" s="36">
        <v>44111</v>
      </c>
      <c r="T202" s="37">
        <v>0.61458333333333337</v>
      </c>
      <c r="U202" s="38"/>
      <c r="V202" s="39" t="s">
        <v>66</v>
      </c>
      <c r="X202" s="29">
        <f t="shared" ref="X202:X265" si="12">S202-P202</f>
        <v>7</v>
      </c>
      <c r="Y202" s="38"/>
      <c r="Z202" s="29" t="s">
        <v>75</v>
      </c>
      <c r="AA202" s="29">
        <f t="shared" si="11"/>
        <v>1</v>
      </c>
      <c r="AB202" s="29" t="s">
        <v>69</v>
      </c>
      <c r="AC202" s="29">
        <v>1</v>
      </c>
      <c r="AD202" s="29">
        <v>0</v>
      </c>
      <c r="AE202" s="29" t="s">
        <v>70</v>
      </c>
      <c r="AF202">
        <v>4</v>
      </c>
    </row>
    <row r="203" spans="1:32" x14ac:dyDescent="0.25">
      <c r="A203" s="28">
        <v>199</v>
      </c>
      <c r="B203" s="29" t="s">
        <v>60</v>
      </c>
      <c r="C203" s="29" t="s">
        <v>61</v>
      </c>
      <c r="D203" s="29" t="s">
        <v>62</v>
      </c>
      <c r="E203" s="29" t="s">
        <v>62</v>
      </c>
      <c r="F203" s="30" cm="1">
        <f t="array" ref="F203">_xlfn.IFS($G203=$G$5,F$5,$G203=$G$6,F$6,$G203=$G$7,F$7,$G203=$G$8,F$8,$G203=$G$9,F$9,$G203=$G$10,F$10,$G203=$G$11,F$11,$G203=$G$13,F$13,$G203=$G$15,F$15,$G203=$G$16,F$16,$G203=$G$33,F$33,$G203=$G$34,F$34,$G203=$G$248,F$248,$G203=$G$250,F$250)</f>
        <v>8040</v>
      </c>
      <c r="G203" s="29" t="s">
        <v>83</v>
      </c>
      <c r="H203" s="31" cm="1">
        <f t="array" ref="H203">_xlfn.IFS($G203=$G$5,H$5,$G203=$G$6,H$6,$G203=$G$7,H$7,$G203=$G$8,H$8,$G203=$G$9,H$9,$G203=$G$10,H$10,$G203=$G$11,H$11,$G203=$G$13,H$13,$G203=$G$15,H$15,$G203=$G$16,H$16,$G203=$G$33,H$33,$G203=$G$34,H$34,$G203=$G$248,H$248,$G203=$G$250,H$250)</f>
        <v>41.343685000000001</v>
      </c>
      <c r="I203" s="31" cm="1">
        <f t="array" ref="I203">_xlfn.IFS($G203=$G$5,I$5,$G203=$G$6,I$6,$G203=$G$7,I$7,$G203=$G$8,I$8,$G203=$G$9,I$9,$G203=$G$10,I$10,$G203=$G$11,I$11,$G203=$G$13,I$13,$G203=$G$15,I$15,$G203=$G$16,I$16,$G203=$G$33,I$33,$G203=$G$34,I$34,$G203=$G$248,I$248,$G203=$G$250,I$250)</f>
        <v>2.1441490000000001</v>
      </c>
      <c r="J203" s="29" cm="1">
        <f t="array" ref="J203">_xlfn.IFS($G203=$G$5,J$5,$G203=$G$6,J$6,$G203=$G$7,J$7,$G203=$G$8,J$8,$G203=$G$9,J$9,$G203=$G$10,J$10,$G203=$G$11,J$11,$G203=$G$13,J$13,$G203=$G$15,J$15,$G203=$G$16,J$16,$G203=$G$33,J$33,$G203=$G$34,J$34,$G203=$G$248,J$248,$G203=$G$250,J$250)</f>
        <v>4</v>
      </c>
      <c r="K203" s="29" t="str" cm="1">
        <f t="array" ref="K203">_xlfn.IFS($G203=$G$5,K$5,$G203=$G$6,K$6,$G203=$G$7,K$7,$G203=$G$8,K$8,$G203=$G$9,K$9,$G203=$G$10,K$10,$G203=$G$11,K$11,$G203=$G$13,K$13,$G203=$G$15,K$15,$G203=$G$16,K$16,$G203=$G$33,K$33,$G203=$G$34,K$34,$G203=$G$248,K$248,$G203=$G$250,K$250)</f>
        <v>BG sentinel + BG lure7</v>
      </c>
      <c r="L203" s="29" t="str" cm="1">
        <f t="array" ref="L203">_xlfn.IFS($G203=$G$5,L$5,$G203=$G$6,L$6,$G203=$G$7,L$7,$G203=$G$8,L$8,$G203=$G$9,L$9,$G203=$G$10,L$10,$G203=$G$11,L$11,$G203=$G$13,L$13,$G203=$G$15,L$15,$G203=$G$16,L$16,$G203=$G$33,L$33,$G203=$G$34,L$34,$G203=$G$248,L$248,$G203=$G$250,L$250)</f>
        <v>Urban habitat</v>
      </c>
      <c r="O203" s="32" t="str">
        <f t="shared" si="10"/>
        <v>A_SP_BCN_10_200930</v>
      </c>
      <c r="P203" s="33">
        <v>44104</v>
      </c>
      <c r="Q203" s="34">
        <v>0.50694444444444442</v>
      </c>
      <c r="R203" s="35"/>
      <c r="S203" s="36">
        <v>44111</v>
      </c>
      <c r="T203" s="37">
        <v>0.48958333333333331</v>
      </c>
      <c r="U203" s="38"/>
      <c r="V203" s="39" t="s">
        <v>66</v>
      </c>
      <c r="X203" s="29">
        <f t="shared" si="12"/>
        <v>7</v>
      </c>
      <c r="Y203" s="38"/>
      <c r="Z203" s="29" t="s">
        <v>68</v>
      </c>
      <c r="AA203" s="29">
        <f t="shared" si="11"/>
        <v>6</v>
      </c>
      <c r="AB203" s="29" t="s">
        <v>69</v>
      </c>
      <c r="AC203" s="29">
        <v>5</v>
      </c>
      <c r="AD203" s="29">
        <v>1</v>
      </c>
      <c r="AE203" s="29" t="s">
        <v>70</v>
      </c>
      <c r="AF203">
        <v>4</v>
      </c>
    </row>
    <row r="204" spans="1:32" x14ac:dyDescent="0.25">
      <c r="A204" s="28">
        <v>200</v>
      </c>
      <c r="B204" s="29" t="s">
        <v>60</v>
      </c>
      <c r="C204" s="29" t="s">
        <v>61</v>
      </c>
      <c r="D204" s="29" t="s">
        <v>62</v>
      </c>
      <c r="E204" s="29" t="s">
        <v>62</v>
      </c>
      <c r="F204" s="30" cm="1">
        <f t="array" ref="F204">_xlfn.IFS($G204=$G$5,F$5,$G204=$G$6,F$6,$G204=$G$7,F$7,$G204=$G$8,F$8,$G204=$G$9,F$9,$G204=$G$10,F$10,$G204=$G$11,F$11,$G204=$G$13,F$13,$G204=$G$15,F$15,$G204=$G$16,F$16,$G204=$G$33,F$33,$G204=$G$34,F$34,$G204=$G$248,F$248,$G204=$G$250,F$250)</f>
        <v>8038</v>
      </c>
      <c r="G204" s="29" t="s">
        <v>85</v>
      </c>
      <c r="H204" s="31" cm="1">
        <f t="array" ref="H204">_xlfn.IFS($G204=$G$5,H$5,$G204=$G$6,H$6,$G204=$G$7,H$7,$G204=$G$8,H$8,$G204=$G$9,H$9,$G204=$G$10,H$10,$G204=$G$11,H$11,$G204=$G$13,H$13,$G204=$G$15,H$15,$G204=$G$16,H$16,$G204=$G$33,H$33,$G204=$G$34,H$34,$G204=$G$248,H$248,$G204=$G$250,H$250)</f>
        <v>41.367429999999999</v>
      </c>
      <c r="I204" s="31" cm="1">
        <f t="array" ref="I204">_xlfn.IFS($G204=$G$5,I$5,$G204=$G$6,I$6,$G204=$G$7,I$7,$G204=$G$8,I$8,$G204=$G$9,I$9,$G204=$G$10,I$10,$G204=$G$11,I$11,$G204=$G$13,I$13,$G204=$G$15,I$15,$G204=$G$16,I$16,$G204=$G$33,I$33,$G204=$G$34,I$34,$G204=$G$248,I$248,$G204=$G$250,I$250)</f>
        <v>2.1569609999999999</v>
      </c>
      <c r="J204" s="29" cm="1">
        <f t="array" ref="J204">_xlfn.IFS($G204=$G$5,J$5,$G204=$G$6,J$6,$G204=$G$7,J$7,$G204=$G$8,J$8,$G204=$G$9,J$9,$G204=$G$10,J$10,$G204=$G$11,J$11,$G204=$G$13,J$13,$G204=$G$15,J$15,$G204=$G$16,J$16,$G204=$G$33,J$33,$G204=$G$34,J$34,$G204=$G$248,J$248,$G204=$G$250,J$250)</f>
        <v>91</v>
      </c>
      <c r="K204" s="29" t="str" cm="1">
        <f t="array" ref="K204">_xlfn.IFS($G204=$G$5,K$5,$G204=$G$6,K$6,$G204=$G$7,K$7,$G204=$G$8,K$8,$G204=$G$9,K$9,$G204=$G$10,K$10,$G204=$G$11,K$11,$G204=$G$13,K$13,$G204=$G$15,K$15,$G204=$G$16,K$16,$G204=$G$33,K$33,$G204=$G$34,K$34,$G204=$G$248,K$248,$G204=$G$250,K$250)</f>
        <v>BG sentinel + BG lure7</v>
      </c>
      <c r="L204" s="29" t="str" cm="1">
        <f t="array" ref="L204">_xlfn.IFS($G204=$G$5,L$5,$G204=$G$6,L$6,$G204=$G$7,L$7,$G204=$G$8,L$8,$G204=$G$9,L$9,$G204=$G$10,L$10,$G204=$G$11,L$11,$G204=$G$13,L$13,$G204=$G$15,L$15,$G204=$G$16,L$16,$G204=$G$33,L$33,$G204=$G$34,L$34,$G204=$G$248,L$248,$G204=$G$250,L$250)</f>
        <v>Other</v>
      </c>
      <c r="O204" s="32" t="str">
        <f t="shared" si="10"/>
        <v>A_SP_BCN_11_200930</v>
      </c>
      <c r="P204" s="33">
        <v>44104</v>
      </c>
      <c r="Q204" s="34">
        <v>0.53472222222222221</v>
      </c>
      <c r="R204" s="35"/>
      <c r="S204" s="36">
        <v>44111</v>
      </c>
      <c r="T204" s="37">
        <v>0.51041666666666663</v>
      </c>
      <c r="U204" s="38"/>
      <c r="V204" s="39" t="s">
        <v>66</v>
      </c>
      <c r="X204" s="29">
        <f t="shared" si="12"/>
        <v>7</v>
      </c>
      <c r="Y204" s="38"/>
      <c r="Z204" s="29" t="s">
        <v>68</v>
      </c>
      <c r="AA204" s="29">
        <f t="shared" si="11"/>
        <v>35</v>
      </c>
      <c r="AB204" s="29" t="s">
        <v>69</v>
      </c>
      <c r="AC204" s="29">
        <v>30</v>
      </c>
      <c r="AD204" s="29">
        <v>5</v>
      </c>
      <c r="AE204" s="29" t="s">
        <v>70</v>
      </c>
      <c r="AF204">
        <v>4</v>
      </c>
    </row>
    <row r="205" spans="1:32" x14ac:dyDescent="0.25">
      <c r="A205" s="28">
        <v>201</v>
      </c>
      <c r="B205" s="29" t="s">
        <v>60</v>
      </c>
      <c r="C205" s="29" t="s">
        <v>61</v>
      </c>
      <c r="D205" s="29" t="s">
        <v>62</v>
      </c>
      <c r="E205" s="29" t="s">
        <v>62</v>
      </c>
      <c r="F205" s="30" cm="1">
        <f t="array" ref="F205">_xlfn.IFS($G205=$G$5,F$5,$G205=$G$6,F$6,$G205=$G$7,F$7,$G205=$G$8,F$8,$G205=$G$9,F$9,$G205=$G$10,F$10,$G205=$G$11,F$11,$G205=$G$13,F$13,$G205=$G$15,F$15,$G205=$G$16,F$16,$G205=$G$33,F$33,$G205=$G$34,F$34,$G205=$G$248,F$248,$G205=$G$250,F$250)</f>
        <v>8038</v>
      </c>
      <c r="G205" s="29" t="s">
        <v>85</v>
      </c>
      <c r="H205" s="31" cm="1">
        <f t="array" ref="H205">_xlfn.IFS($G205=$G$5,H$5,$G205=$G$6,H$6,$G205=$G$7,H$7,$G205=$G$8,H$8,$G205=$G$9,H$9,$G205=$G$10,H$10,$G205=$G$11,H$11,$G205=$G$13,H$13,$G205=$G$15,H$15,$G205=$G$16,H$16,$G205=$G$33,H$33,$G205=$G$34,H$34,$G205=$G$248,H$248,$G205=$G$250,H$250)</f>
        <v>41.367429999999999</v>
      </c>
      <c r="I205" s="31" cm="1">
        <f t="array" ref="I205">_xlfn.IFS($G205=$G$5,I$5,$G205=$G$6,I$6,$G205=$G$7,I$7,$G205=$G$8,I$8,$G205=$G$9,I$9,$G205=$G$10,I$10,$G205=$G$11,I$11,$G205=$G$13,I$13,$G205=$G$15,I$15,$G205=$G$16,I$16,$G205=$G$33,I$33,$G205=$G$34,I$34,$G205=$G$248,I$248,$G205=$G$250,I$250)</f>
        <v>2.1569609999999999</v>
      </c>
      <c r="J205" s="29" cm="1">
        <f t="array" ref="J205">_xlfn.IFS($G205=$G$5,J$5,$G205=$G$6,J$6,$G205=$G$7,J$7,$G205=$G$8,J$8,$G205=$G$9,J$9,$G205=$G$10,J$10,$G205=$G$11,J$11,$G205=$G$13,J$13,$G205=$G$15,J$15,$G205=$G$16,J$16,$G205=$G$33,J$33,$G205=$G$34,J$34,$G205=$G$248,J$248,$G205=$G$250,J$250)</f>
        <v>91</v>
      </c>
      <c r="K205" s="29" t="str" cm="1">
        <f t="array" ref="K205">_xlfn.IFS($G205=$G$5,K$5,$G205=$G$6,K$6,$G205=$G$7,K$7,$G205=$G$8,K$8,$G205=$G$9,K$9,$G205=$G$10,K$10,$G205=$G$11,K$11,$G205=$G$13,K$13,$G205=$G$15,K$15,$G205=$G$16,K$16,$G205=$G$33,K$33,$G205=$G$34,K$34,$G205=$G$248,K$248,$G205=$G$250,K$250)</f>
        <v>BG sentinel + BG lure7</v>
      </c>
      <c r="L205" s="29" t="str" cm="1">
        <f t="array" ref="L205">_xlfn.IFS($G205=$G$5,L$5,$G205=$G$6,L$6,$G205=$G$7,L$7,$G205=$G$8,L$8,$G205=$G$9,L$9,$G205=$G$10,L$10,$G205=$G$11,L$11,$G205=$G$13,L$13,$G205=$G$15,L$15,$G205=$G$16,L$16,$G205=$G$33,L$33,$G205=$G$34,L$34,$G205=$G$248,L$248,$G205=$G$250,L$250)</f>
        <v>Other</v>
      </c>
      <c r="O205" s="32" t="str">
        <f t="shared" si="10"/>
        <v>A_SP_BCN_11_200930</v>
      </c>
      <c r="P205" s="33">
        <v>44104</v>
      </c>
      <c r="Q205" s="34">
        <v>0.53472222222222221</v>
      </c>
      <c r="R205" s="35"/>
      <c r="S205" s="36">
        <v>44111</v>
      </c>
      <c r="T205" s="37">
        <v>0.51041666666666663</v>
      </c>
      <c r="U205" s="38"/>
      <c r="V205" s="39" t="s">
        <v>66</v>
      </c>
      <c r="X205" s="29">
        <f t="shared" si="12"/>
        <v>7</v>
      </c>
      <c r="Y205" s="38"/>
      <c r="Z205" s="29" t="s">
        <v>75</v>
      </c>
      <c r="AA205" s="29">
        <f t="shared" si="11"/>
        <v>1</v>
      </c>
      <c r="AB205" s="29" t="s">
        <v>69</v>
      </c>
      <c r="AC205" s="29">
        <v>1</v>
      </c>
      <c r="AD205" s="29">
        <v>0</v>
      </c>
      <c r="AE205" s="29" t="s">
        <v>70</v>
      </c>
      <c r="AF205">
        <v>4</v>
      </c>
    </row>
    <row r="206" spans="1:32" x14ac:dyDescent="0.25">
      <c r="A206" s="28">
        <v>202</v>
      </c>
      <c r="B206" s="29" t="s">
        <v>60</v>
      </c>
      <c r="C206" s="29" t="s">
        <v>61</v>
      </c>
      <c r="D206" s="29" t="s">
        <v>62</v>
      </c>
      <c r="E206" s="29" t="s">
        <v>62</v>
      </c>
      <c r="F206" s="30" cm="1">
        <f t="array" ref="F206">_xlfn.IFS($G206=$G$5,F$5,$G206=$G$6,F$6,$G206=$G$7,F$7,$G206=$G$8,F$8,$G206=$G$9,F$9,$G206=$G$10,F$10,$G206=$G$11,F$11,$G206=$G$13,F$13,$G206=$G$15,F$15,$G206=$G$16,F$16,$G206=$G$33,F$33,$G206=$G$34,F$34,$G206=$G$248,F$248,$G206=$G$250,F$250)</f>
        <v>8038</v>
      </c>
      <c r="G206" s="29" t="s">
        <v>86</v>
      </c>
      <c r="H206" s="31" cm="1">
        <f t="array" ref="H206">_xlfn.IFS($G206=$G$5,H$5,$G206=$G$6,H$6,$G206=$G$7,H$7,$G206=$G$8,H$8,$G206=$G$9,H$9,$G206=$G$10,H$10,$G206=$G$11,H$11,$G206=$G$13,H$13,$G206=$G$15,H$15,$G206=$G$16,H$16,$G206=$G$33,H$33,$G206=$G$34,H$34,$G206=$G$248,H$248,$G206=$G$250,H$250)</f>
        <v>41.363377999999997</v>
      </c>
      <c r="I206" s="31" cm="1">
        <f t="array" ref="I206">_xlfn.IFS($G206=$G$5,I$5,$G206=$G$6,I$6,$G206=$G$7,I$7,$G206=$G$8,I$8,$G206=$G$9,I$9,$G206=$G$10,I$10,$G206=$G$11,I$11,$G206=$G$13,I$13,$G206=$G$15,I$15,$G206=$G$16,I$16,$G206=$G$33,I$33,$G206=$G$34,I$34,$G206=$G$248,I$248,$G206=$G$250,I$250)</f>
        <v>2.164879</v>
      </c>
      <c r="J206" s="29" cm="1">
        <f t="array" ref="J206">_xlfn.IFS($G206=$G$5,J$5,$G206=$G$6,J$6,$G206=$G$7,J$7,$G206=$G$8,J$8,$G206=$G$9,J$9,$G206=$G$10,J$10,$G206=$G$11,J$11,$G206=$G$13,J$13,$G206=$G$15,J$15,$G206=$G$16,J$16,$G206=$G$33,J$33,$G206=$G$34,J$34,$G206=$G$248,J$248,$G206=$G$250,J$250)</f>
        <v>185</v>
      </c>
      <c r="K206" s="29" t="str" cm="1">
        <f t="array" ref="K206">_xlfn.IFS($G206=$G$5,K$5,$G206=$G$6,K$6,$G206=$G$7,K$7,$G206=$G$8,K$8,$G206=$G$9,K$9,$G206=$G$10,K$10,$G206=$G$11,K$11,$G206=$G$13,K$13,$G206=$G$15,K$15,$G206=$G$16,K$16,$G206=$G$33,K$33,$G206=$G$34,K$34,$G206=$G$248,K$248,$G206=$G$250,K$250)</f>
        <v>BG sentinel + BG lure7</v>
      </c>
      <c r="L206" s="29" t="str" cm="1">
        <f t="array" ref="L206">_xlfn.IFS($G206=$G$5,L$5,$G206=$G$6,L$6,$G206=$G$7,L$7,$G206=$G$8,L$8,$G206=$G$9,L$9,$G206=$G$10,L$10,$G206=$G$11,L$11,$G206=$G$13,L$13,$G206=$G$15,L$15,$G206=$G$16,L$16,$G206=$G$33,L$33,$G206=$G$34,L$34,$G206=$G$248,L$248,$G206=$G$250,L$250)</f>
        <v>Other</v>
      </c>
      <c r="O206" s="32" t="str">
        <f t="shared" si="10"/>
        <v>A_SP_BCN_12_200930</v>
      </c>
      <c r="P206" s="33">
        <v>44104</v>
      </c>
      <c r="Q206" s="34">
        <v>0.58333333333333337</v>
      </c>
      <c r="R206" s="35"/>
      <c r="S206" s="36">
        <v>44111</v>
      </c>
      <c r="T206" s="37">
        <v>0.55555555555555558</v>
      </c>
      <c r="U206" s="38"/>
      <c r="V206" s="39" t="s">
        <v>66</v>
      </c>
      <c r="X206" s="29">
        <f t="shared" si="12"/>
        <v>7</v>
      </c>
      <c r="Y206" s="38"/>
      <c r="Z206" s="29" t="s">
        <v>68</v>
      </c>
      <c r="AA206" s="29">
        <f t="shared" si="11"/>
        <v>1</v>
      </c>
      <c r="AB206" s="29" t="s">
        <v>69</v>
      </c>
      <c r="AC206" s="29">
        <v>1</v>
      </c>
      <c r="AD206" s="29">
        <v>0</v>
      </c>
      <c r="AE206" s="29" t="s">
        <v>70</v>
      </c>
      <c r="AF206">
        <v>4</v>
      </c>
    </row>
    <row r="207" spans="1:32" x14ac:dyDescent="0.25">
      <c r="A207" s="28">
        <v>203</v>
      </c>
      <c r="B207" s="29" t="s">
        <v>60</v>
      </c>
      <c r="C207" s="29" t="s">
        <v>61</v>
      </c>
      <c r="D207" s="29" t="s">
        <v>62</v>
      </c>
      <c r="E207" s="29" t="s">
        <v>62</v>
      </c>
      <c r="F207" s="30" cm="1">
        <f t="array" ref="F207">_xlfn.IFS($G207=$G$5,F$5,$G207=$G$6,F$6,$G207=$G$7,F$7,$G207=$G$8,F$8,$G207=$G$9,F$9,$G207=$G$10,F$10,$G207=$G$11,F$11,$G207=$G$13,F$13,$G207=$G$15,F$15,$G207=$G$16,F$16,$G207=$G$33,F$33,$G207=$G$34,F$34,$G207=$G$248,F$248,$G207=$G$250,F$250)</f>
        <v>8038</v>
      </c>
      <c r="G207" s="29" t="s">
        <v>86</v>
      </c>
      <c r="H207" s="31" cm="1">
        <f t="array" ref="H207">_xlfn.IFS($G207=$G$5,H$5,$G207=$G$6,H$6,$G207=$G$7,H$7,$G207=$G$8,H$8,$G207=$G$9,H$9,$G207=$G$10,H$10,$G207=$G$11,H$11,$G207=$G$13,H$13,$G207=$G$15,H$15,$G207=$G$16,H$16,$G207=$G$33,H$33,$G207=$G$34,H$34,$G207=$G$248,H$248,$G207=$G$250,H$250)</f>
        <v>41.363377999999997</v>
      </c>
      <c r="I207" s="31" cm="1">
        <f t="array" ref="I207">_xlfn.IFS($G207=$G$5,I$5,$G207=$G$6,I$6,$G207=$G$7,I$7,$G207=$G$8,I$8,$G207=$G$9,I$9,$G207=$G$10,I$10,$G207=$G$11,I$11,$G207=$G$13,I$13,$G207=$G$15,I$15,$G207=$G$16,I$16,$G207=$G$33,I$33,$G207=$G$34,I$34,$G207=$G$248,I$248,$G207=$G$250,I$250)</f>
        <v>2.164879</v>
      </c>
      <c r="J207" s="29" cm="1">
        <f t="array" ref="J207">_xlfn.IFS($G207=$G$5,J$5,$G207=$G$6,J$6,$G207=$G$7,J$7,$G207=$G$8,J$8,$G207=$G$9,J$9,$G207=$G$10,J$10,$G207=$G$11,J$11,$G207=$G$13,J$13,$G207=$G$15,J$15,$G207=$G$16,J$16,$G207=$G$33,J$33,$G207=$G$34,J$34,$G207=$G$248,J$248,$G207=$G$250,J$250)</f>
        <v>185</v>
      </c>
      <c r="K207" s="29" t="str" cm="1">
        <f t="array" ref="K207">_xlfn.IFS($G207=$G$5,K$5,$G207=$G$6,K$6,$G207=$G$7,K$7,$G207=$G$8,K$8,$G207=$G$9,K$9,$G207=$G$10,K$10,$G207=$G$11,K$11,$G207=$G$13,K$13,$G207=$G$15,K$15,$G207=$G$16,K$16,$G207=$G$33,K$33,$G207=$G$34,K$34,$G207=$G$248,K$248,$G207=$G$250,K$250)</f>
        <v>BG sentinel + BG lure7</v>
      </c>
      <c r="L207" s="29" t="str" cm="1">
        <f t="array" ref="L207">_xlfn.IFS($G207=$G$5,L$5,$G207=$G$6,L$6,$G207=$G$7,L$7,$G207=$G$8,L$8,$G207=$G$9,L$9,$G207=$G$10,L$10,$G207=$G$11,L$11,$G207=$G$13,L$13,$G207=$G$15,L$15,$G207=$G$16,L$16,$G207=$G$33,L$33,$G207=$G$34,L$34,$G207=$G$248,L$248,$G207=$G$250,L$250)</f>
        <v>Other</v>
      </c>
      <c r="O207" s="32" t="str">
        <f t="shared" si="10"/>
        <v>A_SP_BCN_12_200930</v>
      </c>
      <c r="P207" s="33">
        <v>44104</v>
      </c>
      <c r="Q207" s="34">
        <v>0.58333333333333337</v>
      </c>
      <c r="R207" s="35"/>
      <c r="S207" s="36">
        <v>44111</v>
      </c>
      <c r="T207" s="37">
        <v>0.55555555555555558</v>
      </c>
      <c r="U207" s="38"/>
      <c r="V207" s="39" t="s">
        <v>66</v>
      </c>
      <c r="X207" s="29">
        <f t="shared" si="12"/>
        <v>7</v>
      </c>
      <c r="Y207" s="38"/>
      <c r="Z207" s="29" t="s">
        <v>75</v>
      </c>
      <c r="AA207" s="29">
        <f t="shared" si="11"/>
        <v>27</v>
      </c>
      <c r="AB207" s="29" t="s">
        <v>69</v>
      </c>
      <c r="AC207" s="29">
        <v>26</v>
      </c>
      <c r="AD207" s="29">
        <v>1</v>
      </c>
      <c r="AE207" s="29" t="s">
        <v>70</v>
      </c>
      <c r="AF207">
        <v>4</v>
      </c>
    </row>
    <row r="208" spans="1:32" x14ac:dyDescent="0.25">
      <c r="A208" s="28">
        <v>204</v>
      </c>
      <c r="B208" s="29" t="s">
        <v>60</v>
      </c>
      <c r="C208" s="29" t="s">
        <v>61</v>
      </c>
      <c r="D208" s="29" t="s">
        <v>62</v>
      </c>
      <c r="E208" s="29" t="s">
        <v>62</v>
      </c>
      <c r="F208" s="30" cm="1">
        <f t="array" ref="F208">_xlfn.IFS($G208=$G$5,F$5,$G208=$G$6,F$6,$G208=$G$7,F$7,$G208=$G$8,F$8,$G208=$G$9,F$9,$G208=$G$10,F$10,$G208=$G$11,F$11,$G208=$G$13,F$13,$G208=$G$15,F$15,$G208=$G$16,F$16,$G208=$G$33,F$33,$G208=$G$34,F$34,$G208=$G$248,F$248,$G208=$G$250,F$250)</f>
        <v>8038</v>
      </c>
      <c r="G208" s="29" t="s">
        <v>86</v>
      </c>
      <c r="H208" s="31" cm="1">
        <f t="array" ref="H208">_xlfn.IFS($G208=$G$5,H$5,$G208=$G$6,H$6,$G208=$G$7,H$7,$G208=$G$8,H$8,$G208=$G$9,H$9,$G208=$G$10,H$10,$G208=$G$11,H$11,$G208=$G$13,H$13,$G208=$G$15,H$15,$G208=$G$16,H$16,$G208=$G$33,H$33,$G208=$G$34,H$34,$G208=$G$248,H$248,$G208=$G$250,H$250)</f>
        <v>41.363377999999997</v>
      </c>
      <c r="I208" s="31" cm="1">
        <f t="array" ref="I208">_xlfn.IFS($G208=$G$5,I$5,$G208=$G$6,I$6,$G208=$G$7,I$7,$G208=$G$8,I$8,$G208=$G$9,I$9,$G208=$G$10,I$10,$G208=$G$11,I$11,$G208=$G$13,I$13,$G208=$G$15,I$15,$G208=$G$16,I$16,$G208=$G$33,I$33,$G208=$G$34,I$34,$G208=$G$248,I$248,$G208=$G$250,I$250)</f>
        <v>2.164879</v>
      </c>
      <c r="J208" s="29" cm="1">
        <f t="array" ref="J208">_xlfn.IFS($G208=$G$5,J$5,$G208=$G$6,J$6,$G208=$G$7,J$7,$G208=$G$8,J$8,$G208=$G$9,J$9,$G208=$G$10,J$10,$G208=$G$11,J$11,$G208=$G$13,J$13,$G208=$G$15,J$15,$G208=$G$16,J$16,$G208=$G$33,J$33,$G208=$G$34,J$34,$G208=$G$248,J$248,$G208=$G$250,J$250)</f>
        <v>185</v>
      </c>
      <c r="K208" s="29" t="str" cm="1">
        <f t="array" ref="K208">_xlfn.IFS($G208=$G$5,K$5,$G208=$G$6,K$6,$G208=$G$7,K$7,$G208=$G$8,K$8,$G208=$G$9,K$9,$G208=$G$10,K$10,$G208=$G$11,K$11,$G208=$G$13,K$13,$G208=$G$15,K$15,$G208=$G$16,K$16,$G208=$G$33,K$33,$G208=$G$34,K$34,$G208=$G$248,K$248,$G208=$G$250,K$250)</f>
        <v>BG sentinel + BG lure7</v>
      </c>
      <c r="L208" s="29" t="str" cm="1">
        <f t="array" ref="L208">_xlfn.IFS($G208=$G$5,L$5,$G208=$G$6,L$6,$G208=$G$7,L$7,$G208=$G$8,L$8,$G208=$G$9,L$9,$G208=$G$10,L$10,$G208=$G$11,L$11,$G208=$G$13,L$13,$G208=$G$15,L$15,$G208=$G$16,L$16,$G208=$G$33,L$33,$G208=$G$34,L$34,$G208=$G$248,L$248,$G208=$G$250,L$250)</f>
        <v>Other</v>
      </c>
      <c r="O208" s="32" t="str">
        <f t="shared" si="10"/>
        <v>A_SP_BCN_12_200930</v>
      </c>
      <c r="P208" s="33">
        <v>44104</v>
      </c>
      <c r="Q208" s="34">
        <v>0.58333333333333337</v>
      </c>
      <c r="R208" s="35"/>
      <c r="S208" s="36">
        <v>44111</v>
      </c>
      <c r="T208" s="37">
        <v>0.55555555555555558</v>
      </c>
      <c r="U208" s="38"/>
      <c r="V208" s="39" t="s">
        <v>66</v>
      </c>
      <c r="X208" s="29">
        <f t="shared" si="12"/>
        <v>7</v>
      </c>
      <c r="Y208" s="38"/>
      <c r="Z208" s="29" t="s">
        <v>84</v>
      </c>
      <c r="AA208" s="29">
        <f t="shared" si="11"/>
        <v>3</v>
      </c>
      <c r="AB208" s="29" t="s">
        <v>69</v>
      </c>
      <c r="AC208" s="29">
        <v>1</v>
      </c>
      <c r="AD208" s="29">
        <v>2</v>
      </c>
      <c r="AE208" s="29" t="s">
        <v>70</v>
      </c>
      <c r="AF208">
        <v>4</v>
      </c>
    </row>
    <row r="209" spans="1:32" x14ac:dyDescent="0.25">
      <c r="A209" s="28">
        <v>205</v>
      </c>
      <c r="B209" s="29" t="s">
        <v>60</v>
      </c>
      <c r="C209" s="29" t="s">
        <v>61</v>
      </c>
      <c r="D209" s="29" t="s">
        <v>62</v>
      </c>
      <c r="E209" s="29" t="s">
        <v>62</v>
      </c>
      <c r="F209" s="30" cm="1">
        <f t="array" ref="F209">_xlfn.IFS($G209=$G$5,F$5,$G209=$G$6,F$6,$G209=$G$7,F$7,$G209=$G$8,F$8,$G209=$G$9,F$9,$G209=$G$10,F$10,$G209=$G$11,F$11,$G209=$G$13,F$13,$G209=$G$15,F$15,$G209=$G$16,F$16,$G209=$G$33,F$33,$G209=$G$34,F$34,$G209=$G$248,F$248,$G209=$G$250,F$250)</f>
        <v>8024</v>
      </c>
      <c r="G209" s="29" t="s">
        <v>63</v>
      </c>
      <c r="H209" s="31" cm="1">
        <f t="array" ref="H209">_xlfn.IFS($G209=$G$5,H$5,$G209=$G$6,H$6,$G209=$G$7,H$7,$G209=$G$8,H$8,$G209=$G$9,H$9,$G209=$G$10,H$10,$G209=$G$11,H$11,$G209=$G$13,H$13,$G209=$G$15,H$15,$G209=$G$16,H$16,$G209=$G$33,H$33,$G209=$G$34,H$34,$G209=$G$248,H$248,$G209=$G$250,H$250)</f>
        <v>41.413573999999997</v>
      </c>
      <c r="I209" s="31" cm="1">
        <f t="array" ref="I209">_xlfn.IFS($G209=$G$5,I$5,$G209=$G$6,I$6,$G209=$G$7,I$7,$G209=$G$8,I$8,$G209=$G$9,I$9,$G209=$G$10,I$10,$G209=$G$11,I$11,$G209=$G$13,I$13,$G209=$G$15,I$15,$G209=$G$16,I$16,$G209=$G$33,I$33,$G209=$G$34,I$34,$G209=$G$248,I$248,$G209=$G$250,I$250)</f>
        <v>2.1520730000000001</v>
      </c>
      <c r="J209" s="29" cm="1">
        <f t="array" ref="J209">_xlfn.IFS($G209=$G$5,J$5,$G209=$G$6,J$6,$G209=$G$7,J$7,$G209=$G$8,J$8,$G209=$G$9,J$9,$G209=$G$10,J$10,$G209=$G$11,J$11,$G209=$G$13,J$13,$G209=$G$15,J$15,$G209=$G$16,J$16,$G209=$G$33,J$33,$G209=$G$34,J$34,$G209=$G$248,J$248,$G209=$G$250,J$250)</f>
        <v>141</v>
      </c>
      <c r="K209" s="29" t="str" cm="1">
        <f t="array" ref="K209">_xlfn.IFS($G209=$G$5,K$5,$G209=$G$6,K$6,$G209=$G$7,K$7,$G209=$G$8,K$8,$G209=$G$9,K$9,$G209=$G$10,K$10,$G209=$G$11,K$11,$G209=$G$13,K$13,$G209=$G$15,K$15,$G209=$G$16,K$16,$G209=$G$33,K$33,$G209=$G$34,K$34,$G209=$G$248,K$248,$G209=$G$250,K$250)</f>
        <v>BG sentinel + BG lure7</v>
      </c>
      <c r="L209" s="29" t="str" cm="1">
        <f t="array" ref="L209">_xlfn.IFS($G209=$G$5,L$5,$G209=$G$6,L$6,$G209=$G$7,L$7,$G209=$G$8,L$8,$G209=$G$9,L$9,$G209=$G$10,L$10,$G209=$G$11,L$11,$G209=$G$13,L$13,$G209=$G$15,L$15,$G209=$G$16,L$16,$G209=$G$33,L$33,$G209=$G$34,L$34,$G209=$G$248,L$248,$G209=$G$250,L$250)</f>
        <v>Urban habitat</v>
      </c>
      <c r="O209" s="32" t="str">
        <f t="shared" si="10"/>
        <v>A_SP_BCN_1_201007</v>
      </c>
      <c r="P209" s="33">
        <v>44111</v>
      </c>
      <c r="Q209" s="34">
        <v>0.64583333333333337</v>
      </c>
      <c r="R209" s="35"/>
      <c r="S209" s="36">
        <v>44118</v>
      </c>
      <c r="T209" s="37">
        <v>0.59722222222222221</v>
      </c>
      <c r="U209" s="38"/>
      <c r="V209" s="39" t="s">
        <v>66</v>
      </c>
      <c r="X209" s="29">
        <f t="shared" si="12"/>
        <v>7</v>
      </c>
      <c r="Y209" s="38"/>
      <c r="Z209" s="29" t="s">
        <v>68</v>
      </c>
      <c r="AA209" s="29">
        <f t="shared" si="11"/>
        <v>26</v>
      </c>
      <c r="AB209" s="29" t="s">
        <v>69</v>
      </c>
      <c r="AC209" s="29">
        <v>14</v>
      </c>
      <c r="AD209" s="29">
        <v>12</v>
      </c>
      <c r="AE209" s="29" t="s">
        <v>70</v>
      </c>
      <c r="AF209">
        <v>4</v>
      </c>
    </row>
    <row r="210" spans="1:32" x14ac:dyDescent="0.25">
      <c r="A210" s="28">
        <v>206</v>
      </c>
      <c r="B210" s="29" t="s">
        <v>60</v>
      </c>
      <c r="C210" s="29" t="s">
        <v>61</v>
      </c>
      <c r="D210" s="29" t="s">
        <v>62</v>
      </c>
      <c r="E210" s="29" t="s">
        <v>62</v>
      </c>
      <c r="F210" s="30" cm="1">
        <f t="array" ref="F210">_xlfn.IFS($G210=$G$5,F$5,$G210=$G$6,F$6,$G210=$G$7,F$7,$G210=$G$8,F$8,$G210=$G$9,F$9,$G210=$G$10,F$10,$G210=$G$11,F$11,$G210=$G$13,F$13,$G210=$G$15,F$15,$G210=$G$16,F$16,$G210=$G$33,F$33,$G210=$G$34,F$34,$G210=$G$248,F$248,$G210=$G$250,F$250)</f>
        <v>8035</v>
      </c>
      <c r="G210" s="29" t="s">
        <v>71</v>
      </c>
      <c r="H210" s="31" cm="1">
        <f t="array" ref="H210">_xlfn.IFS($G210=$G$5,H$5,$G210=$G$6,H$6,$G210=$G$7,H$7,$G210=$G$8,H$8,$G210=$G$9,H$9,$G210=$G$10,H$10,$G210=$G$11,H$11,$G210=$G$13,H$13,$G210=$G$15,H$15,$G210=$G$16,H$16,$G210=$G$33,H$33,$G210=$G$34,H$34,$G210=$G$248,H$248,$G210=$G$250,H$250)</f>
        <v>41.424387000000003</v>
      </c>
      <c r="I210" s="31" cm="1">
        <f t="array" ref="I210">_xlfn.IFS($G210=$G$5,I$5,$G210=$G$6,I$6,$G210=$G$7,I$7,$G210=$G$8,I$8,$G210=$G$9,I$9,$G210=$G$10,I$10,$G210=$G$11,I$11,$G210=$G$13,I$13,$G210=$G$15,I$15,$G210=$G$16,I$16,$G210=$G$33,I$33,$G210=$G$34,I$34,$G210=$G$248,I$248,$G210=$G$250,I$250)</f>
        <v>2.1431439999999999</v>
      </c>
      <c r="J210" s="29" cm="1">
        <f t="array" ref="J210">_xlfn.IFS($G210=$G$5,J$5,$G210=$G$6,J$6,$G210=$G$7,J$7,$G210=$G$8,J$8,$G210=$G$9,J$9,$G210=$G$10,J$10,$G210=$G$11,J$11,$G210=$G$13,J$13,$G210=$G$15,J$15,$G210=$G$16,J$16,$G210=$G$33,J$33,$G210=$G$34,J$34,$G210=$G$248,J$248,$G210=$G$250,J$250)</f>
        <v>160</v>
      </c>
      <c r="K210" s="29" t="str" cm="1">
        <f t="array" ref="K210">_xlfn.IFS($G210=$G$5,K$5,$G210=$G$6,K$6,$G210=$G$7,K$7,$G210=$G$8,K$8,$G210=$G$9,K$9,$G210=$G$10,K$10,$G210=$G$11,K$11,$G210=$G$13,K$13,$G210=$G$15,K$15,$G210=$G$16,K$16,$G210=$G$33,K$33,$G210=$G$34,K$34,$G210=$G$248,K$248,$G210=$G$250,K$250)</f>
        <v>BG sentinel + BG lure7</v>
      </c>
      <c r="L210" s="29" t="str" cm="1">
        <f t="array" ref="L210">_xlfn.IFS($G210=$G$5,L$5,$G210=$G$6,L$6,$G210=$G$7,L$7,$G210=$G$8,L$8,$G210=$G$9,L$9,$G210=$G$10,L$10,$G210=$G$11,L$11,$G210=$G$13,L$13,$G210=$G$15,L$15,$G210=$G$16,L$16,$G210=$G$33,L$33,$G210=$G$34,L$34,$G210=$G$248,L$248,$G210=$G$250,L$250)</f>
        <v>Urban habitat</v>
      </c>
      <c r="O210" s="32" t="str">
        <f t="shared" ref="O210:O273" si="13">G210&amp;"_"&amp;TEXT(P210,"AAMMDD")</f>
        <v>A_SP_BCN_2_201007</v>
      </c>
      <c r="P210" s="33">
        <v>44111</v>
      </c>
      <c r="Q210" s="34">
        <v>0.66666666666666663</v>
      </c>
      <c r="R210" s="35"/>
      <c r="S210" s="36">
        <v>44118</v>
      </c>
      <c r="T210" s="37">
        <v>0.4513888888888889</v>
      </c>
      <c r="U210" s="38"/>
      <c r="V210" s="39" t="s">
        <v>99</v>
      </c>
      <c r="X210" s="29">
        <f t="shared" si="12"/>
        <v>7</v>
      </c>
      <c r="Y210" s="38"/>
      <c r="Z210" s="29" t="s">
        <v>68</v>
      </c>
      <c r="AA210" s="29">
        <f t="shared" si="11"/>
        <v>5</v>
      </c>
      <c r="AB210" s="29" t="s">
        <v>69</v>
      </c>
      <c r="AC210" s="29">
        <v>5</v>
      </c>
      <c r="AD210" s="29">
        <v>0</v>
      </c>
      <c r="AE210" s="29" t="s">
        <v>70</v>
      </c>
      <c r="AF210">
        <v>2</v>
      </c>
    </row>
    <row r="211" spans="1:32" x14ac:dyDescent="0.25">
      <c r="A211" s="28">
        <v>207</v>
      </c>
      <c r="B211" s="29" t="s">
        <v>60</v>
      </c>
      <c r="C211" s="29" t="s">
        <v>61</v>
      </c>
      <c r="D211" s="29" t="s">
        <v>62</v>
      </c>
      <c r="E211" s="29" t="s">
        <v>62</v>
      </c>
      <c r="F211" s="30" cm="1">
        <f t="array" ref="F211">_xlfn.IFS($G211=$G$5,F$5,$G211=$G$6,F$6,$G211=$G$7,F$7,$G211=$G$8,F$8,$G211=$G$9,F$9,$G211=$G$10,F$10,$G211=$G$11,F$11,$G211=$G$13,F$13,$G211=$G$15,F$15,$G211=$G$16,F$16,$G211=$G$33,F$33,$G211=$G$34,F$34,$G211=$G$248,F$248,$G211=$G$250,F$250)</f>
        <v>8016</v>
      </c>
      <c r="G211" s="29" t="s">
        <v>72</v>
      </c>
      <c r="H211" s="31" cm="1">
        <f t="array" ref="H211">_xlfn.IFS($G211=$G$5,H$5,$G211=$G$6,H$6,$G211=$G$7,H$7,$G211=$G$8,H$8,$G211=$G$9,H$9,$G211=$G$10,H$10,$G211=$G$11,H$11,$G211=$G$13,H$13,$G211=$G$15,H$15,$G211=$G$16,H$16,$G211=$G$33,H$33,$G211=$G$34,H$34,$G211=$G$248,H$248,$G211=$G$250,H$250)</f>
        <v>41.437435000000001</v>
      </c>
      <c r="I211" s="31" cm="1">
        <f t="array" ref="I211">_xlfn.IFS($G211=$G$5,I$5,$G211=$G$6,I$6,$G211=$G$7,I$7,$G211=$G$8,I$8,$G211=$G$9,I$9,$G211=$G$10,I$10,$G211=$G$11,I$11,$G211=$G$13,I$13,$G211=$G$15,I$15,$G211=$G$16,I$16,$G211=$G$33,I$33,$G211=$G$34,I$34,$G211=$G$248,I$248,$G211=$G$250,I$250)</f>
        <v>2.1812779999999998</v>
      </c>
      <c r="J211" s="29" cm="1">
        <f t="array" ref="J211">_xlfn.IFS($G211=$G$5,J$5,$G211=$G$6,J$6,$G211=$G$7,J$7,$G211=$G$8,J$8,$G211=$G$9,J$9,$G211=$G$10,J$10,$G211=$G$11,J$11,$G211=$G$13,J$13,$G211=$G$15,J$15,$G211=$G$16,J$16,$G211=$G$33,J$33,$G211=$G$34,J$34,$G211=$G$248,J$248,$G211=$G$250,J$250)</f>
        <v>47</v>
      </c>
      <c r="K211" s="29" t="str" cm="1">
        <f t="array" ref="K211">_xlfn.IFS($G211=$G$5,K$5,$G211=$G$6,K$6,$G211=$G$7,K$7,$G211=$G$8,K$8,$G211=$G$9,K$9,$G211=$G$10,K$10,$G211=$G$11,K$11,$G211=$G$13,K$13,$G211=$G$15,K$15,$G211=$G$16,K$16,$G211=$G$33,K$33,$G211=$G$34,K$34,$G211=$G$248,K$248,$G211=$G$250,K$250)</f>
        <v>BG sentinel + BG lure7</v>
      </c>
      <c r="L211" s="29" t="str" cm="1">
        <f t="array" ref="L211">_xlfn.IFS($G211=$G$5,L$5,$G211=$G$6,L$6,$G211=$G$7,L$7,$G211=$G$8,L$8,$G211=$G$9,L$9,$G211=$G$10,L$10,$G211=$G$11,L$11,$G211=$G$13,L$13,$G211=$G$15,L$15,$G211=$G$16,L$16,$G211=$G$33,L$33,$G211=$G$34,L$34,$G211=$G$248,L$248,$G211=$G$250,L$250)</f>
        <v>Urban habitat</v>
      </c>
      <c r="O211" s="32" t="str">
        <f t="shared" si="13"/>
        <v>A_SP_BCN_3_201007</v>
      </c>
      <c r="P211" s="33">
        <v>44111</v>
      </c>
      <c r="Q211" s="34">
        <v>0.72222222222222221</v>
      </c>
      <c r="R211" s="35"/>
      <c r="S211" s="36">
        <v>44118</v>
      </c>
      <c r="T211" s="37">
        <v>0.8125</v>
      </c>
      <c r="U211" s="38"/>
      <c r="V211" s="39" t="s">
        <v>66</v>
      </c>
      <c r="X211" s="29">
        <f t="shared" si="12"/>
        <v>7</v>
      </c>
      <c r="Y211" s="38"/>
      <c r="Z211" s="29" t="s">
        <v>68</v>
      </c>
      <c r="AA211" s="29">
        <f t="shared" si="11"/>
        <v>5</v>
      </c>
      <c r="AB211" s="29" t="s">
        <v>69</v>
      </c>
      <c r="AC211" s="29">
        <v>4</v>
      </c>
      <c r="AD211" s="29">
        <v>1</v>
      </c>
      <c r="AE211" s="29" t="s">
        <v>70</v>
      </c>
      <c r="AF211">
        <v>4</v>
      </c>
    </row>
    <row r="212" spans="1:32" x14ac:dyDescent="0.25">
      <c r="A212" s="28">
        <v>208</v>
      </c>
      <c r="B212" s="29" t="s">
        <v>60</v>
      </c>
      <c r="C212" s="29" t="s">
        <v>61</v>
      </c>
      <c r="D212" s="29" t="s">
        <v>62</v>
      </c>
      <c r="E212" s="29" t="s">
        <v>62</v>
      </c>
      <c r="F212" s="30" cm="1">
        <f t="array" ref="F212">_xlfn.IFS($G212=$G$5,F$5,$G212=$G$6,F$6,$G212=$G$7,F$7,$G212=$G$8,F$8,$G212=$G$9,F$9,$G212=$G$10,F$10,$G212=$G$11,F$11,$G212=$G$13,F$13,$G212=$G$15,F$15,$G212=$G$16,F$16,$G212=$G$33,F$33,$G212=$G$34,F$34,$G212=$G$248,F$248,$G212=$G$250,F$250)</f>
        <v>8016</v>
      </c>
      <c r="G212" s="29" t="s">
        <v>72</v>
      </c>
      <c r="H212" s="31" cm="1">
        <f t="array" ref="H212">_xlfn.IFS($G212=$G$5,H$5,$G212=$G$6,H$6,$G212=$G$7,H$7,$G212=$G$8,H$8,$G212=$G$9,H$9,$G212=$G$10,H$10,$G212=$G$11,H$11,$G212=$G$13,H$13,$G212=$G$15,H$15,$G212=$G$16,H$16,$G212=$G$33,H$33,$G212=$G$34,H$34,$G212=$G$248,H$248,$G212=$G$250,H$250)</f>
        <v>41.437435000000001</v>
      </c>
      <c r="I212" s="31" cm="1">
        <f t="array" ref="I212">_xlfn.IFS($G212=$G$5,I$5,$G212=$G$6,I$6,$G212=$G$7,I$7,$G212=$G$8,I$8,$G212=$G$9,I$9,$G212=$G$10,I$10,$G212=$G$11,I$11,$G212=$G$13,I$13,$G212=$G$15,I$15,$G212=$G$16,I$16,$G212=$G$33,I$33,$G212=$G$34,I$34,$G212=$G$248,I$248,$G212=$G$250,I$250)</f>
        <v>2.1812779999999998</v>
      </c>
      <c r="J212" s="29" cm="1">
        <f t="array" ref="J212">_xlfn.IFS($G212=$G$5,J$5,$G212=$G$6,J$6,$G212=$G$7,J$7,$G212=$G$8,J$8,$G212=$G$9,J$9,$G212=$G$10,J$10,$G212=$G$11,J$11,$G212=$G$13,J$13,$G212=$G$15,J$15,$G212=$G$16,J$16,$G212=$G$33,J$33,$G212=$G$34,J$34,$G212=$G$248,J$248,$G212=$G$250,J$250)</f>
        <v>47</v>
      </c>
      <c r="K212" s="29" t="str" cm="1">
        <f t="array" ref="K212">_xlfn.IFS($G212=$G$5,K$5,$G212=$G$6,K$6,$G212=$G$7,K$7,$G212=$G$8,K$8,$G212=$G$9,K$9,$G212=$G$10,K$10,$G212=$G$11,K$11,$G212=$G$13,K$13,$G212=$G$15,K$15,$G212=$G$16,K$16,$G212=$G$33,K$33,$G212=$G$34,K$34,$G212=$G$248,K$248,$G212=$G$250,K$250)</f>
        <v>BG sentinel + BG lure7</v>
      </c>
      <c r="L212" s="29" t="str" cm="1">
        <f t="array" ref="L212">_xlfn.IFS($G212=$G$5,L$5,$G212=$G$6,L$6,$G212=$G$7,L$7,$G212=$G$8,L$8,$G212=$G$9,L$9,$G212=$G$10,L$10,$G212=$G$11,L$11,$G212=$G$13,L$13,$G212=$G$15,L$15,$G212=$G$16,L$16,$G212=$G$33,L$33,$G212=$G$34,L$34,$G212=$G$248,L$248,$G212=$G$250,L$250)</f>
        <v>Urban habitat</v>
      </c>
      <c r="O212" s="32" t="str">
        <f t="shared" si="13"/>
        <v>A_SP_BCN_3_201007</v>
      </c>
      <c r="P212" s="33">
        <v>44111</v>
      </c>
      <c r="Q212" s="34">
        <v>0.72222222222222221</v>
      </c>
      <c r="R212" s="35"/>
      <c r="S212" s="36">
        <v>44118</v>
      </c>
      <c r="T212" s="37">
        <v>0.8125</v>
      </c>
      <c r="U212" s="38"/>
      <c r="V212" s="39" t="s">
        <v>66</v>
      </c>
      <c r="X212" s="29">
        <f t="shared" si="12"/>
        <v>7</v>
      </c>
      <c r="Y212" s="38"/>
      <c r="Z212" s="29" t="s">
        <v>75</v>
      </c>
      <c r="AA212" s="29">
        <f t="shared" si="11"/>
        <v>2</v>
      </c>
      <c r="AB212" s="29" t="s">
        <v>69</v>
      </c>
      <c r="AC212" s="29">
        <v>2</v>
      </c>
      <c r="AD212" s="29">
        <v>0</v>
      </c>
      <c r="AE212" s="29" t="s">
        <v>70</v>
      </c>
      <c r="AF212">
        <v>4</v>
      </c>
    </row>
    <row r="213" spans="1:32" x14ac:dyDescent="0.25">
      <c r="A213" s="28">
        <v>209</v>
      </c>
      <c r="B213" s="29" t="s">
        <v>60</v>
      </c>
      <c r="C213" s="29" t="s">
        <v>61</v>
      </c>
      <c r="D213" s="29" t="s">
        <v>62</v>
      </c>
      <c r="E213" s="29" t="s">
        <v>62</v>
      </c>
      <c r="F213" s="30" cm="1">
        <f t="array" ref="F213">_xlfn.IFS($G213=$G$5,F$5,$G213=$G$6,F$6,$G213=$G$7,F$7,$G213=$G$8,F$8,$G213=$G$9,F$9,$G213=$G$10,F$10,$G213=$G$11,F$11,$G213=$G$13,F$13,$G213=$G$15,F$15,$G213=$G$16,F$16,$G213=$G$33,F$33,$G213=$G$34,F$34,$G213=$G$248,F$248,$G213=$G$250,F$250)</f>
        <v>8018</v>
      </c>
      <c r="G213" s="29" t="s">
        <v>73</v>
      </c>
      <c r="H213" s="31" cm="1">
        <f t="array" ref="H213">_xlfn.IFS($G213=$G$5,H$5,$G213=$G$6,H$6,$G213=$G$7,H$7,$G213=$G$8,H$8,$G213=$G$9,H$9,$G213=$G$10,H$10,$G213=$G$11,H$11,$G213=$G$13,H$13,$G213=$G$15,H$15,$G213=$G$16,H$16,$G213=$G$33,H$33,$G213=$G$34,H$34,$G213=$G$248,H$248,$G213=$G$250,H$250)</f>
        <v>41.404924999999999</v>
      </c>
      <c r="I213" s="31" cm="1">
        <f t="array" ref="I213">_xlfn.IFS($G213=$G$5,I$5,$G213=$G$6,I$6,$G213=$G$7,I$7,$G213=$G$8,I$8,$G213=$G$9,I$9,$G213=$G$10,I$10,$G213=$G$11,I$11,$G213=$G$13,I$13,$G213=$G$15,I$15,$G213=$G$16,I$16,$G213=$G$33,I$33,$G213=$G$34,I$34,$G213=$G$248,I$248,$G213=$G$250,I$250)</f>
        <v>2.1987909999999999</v>
      </c>
      <c r="J213" s="29" cm="1">
        <f t="array" ref="J213">_xlfn.IFS($G213=$G$5,J$5,$G213=$G$6,J$6,$G213=$G$7,J$7,$G213=$G$8,J$8,$G213=$G$9,J$9,$G213=$G$10,J$10,$G213=$G$11,J$11,$G213=$G$13,J$13,$G213=$G$15,J$15,$G213=$G$16,J$16,$G213=$G$33,J$33,$G213=$G$34,J$34,$G213=$G$248,J$248,$G213=$G$250,J$250)</f>
        <v>4</v>
      </c>
      <c r="K213" s="29" t="str" cm="1">
        <f t="array" ref="K213">_xlfn.IFS($G213=$G$5,K$5,$G213=$G$6,K$6,$G213=$G$7,K$7,$G213=$G$8,K$8,$G213=$G$9,K$9,$G213=$G$10,K$10,$G213=$G$11,K$11,$G213=$G$13,K$13,$G213=$G$15,K$15,$G213=$G$16,K$16,$G213=$G$33,K$33,$G213=$G$34,K$34,$G213=$G$248,K$248,$G213=$G$250,K$250)</f>
        <v>BG sentinel + BG lure7</v>
      </c>
      <c r="L213" s="29" t="str" cm="1">
        <f t="array" ref="L213">_xlfn.IFS($G213=$G$5,L$5,$G213=$G$6,L$6,$G213=$G$7,L$7,$G213=$G$8,L$8,$G213=$G$9,L$9,$G213=$G$10,L$10,$G213=$G$11,L$11,$G213=$G$13,L$13,$G213=$G$15,L$15,$G213=$G$16,L$16,$G213=$G$33,L$33,$G213=$G$34,L$34,$G213=$G$248,L$248,$G213=$G$250,L$250)</f>
        <v>Urban habitat</v>
      </c>
      <c r="O213" s="32" t="str">
        <f t="shared" si="13"/>
        <v>A_SP_BCN_4_201007</v>
      </c>
      <c r="P213" s="33">
        <v>44111</v>
      </c>
      <c r="Q213" s="34">
        <v>0.74652777777777779</v>
      </c>
      <c r="R213" s="35"/>
      <c r="S213" s="36">
        <v>44118</v>
      </c>
      <c r="T213" s="37">
        <v>0.77083333333333337</v>
      </c>
      <c r="U213" s="38"/>
      <c r="V213" s="39" t="s">
        <v>66</v>
      </c>
      <c r="X213" s="29">
        <f t="shared" si="12"/>
        <v>7</v>
      </c>
      <c r="Y213" s="38"/>
      <c r="Z213" s="29" t="s">
        <v>68</v>
      </c>
      <c r="AA213" s="29">
        <f t="shared" si="11"/>
        <v>3</v>
      </c>
      <c r="AB213" s="29" t="s">
        <v>69</v>
      </c>
      <c r="AC213" s="29">
        <v>2</v>
      </c>
      <c r="AD213" s="29">
        <v>1</v>
      </c>
      <c r="AE213" s="29" t="s">
        <v>70</v>
      </c>
      <c r="AF213">
        <v>4</v>
      </c>
    </row>
    <row r="214" spans="1:32" x14ac:dyDescent="0.25">
      <c r="A214" s="28">
        <v>210</v>
      </c>
      <c r="B214" s="29" t="s">
        <v>60</v>
      </c>
      <c r="C214" s="29" t="s">
        <v>61</v>
      </c>
      <c r="D214" s="29" t="s">
        <v>62</v>
      </c>
      <c r="E214" s="29" t="s">
        <v>62</v>
      </c>
      <c r="F214" s="30" cm="1">
        <f t="array" ref="F214">_xlfn.IFS($G214=$G$5,F$5,$G214=$G$6,F$6,$G214=$G$7,F$7,$G214=$G$8,F$8,$G214=$G$9,F$9,$G214=$G$10,F$10,$G214=$G$11,F$11,$G214=$G$13,F$13,$G214=$G$15,F$15,$G214=$G$16,F$16,$G214=$G$33,F$33,$G214=$G$34,F$34,$G214=$G$248,F$248,$G214=$G$250,F$250)</f>
        <v>8018</v>
      </c>
      <c r="G214" s="29" t="s">
        <v>73</v>
      </c>
      <c r="H214" s="31" cm="1">
        <f t="array" ref="H214">_xlfn.IFS($G214=$G$5,H$5,$G214=$G$6,H$6,$G214=$G$7,H$7,$G214=$G$8,H$8,$G214=$G$9,H$9,$G214=$G$10,H$10,$G214=$G$11,H$11,$G214=$G$13,H$13,$G214=$G$15,H$15,$G214=$G$16,H$16,$G214=$G$33,H$33,$G214=$G$34,H$34,$G214=$G$248,H$248,$G214=$G$250,H$250)</f>
        <v>41.404924999999999</v>
      </c>
      <c r="I214" s="31" cm="1">
        <f t="array" ref="I214">_xlfn.IFS($G214=$G$5,I$5,$G214=$G$6,I$6,$G214=$G$7,I$7,$G214=$G$8,I$8,$G214=$G$9,I$9,$G214=$G$10,I$10,$G214=$G$11,I$11,$G214=$G$13,I$13,$G214=$G$15,I$15,$G214=$G$16,I$16,$G214=$G$33,I$33,$G214=$G$34,I$34,$G214=$G$248,I$248,$G214=$G$250,I$250)</f>
        <v>2.1987909999999999</v>
      </c>
      <c r="J214" s="29" cm="1">
        <f t="array" ref="J214">_xlfn.IFS($G214=$G$5,J$5,$G214=$G$6,J$6,$G214=$G$7,J$7,$G214=$G$8,J$8,$G214=$G$9,J$9,$G214=$G$10,J$10,$G214=$G$11,J$11,$G214=$G$13,J$13,$G214=$G$15,J$15,$G214=$G$16,J$16,$G214=$G$33,J$33,$G214=$G$34,J$34,$G214=$G$248,J$248,$G214=$G$250,J$250)</f>
        <v>4</v>
      </c>
      <c r="K214" s="29" t="str" cm="1">
        <f t="array" ref="K214">_xlfn.IFS($G214=$G$5,K$5,$G214=$G$6,K$6,$G214=$G$7,K$7,$G214=$G$8,K$8,$G214=$G$9,K$9,$G214=$G$10,K$10,$G214=$G$11,K$11,$G214=$G$13,K$13,$G214=$G$15,K$15,$G214=$G$16,K$16,$G214=$G$33,K$33,$G214=$G$34,K$34,$G214=$G$248,K$248,$G214=$G$250,K$250)</f>
        <v>BG sentinel + BG lure7</v>
      </c>
      <c r="L214" s="29" t="str" cm="1">
        <f t="array" ref="L214">_xlfn.IFS($G214=$G$5,L$5,$G214=$G$6,L$6,$G214=$G$7,L$7,$G214=$G$8,L$8,$G214=$G$9,L$9,$G214=$G$10,L$10,$G214=$G$11,L$11,$G214=$G$13,L$13,$G214=$G$15,L$15,$G214=$G$16,L$16,$G214=$G$33,L$33,$G214=$G$34,L$34,$G214=$G$248,L$248,$G214=$G$250,L$250)</f>
        <v>Urban habitat</v>
      </c>
      <c r="O214" s="32" t="str">
        <f t="shared" si="13"/>
        <v>A_SP_BCN_4_201007</v>
      </c>
      <c r="P214" s="33">
        <v>44111</v>
      </c>
      <c r="Q214" s="34">
        <v>0.74652777777777779</v>
      </c>
      <c r="R214" s="35"/>
      <c r="S214" s="36">
        <v>44118</v>
      </c>
      <c r="T214" s="37">
        <v>0.77083333333333337</v>
      </c>
      <c r="U214" s="38"/>
      <c r="V214" s="39" t="s">
        <v>66</v>
      </c>
      <c r="X214" s="29">
        <f t="shared" si="12"/>
        <v>7</v>
      </c>
      <c r="Y214" s="38"/>
      <c r="Z214" s="29" t="s">
        <v>75</v>
      </c>
      <c r="AA214" s="29">
        <f t="shared" si="11"/>
        <v>1</v>
      </c>
      <c r="AB214" s="29" t="s">
        <v>69</v>
      </c>
      <c r="AC214" s="29">
        <v>1</v>
      </c>
      <c r="AD214" s="29">
        <v>0</v>
      </c>
      <c r="AE214" s="29" t="s">
        <v>70</v>
      </c>
      <c r="AF214">
        <v>4</v>
      </c>
    </row>
    <row r="215" spans="1:32" x14ac:dyDescent="0.25">
      <c r="A215" s="28">
        <v>211</v>
      </c>
      <c r="B215" s="29" t="s">
        <v>60</v>
      </c>
      <c r="C215" s="29" t="s">
        <v>61</v>
      </c>
      <c r="D215" s="29" t="s">
        <v>62</v>
      </c>
      <c r="E215" s="29" t="s">
        <v>62</v>
      </c>
      <c r="F215" s="30" cm="1">
        <f t="array" ref="F215">_xlfn.IFS($G215=$G$5,F$5,$G215=$G$6,F$6,$G215=$G$7,F$7,$G215=$G$8,F$8,$G215=$G$9,F$9,$G215=$G$10,F$10,$G215=$G$11,F$11,$G215=$G$13,F$13,$G215=$G$15,F$15,$G215=$G$16,F$16,$G215=$G$33,F$33,$G215=$G$34,F$34,$G215=$G$248,F$248,$G215=$G$250,F$250)</f>
        <v>8018</v>
      </c>
      <c r="G215" s="29" t="s">
        <v>73</v>
      </c>
      <c r="H215" s="31" cm="1">
        <f t="array" ref="H215">_xlfn.IFS($G215=$G$5,H$5,$G215=$G$6,H$6,$G215=$G$7,H$7,$G215=$G$8,H$8,$G215=$G$9,H$9,$G215=$G$10,H$10,$G215=$G$11,H$11,$G215=$G$13,H$13,$G215=$G$15,H$15,$G215=$G$16,H$16,$G215=$G$33,H$33,$G215=$G$34,H$34,$G215=$G$248,H$248,$G215=$G$250,H$250)</f>
        <v>41.404924999999999</v>
      </c>
      <c r="I215" s="31" cm="1">
        <f t="array" ref="I215">_xlfn.IFS($G215=$G$5,I$5,$G215=$G$6,I$6,$G215=$G$7,I$7,$G215=$G$8,I$8,$G215=$G$9,I$9,$G215=$G$10,I$10,$G215=$G$11,I$11,$G215=$G$13,I$13,$G215=$G$15,I$15,$G215=$G$16,I$16,$G215=$G$33,I$33,$G215=$G$34,I$34,$G215=$G$248,I$248,$G215=$G$250,I$250)</f>
        <v>2.1987909999999999</v>
      </c>
      <c r="J215" s="29" cm="1">
        <f t="array" ref="J215">_xlfn.IFS($G215=$G$5,J$5,$G215=$G$6,J$6,$G215=$G$7,J$7,$G215=$G$8,J$8,$G215=$G$9,J$9,$G215=$G$10,J$10,$G215=$G$11,J$11,$G215=$G$13,J$13,$G215=$G$15,J$15,$G215=$G$16,J$16,$G215=$G$33,J$33,$G215=$G$34,J$34,$G215=$G$248,J$248,$G215=$G$250,J$250)</f>
        <v>4</v>
      </c>
      <c r="K215" s="29" t="str" cm="1">
        <f t="array" ref="K215">_xlfn.IFS($G215=$G$5,K$5,$G215=$G$6,K$6,$G215=$G$7,K$7,$G215=$G$8,K$8,$G215=$G$9,K$9,$G215=$G$10,K$10,$G215=$G$11,K$11,$G215=$G$13,K$13,$G215=$G$15,K$15,$G215=$G$16,K$16,$G215=$G$33,K$33,$G215=$G$34,K$34,$G215=$G$248,K$248,$G215=$G$250,K$250)</f>
        <v>BG sentinel + BG lure7</v>
      </c>
      <c r="L215" s="29" t="str" cm="1">
        <f t="array" ref="L215">_xlfn.IFS($G215=$G$5,L$5,$G215=$G$6,L$6,$G215=$G$7,L$7,$G215=$G$8,L$8,$G215=$G$9,L$9,$G215=$G$10,L$10,$G215=$G$11,L$11,$G215=$G$13,L$13,$G215=$G$15,L$15,$G215=$G$16,L$16,$G215=$G$33,L$33,$G215=$G$34,L$34,$G215=$G$248,L$248,$G215=$G$250,L$250)</f>
        <v>Urban habitat</v>
      </c>
      <c r="O215" s="32" t="str">
        <f t="shared" si="13"/>
        <v>A_SP_BCN_4_201007</v>
      </c>
      <c r="P215" s="33">
        <v>44111</v>
      </c>
      <c r="Q215" s="34">
        <v>0.74652777777777779</v>
      </c>
      <c r="R215" s="35"/>
      <c r="S215" s="36">
        <v>44118</v>
      </c>
      <c r="T215" s="37">
        <v>0.77083333333333337</v>
      </c>
      <c r="U215" s="38"/>
      <c r="V215" s="39" t="s">
        <v>66</v>
      </c>
      <c r="X215" s="29">
        <f t="shared" si="12"/>
        <v>7</v>
      </c>
      <c r="Y215" s="38"/>
      <c r="Z215" s="29" t="s">
        <v>84</v>
      </c>
      <c r="AA215" s="29">
        <f t="shared" si="11"/>
        <v>1</v>
      </c>
      <c r="AB215" s="29" t="s">
        <v>69</v>
      </c>
      <c r="AC215" s="29">
        <v>1</v>
      </c>
      <c r="AD215" s="29">
        <v>0</v>
      </c>
      <c r="AE215" s="29" t="s">
        <v>70</v>
      </c>
      <c r="AF215">
        <v>4</v>
      </c>
    </row>
    <row r="216" spans="1:32" x14ac:dyDescent="0.25">
      <c r="A216" s="28">
        <v>212</v>
      </c>
      <c r="B216" s="29" t="s">
        <v>60</v>
      </c>
      <c r="C216" s="29" t="s">
        <v>61</v>
      </c>
      <c r="D216" s="29" t="s">
        <v>62</v>
      </c>
      <c r="E216" s="29" t="s">
        <v>62</v>
      </c>
      <c r="F216" s="30" cm="1">
        <f t="array" ref="F216">_xlfn.IFS($G216=$G$5,F$5,$G216=$G$6,F$6,$G216=$G$7,F$7,$G216=$G$8,F$8,$G216=$G$9,F$9,$G216=$G$10,F$10,$G216=$G$11,F$11,$G216=$G$13,F$13,$G216=$G$15,F$15,$G216=$G$16,F$16,$G216=$G$33,F$33,$G216=$G$34,F$34,$G216=$G$248,F$248,$G216=$G$250,F$250)</f>
        <v>8019</v>
      </c>
      <c r="G216" s="29" t="s">
        <v>74</v>
      </c>
      <c r="H216" s="31" cm="1">
        <f t="array" ref="H216">_xlfn.IFS($G216=$G$5,H$5,$G216=$G$6,H$6,$G216=$G$7,H$7,$G216=$G$8,H$8,$G216=$G$9,H$9,$G216=$G$10,H$10,$G216=$G$11,H$11,$G216=$G$13,H$13,$G216=$G$15,H$15,$G216=$G$16,H$16,$G216=$G$33,H$33,$G216=$G$34,H$34,$G216=$G$248,H$248,$G216=$G$250,H$250)</f>
        <v>41.410684000000003</v>
      </c>
      <c r="I216" s="31" cm="1">
        <f t="array" ref="I216">_xlfn.IFS($G216=$G$5,I$5,$G216=$G$6,I$6,$G216=$G$7,I$7,$G216=$G$8,I$8,$G216=$G$9,I$9,$G216=$G$10,I$10,$G216=$G$11,I$11,$G216=$G$13,I$13,$G216=$G$15,I$15,$G216=$G$16,I$16,$G216=$G$33,I$33,$G216=$G$34,I$34,$G216=$G$248,I$248,$G216=$G$250,I$250)</f>
        <v>2.2208019999999999</v>
      </c>
      <c r="J216" s="29" cm="1">
        <f t="array" ref="J216">_xlfn.IFS($G216=$G$5,J$5,$G216=$G$6,J$6,$G216=$G$7,J$7,$G216=$G$8,J$8,$G216=$G$9,J$9,$G216=$G$10,J$10,$G216=$G$11,J$11,$G216=$G$13,J$13,$G216=$G$15,J$15,$G216=$G$16,J$16,$G216=$G$33,J$33,$G216=$G$34,J$34,$G216=$G$248,J$248,$G216=$G$250,J$250)</f>
        <v>18</v>
      </c>
      <c r="K216" s="29" t="str" cm="1">
        <f t="array" ref="K216">_xlfn.IFS($G216=$G$5,K$5,$G216=$G$6,K$6,$G216=$G$7,K$7,$G216=$G$8,K$8,$G216=$G$9,K$9,$G216=$G$10,K$10,$G216=$G$11,K$11,$G216=$G$13,K$13,$G216=$G$15,K$15,$G216=$G$16,K$16,$G216=$G$33,K$33,$G216=$G$34,K$34,$G216=$G$248,K$248,$G216=$G$250,K$250)</f>
        <v>BG sentinel + BG lure7</v>
      </c>
      <c r="L216" s="29" t="str" cm="1">
        <f t="array" ref="L216">_xlfn.IFS($G216=$G$5,L$5,$G216=$G$6,L$6,$G216=$G$7,L$7,$G216=$G$8,L$8,$G216=$G$9,L$9,$G216=$G$10,L$10,$G216=$G$11,L$11,$G216=$G$13,L$13,$G216=$G$15,L$15,$G216=$G$16,L$16,$G216=$G$33,L$33,$G216=$G$34,L$34,$G216=$G$248,L$248,$G216=$G$250,L$250)</f>
        <v>Urban habitat</v>
      </c>
      <c r="O216" s="32" t="str">
        <f t="shared" si="13"/>
        <v>A_SP_BCN_5_201007</v>
      </c>
      <c r="P216" s="33">
        <v>44111</v>
      </c>
      <c r="Q216" s="34">
        <v>0.76388888888888884</v>
      </c>
      <c r="R216" s="35"/>
      <c r="S216" s="36">
        <v>44118</v>
      </c>
      <c r="T216" s="37">
        <v>0.78819444444444453</v>
      </c>
      <c r="U216" s="38"/>
      <c r="V216" s="39" t="s">
        <v>66</v>
      </c>
      <c r="X216" s="29">
        <f t="shared" si="12"/>
        <v>7</v>
      </c>
      <c r="Y216" s="38"/>
      <c r="Z216" s="29" t="s">
        <v>75</v>
      </c>
      <c r="AA216" s="29">
        <f t="shared" si="11"/>
        <v>4</v>
      </c>
      <c r="AB216" s="29" t="s">
        <v>69</v>
      </c>
      <c r="AC216" s="29">
        <v>3</v>
      </c>
      <c r="AD216" s="29">
        <v>1</v>
      </c>
      <c r="AE216" s="29" t="s">
        <v>70</v>
      </c>
      <c r="AF216">
        <v>4</v>
      </c>
    </row>
    <row r="217" spans="1:32" x14ac:dyDescent="0.25">
      <c r="A217" s="28">
        <v>213</v>
      </c>
      <c r="B217" s="29" t="s">
        <v>60</v>
      </c>
      <c r="C217" s="29" t="s">
        <v>61</v>
      </c>
      <c r="D217" s="29" t="s">
        <v>62</v>
      </c>
      <c r="E217" s="29" t="s">
        <v>62</v>
      </c>
      <c r="F217" s="30" cm="1">
        <f t="array" ref="F217">_xlfn.IFS($G217=$G$5,F$5,$G217=$G$6,F$6,$G217=$G$7,F$7,$G217=$G$8,F$8,$G217=$G$9,F$9,$G217=$G$10,F$10,$G217=$G$11,F$11,$G217=$G$13,F$13,$G217=$G$15,F$15,$G217=$G$16,F$16,$G217=$G$33,F$33,$G217=$G$34,F$34,$G217=$G$248,F$248,$G217=$G$250,F$250)</f>
        <v>8002</v>
      </c>
      <c r="G217" s="29" t="s">
        <v>76</v>
      </c>
      <c r="H217" s="31" cm="1">
        <f t="array" ref="H217">_xlfn.IFS($G217=$G$5,H$5,$G217=$G$6,H$6,$G217=$G$7,H$7,$G217=$G$8,H$8,$G217=$G$9,H$9,$G217=$G$10,H$10,$G217=$G$11,H$11,$G217=$G$13,H$13,$G217=$G$15,H$15,$G217=$G$16,H$16,$G217=$G$33,H$33,$G217=$G$34,H$34,$G217=$G$248,H$248,$G217=$G$250,H$250)</f>
        <v>41.382339999999999</v>
      </c>
      <c r="I217" s="31" cm="1">
        <f t="array" ref="I217">_xlfn.IFS($G217=$G$5,I$5,$G217=$G$6,I$6,$G217=$G$7,I$7,$G217=$G$8,I$8,$G217=$G$9,I$9,$G217=$G$10,I$10,$G217=$G$11,I$11,$G217=$G$13,I$13,$G217=$G$15,I$15,$G217=$G$16,I$16,$G217=$G$33,I$33,$G217=$G$34,I$34,$G217=$G$248,I$248,$G217=$G$250,I$250)</f>
        <v>2.1714790000000002</v>
      </c>
      <c r="J217" s="29" cm="1">
        <f t="array" ref="J217">_xlfn.IFS($G217=$G$5,J$5,$G217=$G$6,J$6,$G217=$G$7,J$7,$G217=$G$8,J$8,$G217=$G$9,J$9,$G217=$G$10,J$10,$G217=$G$11,J$11,$G217=$G$13,J$13,$G217=$G$15,J$15,$G217=$G$16,J$16,$G217=$G$33,J$33,$G217=$G$34,J$34,$G217=$G$248,J$248,$G217=$G$250,J$250)</f>
        <v>19</v>
      </c>
      <c r="K217" s="29" t="str" cm="1">
        <f t="array" ref="K217">_xlfn.IFS($G217=$G$5,K$5,$G217=$G$6,K$6,$G217=$G$7,K$7,$G217=$G$8,K$8,$G217=$G$9,K$9,$G217=$G$10,K$10,$G217=$G$11,K$11,$G217=$G$13,K$13,$G217=$G$15,K$15,$G217=$G$16,K$16,$G217=$G$33,K$33,$G217=$G$34,K$34,$G217=$G$248,K$248,$G217=$G$250,K$250)</f>
        <v>BG sentinel + BG lure7</v>
      </c>
      <c r="L217" s="29" t="str" cm="1">
        <f t="array" ref="L217">_xlfn.IFS($G217=$G$5,L$5,$G217=$G$6,L$6,$G217=$G$7,L$7,$G217=$G$8,L$8,$G217=$G$9,L$9,$G217=$G$10,L$10,$G217=$G$11,L$11,$G217=$G$13,L$13,$G217=$G$15,L$15,$G217=$G$16,L$16,$G217=$G$33,L$33,$G217=$G$34,L$34,$G217=$G$248,L$248,$G217=$G$250,L$250)</f>
        <v>Urban habitat</v>
      </c>
      <c r="O217" s="32" t="str">
        <f t="shared" si="13"/>
        <v>A_SP_BCN_6_201007</v>
      </c>
      <c r="P217" s="33">
        <v>44111</v>
      </c>
      <c r="Q217" s="34">
        <v>0.58333333333333337</v>
      </c>
      <c r="R217" s="35"/>
      <c r="S217" s="36">
        <v>44118</v>
      </c>
      <c r="T217" s="37">
        <v>0.73958333333333337</v>
      </c>
      <c r="U217" s="38"/>
      <c r="V217" s="39" t="s">
        <v>66</v>
      </c>
      <c r="X217" s="29">
        <f t="shared" si="12"/>
        <v>7</v>
      </c>
      <c r="Y217" s="38"/>
      <c r="Z217" s="29" t="s">
        <v>68</v>
      </c>
      <c r="AA217" s="29">
        <f t="shared" si="11"/>
        <v>2</v>
      </c>
      <c r="AB217" s="29" t="s">
        <v>69</v>
      </c>
      <c r="AC217" s="29">
        <v>2</v>
      </c>
      <c r="AD217" s="29">
        <v>0</v>
      </c>
      <c r="AE217" s="29" t="s">
        <v>70</v>
      </c>
      <c r="AF217">
        <v>4</v>
      </c>
    </row>
    <row r="218" spans="1:32" x14ac:dyDescent="0.25">
      <c r="A218" s="28">
        <v>214</v>
      </c>
      <c r="B218" s="29" t="s">
        <v>60</v>
      </c>
      <c r="C218" s="29" t="s">
        <v>61</v>
      </c>
      <c r="D218" s="29" t="s">
        <v>62</v>
      </c>
      <c r="E218" s="29" t="s">
        <v>62</v>
      </c>
      <c r="F218" s="30" cm="1">
        <f t="array" ref="F218">_xlfn.IFS($G218=$G$5,F$5,$G218=$G$6,F$6,$G218=$G$7,F$7,$G218=$G$8,F$8,$G218=$G$9,F$9,$G218=$G$10,F$10,$G218=$G$11,F$11,$G218=$G$13,F$13,$G218=$G$15,F$15,$G218=$G$16,F$16,$G218=$G$33,F$33,$G218=$G$34,F$34,$G218=$G$248,F$248,$G218=$G$250,F$250)</f>
        <v>8002</v>
      </c>
      <c r="G218" s="29" t="s">
        <v>76</v>
      </c>
      <c r="H218" s="31" cm="1">
        <f t="array" ref="H218">_xlfn.IFS($G218=$G$5,H$5,$G218=$G$6,H$6,$G218=$G$7,H$7,$G218=$G$8,H$8,$G218=$G$9,H$9,$G218=$G$10,H$10,$G218=$G$11,H$11,$G218=$G$13,H$13,$G218=$G$15,H$15,$G218=$G$16,H$16,$G218=$G$33,H$33,$G218=$G$34,H$34,$G218=$G$248,H$248,$G218=$G$250,H$250)</f>
        <v>41.382339999999999</v>
      </c>
      <c r="I218" s="31" cm="1">
        <f t="array" ref="I218">_xlfn.IFS($G218=$G$5,I$5,$G218=$G$6,I$6,$G218=$G$7,I$7,$G218=$G$8,I$8,$G218=$G$9,I$9,$G218=$G$10,I$10,$G218=$G$11,I$11,$G218=$G$13,I$13,$G218=$G$15,I$15,$G218=$G$16,I$16,$G218=$G$33,I$33,$G218=$G$34,I$34,$G218=$G$248,I$248,$G218=$G$250,I$250)</f>
        <v>2.1714790000000002</v>
      </c>
      <c r="J218" s="29" cm="1">
        <f t="array" ref="J218">_xlfn.IFS($G218=$G$5,J$5,$G218=$G$6,J$6,$G218=$G$7,J$7,$G218=$G$8,J$8,$G218=$G$9,J$9,$G218=$G$10,J$10,$G218=$G$11,J$11,$G218=$G$13,J$13,$G218=$G$15,J$15,$G218=$G$16,J$16,$G218=$G$33,J$33,$G218=$G$34,J$34,$G218=$G$248,J$248,$G218=$G$250,J$250)</f>
        <v>19</v>
      </c>
      <c r="K218" s="29" t="str" cm="1">
        <f t="array" ref="K218">_xlfn.IFS($G218=$G$5,K$5,$G218=$G$6,K$6,$G218=$G$7,K$7,$G218=$G$8,K$8,$G218=$G$9,K$9,$G218=$G$10,K$10,$G218=$G$11,K$11,$G218=$G$13,K$13,$G218=$G$15,K$15,$G218=$G$16,K$16,$G218=$G$33,K$33,$G218=$G$34,K$34,$G218=$G$248,K$248,$G218=$G$250,K$250)</f>
        <v>BG sentinel + BG lure7</v>
      </c>
      <c r="L218" s="29" t="str" cm="1">
        <f t="array" ref="L218">_xlfn.IFS($G218=$G$5,L$5,$G218=$G$6,L$6,$G218=$G$7,L$7,$G218=$G$8,L$8,$G218=$G$9,L$9,$G218=$G$10,L$10,$G218=$G$11,L$11,$G218=$G$13,L$13,$G218=$G$15,L$15,$G218=$G$16,L$16,$G218=$G$33,L$33,$G218=$G$34,L$34,$G218=$G$248,L$248,$G218=$G$250,L$250)</f>
        <v>Urban habitat</v>
      </c>
      <c r="O218" s="32" t="str">
        <f t="shared" si="13"/>
        <v>A_SP_BCN_6_201007</v>
      </c>
      <c r="P218" s="33">
        <v>44111</v>
      </c>
      <c r="Q218" s="34">
        <v>0.58333333333333337</v>
      </c>
      <c r="R218" s="35"/>
      <c r="S218" s="36">
        <v>44118</v>
      </c>
      <c r="T218" s="37">
        <v>0.73958333333333337</v>
      </c>
      <c r="U218" s="38"/>
      <c r="V218" s="39" t="s">
        <v>66</v>
      </c>
      <c r="X218" s="29">
        <f t="shared" si="12"/>
        <v>7</v>
      </c>
      <c r="Y218" s="38"/>
      <c r="Z218" s="29" t="s">
        <v>75</v>
      </c>
      <c r="AA218" s="29">
        <f t="shared" si="11"/>
        <v>1</v>
      </c>
      <c r="AB218" s="29" t="s">
        <v>69</v>
      </c>
      <c r="AC218" s="29">
        <v>0</v>
      </c>
      <c r="AD218" s="29">
        <v>1</v>
      </c>
      <c r="AE218" s="29" t="s">
        <v>70</v>
      </c>
      <c r="AF218">
        <v>4</v>
      </c>
    </row>
    <row r="219" spans="1:32" x14ac:dyDescent="0.25">
      <c r="A219" s="28">
        <v>215</v>
      </c>
      <c r="B219" s="29" t="s">
        <v>60</v>
      </c>
      <c r="C219" s="29" t="s">
        <v>61</v>
      </c>
      <c r="D219" s="29" t="s">
        <v>62</v>
      </c>
      <c r="E219" s="29" t="s">
        <v>62</v>
      </c>
      <c r="F219" s="30" cm="1">
        <f t="array" ref="F219">_xlfn.IFS($G219=$G$5,F$5,$G219=$G$6,F$6,$G219=$G$7,F$7,$G219=$G$8,F$8,$G219=$G$9,F$9,$G219=$G$10,F$10,$G219=$G$11,F$11,$G219=$G$13,F$13,$G219=$G$15,F$15,$G219=$G$16,F$16,$G219=$G$33,F$33,$G219=$G$34,F$34,$G219=$G$248,F$248,$G219=$G$250,F$250)</f>
        <v>8038</v>
      </c>
      <c r="G219" s="29" t="s">
        <v>77</v>
      </c>
      <c r="H219" s="31" cm="1">
        <f t="array" ref="H219">_xlfn.IFS($G219=$G$5,H$5,$G219=$G$6,H$6,$G219=$G$7,H$7,$G219=$G$8,H$8,$G219=$G$9,H$9,$G219=$G$10,H$10,$G219=$G$11,H$11,$G219=$G$13,H$13,$G219=$G$15,H$15,$G219=$G$16,H$16,$G219=$G$33,H$33,$G219=$G$34,H$34,$G219=$G$248,H$248,$G219=$G$250,H$250)</f>
        <v>41.371864000000002</v>
      </c>
      <c r="I219" s="31" cm="1">
        <f t="array" ref="I219">_xlfn.IFS($G219=$G$5,I$5,$G219=$G$6,I$6,$G219=$G$7,I$7,$G219=$G$8,I$8,$G219=$G$9,I$9,$G219=$G$10,I$10,$G219=$G$11,I$11,$G219=$G$13,I$13,$G219=$G$15,I$15,$G219=$G$16,I$16,$G219=$G$33,I$33,$G219=$G$34,I$34,$G219=$G$248,I$248,$G219=$G$250,I$250)</f>
        <v>2.173899</v>
      </c>
      <c r="J219" s="29" cm="1">
        <f t="array" ref="J219">_xlfn.IFS($G219=$G$5,J$5,$G219=$G$6,J$6,$G219=$G$7,J$7,$G219=$G$8,J$8,$G219=$G$9,J$9,$G219=$G$10,J$10,$G219=$G$11,J$11,$G219=$G$13,J$13,$G219=$G$15,J$15,$G219=$G$16,J$16,$G219=$G$33,J$33,$G219=$G$34,J$34,$G219=$G$248,J$248,$G219=$G$250,J$250)</f>
        <v>5</v>
      </c>
      <c r="K219" s="29" t="str" cm="1">
        <f t="array" ref="K219">_xlfn.IFS($G219=$G$5,K$5,$G219=$G$6,K$6,$G219=$G$7,K$7,$G219=$G$8,K$8,$G219=$G$9,K$9,$G219=$G$10,K$10,$G219=$G$11,K$11,$G219=$G$13,K$13,$G219=$G$15,K$15,$G219=$G$16,K$16,$G219=$G$33,K$33,$G219=$G$34,K$34,$G219=$G$248,K$248,$G219=$G$250,K$250)</f>
        <v>BG sentinel + BG lure7</v>
      </c>
      <c r="L219" s="29" t="str" cm="1">
        <f t="array" ref="L219">_xlfn.IFS($G219=$G$5,L$5,$G219=$G$6,L$6,$G219=$G$7,L$7,$G219=$G$8,L$8,$G219=$G$9,L$9,$G219=$G$10,L$10,$G219=$G$11,L$11,$G219=$G$13,L$13,$G219=$G$15,L$15,$G219=$G$16,L$16,$G219=$G$33,L$33,$G219=$G$34,L$34,$G219=$G$248,L$248,$G219=$G$250,L$250)</f>
        <v>Urban habitat</v>
      </c>
      <c r="O219" s="32" t="str">
        <f t="shared" si="13"/>
        <v>A_SP_BCN_7_201007</v>
      </c>
      <c r="P219" s="33">
        <v>44111</v>
      </c>
      <c r="Q219" s="34">
        <v>0.5</v>
      </c>
      <c r="R219" s="35"/>
      <c r="S219" s="36">
        <v>44118</v>
      </c>
      <c r="T219" s="37">
        <v>0.66666666666666663</v>
      </c>
      <c r="U219" s="38"/>
      <c r="V219" s="39" t="s">
        <v>66</v>
      </c>
      <c r="X219" s="29">
        <f t="shared" si="12"/>
        <v>7</v>
      </c>
      <c r="Y219" s="38"/>
      <c r="Z219" s="29" t="s">
        <v>68</v>
      </c>
      <c r="AA219" s="29">
        <f t="shared" si="11"/>
        <v>8</v>
      </c>
      <c r="AB219" s="29" t="s">
        <v>69</v>
      </c>
      <c r="AC219" s="29">
        <v>8</v>
      </c>
      <c r="AD219" s="29">
        <v>0</v>
      </c>
      <c r="AE219" s="29" t="s">
        <v>70</v>
      </c>
      <c r="AF219">
        <v>4</v>
      </c>
    </row>
    <row r="220" spans="1:32" x14ac:dyDescent="0.25">
      <c r="A220" s="28">
        <v>216</v>
      </c>
      <c r="B220" s="29" t="s">
        <v>60</v>
      </c>
      <c r="C220" s="29" t="s">
        <v>61</v>
      </c>
      <c r="D220" s="29" t="s">
        <v>62</v>
      </c>
      <c r="E220" s="29" t="s">
        <v>62</v>
      </c>
      <c r="F220" s="30" cm="1">
        <f t="array" ref="F220">_xlfn.IFS($G220=$G$5,F$5,$G220=$G$6,F$6,$G220=$G$7,F$7,$G220=$G$8,F$8,$G220=$G$9,F$9,$G220=$G$10,F$10,$G220=$G$11,F$11,$G220=$G$13,F$13,$G220=$G$15,F$15,$G220=$G$16,F$16,$G220=$G$33,F$33,$G220=$G$34,F$34,$G220=$G$248,F$248,$G220=$G$250,F$250)</f>
        <v>8038</v>
      </c>
      <c r="G220" s="29" t="s">
        <v>78</v>
      </c>
      <c r="H220" s="31" cm="1">
        <f t="array" ref="H220">_xlfn.IFS($G220=$G$5,H$5,$G220=$G$6,H$6,$G220=$G$7,H$7,$G220=$G$8,H$8,$G220=$G$9,H$9,$G220=$G$10,H$10,$G220=$G$11,H$11,$G220=$G$13,H$13,$G220=$G$15,H$15,$G220=$G$16,H$16,$G220=$G$33,H$33,$G220=$G$34,H$34,$G220=$G$248,H$248,$G220=$G$250,H$250)</f>
        <v>41.368589</v>
      </c>
      <c r="I220" s="31" cm="1">
        <f t="array" ref="I220">_xlfn.IFS($G220=$G$5,I$5,$G220=$G$6,I$6,$G220=$G$7,I$7,$G220=$G$8,I$8,$G220=$G$9,I$9,$G220=$G$10,I$10,$G220=$G$11,I$11,$G220=$G$13,I$13,$G220=$G$15,I$15,$G220=$G$16,I$16,$G220=$G$33,I$33,$G220=$G$34,I$34,$G220=$G$248,I$248,$G220=$G$250,I$250)</f>
        <v>2.1620900000000001</v>
      </c>
      <c r="J220" s="29" cm="1">
        <f t="array" ref="J220">_xlfn.IFS($G220=$G$5,J$5,$G220=$G$6,J$6,$G220=$G$7,J$7,$G220=$G$8,J$8,$G220=$G$9,J$9,$G220=$G$10,J$10,$G220=$G$11,J$11,$G220=$G$13,J$13,$G220=$G$15,J$15,$G220=$G$16,J$16,$G220=$G$33,J$33,$G220=$G$34,J$34,$G220=$G$248,J$248,$G220=$G$250,J$250)</f>
        <v>95</v>
      </c>
      <c r="K220" s="29" t="str" cm="1">
        <f t="array" ref="K220">_xlfn.IFS($G220=$G$5,K$5,$G220=$G$6,K$6,$G220=$G$7,K$7,$G220=$G$8,K$8,$G220=$G$9,K$9,$G220=$G$10,K$10,$G220=$G$11,K$11,$G220=$G$13,K$13,$G220=$G$15,K$15,$G220=$G$16,K$16,$G220=$G$33,K$33,$G220=$G$34,K$34,$G220=$G$248,K$248,$G220=$G$250,K$250)</f>
        <v>BG sentinel + BG lure7</v>
      </c>
      <c r="L220" s="29" t="str" cm="1">
        <f t="array" ref="L220">_xlfn.IFS($G220=$G$5,L$5,$G220=$G$6,L$6,$G220=$G$7,L$7,$G220=$G$8,L$8,$G220=$G$9,L$9,$G220=$G$10,L$10,$G220=$G$11,L$11,$G220=$G$13,L$13,$G220=$G$15,L$15,$G220=$G$16,L$16,$G220=$G$33,L$33,$G220=$G$34,L$34,$G220=$G$248,L$248,$G220=$G$250,L$250)</f>
        <v>Other</v>
      </c>
      <c r="O220" s="32" t="str">
        <f t="shared" si="13"/>
        <v>A_SP_BCN_8_201007</v>
      </c>
      <c r="P220" s="33">
        <v>44111</v>
      </c>
      <c r="Q220" s="34">
        <v>0.51736111111111105</v>
      </c>
      <c r="R220" s="35"/>
      <c r="S220" s="36">
        <v>44118</v>
      </c>
      <c r="T220" s="37">
        <v>0.67708333333333337</v>
      </c>
      <c r="U220" s="38"/>
      <c r="V220" s="39" t="s">
        <v>66</v>
      </c>
      <c r="X220" s="29">
        <f t="shared" si="12"/>
        <v>7</v>
      </c>
      <c r="Y220" s="38"/>
      <c r="Z220" s="29" t="s">
        <v>68</v>
      </c>
      <c r="AA220" s="29">
        <f t="shared" si="11"/>
        <v>16</v>
      </c>
      <c r="AB220" s="29" t="s">
        <v>69</v>
      </c>
      <c r="AC220" s="29">
        <v>15</v>
      </c>
      <c r="AD220" s="29">
        <v>1</v>
      </c>
      <c r="AE220" s="29" t="s">
        <v>70</v>
      </c>
      <c r="AF220">
        <v>4</v>
      </c>
    </row>
    <row r="221" spans="1:32" x14ac:dyDescent="0.25">
      <c r="A221" s="28">
        <v>217</v>
      </c>
      <c r="B221" s="29" t="s">
        <v>60</v>
      </c>
      <c r="C221" s="29" t="s">
        <v>61</v>
      </c>
      <c r="D221" s="29" t="s">
        <v>62</v>
      </c>
      <c r="E221" s="29" t="s">
        <v>62</v>
      </c>
      <c r="F221" s="30" cm="1">
        <f t="array" ref="F221">_xlfn.IFS($G221=$G$5,F$5,$G221=$G$6,F$6,$G221=$G$7,F$7,$G221=$G$8,F$8,$G221=$G$9,F$9,$G221=$G$10,F$10,$G221=$G$11,F$11,$G221=$G$13,F$13,$G221=$G$15,F$15,$G221=$G$16,F$16,$G221=$G$33,F$33,$G221=$G$34,F$34,$G221=$G$248,F$248,$G221=$G$250,F$250)</f>
        <v>8038</v>
      </c>
      <c r="G221" s="29" t="s">
        <v>78</v>
      </c>
      <c r="H221" s="31" cm="1">
        <f t="array" ref="H221">_xlfn.IFS($G221=$G$5,H$5,$G221=$G$6,H$6,$G221=$G$7,H$7,$G221=$G$8,H$8,$G221=$G$9,H$9,$G221=$G$10,H$10,$G221=$G$11,H$11,$G221=$G$13,H$13,$G221=$G$15,H$15,$G221=$G$16,H$16,$G221=$G$33,H$33,$G221=$G$34,H$34,$G221=$G$248,H$248,$G221=$G$250,H$250)</f>
        <v>41.368589</v>
      </c>
      <c r="I221" s="31" cm="1">
        <f t="array" ref="I221">_xlfn.IFS($G221=$G$5,I$5,$G221=$G$6,I$6,$G221=$G$7,I$7,$G221=$G$8,I$8,$G221=$G$9,I$9,$G221=$G$10,I$10,$G221=$G$11,I$11,$G221=$G$13,I$13,$G221=$G$15,I$15,$G221=$G$16,I$16,$G221=$G$33,I$33,$G221=$G$34,I$34,$G221=$G$248,I$248,$G221=$G$250,I$250)</f>
        <v>2.1620900000000001</v>
      </c>
      <c r="J221" s="29" cm="1">
        <f t="array" ref="J221">_xlfn.IFS($G221=$G$5,J$5,$G221=$G$6,J$6,$G221=$G$7,J$7,$G221=$G$8,J$8,$G221=$G$9,J$9,$G221=$G$10,J$10,$G221=$G$11,J$11,$G221=$G$13,J$13,$G221=$G$15,J$15,$G221=$G$16,J$16,$G221=$G$33,J$33,$G221=$G$34,J$34,$G221=$G$248,J$248,$G221=$G$250,J$250)</f>
        <v>95</v>
      </c>
      <c r="K221" s="29" t="str" cm="1">
        <f t="array" ref="K221">_xlfn.IFS($G221=$G$5,K$5,$G221=$G$6,K$6,$G221=$G$7,K$7,$G221=$G$8,K$8,$G221=$G$9,K$9,$G221=$G$10,K$10,$G221=$G$11,K$11,$G221=$G$13,K$13,$G221=$G$15,K$15,$G221=$G$16,K$16,$G221=$G$33,K$33,$G221=$G$34,K$34,$G221=$G$248,K$248,$G221=$G$250,K$250)</f>
        <v>BG sentinel + BG lure7</v>
      </c>
      <c r="L221" s="29" t="str" cm="1">
        <f t="array" ref="L221">_xlfn.IFS($G221=$G$5,L$5,$G221=$G$6,L$6,$G221=$G$7,L$7,$G221=$G$8,L$8,$G221=$G$9,L$9,$G221=$G$10,L$10,$G221=$G$11,L$11,$G221=$G$13,L$13,$G221=$G$15,L$15,$G221=$G$16,L$16,$G221=$G$33,L$33,$G221=$G$34,L$34,$G221=$G$248,L$248,$G221=$G$250,L$250)</f>
        <v>Other</v>
      </c>
      <c r="O221" s="32" t="str">
        <f t="shared" si="13"/>
        <v>A_SP_BCN_8_201007</v>
      </c>
      <c r="P221" s="33">
        <v>44111</v>
      </c>
      <c r="Q221" s="34">
        <v>0.51736111111111105</v>
      </c>
      <c r="R221" s="35"/>
      <c r="S221" s="36">
        <v>44118</v>
      </c>
      <c r="T221" s="37">
        <v>0.67708333333333337</v>
      </c>
      <c r="U221" s="38"/>
      <c r="V221" s="39" t="s">
        <v>66</v>
      </c>
      <c r="X221" s="29">
        <f t="shared" si="12"/>
        <v>7</v>
      </c>
      <c r="Y221" s="38"/>
      <c r="Z221" s="29" t="s">
        <v>75</v>
      </c>
      <c r="AA221" s="29">
        <f t="shared" si="11"/>
        <v>3</v>
      </c>
      <c r="AB221" s="29" t="s">
        <v>69</v>
      </c>
      <c r="AC221" s="29">
        <v>3</v>
      </c>
      <c r="AD221" s="29">
        <v>0</v>
      </c>
      <c r="AE221" s="29" t="s">
        <v>70</v>
      </c>
      <c r="AF221">
        <v>4</v>
      </c>
    </row>
    <row r="222" spans="1:32" x14ac:dyDescent="0.25">
      <c r="A222" s="28">
        <v>218</v>
      </c>
      <c r="B222" s="29" t="s">
        <v>60</v>
      </c>
      <c r="C222" s="29" t="s">
        <v>61</v>
      </c>
      <c r="D222" s="29" t="s">
        <v>62</v>
      </c>
      <c r="E222" s="29" t="s">
        <v>62</v>
      </c>
      <c r="F222" s="30" cm="1">
        <f t="array" ref="F222">_xlfn.IFS($G222=$G$5,F$5,$G222=$G$6,F$6,$G222=$G$7,F$7,$G222=$G$8,F$8,$G222=$G$9,F$9,$G222=$G$10,F$10,$G222=$G$11,F$11,$G222=$G$13,F$13,$G222=$G$15,F$15,$G222=$G$16,F$16,$G222=$G$33,F$33,$G222=$G$34,F$34,$G222=$G$248,F$248,$G222=$G$250,F$250)</f>
        <v>8038</v>
      </c>
      <c r="G222" s="29" t="s">
        <v>78</v>
      </c>
      <c r="H222" s="31" cm="1">
        <f t="array" ref="H222">_xlfn.IFS($G222=$G$5,H$5,$G222=$G$6,H$6,$G222=$G$7,H$7,$G222=$G$8,H$8,$G222=$G$9,H$9,$G222=$G$10,H$10,$G222=$G$11,H$11,$G222=$G$13,H$13,$G222=$G$15,H$15,$G222=$G$16,H$16,$G222=$G$33,H$33,$G222=$G$34,H$34,$G222=$G$248,H$248,$G222=$G$250,H$250)</f>
        <v>41.368589</v>
      </c>
      <c r="I222" s="31" cm="1">
        <f t="array" ref="I222">_xlfn.IFS($G222=$G$5,I$5,$G222=$G$6,I$6,$G222=$G$7,I$7,$G222=$G$8,I$8,$G222=$G$9,I$9,$G222=$G$10,I$10,$G222=$G$11,I$11,$G222=$G$13,I$13,$G222=$G$15,I$15,$G222=$G$16,I$16,$G222=$G$33,I$33,$G222=$G$34,I$34,$G222=$G$248,I$248,$G222=$G$250,I$250)</f>
        <v>2.1620900000000001</v>
      </c>
      <c r="J222" s="29" cm="1">
        <f t="array" ref="J222">_xlfn.IFS($G222=$G$5,J$5,$G222=$G$6,J$6,$G222=$G$7,J$7,$G222=$G$8,J$8,$G222=$G$9,J$9,$G222=$G$10,J$10,$G222=$G$11,J$11,$G222=$G$13,J$13,$G222=$G$15,J$15,$G222=$G$16,J$16,$G222=$G$33,J$33,$G222=$G$34,J$34,$G222=$G$248,J$248,$G222=$G$250,J$250)</f>
        <v>95</v>
      </c>
      <c r="K222" s="29" t="str" cm="1">
        <f t="array" ref="K222">_xlfn.IFS($G222=$G$5,K$5,$G222=$G$6,K$6,$G222=$G$7,K$7,$G222=$G$8,K$8,$G222=$G$9,K$9,$G222=$G$10,K$10,$G222=$G$11,K$11,$G222=$G$13,K$13,$G222=$G$15,K$15,$G222=$G$16,K$16,$G222=$G$33,K$33,$G222=$G$34,K$34,$G222=$G$248,K$248,$G222=$G$250,K$250)</f>
        <v>BG sentinel + BG lure7</v>
      </c>
      <c r="L222" s="29" t="str" cm="1">
        <f t="array" ref="L222">_xlfn.IFS($G222=$G$5,L$5,$G222=$G$6,L$6,$G222=$G$7,L$7,$G222=$G$8,L$8,$G222=$G$9,L$9,$G222=$G$10,L$10,$G222=$G$11,L$11,$G222=$G$13,L$13,$G222=$G$15,L$15,$G222=$G$16,L$16,$G222=$G$33,L$33,$G222=$G$34,L$34,$G222=$G$248,L$248,$G222=$G$250,L$250)</f>
        <v>Other</v>
      </c>
      <c r="O222" s="32" t="str">
        <f t="shared" si="13"/>
        <v>A_SP_BCN_8_201007</v>
      </c>
      <c r="P222" s="33">
        <v>44111</v>
      </c>
      <c r="Q222" s="34">
        <v>0.51736111111111105</v>
      </c>
      <c r="R222" s="35"/>
      <c r="S222" s="36">
        <v>44118</v>
      </c>
      <c r="T222" s="37">
        <v>0.67708333333333337</v>
      </c>
      <c r="U222" s="38"/>
      <c r="V222" s="39" t="s">
        <v>66</v>
      </c>
      <c r="X222" s="29">
        <f t="shared" si="12"/>
        <v>7</v>
      </c>
      <c r="Y222" s="38"/>
      <c r="Z222" s="29" t="s">
        <v>84</v>
      </c>
      <c r="AA222" s="29">
        <f t="shared" si="11"/>
        <v>2</v>
      </c>
      <c r="AB222" s="29" t="s">
        <v>69</v>
      </c>
      <c r="AC222" s="29">
        <v>1</v>
      </c>
      <c r="AD222" s="29">
        <v>1</v>
      </c>
      <c r="AE222" s="29" t="s">
        <v>70</v>
      </c>
      <c r="AF222">
        <v>4</v>
      </c>
    </row>
    <row r="223" spans="1:32" x14ac:dyDescent="0.25">
      <c r="A223" s="28">
        <v>219</v>
      </c>
      <c r="B223" s="29" t="s">
        <v>60</v>
      </c>
      <c r="C223" s="29" t="s">
        <v>61</v>
      </c>
      <c r="D223" s="29" t="s">
        <v>62</v>
      </c>
      <c r="E223" s="29" t="s">
        <v>62</v>
      </c>
      <c r="F223" s="30" cm="1">
        <f t="array" ref="F223">_xlfn.IFS($G223=$G$5,F$5,$G223=$G$6,F$6,$G223=$G$7,F$7,$G223=$G$8,F$8,$G223=$G$9,F$9,$G223=$G$10,F$10,$G223=$G$11,F$11,$G223=$G$13,F$13,$G223=$G$15,F$15,$G223=$G$16,F$16,$G223=$G$33,F$33,$G223=$G$34,F$34,$G223=$G$248,F$248,$G223=$G$250,F$250)</f>
        <v>8034</v>
      </c>
      <c r="G223" s="29" t="s">
        <v>81</v>
      </c>
      <c r="H223" s="31" cm="1">
        <f t="array" ref="H223">_xlfn.IFS($G223=$G$5,H$5,$G223=$G$6,H$6,$G223=$G$7,H$7,$G223=$G$8,H$8,$G223=$G$9,H$9,$G223=$G$10,H$10,$G223=$G$11,H$11,$G223=$G$13,H$13,$G223=$G$15,H$15,$G223=$G$16,H$16,$G223=$G$33,H$33,$G223=$G$34,H$34,$G223=$G$248,H$248,$G223=$G$250,H$250)</f>
        <v>41.393644999999999</v>
      </c>
      <c r="I223" s="31" cm="1">
        <f t="array" ref="I223">_xlfn.IFS($G223=$G$5,I$5,$G223=$G$6,I$6,$G223=$G$7,I$7,$G223=$G$8,I$8,$G223=$G$9,I$9,$G223=$G$10,I$10,$G223=$G$11,I$11,$G223=$G$13,I$13,$G223=$G$15,I$15,$G223=$G$16,I$16,$G223=$G$33,I$33,$G223=$G$34,I$34,$G223=$G$248,I$248,$G223=$G$250,I$250)</f>
        <v>2.1216780000000002</v>
      </c>
      <c r="J223" s="29" cm="1">
        <f t="array" ref="J223">_xlfn.IFS($G223=$G$5,J$5,$G223=$G$6,J$6,$G223=$G$7,J$7,$G223=$G$8,J$8,$G223=$G$9,J$9,$G223=$G$10,J$10,$G223=$G$11,J$11,$G223=$G$13,J$13,$G223=$G$15,J$15,$G223=$G$16,J$16,$G223=$G$33,J$33,$G223=$G$34,J$34,$G223=$G$248,J$248,$G223=$G$250,J$250)</f>
        <v>98</v>
      </c>
      <c r="K223" s="29" t="str" cm="1">
        <f t="array" ref="K223">_xlfn.IFS($G223=$G$5,K$5,$G223=$G$6,K$6,$G223=$G$7,K$7,$G223=$G$8,K$8,$G223=$G$9,K$9,$G223=$G$10,K$10,$G223=$G$11,K$11,$G223=$G$13,K$13,$G223=$G$15,K$15,$G223=$G$16,K$16,$G223=$G$33,K$33,$G223=$G$34,K$34,$G223=$G$248,K$248,$G223=$G$250,K$250)</f>
        <v>BG sentinel + BG lure7</v>
      </c>
      <c r="L223" s="29" t="str" cm="1">
        <f t="array" ref="L223">_xlfn.IFS($G223=$G$5,L$5,$G223=$G$6,L$6,$G223=$G$7,L$7,$G223=$G$8,L$8,$G223=$G$9,L$9,$G223=$G$10,L$10,$G223=$G$11,L$11,$G223=$G$13,L$13,$G223=$G$15,L$15,$G223=$G$16,L$16,$G223=$G$33,L$33,$G223=$G$34,L$34,$G223=$G$248,L$248,$G223=$G$250,L$250)</f>
        <v>Other</v>
      </c>
      <c r="O223" s="32" t="str">
        <f t="shared" si="13"/>
        <v>A_SP_BCN_9_201007</v>
      </c>
      <c r="P223" s="33">
        <v>44111</v>
      </c>
      <c r="Q223" s="34">
        <v>0.61458333333333337</v>
      </c>
      <c r="R223" s="35"/>
      <c r="S223" s="36">
        <v>44118</v>
      </c>
      <c r="T223" s="37">
        <v>0.625</v>
      </c>
      <c r="U223" s="38"/>
      <c r="V223" s="39" t="s">
        <v>66</v>
      </c>
      <c r="X223" s="29">
        <f t="shared" si="12"/>
        <v>7</v>
      </c>
      <c r="Y223" s="38"/>
      <c r="Z223" s="29" t="s">
        <v>68</v>
      </c>
      <c r="AA223" s="29">
        <f t="shared" si="11"/>
        <v>2</v>
      </c>
      <c r="AB223" s="29" t="s">
        <v>69</v>
      </c>
      <c r="AC223" s="29">
        <v>2</v>
      </c>
      <c r="AD223" s="29">
        <v>0</v>
      </c>
      <c r="AE223" s="29" t="s">
        <v>70</v>
      </c>
      <c r="AF223">
        <v>4</v>
      </c>
    </row>
    <row r="224" spans="1:32" x14ac:dyDescent="0.25">
      <c r="A224" s="28">
        <v>220</v>
      </c>
      <c r="B224" s="29" t="s">
        <v>60</v>
      </c>
      <c r="C224" s="29" t="s">
        <v>61</v>
      </c>
      <c r="D224" s="29" t="s">
        <v>62</v>
      </c>
      <c r="E224" s="29" t="s">
        <v>62</v>
      </c>
      <c r="F224" s="30" cm="1">
        <f t="array" ref="F224">_xlfn.IFS($G224=$G$5,F$5,$G224=$G$6,F$6,$G224=$G$7,F$7,$G224=$G$8,F$8,$G224=$G$9,F$9,$G224=$G$10,F$10,$G224=$G$11,F$11,$G224=$G$13,F$13,$G224=$G$15,F$15,$G224=$G$16,F$16,$G224=$G$33,F$33,$G224=$G$34,F$34,$G224=$G$248,F$248,$G224=$G$250,F$250)</f>
        <v>8034</v>
      </c>
      <c r="G224" s="29" t="s">
        <v>81</v>
      </c>
      <c r="H224" s="31" cm="1">
        <f t="array" ref="H224">_xlfn.IFS($G224=$G$5,H$5,$G224=$G$6,H$6,$G224=$G$7,H$7,$G224=$G$8,H$8,$G224=$G$9,H$9,$G224=$G$10,H$10,$G224=$G$11,H$11,$G224=$G$13,H$13,$G224=$G$15,H$15,$G224=$G$16,H$16,$G224=$G$33,H$33,$G224=$G$34,H$34,$G224=$G$248,H$248,$G224=$G$250,H$250)</f>
        <v>41.393644999999999</v>
      </c>
      <c r="I224" s="31" cm="1">
        <f t="array" ref="I224">_xlfn.IFS($G224=$G$5,I$5,$G224=$G$6,I$6,$G224=$G$7,I$7,$G224=$G$8,I$8,$G224=$G$9,I$9,$G224=$G$10,I$10,$G224=$G$11,I$11,$G224=$G$13,I$13,$G224=$G$15,I$15,$G224=$G$16,I$16,$G224=$G$33,I$33,$G224=$G$34,I$34,$G224=$G$248,I$248,$G224=$G$250,I$250)</f>
        <v>2.1216780000000002</v>
      </c>
      <c r="J224" s="29" cm="1">
        <f t="array" ref="J224">_xlfn.IFS($G224=$G$5,J$5,$G224=$G$6,J$6,$G224=$G$7,J$7,$G224=$G$8,J$8,$G224=$G$9,J$9,$G224=$G$10,J$10,$G224=$G$11,J$11,$G224=$G$13,J$13,$G224=$G$15,J$15,$G224=$G$16,J$16,$G224=$G$33,J$33,$G224=$G$34,J$34,$G224=$G$248,J$248,$G224=$G$250,J$250)</f>
        <v>98</v>
      </c>
      <c r="K224" s="29" t="str" cm="1">
        <f t="array" ref="K224">_xlfn.IFS($G224=$G$5,K$5,$G224=$G$6,K$6,$G224=$G$7,K$7,$G224=$G$8,K$8,$G224=$G$9,K$9,$G224=$G$10,K$10,$G224=$G$11,K$11,$G224=$G$13,K$13,$G224=$G$15,K$15,$G224=$G$16,K$16,$G224=$G$33,K$33,$G224=$G$34,K$34,$G224=$G$248,K$248,$G224=$G$250,K$250)</f>
        <v>BG sentinel + BG lure7</v>
      </c>
      <c r="L224" s="29" t="str" cm="1">
        <f t="array" ref="L224">_xlfn.IFS($G224=$G$5,L$5,$G224=$G$6,L$6,$G224=$G$7,L$7,$G224=$G$8,L$8,$G224=$G$9,L$9,$G224=$G$10,L$10,$G224=$G$11,L$11,$G224=$G$13,L$13,$G224=$G$15,L$15,$G224=$G$16,L$16,$G224=$G$33,L$33,$G224=$G$34,L$34,$G224=$G$248,L$248,$G224=$G$250,L$250)</f>
        <v>Other</v>
      </c>
      <c r="O224" s="32" t="str">
        <f t="shared" si="13"/>
        <v>A_SP_BCN_9_201007</v>
      </c>
      <c r="P224" s="33">
        <v>44111</v>
      </c>
      <c r="Q224" s="34">
        <v>0.61458333333333337</v>
      </c>
      <c r="R224" s="35"/>
      <c r="S224" s="36">
        <v>44118</v>
      </c>
      <c r="T224" s="37">
        <v>0.625</v>
      </c>
      <c r="U224" s="38"/>
      <c r="V224" s="39" t="s">
        <v>66</v>
      </c>
      <c r="X224" s="29">
        <f t="shared" si="12"/>
        <v>7</v>
      </c>
      <c r="Y224" s="38"/>
      <c r="Z224" s="29" t="s">
        <v>75</v>
      </c>
      <c r="AA224" s="29">
        <f t="shared" si="11"/>
        <v>2</v>
      </c>
      <c r="AB224" s="29" t="s">
        <v>69</v>
      </c>
      <c r="AC224" s="29">
        <v>2</v>
      </c>
      <c r="AD224" s="29">
        <v>0</v>
      </c>
      <c r="AE224" s="29" t="s">
        <v>70</v>
      </c>
      <c r="AF224">
        <v>4</v>
      </c>
    </row>
    <row r="225" spans="1:32" x14ac:dyDescent="0.25">
      <c r="A225" s="28">
        <v>221</v>
      </c>
      <c r="B225" s="29" t="s">
        <v>60</v>
      </c>
      <c r="C225" s="29" t="s">
        <v>61</v>
      </c>
      <c r="D225" s="29" t="s">
        <v>62</v>
      </c>
      <c r="E225" s="29" t="s">
        <v>62</v>
      </c>
      <c r="F225" s="30" cm="1">
        <f t="array" ref="F225">_xlfn.IFS($G225=$G$5,F$5,$G225=$G$6,F$6,$G225=$G$7,F$7,$G225=$G$8,F$8,$G225=$G$9,F$9,$G225=$G$10,F$10,$G225=$G$11,F$11,$G225=$G$13,F$13,$G225=$G$15,F$15,$G225=$G$16,F$16,$G225=$G$33,F$33,$G225=$G$34,F$34,$G225=$G$248,F$248,$G225=$G$250,F$250)</f>
        <v>8040</v>
      </c>
      <c r="G225" s="29" t="s">
        <v>83</v>
      </c>
      <c r="H225" s="31" cm="1">
        <f t="array" ref="H225">_xlfn.IFS($G225=$G$5,H$5,$G225=$G$6,H$6,$G225=$G$7,H$7,$G225=$G$8,H$8,$G225=$G$9,H$9,$G225=$G$10,H$10,$G225=$G$11,H$11,$G225=$G$13,H$13,$G225=$G$15,H$15,$G225=$G$16,H$16,$G225=$G$33,H$33,$G225=$G$34,H$34,$G225=$G$248,H$248,$G225=$G$250,H$250)</f>
        <v>41.343685000000001</v>
      </c>
      <c r="I225" s="31" cm="1">
        <f t="array" ref="I225">_xlfn.IFS($G225=$G$5,I$5,$G225=$G$6,I$6,$G225=$G$7,I$7,$G225=$G$8,I$8,$G225=$G$9,I$9,$G225=$G$10,I$10,$G225=$G$11,I$11,$G225=$G$13,I$13,$G225=$G$15,I$15,$G225=$G$16,I$16,$G225=$G$33,I$33,$G225=$G$34,I$34,$G225=$G$248,I$248,$G225=$G$250,I$250)</f>
        <v>2.1441490000000001</v>
      </c>
      <c r="J225" s="29" cm="1">
        <f t="array" ref="J225">_xlfn.IFS($G225=$G$5,J$5,$G225=$G$6,J$6,$G225=$G$7,J$7,$G225=$G$8,J$8,$G225=$G$9,J$9,$G225=$G$10,J$10,$G225=$G$11,J$11,$G225=$G$13,J$13,$G225=$G$15,J$15,$G225=$G$16,J$16,$G225=$G$33,J$33,$G225=$G$34,J$34,$G225=$G$248,J$248,$G225=$G$250,J$250)</f>
        <v>4</v>
      </c>
      <c r="K225" s="29" t="str" cm="1">
        <f t="array" ref="K225">_xlfn.IFS($G225=$G$5,K$5,$G225=$G$6,K$6,$G225=$G$7,K$7,$G225=$G$8,K$8,$G225=$G$9,K$9,$G225=$G$10,K$10,$G225=$G$11,K$11,$G225=$G$13,K$13,$G225=$G$15,K$15,$G225=$G$16,K$16,$G225=$G$33,K$33,$G225=$G$34,K$34,$G225=$G$248,K$248,$G225=$G$250,K$250)</f>
        <v>BG sentinel + BG lure7</v>
      </c>
      <c r="L225" s="29" t="str" cm="1">
        <f t="array" ref="L225">_xlfn.IFS($G225=$G$5,L$5,$G225=$G$6,L$6,$G225=$G$7,L$7,$G225=$G$8,L$8,$G225=$G$9,L$9,$G225=$G$10,L$10,$G225=$G$11,L$11,$G225=$G$13,L$13,$G225=$G$15,L$15,$G225=$G$16,L$16,$G225=$G$33,L$33,$G225=$G$34,L$34,$G225=$G$248,L$248,$G225=$G$250,L$250)</f>
        <v>Urban habitat</v>
      </c>
      <c r="O225" s="32" t="str">
        <f t="shared" si="13"/>
        <v>A_SP_BCN_10_201007</v>
      </c>
      <c r="P225" s="33">
        <v>44111</v>
      </c>
      <c r="Q225" s="34">
        <v>0.48958333333333331</v>
      </c>
      <c r="R225" s="35"/>
      <c r="S225" s="36">
        <v>44118</v>
      </c>
      <c r="T225" s="37">
        <v>0.65277777777777779</v>
      </c>
      <c r="U225" s="38"/>
      <c r="V225" s="39" t="s">
        <v>66</v>
      </c>
      <c r="X225" s="29">
        <f t="shared" si="12"/>
        <v>7</v>
      </c>
      <c r="Y225" s="38"/>
      <c r="Z225" s="29" t="s">
        <v>68</v>
      </c>
      <c r="AA225" s="29">
        <f t="shared" si="11"/>
        <v>6</v>
      </c>
      <c r="AB225" s="29" t="s">
        <v>69</v>
      </c>
      <c r="AC225" s="29">
        <v>5</v>
      </c>
      <c r="AD225" s="29">
        <v>1</v>
      </c>
      <c r="AE225" s="29" t="s">
        <v>70</v>
      </c>
      <c r="AF225">
        <v>4</v>
      </c>
    </row>
    <row r="226" spans="1:32" x14ac:dyDescent="0.25">
      <c r="A226" s="28">
        <v>222</v>
      </c>
      <c r="B226" s="29" t="s">
        <v>60</v>
      </c>
      <c r="C226" s="29" t="s">
        <v>61</v>
      </c>
      <c r="D226" s="29" t="s">
        <v>62</v>
      </c>
      <c r="E226" s="29" t="s">
        <v>62</v>
      </c>
      <c r="F226" s="30" cm="1">
        <f t="array" ref="F226">_xlfn.IFS($G226=$G$5,F$5,$G226=$G$6,F$6,$G226=$G$7,F$7,$G226=$G$8,F$8,$G226=$G$9,F$9,$G226=$G$10,F$10,$G226=$G$11,F$11,$G226=$G$13,F$13,$G226=$G$15,F$15,$G226=$G$16,F$16,$G226=$G$33,F$33,$G226=$G$34,F$34,$G226=$G$248,F$248,$G226=$G$250,F$250)</f>
        <v>8038</v>
      </c>
      <c r="G226" s="29" t="s">
        <v>85</v>
      </c>
      <c r="H226" s="31" cm="1">
        <f t="array" ref="H226">_xlfn.IFS($G226=$G$5,H$5,$G226=$G$6,H$6,$G226=$G$7,H$7,$G226=$G$8,H$8,$G226=$G$9,H$9,$G226=$G$10,H$10,$G226=$G$11,H$11,$G226=$G$13,H$13,$G226=$G$15,H$15,$G226=$G$16,H$16,$G226=$G$33,H$33,$G226=$G$34,H$34,$G226=$G$248,H$248,$G226=$G$250,H$250)</f>
        <v>41.367429999999999</v>
      </c>
      <c r="I226" s="31" cm="1">
        <f t="array" ref="I226">_xlfn.IFS($G226=$G$5,I$5,$G226=$G$6,I$6,$G226=$G$7,I$7,$G226=$G$8,I$8,$G226=$G$9,I$9,$G226=$G$10,I$10,$G226=$G$11,I$11,$G226=$G$13,I$13,$G226=$G$15,I$15,$G226=$G$16,I$16,$G226=$G$33,I$33,$G226=$G$34,I$34,$G226=$G$248,I$248,$G226=$G$250,I$250)</f>
        <v>2.1569609999999999</v>
      </c>
      <c r="J226" s="29" cm="1">
        <f t="array" ref="J226">_xlfn.IFS($G226=$G$5,J$5,$G226=$G$6,J$6,$G226=$G$7,J$7,$G226=$G$8,J$8,$G226=$G$9,J$9,$G226=$G$10,J$10,$G226=$G$11,J$11,$G226=$G$13,J$13,$G226=$G$15,J$15,$G226=$G$16,J$16,$G226=$G$33,J$33,$G226=$G$34,J$34,$G226=$G$248,J$248,$G226=$G$250,J$250)</f>
        <v>91</v>
      </c>
      <c r="K226" s="29" t="str" cm="1">
        <f t="array" ref="K226">_xlfn.IFS($G226=$G$5,K$5,$G226=$G$6,K$6,$G226=$G$7,K$7,$G226=$G$8,K$8,$G226=$G$9,K$9,$G226=$G$10,K$10,$G226=$G$11,K$11,$G226=$G$13,K$13,$G226=$G$15,K$15,$G226=$G$16,K$16,$G226=$G$33,K$33,$G226=$G$34,K$34,$G226=$G$248,K$248,$G226=$G$250,K$250)</f>
        <v>BG sentinel + BG lure7</v>
      </c>
      <c r="L226" s="29" t="str" cm="1">
        <f t="array" ref="L226">_xlfn.IFS($G226=$G$5,L$5,$G226=$G$6,L$6,$G226=$G$7,L$7,$G226=$G$8,L$8,$G226=$G$9,L$9,$G226=$G$10,L$10,$G226=$G$11,L$11,$G226=$G$13,L$13,$G226=$G$15,L$15,$G226=$G$16,L$16,$G226=$G$33,L$33,$G226=$G$34,L$34,$G226=$G$248,L$248,$G226=$G$250,L$250)</f>
        <v>Other</v>
      </c>
      <c r="O226" s="32" t="str">
        <f t="shared" si="13"/>
        <v>A_SP_BCN_11_201007</v>
      </c>
      <c r="P226" s="33">
        <v>44111</v>
      </c>
      <c r="Q226" s="34">
        <v>0.51041666666666663</v>
      </c>
      <c r="R226" s="35"/>
      <c r="S226" s="36">
        <v>44118</v>
      </c>
      <c r="T226" s="37">
        <v>0.67361111111111116</v>
      </c>
      <c r="U226" s="38"/>
      <c r="V226" s="39" t="s">
        <v>66</v>
      </c>
      <c r="X226" s="29">
        <f t="shared" si="12"/>
        <v>7</v>
      </c>
      <c r="Y226" s="38"/>
      <c r="Z226" s="29" t="s">
        <v>68</v>
      </c>
      <c r="AA226" s="29">
        <f t="shared" si="11"/>
        <v>17</v>
      </c>
      <c r="AB226" s="29" t="s">
        <v>69</v>
      </c>
      <c r="AC226" s="29">
        <v>17</v>
      </c>
      <c r="AD226" s="29">
        <v>0</v>
      </c>
      <c r="AE226" s="29" t="s">
        <v>70</v>
      </c>
      <c r="AF226">
        <v>4</v>
      </c>
    </row>
    <row r="227" spans="1:32" x14ac:dyDescent="0.25">
      <c r="A227" s="28">
        <v>223</v>
      </c>
      <c r="B227" s="29" t="s">
        <v>60</v>
      </c>
      <c r="C227" s="29" t="s">
        <v>61</v>
      </c>
      <c r="D227" s="29" t="s">
        <v>62</v>
      </c>
      <c r="E227" s="29" t="s">
        <v>62</v>
      </c>
      <c r="F227" s="30" cm="1">
        <f t="array" ref="F227">_xlfn.IFS($G227=$G$5,F$5,$G227=$G$6,F$6,$G227=$G$7,F$7,$G227=$G$8,F$8,$G227=$G$9,F$9,$G227=$G$10,F$10,$G227=$G$11,F$11,$G227=$G$13,F$13,$G227=$G$15,F$15,$G227=$G$16,F$16,$G227=$G$33,F$33,$G227=$G$34,F$34,$G227=$G$248,F$248,$G227=$G$250,F$250)</f>
        <v>8038</v>
      </c>
      <c r="G227" s="29" t="s">
        <v>86</v>
      </c>
      <c r="H227" s="31" cm="1">
        <f t="array" ref="H227">_xlfn.IFS($G227=$G$5,H$5,$G227=$G$6,H$6,$G227=$G$7,H$7,$G227=$G$8,H$8,$G227=$G$9,H$9,$G227=$G$10,H$10,$G227=$G$11,H$11,$G227=$G$13,H$13,$G227=$G$15,H$15,$G227=$G$16,H$16,$G227=$G$33,H$33,$G227=$G$34,H$34,$G227=$G$248,H$248,$G227=$G$250,H$250)</f>
        <v>41.363377999999997</v>
      </c>
      <c r="I227" s="31" cm="1">
        <f t="array" ref="I227">_xlfn.IFS($G227=$G$5,I$5,$G227=$G$6,I$6,$G227=$G$7,I$7,$G227=$G$8,I$8,$G227=$G$9,I$9,$G227=$G$10,I$10,$G227=$G$11,I$11,$G227=$G$13,I$13,$G227=$G$15,I$15,$G227=$G$16,I$16,$G227=$G$33,I$33,$G227=$G$34,I$34,$G227=$G$248,I$248,$G227=$G$250,I$250)</f>
        <v>2.164879</v>
      </c>
      <c r="J227" s="29" cm="1">
        <f t="array" ref="J227">_xlfn.IFS($G227=$G$5,J$5,$G227=$G$6,J$6,$G227=$G$7,J$7,$G227=$G$8,J$8,$G227=$G$9,J$9,$G227=$G$10,J$10,$G227=$G$11,J$11,$G227=$G$13,J$13,$G227=$G$15,J$15,$G227=$G$16,J$16,$G227=$G$33,J$33,$G227=$G$34,J$34,$G227=$G$248,J$248,$G227=$G$250,J$250)</f>
        <v>185</v>
      </c>
      <c r="K227" s="29" t="str" cm="1">
        <f t="array" ref="K227">_xlfn.IFS($G227=$G$5,K$5,$G227=$G$6,K$6,$G227=$G$7,K$7,$G227=$G$8,K$8,$G227=$G$9,K$9,$G227=$G$10,K$10,$G227=$G$11,K$11,$G227=$G$13,K$13,$G227=$G$15,K$15,$G227=$G$16,K$16,$G227=$G$33,K$33,$G227=$G$34,K$34,$G227=$G$248,K$248,$G227=$G$250,K$250)</f>
        <v>BG sentinel + BG lure7</v>
      </c>
      <c r="L227" s="29" t="str" cm="1">
        <f t="array" ref="L227">_xlfn.IFS($G227=$G$5,L$5,$G227=$G$6,L$6,$G227=$G$7,L$7,$G227=$G$8,L$8,$G227=$G$9,L$9,$G227=$G$10,L$10,$G227=$G$11,L$11,$G227=$G$13,L$13,$G227=$G$15,L$15,$G227=$G$16,L$16,$G227=$G$33,L$33,$G227=$G$34,L$34,$G227=$G$248,L$248,$G227=$G$250,L$250)</f>
        <v>Other</v>
      </c>
      <c r="O227" s="32" t="str">
        <f t="shared" si="13"/>
        <v>A_SP_BCN_12_201007</v>
      </c>
      <c r="P227" s="33">
        <v>44111</v>
      </c>
      <c r="Q227" s="34">
        <v>0.55555555555555558</v>
      </c>
      <c r="R227" s="35"/>
      <c r="S227" s="36">
        <v>44118</v>
      </c>
      <c r="T227" s="37">
        <v>0.70833333333333337</v>
      </c>
      <c r="U227" s="38"/>
      <c r="V227" s="39" t="s">
        <v>66</v>
      </c>
      <c r="X227" s="29">
        <f t="shared" si="12"/>
        <v>7</v>
      </c>
      <c r="Y227" s="38"/>
      <c r="Z227" s="29" t="s">
        <v>68</v>
      </c>
      <c r="AA227" s="29">
        <f t="shared" si="11"/>
        <v>1</v>
      </c>
      <c r="AB227" s="29" t="s">
        <v>69</v>
      </c>
      <c r="AC227" s="29">
        <v>1</v>
      </c>
      <c r="AD227" s="29">
        <v>0</v>
      </c>
      <c r="AE227" s="29" t="s">
        <v>70</v>
      </c>
      <c r="AF227">
        <v>4</v>
      </c>
    </row>
    <row r="228" spans="1:32" x14ac:dyDescent="0.25">
      <c r="A228" s="28">
        <v>224</v>
      </c>
      <c r="B228" s="29" t="s">
        <v>60</v>
      </c>
      <c r="C228" s="29" t="s">
        <v>61</v>
      </c>
      <c r="D228" s="29" t="s">
        <v>62</v>
      </c>
      <c r="E228" s="29" t="s">
        <v>62</v>
      </c>
      <c r="F228" s="30" cm="1">
        <f t="array" ref="F228">_xlfn.IFS($G228=$G$5,F$5,$G228=$G$6,F$6,$G228=$G$7,F$7,$G228=$G$8,F$8,$G228=$G$9,F$9,$G228=$G$10,F$10,$G228=$G$11,F$11,$G228=$G$13,F$13,$G228=$G$15,F$15,$G228=$G$16,F$16,$G228=$G$33,F$33,$G228=$G$34,F$34,$G228=$G$248,F$248,$G228=$G$250,F$250)</f>
        <v>8038</v>
      </c>
      <c r="G228" s="29" t="s">
        <v>86</v>
      </c>
      <c r="H228" s="31" cm="1">
        <f t="array" ref="H228">_xlfn.IFS($G228=$G$5,H$5,$G228=$G$6,H$6,$G228=$G$7,H$7,$G228=$G$8,H$8,$G228=$G$9,H$9,$G228=$G$10,H$10,$G228=$G$11,H$11,$G228=$G$13,H$13,$G228=$G$15,H$15,$G228=$G$16,H$16,$G228=$G$33,H$33,$G228=$G$34,H$34,$G228=$G$248,H$248,$G228=$G$250,H$250)</f>
        <v>41.363377999999997</v>
      </c>
      <c r="I228" s="31" cm="1">
        <f t="array" ref="I228">_xlfn.IFS($G228=$G$5,I$5,$G228=$G$6,I$6,$G228=$G$7,I$7,$G228=$G$8,I$8,$G228=$G$9,I$9,$G228=$G$10,I$10,$G228=$G$11,I$11,$G228=$G$13,I$13,$G228=$G$15,I$15,$G228=$G$16,I$16,$G228=$G$33,I$33,$G228=$G$34,I$34,$G228=$G$248,I$248,$G228=$G$250,I$250)</f>
        <v>2.164879</v>
      </c>
      <c r="J228" s="29" cm="1">
        <f t="array" ref="J228">_xlfn.IFS($G228=$G$5,J$5,$G228=$G$6,J$6,$G228=$G$7,J$7,$G228=$G$8,J$8,$G228=$G$9,J$9,$G228=$G$10,J$10,$G228=$G$11,J$11,$G228=$G$13,J$13,$G228=$G$15,J$15,$G228=$G$16,J$16,$G228=$G$33,J$33,$G228=$G$34,J$34,$G228=$G$248,J$248,$G228=$G$250,J$250)</f>
        <v>185</v>
      </c>
      <c r="K228" s="29" t="str" cm="1">
        <f t="array" ref="K228">_xlfn.IFS($G228=$G$5,K$5,$G228=$G$6,K$6,$G228=$G$7,K$7,$G228=$G$8,K$8,$G228=$G$9,K$9,$G228=$G$10,K$10,$G228=$G$11,K$11,$G228=$G$13,K$13,$G228=$G$15,K$15,$G228=$G$16,K$16,$G228=$G$33,K$33,$G228=$G$34,K$34,$G228=$G$248,K$248,$G228=$G$250,K$250)</f>
        <v>BG sentinel + BG lure7</v>
      </c>
      <c r="L228" s="29" t="str" cm="1">
        <f t="array" ref="L228">_xlfn.IFS($G228=$G$5,L$5,$G228=$G$6,L$6,$G228=$G$7,L$7,$G228=$G$8,L$8,$G228=$G$9,L$9,$G228=$G$10,L$10,$G228=$G$11,L$11,$G228=$G$13,L$13,$G228=$G$15,L$15,$G228=$G$16,L$16,$G228=$G$33,L$33,$G228=$G$34,L$34,$G228=$G$248,L$248,$G228=$G$250,L$250)</f>
        <v>Other</v>
      </c>
      <c r="O228" s="32" t="str">
        <f t="shared" si="13"/>
        <v>A_SP_BCN_12_201007</v>
      </c>
      <c r="P228" s="33">
        <v>44111</v>
      </c>
      <c r="Q228" s="34">
        <v>0.55555555555555558</v>
      </c>
      <c r="R228" s="35"/>
      <c r="S228" s="36">
        <v>44118</v>
      </c>
      <c r="T228" s="37">
        <v>0.70833333333333337</v>
      </c>
      <c r="U228" s="38"/>
      <c r="V228" s="39" t="s">
        <v>66</v>
      </c>
      <c r="X228" s="29">
        <f t="shared" si="12"/>
        <v>7</v>
      </c>
      <c r="Y228" s="38"/>
      <c r="Z228" s="29" t="s">
        <v>75</v>
      </c>
      <c r="AA228" s="29">
        <f t="shared" si="11"/>
        <v>30</v>
      </c>
      <c r="AB228" s="29" t="s">
        <v>69</v>
      </c>
      <c r="AC228" s="29">
        <v>30</v>
      </c>
      <c r="AD228" s="29">
        <v>0</v>
      </c>
      <c r="AE228" s="29" t="s">
        <v>70</v>
      </c>
      <c r="AF228">
        <v>4</v>
      </c>
    </row>
    <row r="229" spans="1:32" x14ac:dyDescent="0.25">
      <c r="A229" s="28">
        <v>225</v>
      </c>
      <c r="B229" s="29" t="s">
        <v>60</v>
      </c>
      <c r="C229" s="29" t="s">
        <v>61</v>
      </c>
      <c r="D229" s="29" t="s">
        <v>62</v>
      </c>
      <c r="E229" s="29" t="s">
        <v>62</v>
      </c>
      <c r="F229" s="30" cm="1">
        <f t="array" ref="F229">_xlfn.IFS($G229=$G$5,F$5,$G229=$G$6,F$6,$G229=$G$7,F$7,$G229=$G$8,F$8,$G229=$G$9,F$9,$G229=$G$10,F$10,$G229=$G$11,F$11,$G229=$G$13,F$13,$G229=$G$15,F$15,$G229=$G$16,F$16,$G229=$G$33,F$33,$G229=$G$34,F$34,$G229=$G$248,F$248,$G229=$G$250,F$250)</f>
        <v>8024</v>
      </c>
      <c r="G229" s="29" t="s">
        <v>63</v>
      </c>
      <c r="H229" s="31" cm="1">
        <f t="array" ref="H229">_xlfn.IFS($G229=$G$5,H$5,$G229=$G$6,H$6,$G229=$G$7,H$7,$G229=$G$8,H$8,$G229=$G$9,H$9,$G229=$G$10,H$10,$G229=$G$11,H$11,$G229=$G$13,H$13,$G229=$G$15,H$15,$G229=$G$16,H$16,$G229=$G$33,H$33,$G229=$G$34,H$34,$G229=$G$248,H$248,$G229=$G$250,H$250)</f>
        <v>41.413573999999997</v>
      </c>
      <c r="I229" s="31" cm="1">
        <f t="array" ref="I229">_xlfn.IFS($G229=$G$5,I$5,$G229=$G$6,I$6,$G229=$G$7,I$7,$G229=$G$8,I$8,$G229=$G$9,I$9,$G229=$G$10,I$10,$G229=$G$11,I$11,$G229=$G$13,I$13,$G229=$G$15,I$15,$G229=$G$16,I$16,$G229=$G$33,I$33,$G229=$G$34,I$34,$G229=$G$248,I$248,$G229=$G$250,I$250)</f>
        <v>2.1520730000000001</v>
      </c>
      <c r="J229" s="29" cm="1">
        <f t="array" ref="J229">_xlfn.IFS($G229=$G$5,J$5,$G229=$G$6,J$6,$G229=$G$7,J$7,$G229=$G$8,J$8,$G229=$G$9,J$9,$G229=$G$10,J$10,$G229=$G$11,J$11,$G229=$G$13,J$13,$G229=$G$15,J$15,$G229=$G$16,J$16,$G229=$G$33,J$33,$G229=$G$34,J$34,$G229=$G$248,J$248,$G229=$G$250,J$250)</f>
        <v>141</v>
      </c>
      <c r="K229" s="29" t="str" cm="1">
        <f t="array" ref="K229">_xlfn.IFS($G229=$G$5,K$5,$G229=$G$6,K$6,$G229=$G$7,K$7,$G229=$G$8,K$8,$G229=$G$9,K$9,$G229=$G$10,K$10,$G229=$G$11,K$11,$G229=$G$13,K$13,$G229=$G$15,K$15,$G229=$G$16,K$16,$G229=$G$33,K$33,$G229=$G$34,K$34,$G229=$G$248,K$248,$G229=$G$250,K$250)</f>
        <v>BG sentinel + BG lure7</v>
      </c>
      <c r="L229" s="29" t="str" cm="1">
        <f t="array" ref="L229">_xlfn.IFS($G229=$G$5,L$5,$G229=$G$6,L$6,$G229=$G$7,L$7,$G229=$G$8,L$8,$G229=$G$9,L$9,$G229=$G$10,L$10,$G229=$G$11,L$11,$G229=$G$13,L$13,$G229=$G$15,L$15,$G229=$G$16,L$16,$G229=$G$33,L$33,$G229=$G$34,L$34,$G229=$G$248,L$248,$G229=$G$250,L$250)</f>
        <v>Urban habitat</v>
      </c>
      <c r="O229" s="32" t="str">
        <f t="shared" si="13"/>
        <v>A_SP_BCN_1_201014</v>
      </c>
      <c r="P229" s="33">
        <v>44118</v>
      </c>
      <c r="Q229" s="34">
        <v>0.59722222222222221</v>
      </c>
      <c r="R229" s="35"/>
      <c r="S229" s="36">
        <v>44125</v>
      </c>
      <c r="T229" s="37">
        <v>0.69444444444444453</v>
      </c>
      <c r="U229" s="38"/>
      <c r="V229" s="39" t="s">
        <v>66</v>
      </c>
      <c r="X229" s="29">
        <f t="shared" si="12"/>
        <v>7</v>
      </c>
      <c r="Y229" s="38"/>
      <c r="Z229" s="29" t="s">
        <v>68</v>
      </c>
      <c r="AA229" s="29">
        <f t="shared" si="11"/>
        <v>25</v>
      </c>
      <c r="AB229" s="29" t="s">
        <v>69</v>
      </c>
      <c r="AC229" s="29">
        <v>18</v>
      </c>
      <c r="AD229" s="29">
        <v>7</v>
      </c>
      <c r="AE229" s="29" t="s">
        <v>70</v>
      </c>
      <c r="AF229">
        <v>4</v>
      </c>
    </row>
    <row r="230" spans="1:32" x14ac:dyDescent="0.25">
      <c r="A230" s="28">
        <v>226</v>
      </c>
      <c r="B230" s="29" t="s">
        <v>60</v>
      </c>
      <c r="C230" s="29" t="s">
        <v>61</v>
      </c>
      <c r="D230" s="29" t="s">
        <v>62</v>
      </c>
      <c r="E230" s="29" t="s">
        <v>62</v>
      </c>
      <c r="F230" s="30" cm="1">
        <f t="array" ref="F230">_xlfn.IFS($G230=$G$5,F$5,$G230=$G$6,F$6,$G230=$G$7,F$7,$G230=$G$8,F$8,$G230=$G$9,F$9,$G230=$G$10,F$10,$G230=$G$11,F$11,$G230=$G$13,F$13,$G230=$G$15,F$15,$G230=$G$16,F$16,$G230=$G$33,F$33,$G230=$G$34,F$34,$G230=$G$248,F$248,$G230=$G$250,F$250)</f>
        <v>8024</v>
      </c>
      <c r="G230" s="29" t="s">
        <v>63</v>
      </c>
      <c r="H230" s="31" cm="1">
        <f t="array" ref="H230">_xlfn.IFS($G230=$G$5,H$5,$G230=$G$6,H$6,$G230=$G$7,H$7,$G230=$G$8,H$8,$G230=$G$9,H$9,$G230=$G$10,H$10,$G230=$G$11,H$11,$G230=$G$13,H$13,$G230=$G$15,H$15,$G230=$G$16,H$16,$G230=$G$33,H$33,$G230=$G$34,H$34,$G230=$G$248,H$248,$G230=$G$250,H$250)</f>
        <v>41.413573999999997</v>
      </c>
      <c r="I230" s="31" cm="1">
        <f t="array" ref="I230">_xlfn.IFS($G230=$G$5,I$5,$G230=$G$6,I$6,$G230=$G$7,I$7,$G230=$G$8,I$8,$G230=$G$9,I$9,$G230=$G$10,I$10,$G230=$G$11,I$11,$G230=$G$13,I$13,$G230=$G$15,I$15,$G230=$G$16,I$16,$G230=$G$33,I$33,$G230=$G$34,I$34,$G230=$G$248,I$248,$G230=$G$250,I$250)</f>
        <v>2.1520730000000001</v>
      </c>
      <c r="J230" s="29" cm="1">
        <f t="array" ref="J230">_xlfn.IFS($G230=$G$5,J$5,$G230=$G$6,J$6,$G230=$G$7,J$7,$G230=$G$8,J$8,$G230=$G$9,J$9,$G230=$G$10,J$10,$G230=$G$11,J$11,$G230=$G$13,J$13,$G230=$G$15,J$15,$G230=$G$16,J$16,$G230=$G$33,J$33,$G230=$G$34,J$34,$G230=$G$248,J$248,$G230=$G$250,J$250)</f>
        <v>141</v>
      </c>
      <c r="K230" s="29" t="str" cm="1">
        <f t="array" ref="K230">_xlfn.IFS($G230=$G$5,K$5,$G230=$G$6,K$6,$G230=$G$7,K$7,$G230=$G$8,K$8,$G230=$G$9,K$9,$G230=$G$10,K$10,$G230=$G$11,K$11,$G230=$G$13,K$13,$G230=$G$15,K$15,$G230=$G$16,K$16,$G230=$G$33,K$33,$G230=$G$34,K$34,$G230=$G$248,K$248,$G230=$G$250,K$250)</f>
        <v>BG sentinel + BG lure7</v>
      </c>
      <c r="L230" s="29" t="str" cm="1">
        <f t="array" ref="L230">_xlfn.IFS($G230=$G$5,L$5,$G230=$G$6,L$6,$G230=$G$7,L$7,$G230=$G$8,L$8,$G230=$G$9,L$9,$G230=$G$10,L$10,$G230=$G$11,L$11,$G230=$G$13,L$13,$G230=$G$15,L$15,$G230=$G$16,L$16,$G230=$G$33,L$33,$G230=$G$34,L$34,$G230=$G$248,L$248,$G230=$G$250,L$250)</f>
        <v>Urban habitat</v>
      </c>
      <c r="O230" s="32" t="str">
        <f t="shared" si="13"/>
        <v>A_SP_BCN_1_201014</v>
      </c>
      <c r="P230" s="33">
        <v>44118</v>
      </c>
      <c r="Q230" s="34">
        <v>0.59722222222222221</v>
      </c>
      <c r="R230" s="35"/>
      <c r="S230" s="36">
        <v>44125</v>
      </c>
      <c r="T230" s="37">
        <v>0.69444444444444453</v>
      </c>
      <c r="U230" s="38"/>
      <c r="V230" s="39" t="s">
        <v>66</v>
      </c>
      <c r="X230" s="29">
        <f t="shared" si="12"/>
        <v>7</v>
      </c>
      <c r="Y230" s="38"/>
      <c r="Z230" s="29" t="s">
        <v>75</v>
      </c>
      <c r="AA230" s="29">
        <f t="shared" si="11"/>
        <v>2</v>
      </c>
      <c r="AB230" s="29" t="s">
        <v>69</v>
      </c>
      <c r="AC230" s="29">
        <v>2</v>
      </c>
      <c r="AD230" s="29">
        <v>0</v>
      </c>
      <c r="AE230" s="29" t="s">
        <v>70</v>
      </c>
      <c r="AF230">
        <v>4</v>
      </c>
    </row>
    <row r="231" spans="1:32" x14ac:dyDescent="0.25">
      <c r="A231" s="28">
        <v>227</v>
      </c>
      <c r="B231" s="29" t="s">
        <v>60</v>
      </c>
      <c r="C231" s="29" t="s">
        <v>61</v>
      </c>
      <c r="D231" s="29" t="s">
        <v>62</v>
      </c>
      <c r="E231" s="29" t="s">
        <v>62</v>
      </c>
      <c r="F231" s="30" cm="1">
        <f t="array" ref="F231">_xlfn.IFS($G231=$G$5,F$5,$G231=$G$6,F$6,$G231=$G$7,F$7,$G231=$G$8,F$8,$G231=$G$9,F$9,$G231=$G$10,F$10,$G231=$G$11,F$11,$G231=$G$13,F$13,$G231=$G$15,F$15,$G231=$G$16,F$16,$G231=$G$33,F$33,$G231=$G$34,F$34,$G231=$G$248,F$248,$G231=$G$250,F$250)</f>
        <v>8035</v>
      </c>
      <c r="G231" s="29" t="s">
        <v>71</v>
      </c>
      <c r="H231" s="31" cm="1">
        <f t="array" ref="H231">_xlfn.IFS($G231=$G$5,H$5,$G231=$G$6,H$6,$G231=$G$7,H$7,$G231=$G$8,H$8,$G231=$G$9,H$9,$G231=$G$10,H$10,$G231=$G$11,H$11,$G231=$G$13,H$13,$G231=$G$15,H$15,$G231=$G$16,H$16,$G231=$G$33,H$33,$G231=$G$34,H$34,$G231=$G$248,H$248,$G231=$G$250,H$250)</f>
        <v>41.424387000000003</v>
      </c>
      <c r="I231" s="31" cm="1">
        <f t="array" ref="I231">_xlfn.IFS($G231=$G$5,I$5,$G231=$G$6,I$6,$G231=$G$7,I$7,$G231=$G$8,I$8,$G231=$G$9,I$9,$G231=$G$10,I$10,$G231=$G$11,I$11,$G231=$G$13,I$13,$G231=$G$15,I$15,$G231=$G$16,I$16,$G231=$G$33,I$33,$G231=$G$34,I$34,$G231=$G$248,I$248,$G231=$G$250,I$250)</f>
        <v>2.1431439999999999</v>
      </c>
      <c r="J231" s="29" cm="1">
        <f t="array" ref="J231">_xlfn.IFS($G231=$G$5,J$5,$G231=$G$6,J$6,$G231=$G$7,J$7,$G231=$G$8,J$8,$G231=$G$9,J$9,$G231=$G$10,J$10,$G231=$G$11,J$11,$G231=$G$13,J$13,$G231=$G$15,J$15,$G231=$G$16,J$16,$G231=$G$33,J$33,$G231=$G$34,J$34,$G231=$G$248,J$248,$G231=$G$250,J$250)</f>
        <v>160</v>
      </c>
      <c r="K231" s="29" t="str" cm="1">
        <f t="array" ref="K231">_xlfn.IFS($G231=$G$5,K$5,$G231=$G$6,K$6,$G231=$G$7,K$7,$G231=$G$8,K$8,$G231=$G$9,K$9,$G231=$G$10,K$10,$G231=$G$11,K$11,$G231=$G$13,K$13,$G231=$G$15,K$15,$G231=$G$16,K$16,$G231=$G$33,K$33,$G231=$G$34,K$34,$G231=$G$248,K$248,$G231=$G$250,K$250)</f>
        <v>BG sentinel + BG lure7</v>
      </c>
      <c r="L231" s="29" t="str" cm="1">
        <f t="array" ref="L231">_xlfn.IFS($G231=$G$5,L$5,$G231=$G$6,L$6,$G231=$G$7,L$7,$G231=$G$8,L$8,$G231=$G$9,L$9,$G231=$G$10,L$10,$G231=$G$11,L$11,$G231=$G$13,L$13,$G231=$G$15,L$15,$G231=$G$16,L$16,$G231=$G$33,L$33,$G231=$G$34,L$34,$G231=$G$248,L$248,$G231=$G$250,L$250)</f>
        <v>Urban habitat</v>
      </c>
      <c r="O231" s="32" t="str">
        <f t="shared" si="13"/>
        <v>A_SP_BCN_2_201014</v>
      </c>
      <c r="P231" s="33">
        <v>44118</v>
      </c>
      <c r="Q231" s="34">
        <v>0.4513888888888889</v>
      </c>
      <c r="R231" s="35"/>
      <c r="S231" s="36">
        <v>44125</v>
      </c>
      <c r="T231" s="37">
        <v>0.75</v>
      </c>
      <c r="U231" s="38"/>
      <c r="V231" s="39" t="s">
        <v>66</v>
      </c>
      <c r="X231" s="29">
        <f t="shared" si="12"/>
        <v>7</v>
      </c>
      <c r="Y231" s="38"/>
      <c r="Z231" s="29" t="s">
        <v>68</v>
      </c>
      <c r="AA231" s="29">
        <f t="shared" si="11"/>
        <v>2</v>
      </c>
      <c r="AB231" s="29" t="s">
        <v>69</v>
      </c>
      <c r="AC231" s="29">
        <v>2</v>
      </c>
      <c r="AD231" s="29">
        <v>0</v>
      </c>
      <c r="AE231" s="29" t="s">
        <v>70</v>
      </c>
      <c r="AF231">
        <v>4</v>
      </c>
    </row>
    <row r="232" spans="1:32" x14ac:dyDescent="0.25">
      <c r="A232" s="28">
        <v>228</v>
      </c>
      <c r="B232" s="29" t="s">
        <v>60</v>
      </c>
      <c r="C232" s="29" t="s">
        <v>61</v>
      </c>
      <c r="D232" s="29" t="s">
        <v>62</v>
      </c>
      <c r="E232" s="29" t="s">
        <v>62</v>
      </c>
      <c r="F232" s="30" cm="1">
        <f t="array" ref="F232">_xlfn.IFS($G232=$G$5,F$5,$G232=$G$6,F$6,$G232=$G$7,F$7,$G232=$G$8,F$8,$G232=$G$9,F$9,$G232=$G$10,F$10,$G232=$G$11,F$11,$G232=$G$13,F$13,$G232=$G$15,F$15,$G232=$G$16,F$16,$G232=$G$33,F$33,$G232=$G$34,F$34,$G232=$G$248,F$248,$G232=$G$250,F$250)</f>
        <v>8016</v>
      </c>
      <c r="G232" s="29" t="s">
        <v>72</v>
      </c>
      <c r="H232" s="31" cm="1">
        <f t="array" ref="H232">_xlfn.IFS($G232=$G$5,H$5,$G232=$G$6,H$6,$G232=$G$7,H$7,$G232=$G$8,H$8,$G232=$G$9,H$9,$G232=$G$10,H$10,$G232=$G$11,H$11,$G232=$G$13,H$13,$G232=$G$15,H$15,$G232=$G$16,H$16,$G232=$G$33,H$33,$G232=$G$34,H$34,$G232=$G$248,H$248,$G232=$G$250,H$250)</f>
        <v>41.437435000000001</v>
      </c>
      <c r="I232" s="31" cm="1">
        <f t="array" ref="I232">_xlfn.IFS($G232=$G$5,I$5,$G232=$G$6,I$6,$G232=$G$7,I$7,$G232=$G$8,I$8,$G232=$G$9,I$9,$G232=$G$10,I$10,$G232=$G$11,I$11,$G232=$G$13,I$13,$G232=$G$15,I$15,$G232=$G$16,I$16,$G232=$G$33,I$33,$G232=$G$34,I$34,$G232=$G$248,I$248,$G232=$G$250,I$250)</f>
        <v>2.1812779999999998</v>
      </c>
      <c r="J232" s="29" cm="1">
        <f t="array" ref="J232">_xlfn.IFS($G232=$G$5,J$5,$G232=$G$6,J$6,$G232=$G$7,J$7,$G232=$G$8,J$8,$G232=$G$9,J$9,$G232=$G$10,J$10,$G232=$G$11,J$11,$G232=$G$13,J$13,$G232=$G$15,J$15,$G232=$G$16,J$16,$G232=$G$33,J$33,$G232=$G$34,J$34,$G232=$G$248,J$248,$G232=$G$250,J$250)</f>
        <v>47</v>
      </c>
      <c r="K232" s="29" t="str" cm="1">
        <f t="array" ref="K232">_xlfn.IFS($G232=$G$5,K$5,$G232=$G$6,K$6,$G232=$G$7,K$7,$G232=$G$8,K$8,$G232=$G$9,K$9,$G232=$G$10,K$10,$G232=$G$11,K$11,$G232=$G$13,K$13,$G232=$G$15,K$15,$G232=$G$16,K$16,$G232=$G$33,K$33,$G232=$G$34,K$34,$G232=$G$248,K$248,$G232=$G$250,K$250)</f>
        <v>BG sentinel + BG lure7</v>
      </c>
      <c r="L232" s="29" t="str" cm="1">
        <f t="array" ref="L232">_xlfn.IFS($G232=$G$5,L$5,$G232=$G$6,L$6,$G232=$G$7,L$7,$G232=$G$8,L$8,$G232=$G$9,L$9,$G232=$G$10,L$10,$G232=$G$11,L$11,$G232=$G$13,L$13,$G232=$G$15,L$15,$G232=$G$16,L$16,$G232=$G$33,L$33,$G232=$G$34,L$34,$G232=$G$248,L$248,$G232=$G$250,L$250)</f>
        <v>Urban habitat</v>
      </c>
      <c r="O232" s="32" t="str">
        <f t="shared" si="13"/>
        <v>A_SP_BCN_3_201014</v>
      </c>
      <c r="P232" s="33">
        <v>44118</v>
      </c>
      <c r="Q232" s="34">
        <v>0.8125</v>
      </c>
      <c r="R232" s="35"/>
      <c r="S232" s="36">
        <v>44125</v>
      </c>
      <c r="T232" s="37">
        <v>0.80208333333333337</v>
      </c>
      <c r="U232" s="38"/>
      <c r="V232" s="39" t="s">
        <v>66</v>
      </c>
      <c r="X232" s="29">
        <f t="shared" si="12"/>
        <v>7</v>
      </c>
      <c r="Y232" s="38"/>
      <c r="Z232" s="29" t="s">
        <v>68</v>
      </c>
      <c r="AA232" s="29">
        <f t="shared" si="11"/>
        <v>1</v>
      </c>
      <c r="AB232" s="29" t="s">
        <v>69</v>
      </c>
      <c r="AC232" s="29">
        <v>1</v>
      </c>
      <c r="AD232" s="29">
        <v>0</v>
      </c>
      <c r="AE232" s="29" t="s">
        <v>70</v>
      </c>
      <c r="AF232">
        <v>4</v>
      </c>
    </row>
    <row r="233" spans="1:32" x14ac:dyDescent="0.25">
      <c r="A233" s="28">
        <v>229</v>
      </c>
      <c r="B233" s="29" t="s">
        <v>60</v>
      </c>
      <c r="C233" s="29" t="s">
        <v>61</v>
      </c>
      <c r="D233" s="29" t="s">
        <v>62</v>
      </c>
      <c r="E233" s="29" t="s">
        <v>62</v>
      </c>
      <c r="F233" s="30" cm="1">
        <f t="array" ref="F233">_xlfn.IFS($G233=$G$5,F$5,$G233=$G$6,F$6,$G233=$G$7,F$7,$G233=$G$8,F$8,$G233=$G$9,F$9,$G233=$G$10,F$10,$G233=$G$11,F$11,$G233=$G$13,F$13,$G233=$G$15,F$15,$G233=$G$16,F$16,$G233=$G$33,F$33,$G233=$G$34,F$34,$G233=$G$248,F$248,$G233=$G$250,F$250)</f>
        <v>8016</v>
      </c>
      <c r="G233" s="29" t="s">
        <v>72</v>
      </c>
      <c r="H233" s="31" cm="1">
        <f t="array" ref="H233">_xlfn.IFS($G233=$G$5,H$5,$G233=$G$6,H$6,$G233=$G$7,H$7,$G233=$G$8,H$8,$G233=$G$9,H$9,$G233=$G$10,H$10,$G233=$G$11,H$11,$G233=$G$13,H$13,$G233=$G$15,H$15,$G233=$G$16,H$16,$G233=$G$33,H$33,$G233=$G$34,H$34,$G233=$G$248,H$248,$G233=$G$250,H$250)</f>
        <v>41.437435000000001</v>
      </c>
      <c r="I233" s="31" cm="1">
        <f t="array" ref="I233">_xlfn.IFS($G233=$G$5,I$5,$G233=$G$6,I$6,$G233=$G$7,I$7,$G233=$G$8,I$8,$G233=$G$9,I$9,$G233=$G$10,I$10,$G233=$G$11,I$11,$G233=$G$13,I$13,$G233=$G$15,I$15,$G233=$G$16,I$16,$G233=$G$33,I$33,$G233=$G$34,I$34,$G233=$G$248,I$248,$G233=$G$250,I$250)</f>
        <v>2.1812779999999998</v>
      </c>
      <c r="J233" s="29" cm="1">
        <f t="array" ref="J233">_xlfn.IFS($G233=$G$5,J$5,$G233=$G$6,J$6,$G233=$G$7,J$7,$G233=$G$8,J$8,$G233=$G$9,J$9,$G233=$G$10,J$10,$G233=$G$11,J$11,$G233=$G$13,J$13,$G233=$G$15,J$15,$G233=$G$16,J$16,$G233=$G$33,J$33,$G233=$G$34,J$34,$G233=$G$248,J$248,$G233=$G$250,J$250)</f>
        <v>47</v>
      </c>
      <c r="K233" s="29" t="str" cm="1">
        <f t="array" ref="K233">_xlfn.IFS($G233=$G$5,K$5,$G233=$G$6,K$6,$G233=$G$7,K$7,$G233=$G$8,K$8,$G233=$G$9,K$9,$G233=$G$10,K$10,$G233=$G$11,K$11,$G233=$G$13,K$13,$G233=$G$15,K$15,$G233=$G$16,K$16,$G233=$G$33,K$33,$G233=$G$34,K$34,$G233=$G$248,K$248,$G233=$G$250,K$250)</f>
        <v>BG sentinel + BG lure7</v>
      </c>
      <c r="L233" s="29" t="str" cm="1">
        <f t="array" ref="L233">_xlfn.IFS($G233=$G$5,L$5,$G233=$G$6,L$6,$G233=$G$7,L$7,$G233=$G$8,L$8,$G233=$G$9,L$9,$G233=$G$10,L$10,$G233=$G$11,L$11,$G233=$G$13,L$13,$G233=$G$15,L$15,$G233=$G$16,L$16,$G233=$G$33,L$33,$G233=$G$34,L$34,$G233=$G$248,L$248,$G233=$G$250,L$250)</f>
        <v>Urban habitat</v>
      </c>
      <c r="O233" s="32" t="str">
        <f t="shared" si="13"/>
        <v>A_SP_BCN_3_201014</v>
      </c>
      <c r="P233" s="33">
        <v>44118</v>
      </c>
      <c r="Q233" s="34">
        <v>0.8125</v>
      </c>
      <c r="R233" s="35"/>
      <c r="S233" s="36">
        <v>44125</v>
      </c>
      <c r="T233" s="37">
        <v>0.80208333333333337</v>
      </c>
      <c r="U233" s="38"/>
      <c r="V233" s="39" t="s">
        <v>66</v>
      </c>
      <c r="X233" s="29">
        <f t="shared" si="12"/>
        <v>7</v>
      </c>
      <c r="Y233" s="38"/>
      <c r="Z233" s="29" t="s">
        <v>75</v>
      </c>
      <c r="AA233" s="29">
        <f t="shared" si="11"/>
        <v>1</v>
      </c>
      <c r="AB233" s="29" t="s">
        <v>69</v>
      </c>
      <c r="AC233" s="29">
        <v>1</v>
      </c>
      <c r="AD233" s="29">
        <v>0</v>
      </c>
      <c r="AE233" s="29" t="s">
        <v>70</v>
      </c>
      <c r="AF233">
        <v>4</v>
      </c>
    </row>
    <row r="234" spans="1:32" x14ac:dyDescent="0.25">
      <c r="A234" s="28">
        <v>230</v>
      </c>
      <c r="B234" s="29" t="s">
        <v>60</v>
      </c>
      <c r="C234" s="29" t="s">
        <v>61</v>
      </c>
      <c r="D234" s="29" t="s">
        <v>62</v>
      </c>
      <c r="E234" s="29" t="s">
        <v>62</v>
      </c>
      <c r="F234" s="30" cm="1">
        <f t="array" ref="F234">_xlfn.IFS($G234=$G$5,F$5,$G234=$G$6,F$6,$G234=$G$7,F$7,$G234=$G$8,F$8,$G234=$G$9,F$9,$G234=$G$10,F$10,$G234=$G$11,F$11,$G234=$G$13,F$13,$G234=$G$15,F$15,$G234=$G$16,F$16,$G234=$G$33,F$33,$G234=$G$34,F$34,$G234=$G$248,F$248,$G234=$G$250,F$250)</f>
        <v>8018</v>
      </c>
      <c r="G234" s="29" t="s">
        <v>73</v>
      </c>
      <c r="H234" s="31" cm="1">
        <f t="array" ref="H234">_xlfn.IFS($G234=$G$5,H$5,$G234=$G$6,H$6,$G234=$G$7,H$7,$G234=$G$8,H$8,$G234=$G$9,H$9,$G234=$G$10,H$10,$G234=$G$11,H$11,$G234=$G$13,H$13,$G234=$G$15,H$15,$G234=$G$16,H$16,$G234=$G$33,H$33,$G234=$G$34,H$34,$G234=$G$248,H$248,$G234=$G$250,H$250)</f>
        <v>41.404924999999999</v>
      </c>
      <c r="I234" s="31" cm="1">
        <f t="array" ref="I234">_xlfn.IFS($G234=$G$5,I$5,$G234=$G$6,I$6,$G234=$G$7,I$7,$G234=$G$8,I$8,$G234=$G$9,I$9,$G234=$G$10,I$10,$G234=$G$11,I$11,$G234=$G$13,I$13,$G234=$G$15,I$15,$G234=$G$16,I$16,$G234=$G$33,I$33,$G234=$G$34,I$34,$G234=$G$248,I$248,$G234=$G$250,I$250)</f>
        <v>2.1987909999999999</v>
      </c>
      <c r="J234" s="29" cm="1">
        <f t="array" ref="J234">_xlfn.IFS($G234=$G$5,J$5,$G234=$G$6,J$6,$G234=$G$7,J$7,$G234=$G$8,J$8,$G234=$G$9,J$9,$G234=$G$10,J$10,$G234=$G$11,J$11,$G234=$G$13,J$13,$G234=$G$15,J$15,$G234=$G$16,J$16,$G234=$G$33,J$33,$G234=$G$34,J$34,$G234=$G$248,J$248,$G234=$G$250,J$250)</f>
        <v>4</v>
      </c>
      <c r="K234" s="29" t="str" cm="1">
        <f t="array" ref="K234">_xlfn.IFS($G234=$G$5,K$5,$G234=$G$6,K$6,$G234=$G$7,K$7,$G234=$G$8,K$8,$G234=$G$9,K$9,$G234=$G$10,K$10,$G234=$G$11,K$11,$G234=$G$13,K$13,$G234=$G$15,K$15,$G234=$G$16,K$16,$G234=$G$33,K$33,$G234=$G$34,K$34,$G234=$G$248,K$248,$G234=$G$250,K$250)</f>
        <v>BG sentinel + BG lure7</v>
      </c>
      <c r="L234" s="29" t="str" cm="1">
        <f t="array" ref="L234">_xlfn.IFS($G234=$G$5,L$5,$G234=$G$6,L$6,$G234=$G$7,L$7,$G234=$G$8,L$8,$G234=$G$9,L$9,$G234=$G$10,L$10,$G234=$G$11,L$11,$G234=$G$13,L$13,$G234=$G$15,L$15,$G234=$G$16,L$16,$G234=$G$33,L$33,$G234=$G$34,L$34,$G234=$G$248,L$248,$G234=$G$250,L$250)</f>
        <v>Urban habitat</v>
      </c>
      <c r="O234" s="32" t="str">
        <f t="shared" si="13"/>
        <v>A_SP_BCN_4_201014</v>
      </c>
      <c r="P234" s="33">
        <v>44118</v>
      </c>
      <c r="Q234" s="34">
        <v>0.77083333333333337</v>
      </c>
      <c r="R234" s="35"/>
      <c r="S234" s="36">
        <v>44125</v>
      </c>
      <c r="T234" s="37">
        <v>0.62847222222222221</v>
      </c>
      <c r="U234" s="38"/>
      <c r="V234" s="39" t="s">
        <v>66</v>
      </c>
      <c r="X234" s="29">
        <f t="shared" si="12"/>
        <v>7</v>
      </c>
      <c r="Y234" s="38"/>
      <c r="Z234" s="29" t="s">
        <v>68</v>
      </c>
      <c r="AA234" s="29">
        <f t="shared" si="11"/>
        <v>3</v>
      </c>
      <c r="AB234" s="29" t="s">
        <v>69</v>
      </c>
      <c r="AC234" s="29">
        <v>3</v>
      </c>
      <c r="AD234" s="29">
        <v>0</v>
      </c>
      <c r="AE234" s="29" t="s">
        <v>70</v>
      </c>
      <c r="AF234">
        <v>4</v>
      </c>
    </row>
    <row r="235" spans="1:32" x14ac:dyDescent="0.25">
      <c r="A235" s="28">
        <v>231</v>
      </c>
      <c r="B235" s="29" t="s">
        <v>60</v>
      </c>
      <c r="C235" s="29" t="s">
        <v>61</v>
      </c>
      <c r="D235" s="29" t="s">
        <v>62</v>
      </c>
      <c r="E235" s="29" t="s">
        <v>62</v>
      </c>
      <c r="F235" s="30" cm="1">
        <f t="array" ref="F235">_xlfn.IFS($G235=$G$5,F$5,$G235=$G$6,F$6,$G235=$G$7,F$7,$G235=$G$8,F$8,$G235=$G$9,F$9,$G235=$G$10,F$10,$G235=$G$11,F$11,$G235=$G$13,F$13,$G235=$G$15,F$15,$G235=$G$16,F$16,$G235=$G$33,F$33,$G235=$G$34,F$34,$G235=$G$248,F$248,$G235=$G$250,F$250)</f>
        <v>8019</v>
      </c>
      <c r="G235" s="29" t="s">
        <v>74</v>
      </c>
      <c r="H235" s="31" cm="1">
        <f t="array" ref="H235">_xlfn.IFS($G235=$G$5,H$5,$G235=$G$6,H$6,$G235=$G$7,H$7,$G235=$G$8,H$8,$G235=$G$9,H$9,$G235=$G$10,H$10,$G235=$G$11,H$11,$G235=$G$13,H$13,$G235=$G$15,H$15,$G235=$G$16,H$16,$G235=$G$33,H$33,$G235=$G$34,H$34,$G235=$G$248,H$248,$G235=$G$250,H$250)</f>
        <v>41.410684000000003</v>
      </c>
      <c r="I235" s="31" cm="1">
        <f t="array" ref="I235">_xlfn.IFS($G235=$G$5,I$5,$G235=$G$6,I$6,$G235=$G$7,I$7,$G235=$G$8,I$8,$G235=$G$9,I$9,$G235=$G$10,I$10,$G235=$G$11,I$11,$G235=$G$13,I$13,$G235=$G$15,I$15,$G235=$G$16,I$16,$G235=$G$33,I$33,$G235=$G$34,I$34,$G235=$G$248,I$248,$G235=$G$250,I$250)</f>
        <v>2.2208019999999999</v>
      </c>
      <c r="J235" s="29" cm="1">
        <f t="array" ref="J235">_xlfn.IFS($G235=$G$5,J$5,$G235=$G$6,J$6,$G235=$G$7,J$7,$G235=$G$8,J$8,$G235=$G$9,J$9,$G235=$G$10,J$10,$G235=$G$11,J$11,$G235=$G$13,J$13,$G235=$G$15,J$15,$G235=$G$16,J$16,$G235=$G$33,J$33,$G235=$G$34,J$34,$G235=$G$248,J$248,$G235=$G$250,J$250)</f>
        <v>18</v>
      </c>
      <c r="K235" s="29" t="str" cm="1">
        <f t="array" ref="K235">_xlfn.IFS($G235=$G$5,K$5,$G235=$G$6,K$6,$G235=$G$7,K$7,$G235=$G$8,K$8,$G235=$G$9,K$9,$G235=$G$10,K$10,$G235=$G$11,K$11,$G235=$G$13,K$13,$G235=$G$15,K$15,$G235=$G$16,K$16,$G235=$G$33,K$33,$G235=$G$34,K$34,$G235=$G$248,K$248,$G235=$G$250,K$250)</f>
        <v>BG sentinel + BG lure7</v>
      </c>
      <c r="L235" s="29" t="str" cm="1">
        <f t="array" ref="L235">_xlfn.IFS($G235=$G$5,L$5,$G235=$G$6,L$6,$G235=$G$7,L$7,$G235=$G$8,L$8,$G235=$G$9,L$9,$G235=$G$10,L$10,$G235=$G$11,L$11,$G235=$G$13,L$13,$G235=$G$15,L$15,$G235=$G$16,L$16,$G235=$G$33,L$33,$G235=$G$34,L$34,$G235=$G$248,L$248,$G235=$G$250,L$250)</f>
        <v>Urban habitat</v>
      </c>
      <c r="O235" s="32" t="str">
        <f t="shared" si="13"/>
        <v>A_SP_BCN_5_201014</v>
      </c>
      <c r="P235" s="33">
        <v>44118</v>
      </c>
      <c r="Q235" s="34">
        <v>0.78819444444444453</v>
      </c>
      <c r="R235" s="35"/>
      <c r="S235" s="36">
        <v>44125</v>
      </c>
      <c r="T235" s="37">
        <v>0.64930555555555558</v>
      </c>
      <c r="U235" s="38"/>
      <c r="V235" s="39" t="s">
        <v>66</v>
      </c>
      <c r="X235" s="29">
        <f t="shared" si="12"/>
        <v>7</v>
      </c>
      <c r="Y235" s="38"/>
      <c r="Z235" s="29" t="s">
        <v>75</v>
      </c>
      <c r="AA235" s="29">
        <f t="shared" si="11"/>
        <v>6</v>
      </c>
      <c r="AB235" s="29" t="s">
        <v>69</v>
      </c>
      <c r="AC235" s="29">
        <v>6</v>
      </c>
      <c r="AD235" s="29">
        <v>0</v>
      </c>
      <c r="AE235" s="29" t="s">
        <v>70</v>
      </c>
      <c r="AF235">
        <v>4</v>
      </c>
    </row>
    <row r="236" spans="1:32" x14ac:dyDescent="0.25">
      <c r="A236" s="28">
        <v>232</v>
      </c>
      <c r="B236" s="29" t="s">
        <v>60</v>
      </c>
      <c r="C236" s="29" t="s">
        <v>61</v>
      </c>
      <c r="D236" s="29" t="s">
        <v>62</v>
      </c>
      <c r="E236" s="29" t="s">
        <v>62</v>
      </c>
      <c r="F236" s="30" cm="1">
        <f t="array" ref="F236">_xlfn.IFS($G236=$G$5,F$5,$G236=$G$6,F$6,$G236=$G$7,F$7,$G236=$G$8,F$8,$G236=$G$9,F$9,$G236=$G$10,F$10,$G236=$G$11,F$11,$G236=$G$13,F$13,$G236=$G$15,F$15,$G236=$G$16,F$16,$G236=$G$33,F$33,$G236=$G$34,F$34,$G236=$G$248,F$248,$G236=$G$250,F$250)</f>
        <v>8002</v>
      </c>
      <c r="G236" s="29" t="s">
        <v>76</v>
      </c>
      <c r="H236" s="31" cm="1">
        <f t="array" ref="H236">_xlfn.IFS($G236=$G$5,H$5,$G236=$G$6,H$6,$G236=$G$7,H$7,$G236=$G$8,H$8,$G236=$G$9,H$9,$G236=$G$10,H$10,$G236=$G$11,H$11,$G236=$G$13,H$13,$G236=$G$15,H$15,$G236=$G$16,H$16,$G236=$G$33,H$33,$G236=$G$34,H$34,$G236=$G$248,H$248,$G236=$G$250,H$250)</f>
        <v>41.382339999999999</v>
      </c>
      <c r="I236" s="31" cm="1">
        <f t="array" ref="I236">_xlfn.IFS($G236=$G$5,I$5,$G236=$G$6,I$6,$G236=$G$7,I$7,$G236=$G$8,I$8,$G236=$G$9,I$9,$G236=$G$10,I$10,$G236=$G$11,I$11,$G236=$G$13,I$13,$G236=$G$15,I$15,$G236=$G$16,I$16,$G236=$G$33,I$33,$G236=$G$34,I$34,$G236=$G$248,I$248,$G236=$G$250,I$250)</f>
        <v>2.1714790000000002</v>
      </c>
      <c r="J236" s="29" cm="1">
        <f t="array" ref="J236">_xlfn.IFS($G236=$G$5,J$5,$G236=$G$6,J$6,$G236=$G$7,J$7,$G236=$G$8,J$8,$G236=$G$9,J$9,$G236=$G$10,J$10,$G236=$G$11,J$11,$G236=$G$13,J$13,$G236=$G$15,J$15,$G236=$G$16,J$16,$G236=$G$33,J$33,$G236=$G$34,J$34,$G236=$G$248,J$248,$G236=$G$250,J$250)</f>
        <v>19</v>
      </c>
      <c r="K236" s="29" t="str" cm="1">
        <f t="array" ref="K236">_xlfn.IFS($G236=$G$5,K$5,$G236=$G$6,K$6,$G236=$G$7,K$7,$G236=$G$8,K$8,$G236=$G$9,K$9,$G236=$G$10,K$10,$G236=$G$11,K$11,$G236=$G$13,K$13,$G236=$G$15,K$15,$G236=$G$16,K$16,$G236=$G$33,K$33,$G236=$G$34,K$34,$G236=$G$248,K$248,$G236=$G$250,K$250)</f>
        <v>BG sentinel + BG lure7</v>
      </c>
      <c r="L236" s="29" t="str" cm="1">
        <f t="array" ref="L236">_xlfn.IFS($G236=$G$5,L$5,$G236=$G$6,L$6,$G236=$G$7,L$7,$G236=$G$8,L$8,$G236=$G$9,L$9,$G236=$G$10,L$10,$G236=$G$11,L$11,$G236=$G$13,L$13,$G236=$G$15,L$15,$G236=$G$16,L$16,$G236=$G$33,L$33,$G236=$G$34,L$34,$G236=$G$248,L$248,$G236=$G$250,L$250)</f>
        <v>Urban habitat</v>
      </c>
      <c r="O236" s="32" t="str">
        <f t="shared" si="13"/>
        <v>A_SP_BCN_6_201014</v>
      </c>
      <c r="P236" s="33">
        <v>44118</v>
      </c>
      <c r="Q236" s="34">
        <v>0.73958333333333337</v>
      </c>
      <c r="R236" s="35"/>
      <c r="S236" s="36">
        <v>44125</v>
      </c>
      <c r="T236" s="37">
        <v>0.57986111111111105</v>
      </c>
      <c r="U236" s="38"/>
      <c r="V236" s="39" t="s">
        <v>66</v>
      </c>
      <c r="X236" s="29">
        <f t="shared" si="12"/>
        <v>7</v>
      </c>
      <c r="Y236" s="38"/>
      <c r="Z236" s="29" t="s">
        <v>68</v>
      </c>
      <c r="AA236" s="29">
        <f t="shared" si="11"/>
        <v>1</v>
      </c>
      <c r="AB236" s="29" t="s">
        <v>69</v>
      </c>
      <c r="AC236" s="29">
        <v>1</v>
      </c>
      <c r="AD236" s="29">
        <v>0</v>
      </c>
      <c r="AE236" s="29" t="s">
        <v>70</v>
      </c>
      <c r="AF236">
        <v>4</v>
      </c>
    </row>
    <row r="237" spans="1:32" x14ac:dyDescent="0.25">
      <c r="A237" s="28">
        <v>233</v>
      </c>
      <c r="B237" s="29" t="s">
        <v>60</v>
      </c>
      <c r="C237" s="29" t="s">
        <v>61</v>
      </c>
      <c r="D237" s="29" t="s">
        <v>62</v>
      </c>
      <c r="E237" s="29" t="s">
        <v>62</v>
      </c>
      <c r="F237" s="30" cm="1">
        <f t="array" ref="F237">_xlfn.IFS($G237=$G$5,F$5,$G237=$G$6,F$6,$G237=$G$7,F$7,$G237=$G$8,F$8,$G237=$G$9,F$9,$G237=$G$10,F$10,$G237=$G$11,F$11,$G237=$G$13,F$13,$G237=$G$15,F$15,$G237=$G$16,F$16,$G237=$G$33,F$33,$G237=$G$34,F$34,$G237=$G$248,F$248,$G237=$G$250,F$250)</f>
        <v>8002</v>
      </c>
      <c r="G237" s="29" t="s">
        <v>76</v>
      </c>
      <c r="H237" s="31" cm="1">
        <f t="array" ref="H237">_xlfn.IFS($G237=$G$5,H$5,$G237=$G$6,H$6,$G237=$G$7,H$7,$G237=$G$8,H$8,$G237=$G$9,H$9,$G237=$G$10,H$10,$G237=$G$11,H$11,$G237=$G$13,H$13,$G237=$G$15,H$15,$G237=$G$16,H$16,$G237=$G$33,H$33,$G237=$G$34,H$34,$G237=$G$248,H$248,$G237=$G$250,H$250)</f>
        <v>41.382339999999999</v>
      </c>
      <c r="I237" s="31" cm="1">
        <f t="array" ref="I237">_xlfn.IFS($G237=$G$5,I$5,$G237=$G$6,I$6,$G237=$G$7,I$7,$G237=$G$8,I$8,$G237=$G$9,I$9,$G237=$G$10,I$10,$G237=$G$11,I$11,$G237=$G$13,I$13,$G237=$G$15,I$15,$G237=$G$16,I$16,$G237=$G$33,I$33,$G237=$G$34,I$34,$G237=$G$248,I$248,$G237=$G$250,I$250)</f>
        <v>2.1714790000000002</v>
      </c>
      <c r="J237" s="29" cm="1">
        <f t="array" ref="J237">_xlfn.IFS($G237=$G$5,J$5,$G237=$G$6,J$6,$G237=$G$7,J$7,$G237=$G$8,J$8,$G237=$G$9,J$9,$G237=$G$10,J$10,$G237=$G$11,J$11,$G237=$G$13,J$13,$G237=$G$15,J$15,$G237=$G$16,J$16,$G237=$G$33,J$33,$G237=$G$34,J$34,$G237=$G$248,J$248,$G237=$G$250,J$250)</f>
        <v>19</v>
      </c>
      <c r="K237" s="29" t="str" cm="1">
        <f t="array" ref="K237">_xlfn.IFS($G237=$G$5,K$5,$G237=$G$6,K$6,$G237=$G$7,K$7,$G237=$G$8,K$8,$G237=$G$9,K$9,$G237=$G$10,K$10,$G237=$G$11,K$11,$G237=$G$13,K$13,$G237=$G$15,K$15,$G237=$G$16,K$16,$G237=$G$33,K$33,$G237=$G$34,K$34,$G237=$G$248,K$248,$G237=$G$250,K$250)</f>
        <v>BG sentinel + BG lure7</v>
      </c>
      <c r="L237" s="29" t="str" cm="1">
        <f t="array" ref="L237">_xlfn.IFS($G237=$G$5,L$5,$G237=$G$6,L$6,$G237=$G$7,L$7,$G237=$G$8,L$8,$G237=$G$9,L$9,$G237=$G$10,L$10,$G237=$G$11,L$11,$G237=$G$13,L$13,$G237=$G$15,L$15,$G237=$G$16,L$16,$G237=$G$33,L$33,$G237=$G$34,L$34,$G237=$G$248,L$248,$G237=$G$250,L$250)</f>
        <v>Urban habitat</v>
      </c>
      <c r="O237" s="32" t="str">
        <f t="shared" si="13"/>
        <v>A_SP_BCN_6_201014</v>
      </c>
      <c r="P237" s="33">
        <v>44118</v>
      </c>
      <c r="Q237" s="34">
        <v>0.73958333333333337</v>
      </c>
      <c r="R237" s="35"/>
      <c r="S237" s="36">
        <v>44125</v>
      </c>
      <c r="T237" s="37">
        <v>0.57986111111111105</v>
      </c>
      <c r="U237" s="38"/>
      <c r="V237" s="39" t="s">
        <v>66</v>
      </c>
      <c r="X237" s="29">
        <f t="shared" si="12"/>
        <v>7</v>
      </c>
      <c r="Y237" s="38"/>
      <c r="Z237" s="29" t="s">
        <v>75</v>
      </c>
      <c r="AA237" s="29">
        <f t="shared" si="11"/>
        <v>1</v>
      </c>
      <c r="AB237" s="29" t="s">
        <v>69</v>
      </c>
      <c r="AC237" s="29">
        <v>1</v>
      </c>
      <c r="AD237" s="29">
        <v>0</v>
      </c>
      <c r="AE237" s="29" t="s">
        <v>70</v>
      </c>
      <c r="AF237">
        <v>4</v>
      </c>
    </row>
    <row r="238" spans="1:32" x14ac:dyDescent="0.25">
      <c r="A238" s="28">
        <v>234</v>
      </c>
      <c r="B238" s="29" t="s">
        <v>60</v>
      </c>
      <c r="C238" s="29" t="s">
        <v>61</v>
      </c>
      <c r="D238" s="29" t="s">
        <v>62</v>
      </c>
      <c r="E238" s="29" t="s">
        <v>62</v>
      </c>
      <c r="F238" s="30" cm="1">
        <f t="array" ref="F238">_xlfn.IFS($G238=$G$5,F$5,$G238=$G$6,F$6,$G238=$G$7,F$7,$G238=$G$8,F$8,$G238=$G$9,F$9,$G238=$G$10,F$10,$G238=$G$11,F$11,$G238=$G$13,F$13,$G238=$G$15,F$15,$G238=$G$16,F$16,$G238=$G$33,F$33,$G238=$G$34,F$34,$G238=$G$248,F$248,$G238=$G$250,F$250)</f>
        <v>8002</v>
      </c>
      <c r="G238" s="29" t="s">
        <v>76</v>
      </c>
      <c r="H238" s="31" cm="1">
        <f t="array" ref="H238">_xlfn.IFS($G238=$G$5,H$5,$G238=$G$6,H$6,$G238=$G$7,H$7,$G238=$G$8,H$8,$G238=$G$9,H$9,$G238=$G$10,H$10,$G238=$G$11,H$11,$G238=$G$13,H$13,$G238=$G$15,H$15,$G238=$G$16,H$16,$G238=$G$33,H$33,$G238=$G$34,H$34,$G238=$G$248,H$248,$G238=$G$250,H$250)</f>
        <v>41.382339999999999</v>
      </c>
      <c r="I238" s="31" cm="1">
        <f t="array" ref="I238">_xlfn.IFS($G238=$G$5,I$5,$G238=$G$6,I$6,$G238=$G$7,I$7,$G238=$G$8,I$8,$G238=$G$9,I$9,$G238=$G$10,I$10,$G238=$G$11,I$11,$G238=$G$13,I$13,$G238=$G$15,I$15,$G238=$G$16,I$16,$G238=$G$33,I$33,$G238=$G$34,I$34,$G238=$G$248,I$248,$G238=$G$250,I$250)</f>
        <v>2.1714790000000002</v>
      </c>
      <c r="J238" s="29" cm="1">
        <f t="array" ref="J238">_xlfn.IFS($G238=$G$5,J$5,$G238=$G$6,J$6,$G238=$G$7,J$7,$G238=$G$8,J$8,$G238=$G$9,J$9,$G238=$G$10,J$10,$G238=$G$11,J$11,$G238=$G$13,J$13,$G238=$G$15,J$15,$G238=$G$16,J$16,$G238=$G$33,J$33,$G238=$G$34,J$34,$G238=$G$248,J$248,$G238=$G$250,J$250)</f>
        <v>19</v>
      </c>
      <c r="K238" s="29" t="str" cm="1">
        <f t="array" ref="K238">_xlfn.IFS($G238=$G$5,K$5,$G238=$G$6,K$6,$G238=$G$7,K$7,$G238=$G$8,K$8,$G238=$G$9,K$9,$G238=$G$10,K$10,$G238=$G$11,K$11,$G238=$G$13,K$13,$G238=$G$15,K$15,$G238=$G$16,K$16,$G238=$G$33,K$33,$G238=$G$34,K$34,$G238=$G$248,K$248,$G238=$G$250,K$250)</f>
        <v>BG sentinel + BG lure7</v>
      </c>
      <c r="L238" s="29" t="str" cm="1">
        <f t="array" ref="L238">_xlfn.IFS($G238=$G$5,L$5,$G238=$G$6,L$6,$G238=$G$7,L$7,$G238=$G$8,L$8,$G238=$G$9,L$9,$G238=$G$10,L$10,$G238=$G$11,L$11,$G238=$G$13,L$13,$G238=$G$15,L$15,$G238=$G$16,L$16,$G238=$G$33,L$33,$G238=$G$34,L$34,$G238=$G$248,L$248,$G238=$G$250,L$250)</f>
        <v>Urban habitat</v>
      </c>
      <c r="O238" s="32" t="str">
        <f t="shared" si="13"/>
        <v>A_SP_BCN_6_201014</v>
      </c>
      <c r="P238" s="33">
        <v>44118</v>
      </c>
      <c r="Q238" s="34">
        <v>0.73958333333333337</v>
      </c>
      <c r="R238" s="35"/>
      <c r="S238" s="36">
        <v>44125</v>
      </c>
      <c r="T238" s="37">
        <v>0.57986111111111105</v>
      </c>
      <c r="U238" s="38"/>
      <c r="V238" s="39" t="s">
        <v>66</v>
      </c>
      <c r="X238" s="29">
        <f t="shared" si="12"/>
        <v>7</v>
      </c>
      <c r="Y238" s="38"/>
      <c r="Z238" s="29" t="s">
        <v>84</v>
      </c>
      <c r="AA238" s="29">
        <f t="shared" si="11"/>
        <v>2</v>
      </c>
      <c r="AB238" s="29" t="s">
        <v>69</v>
      </c>
      <c r="AC238" s="29">
        <v>2</v>
      </c>
      <c r="AD238" s="29">
        <v>0</v>
      </c>
      <c r="AE238" s="29" t="s">
        <v>70</v>
      </c>
      <c r="AF238">
        <v>4</v>
      </c>
    </row>
    <row r="239" spans="1:32" x14ac:dyDescent="0.25">
      <c r="A239" s="28">
        <v>235</v>
      </c>
      <c r="B239" s="29" t="s">
        <v>60</v>
      </c>
      <c r="C239" s="29" t="s">
        <v>61</v>
      </c>
      <c r="D239" s="29" t="s">
        <v>62</v>
      </c>
      <c r="E239" s="29" t="s">
        <v>62</v>
      </c>
      <c r="F239" s="30" cm="1">
        <f t="array" ref="F239">_xlfn.IFS($G239=$G$5,F$5,$G239=$G$6,F$6,$G239=$G$7,F$7,$G239=$G$8,F$8,$G239=$G$9,F$9,$G239=$G$10,F$10,$G239=$G$11,F$11,$G239=$G$13,F$13,$G239=$G$15,F$15,$G239=$G$16,F$16,$G239=$G$33,F$33,$G239=$G$34,F$34,$G239=$G$248,F$248,$G239=$G$250,F$250)</f>
        <v>8038</v>
      </c>
      <c r="G239" s="29" t="s">
        <v>77</v>
      </c>
      <c r="H239" s="31" cm="1">
        <f t="array" ref="H239">_xlfn.IFS($G239=$G$5,H$5,$G239=$G$6,H$6,$G239=$G$7,H$7,$G239=$G$8,H$8,$G239=$G$9,H$9,$G239=$G$10,H$10,$G239=$G$11,H$11,$G239=$G$13,H$13,$G239=$G$15,H$15,$G239=$G$16,H$16,$G239=$G$33,H$33,$G239=$G$34,H$34,$G239=$G$248,H$248,$G239=$G$250,H$250)</f>
        <v>41.371864000000002</v>
      </c>
      <c r="I239" s="31" cm="1">
        <f t="array" ref="I239">_xlfn.IFS($G239=$G$5,I$5,$G239=$G$6,I$6,$G239=$G$7,I$7,$G239=$G$8,I$8,$G239=$G$9,I$9,$G239=$G$10,I$10,$G239=$G$11,I$11,$G239=$G$13,I$13,$G239=$G$15,I$15,$G239=$G$16,I$16,$G239=$G$33,I$33,$G239=$G$34,I$34,$G239=$G$248,I$248,$G239=$G$250,I$250)</f>
        <v>2.173899</v>
      </c>
      <c r="J239" s="29" cm="1">
        <f t="array" ref="J239">_xlfn.IFS($G239=$G$5,J$5,$G239=$G$6,J$6,$G239=$G$7,J$7,$G239=$G$8,J$8,$G239=$G$9,J$9,$G239=$G$10,J$10,$G239=$G$11,J$11,$G239=$G$13,J$13,$G239=$G$15,J$15,$G239=$G$16,J$16,$G239=$G$33,J$33,$G239=$G$34,J$34,$G239=$G$248,J$248,$G239=$G$250,J$250)</f>
        <v>5</v>
      </c>
      <c r="K239" s="29" t="str" cm="1">
        <f t="array" ref="K239">_xlfn.IFS($G239=$G$5,K$5,$G239=$G$6,K$6,$G239=$G$7,K$7,$G239=$G$8,K$8,$G239=$G$9,K$9,$G239=$G$10,K$10,$G239=$G$11,K$11,$G239=$G$13,K$13,$G239=$G$15,K$15,$G239=$G$16,K$16,$G239=$G$33,K$33,$G239=$G$34,K$34,$G239=$G$248,K$248,$G239=$G$250,K$250)</f>
        <v>BG sentinel + BG lure7</v>
      </c>
      <c r="L239" s="29" t="str" cm="1">
        <f t="array" ref="L239">_xlfn.IFS($G239=$G$5,L$5,$G239=$G$6,L$6,$G239=$G$7,L$7,$G239=$G$8,L$8,$G239=$G$9,L$9,$G239=$G$10,L$10,$G239=$G$11,L$11,$G239=$G$13,L$13,$G239=$G$15,L$15,$G239=$G$16,L$16,$G239=$G$33,L$33,$G239=$G$34,L$34,$G239=$G$248,L$248,$G239=$G$250,L$250)</f>
        <v>Urban habitat</v>
      </c>
      <c r="O239" s="32" t="str">
        <f t="shared" si="13"/>
        <v>A_SP_BCN_7_201014</v>
      </c>
      <c r="P239" s="33">
        <v>44118</v>
      </c>
      <c r="Q239" s="34">
        <v>0.66666666666666663</v>
      </c>
      <c r="R239" s="35"/>
      <c r="S239" s="36">
        <v>44125</v>
      </c>
      <c r="T239" s="37">
        <v>0.51388888888888895</v>
      </c>
      <c r="U239" s="38"/>
      <c r="V239" s="39" t="s">
        <v>66</v>
      </c>
      <c r="X239" s="29">
        <f t="shared" si="12"/>
        <v>7</v>
      </c>
      <c r="Y239" s="38"/>
      <c r="Z239" s="29" t="s">
        <v>68</v>
      </c>
      <c r="AA239" s="29">
        <f t="shared" si="11"/>
        <v>10</v>
      </c>
      <c r="AB239" s="29" t="s">
        <v>69</v>
      </c>
      <c r="AC239" s="29">
        <v>9</v>
      </c>
      <c r="AD239" s="29">
        <v>1</v>
      </c>
      <c r="AE239" s="29" t="s">
        <v>70</v>
      </c>
      <c r="AF239">
        <v>4</v>
      </c>
    </row>
    <row r="240" spans="1:32" x14ac:dyDescent="0.25">
      <c r="A240" s="28">
        <v>236</v>
      </c>
      <c r="B240" s="29" t="s">
        <v>60</v>
      </c>
      <c r="C240" s="29" t="s">
        <v>61</v>
      </c>
      <c r="D240" s="29" t="s">
        <v>62</v>
      </c>
      <c r="E240" s="29" t="s">
        <v>62</v>
      </c>
      <c r="F240" s="30" cm="1">
        <f t="array" ref="F240">_xlfn.IFS($G240=$G$5,F$5,$G240=$G$6,F$6,$G240=$G$7,F$7,$G240=$G$8,F$8,$G240=$G$9,F$9,$G240=$G$10,F$10,$G240=$G$11,F$11,$G240=$G$13,F$13,$G240=$G$15,F$15,$G240=$G$16,F$16,$G240=$G$33,F$33,$G240=$G$34,F$34,$G240=$G$248,F$248,$G240=$G$250,F$250)</f>
        <v>8038</v>
      </c>
      <c r="G240" s="29" t="s">
        <v>78</v>
      </c>
      <c r="H240" s="31" cm="1">
        <f t="array" ref="H240">_xlfn.IFS($G240=$G$5,H$5,$G240=$G$6,H$6,$G240=$G$7,H$7,$G240=$G$8,H$8,$G240=$G$9,H$9,$G240=$G$10,H$10,$G240=$G$11,H$11,$G240=$G$13,H$13,$G240=$G$15,H$15,$G240=$G$16,H$16,$G240=$G$33,H$33,$G240=$G$34,H$34,$G240=$G$248,H$248,$G240=$G$250,H$250)</f>
        <v>41.368589</v>
      </c>
      <c r="I240" s="31" cm="1">
        <f t="array" ref="I240">_xlfn.IFS($G240=$G$5,I$5,$G240=$G$6,I$6,$G240=$G$7,I$7,$G240=$G$8,I$8,$G240=$G$9,I$9,$G240=$G$10,I$10,$G240=$G$11,I$11,$G240=$G$13,I$13,$G240=$G$15,I$15,$G240=$G$16,I$16,$G240=$G$33,I$33,$G240=$G$34,I$34,$G240=$G$248,I$248,$G240=$G$250,I$250)</f>
        <v>2.1620900000000001</v>
      </c>
      <c r="J240" s="29" cm="1">
        <f t="array" ref="J240">_xlfn.IFS($G240=$G$5,J$5,$G240=$G$6,J$6,$G240=$G$7,J$7,$G240=$G$8,J$8,$G240=$G$9,J$9,$G240=$G$10,J$10,$G240=$G$11,J$11,$G240=$G$13,J$13,$G240=$G$15,J$15,$G240=$G$16,J$16,$G240=$G$33,J$33,$G240=$G$34,J$34,$G240=$G$248,J$248,$G240=$G$250,J$250)</f>
        <v>95</v>
      </c>
      <c r="K240" s="29" t="str" cm="1">
        <f t="array" ref="K240">_xlfn.IFS($G240=$G$5,K$5,$G240=$G$6,K$6,$G240=$G$7,K$7,$G240=$G$8,K$8,$G240=$G$9,K$9,$G240=$G$10,K$10,$G240=$G$11,K$11,$G240=$G$13,K$13,$G240=$G$15,K$15,$G240=$G$16,K$16,$G240=$G$33,K$33,$G240=$G$34,K$34,$G240=$G$248,K$248,$G240=$G$250,K$250)</f>
        <v>BG sentinel + BG lure7</v>
      </c>
      <c r="L240" s="29" t="str" cm="1">
        <f t="array" ref="L240">_xlfn.IFS($G240=$G$5,L$5,$G240=$G$6,L$6,$G240=$G$7,L$7,$G240=$G$8,L$8,$G240=$G$9,L$9,$G240=$G$10,L$10,$G240=$G$11,L$11,$G240=$G$13,L$13,$G240=$G$15,L$15,$G240=$G$16,L$16,$G240=$G$33,L$33,$G240=$G$34,L$34,$G240=$G$248,L$248,$G240=$G$250,L$250)</f>
        <v>Other</v>
      </c>
      <c r="O240" s="32" t="str">
        <f t="shared" si="13"/>
        <v>A_SP_BCN_8_201014</v>
      </c>
      <c r="P240" s="33">
        <v>44118</v>
      </c>
      <c r="Q240" s="34">
        <v>0.67708333333333337</v>
      </c>
      <c r="R240" s="35"/>
      <c r="S240" s="36">
        <v>44125</v>
      </c>
      <c r="T240" s="37">
        <v>0.53125</v>
      </c>
      <c r="U240" s="38"/>
      <c r="V240" s="39" t="s">
        <v>66</v>
      </c>
      <c r="X240" s="29">
        <f t="shared" si="12"/>
        <v>7</v>
      </c>
      <c r="Y240" s="38"/>
      <c r="Z240" s="29" t="s">
        <v>68</v>
      </c>
      <c r="AA240" s="29">
        <f t="shared" si="11"/>
        <v>30</v>
      </c>
      <c r="AB240" s="29" t="s">
        <v>69</v>
      </c>
      <c r="AC240" s="29">
        <v>30</v>
      </c>
      <c r="AD240" s="29">
        <v>0</v>
      </c>
      <c r="AE240" s="29" t="s">
        <v>70</v>
      </c>
      <c r="AF240">
        <v>4</v>
      </c>
    </row>
    <row r="241" spans="1:32" x14ac:dyDescent="0.25">
      <c r="A241" s="28">
        <v>237</v>
      </c>
      <c r="B241" s="29" t="s">
        <v>60</v>
      </c>
      <c r="C241" s="29" t="s">
        <v>61</v>
      </c>
      <c r="D241" s="29" t="s">
        <v>62</v>
      </c>
      <c r="E241" s="29" t="s">
        <v>62</v>
      </c>
      <c r="F241" s="30" cm="1">
        <f t="array" ref="F241">_xlfn.IFS($G241=$G$5,F$5,$G241=$G$6,F$6,$G241=$G$7,F$7,$G241=$G$8,F$8,$G241=$G$9,F$9,$G241=$G$10,F$10,$G241=$G$11,F$11,$G241=$G$13,F$13,$G241=$G$15,F$15,$G241=$G$16,F$16,$G241=$G$33,F$33,$G241=$G$34,F$34,$G241=$G$248,F$248,$G241=$G$250,F$250)</f>
        <v>8038</v>
      </c>
      <c r="G241" s="29" t="s">
        <v>78</v>
      </c>
      <c r="H241" s="31" cm="1">
        <f t="array" ref="H241">_xlfn.IFS($G241=$G$5,H$5,$G241=$G$6,H$6,$G241=$G$7,H$7,$G241=$G$8,H$8,$G241=$G$9,H$9,$G241=$G$10,H$10,$G241=$G$11,H$11,$G241=$G$13,H$13,$G241=$G$15,H$15,$G241=$G$16,H$16,$G241=$G$33,H$33,$G241=$G$34,H$34,$G241=$G$248,H$248,$G241=$G$250,H$250)</f>
        <v>41.368589</v>
      </c>
      <c r="I241" s="31" cm="1">
        <f t="array" ref="I241">_xlfn.IFS($G241=$G$5,I$5,$G241=$G$6,I$6,$G241=$G$7,I$7,$G241=$G$8,I$8,$G241=$G$9,I$9,$G241=$G$10,I$10,$G241=$G$11,I$11,$G241=$G$13,I$13,$G241=$G$15,I$15,$G241=$G$16,I$16,$G241=$G$33,I$33,$G241=$G$34,I$34,$G241=$G$248,I$248,$G241=$G$250,I$250)</f>
        <v>2.1620900000000001</v>
      </c>
      <c r="J241" s="29" cm="1">
        <f t="array" ref="J241">_xlfn.IFS($G241=$G$5,J$5,$G241=$G$6,J$6,$G241=$G$7,J$7,$G241=$G$8,J$8,$G241=$G$9,J$9,$G241=$G$10,J$10,$G241=$G$11,J$11,$G241=$G$13,J$13,$G241=$G$15,J$15,$G241=$G$16,J$16,$G241=$G$33,J$33,$G241=$G$34,J$34,$G241=$G$248,J$248,$G241=$G$250,J$250)</f>
        <v>95</v>
      </c>
      <c r="K241" s="29" t="str" cm="1">
        <f t="array" ref="K241">_xlfn.IFS($G241=$G$5,K$5,$G241=$G$6,K$6,$G241=$G$7,K$7,$G241=$G$8,K$8,$G241=$G$9,K$9,$G241=$G$10,K$10,$G241=$G$11,K$11,$G241=$G$13,K$13,$G241=$G$15,K$15,$G241=$G$16,K$16,$G241=$G$33,K$33,$G241=$G$34,K$34,$G241=$G$248,K$248,$G241=$G$250,K$250)</f>
        <v>BG sentinel + BG lure7</v>
      </c>
      <c r="L241" s="29" t="str" cm="1">
        <f t="array" ref="L241">_xlfn.IFS($G241=$G$5,L$5,$G241=$G$6,L$6,$G241=$G$7,L$7,$G241=$G$8,L$8,$G241=$G$9,L$9,$G241=$G$10,L$10,$G241=$G$11,L$11,$G241=$G$13,L$13,$G241=$G$15,L$15,$G241=$G$16,L$16,$G241=$G$33,L$33,$G241=$G$34,L$34,$G241=$G$248,L$248,$G241=$G$250,L$250)</f>
        <v>Other</v>
      </c>
      <c r="O241" s="32" t="str">
        <f t="shared" si="13"/>
        <v>A_SP_BCN_8_201014</v>
      </c>
      <c r="P241" s="33">
        <v>44118</v>
      </c>
      <c r="Q241" s="34">
        <v>0.67708333333333337</v>
      </c>
      <c r="R241" s="35"/>
      <c r="S241" s="36">
        <v>44125</v>
      </c>
      <c r="T241" s="37">
        <v>0.53125</v>
      </c>
      <c r="U241" s="38"/>
      <c r="V241" s="39" t="s">
        <v>66</v>
      </c>
      <c r="X241" s="29">
        <f t="shared" si="12"/>
        <v>7</v>
      </c>
      <c r="Y241" s="38"/>
      <c r="Z241" s="29" t="s">
        <v>75</v>
      </c>
      <c r="AA241" s="29">
        <f t="shared" si="11"/>
        <v>7</v>
      </c>
      <c r="AB241" s="29" t="s">
        <v>69</v>
      </c>
      <c r="AC241" s="29">
        <v>5</v>
      </c>
      <c r="AD241" s="29">
        <v>2</v>
      </c>
      <c r="AE241" s="29" t="s">
        <v>70</v>
      </c>
      <c r="AF241">
        <v>4</v>
      </c>
    </row>
    <row r="242" spans="1:32" x14ac:dyDescent="0.25">
      <c r="A242" s="28">
        <v>238</v>
      </c>
      <c r="B242" s="29" t="s">
        <v>60</v>
      </c>
      <c r="C242" s="29" t="s">
        <v>61</v>
      </c>
      <c r="D242" s="29" t="s">
        <v>62</v>
      </c>
      <c r="E242" s="29" t="s">
        <v>62</v>
      </c>
      <c r="F242" s="30" cm="1">
        <f t="array" ref="F242">_xlfn.IFS($G242=$G$5,F$5,$G242=$G$6,F$6,$G242=$G$7,F$7,$G242=$G$8,F$8,$G242=$G$9,F$9,$G242=$G$10,F$10,$G242=$G$11,F$11,$G242=$G$13,F$13,$G242=$G$15,F$15,$G242=$G$16,F$16,$G242=$G$33,F$33,$G242=$G$34,F$34,$G242=$G$248,F$248,$G242=$G$250,F$250)</f>
        <v>8038</v>
      </c>
      <c r="G242" s="29" t="s">
        <v>78</v>
      </c>
      <c r="H242" s="31" cm="1">
        <f t="array" ref="H242">_xlfn.IFS($G242=$G$5,H$5,$G242=$G$6,H$6,$G242=$G$7,H$7,$G242=$G$8,H$8,$G242=$G$9,H$9,$G242=$G$10,H$10,$G242=$G$11,H$11,$G242=$G$13,H$13,$G242=$G$15,H$15,$G242=$G$16,H$16,$G242=$G$33,H$33,$G242=$G$34,H$34,$G242=$G$248,H$248,$G242=$G$250,H$250)</f>
        <v>41.368589</v>
      </c>
      <c r="I242" s="31" cm="1">
        <f t="array" ref="I242">_xlfn.IFS($G242=$G$5,I$5,$G242=$G$6,I$6,$G242=$G$7,I$7,$G242=$G$8,I$8,$G242=$G$9,I$9,$G242=$G$10,I$10,$G242=$G$11,I$11,$G242=$G$13,I$13,$G242=$G$15,I$15,$G242=$G$16,I$16,$G242=$G$33,I$33,$G242=$G$34,I$34,$G242=$G$248,I$248,$G242=$G$250,I$250)</f>
        <v>2.1620900000000001</v>
      </c>
      <c r="J242" s="29" cm="1">
        <f t="array" ref="J242">_xlfn.IFS($G242=$G$5,J$5,$G242=$G$6,J$6,$G242=$G$7,J$7,$G242=$G$8,J$8,$G242=$G$9,J$9,$G242=$G$10,J$10,$G242=$G$11,J$11,$G242=$G$13,J$13,$G242=$G$15,J$15,$G242=$G$16,J$16,$G242=$G$33,J$33,$G242=$G$34,J$34,$G242=$G$248,J$248,$G242=$G$250,J$250)</f>
        <v>95</v>
      </c>
      <c r="K242" s="29" t="str" cm="1">
        <f t="array" ref="K242">_xlfn.IFS($G242=$G$5,K$5,$G242=$G$6,K$6,$G242=$G$7,K$7,$G242=$G$8,K$8,$G242=$G$9,K$9,$G242=$G$10,K$10,$G242=$G$11,K$11,$G242=$G$13,K$13,$G242=$G$15,K$15,$G242=$G$16,K$16,$G242=$G$33,K$33,$G242=$G$34,K$34,$G242=$G$248,K$248,$G242=$G$250,K$250)</f>
        <v>BG sentinel + BG lure7</v>
      </c>
      <c r="L242" s="29" t="str" cm="1">
        <f t="array" ref="L242">_xlfn.IFS($G242=$G$5,L$5,$G242=$G$6,L$6,$G242=$G$7,L$7,$G242=$G$8,L$8,$G242=$G$9,L$9,$G242=$G$10,L$10,$G242=$G$11,L$11,$G242=$G$13,L$13,$G242=$G$15,L$15,$G242=$G$16,L$16,$G242=$G$33,L$33,$G242=$G$34,L$34,$G242=$G$248,L$248,$G242=$G$250,L$250)</f>
        <v>Other</v>
      </c>
      <c r="O242" s="32" t="str">
        <f t="shared" si="13"/>
        <v>A_SP_BCN_8_201014</v>
      </c>
      <c r="P242" s="33">
        <v>44118</v>
      </c>
      <c r="Q242" s="34">
        <v>0.67708333333333337</v>
      </c>
      <c r="R242" s="35"/>
      <c r="S242" s="36">
        <v>44125</v>
      </c>
      <c r="T242" s="37">
        <v>0.53125</v>
      </c>
      <c r="U242" s="38"/>
      <c r="V242" s="39" t="s">
        <v>66</v>
      </c>
      <c r="X242" s="29">
        <f t="shared" si="12"/>
        <v>7</v>
      </c>
      <c r="Y242" s="38"/>
      <c r="Z242" s="29" t="s">
        <v>84</v>
      </c>
      <c r="AA242" s="29">
        <f t="shared" si="11"/>
        <v>1</v>
      </c>
      <c r="AB242" s="29" t="s">
        <v>69</v>
      </c>
      <c r="AC242" s="29">
        <v>1</v>
      </c>
      <c r="AD242" s="29">
        <v>0</v>
      </c>
      <c r="AE242" s="29" t="s">
        <v>70</v>
      </c>
      <c r="AF242">
        <v>4</v>
      </c>
    </row>
    <row r="243" spans="1:32" x14ac:dyDescent="0.25">
      <c r="A243" s="28">
        <v>239</v>
      </c>
      <c r="B243" s="29" t="s">
        <v>60</v>
      </c>
      <c r="C243" s="29" t="s">
        <v>61</v>
      </c>
      <c r="D243" s="29" t="s">
        <v>62</v>
      </c>
      <c r="E243" s="29" t="s">
        <v>62</v>
      </c>
      <c r="F243" s="30" cm="1">
        <f t="array" ref="F243">_xlfn.IFS($G243=$G$5,F$5,$G243=$G$6,F$6,$G243=$G$7,F$7,$G243=$G$8,F$8,$G243=$G$9,F$9,$G243=$G$10,F$10,$G243=$G$11,F$11,$G243=$G$13,F$13,$G243=$G$15,F$15,$G243=$G$16,F$16,$G243=$G$33,F$33,$G243=$G$34,F$34,$G243=$G$248,F$248,$G243=$G$250,F$250)</f>
        <v>8034</v>
      </c>
      <c r="G243" s="29" t="s">
        <v>81</v>
      </c>
      <c r="H243" s="31" cm="1">
        <f t="array" ref="H243">_xlfn.IFS($G243=$G$5,H$5,$G243=$G$6,H$6,$G243=$G$7,H$7,$G243=$G$8,H$8,$G243=$G$9,H$9,$G243=$G$10,H$10,$G243=$G$11,H$11,$G243=$G$13,H$13,$G243=$G$15,H$15,$G243=$G$16,H$16,$G243=$G$33,H$33,$G243=$G$34,H$34,$G243=$G$248,H$248,$G243=$G$250,H$250)</f>
        <v>41.393644999999999</v>
      </c>
      <c r="I243" s="31" cm="1">
        <f t="array" ref="I243">_xlfn.IFS($G243=$G$5,I$5,$G243=$G$6,I$6,$G243=$G$7,I$7,$G243=$G$8,I$8,$G243=$G$9,I$9,$G243=$G$10,I$10,$G243=$G$11,I$11,$G243=$G$13,I$13,$G243=$G$15,I$15,$G243=$G$16,I$16,$G243=$G$33,I$33,$G243=$G$34,I$34,$G243=$G$248,I$248,$G243=$G$250,I$250)</f>
        <v>2.1216780000000002</v>
      </c>
      <c r="J243" s="29" cm="1">
        <f t="array" ref="J243">_xlfn.IFS($G243=$G$5,J$5,$G243=$G$6,J$6,$G243=$G$7,J$7,$G243=$G$8,J$8,$G243=$G$9,J$9,$G243=$G$10,J$10,$G243=$G$11,J$11,$G243=$G$13,J$13,$G243=$G$15,J$15,$G243=$G$16,J$16,$G243=$G$33,J$33,$G243=$G$34,J$34,$G243=$G$248,J$248,$G243=$G$250,J$250)</f>
        <v>98</v>
      </c>
      <c r="K243" s="29" t="str" cm="1">
        <f t="array" ref="K243">_xlfn.IFS($G243=$G$5,K$5,$G243=$G$6,K$6,$G243=$G$7,K$7,$G243=$G$8,K$8,$G243=$G$9,K$9,$G243=$G$10,K$10,$G243=$G$11,K$11,$G243=$G$13,K$13,$G243=$G$15,K$15,$G243=$G$16,K$16,$G243=$G$33,K$33,$G243=$G$34,K$34,$G243=$G$248,K$248,$G243=$G$250,K$250)</f>
        <v>BG sentinel + BG lure7</v>
      </c>
      <c r="L243" s="29" t="str" cm="1">
        <f t="array" ref="L243">_xlfn.IFS($G243=$G$5,L$5,$G243=$G$6,L$6,$G243=$G$7,L$7,$G243=$G$8,L$8,$G243=$G$9,L$9,$G243=$G$10,L$10,$G243=$G$11,L$11,$G243=$G$13,L$13,$G243=$G$15,L$15,$G243=$G$16,L$16,$G243=$G$33,L$33,$G243=$G$34,L$34,$G243=$G$248,L$248,$G243=$G$250,L$250)</f>
        <v>Other</v>
      </c>
      <c r="O243" s="32" t="str">
        <f t="shared" si="13"/>
        <v>A_SP_BCN_9_201014</v>
      </c>
      <c r="P243" s="33">
        <v>44118</v>
      </c>
      <c r="Q243" s="34">
        <v>0.625</v>
      </c>
      <c r="R243" s="35"/>
      <c r="S243" s="36">
        <v>44125</v>
      </c>
      <c r="T243" s="37">
        <v>0.72916666666666663</v>
      </c>
      <c r="U243" s="38"/>
      <c r="V243" s="39" t="s">
        <v>66</v>
      </c>
      <c r="X243" s="29">
        <f t="shared" si="12"/>
        <v>7</v>
      </c>
      <c r="Y243" s="38"/>
      <c r="Z243" s="29" t="s">
        <v>68</v>
      </c>
      <c r="AA243" s="29">
        <f t="shared" si="11"/>
        <v>1</v>
      </c>
      <c r="AB243" s="29" t="s">
        <v>69</v>
      </c>
      <c r="AC243" s="29">
        <v>1</v>
      </c>
      <c r="AD243" s="29">
        <v>0</v>
      </c>
      <c r="AE243" s="29" t="s">
        <v>70</v>
      </c>
      <c r="AF243">
        <v>4</v>
      </c>
    </row>
    <row r="244" spans="1:32" x14ac:dyDescent="0.25">
      <c r="A244" s="28">
        <v>240</v>
      </c>
      <c r="B244" s="29" t="s">
        <v>60</v>
      </c>
      <c r="C244" s="29" t="s">
        <v>61</v>
      </c>
      <c r="D244" s="29" t="s">
        <v>62</v>
      </c>
      <c r="E244" s="29" t="s">
        <v>62</v>
      </c>
      <c r="F244" s="30" cm="1">
        <f t="array" ref="F244">_xlfn.IFS($G244=$G$5,F$5,$G244=$G$6,F$6,$G244=$G$7,F$7,$G244=$G$8,F$8,$G244=$G$9,F$9,$G244=$G$10,F$10,$G244=$G$11,F$11,$G244=$G$13,F$13,$G244=$G$15,F$15,$G244=$G$16,F$16,$G244=$G$33,F$33,$G244=$G$34,F$34,$G244=$G$248,F$248,$G244=$G$250,F$250)</f>
        <v>8034</v>
      </c>
      <c r="G244" s="29" t="s">
        <v>81</v>
      </c>
      <c r="H244" s="31" cm="1">
        <f t="array" ref="H244">_xlfn.IFS($G244=$G$5,H$5,$G244=$G$6,H$6,$G244=$G$7,H$7,$G244=$G$8,H$8,$G244=$G$9,H$9,$G244=$G$10,H$10,$G244=$G$11,H$11,$G244=$G$13,H$13,$G244=$G$15,H$15,$G244=$G$16,H$16,$G244=$G$33,H$33,$G244=$G$34,H$34,$G244=$G$248,H$248,$G244=$G$250,H$250)</f>
        <v>41.393644999999999</v>
      </c>
      <c r="I244" s="31" cm="1">
        <f t="array" ref="I244">_xlfn.IFS($G244=$G$5,I$5,$G244=$G$6,I$6,$G244=$G$7,I$7,$G244=$G$8,I$8,$G244=$G$9,I$9,$G244=$G$10,I$10,$G244=$G$11,I$11,$G244=$G$13,I$13,$G244=$G$15,I$15,$G244=$G$16,I$16,$G244=$G$33,I$33,$G244=$G$34,I$34,$G244=$G$248,I$248,$G244=$G$250,I$250)</f>
        <v>2.1216780000000002</v>
      </c>
      <c r="J244" s="29" cm="1">
        <f t="array" ref="J244">_xlfn.IFS($G244=$G$5,J$5,$G244=$G$6,J$6,$G244=$G$7,J$7,$G244=$G$8,J$8,$G244=$G$9,J$9,$G244=$G$10,J$10,$G244=$G$11,J$11,$G244=$G$13,J$13,$G244=$G$15,J$15,$G244=$G$16,J$16,$G244=$G$33,J$33,$G244=$G$34,J$34,$G244=$G$248,J$248,$G244=$G$250,J$250)</f>
        <v>98</v>
      </c>
      <c r="K244" s="29" t="str" cm="1">
        <f t="array" ref="K244">_xlfn.IFS($G244=$G$5,K$5,$G244=$G$6,K$6,$G244=$G$7,K$7,$G244=$G$8,K$8,$G244=$G$9,K$9,$G244=$G$10,K$10,$G244=$G$11,K$11,$G244=$G$13,K$13,$G244=$G$15,K$15,$G244=$G$16,K$16,$G244=$G$33,K$33,$G244=$G$34,K$34,$G244=$G$248,K$248,$G244=$G$250,K$250)</f>
        <v>BG sentinel + BG lure7</v>
      </c>
      <c r="L244" s="29" t="str" cm="1">
        <f t="array" ref="L244">_xlfn.IFS($G244=$G$5,L$5,$G244=$G$6,L$6,$G244=$G$7,L$7,$G244=$G$8,L$8,$G244=$G$9,L$9,$G244=$G$10,L$10,$G244=$G$11,L$11,$G244=$G$13,L$13,$G244=$G$15,L$15,$G244=$G$16,L$16,$G244=$G$33,L$33,$G244=$G$34,L$34,$G244=$G$248,L$248,$G244=$G$250,L$250)</f>
        <v>Other</v>
      </c>
      <c r="O244" s="32" t="str">
        <f t="shared" si="13"/>
        <v>A_SP_BCN_9_201014</v>
      </c>
      <c r="P244" s="33">
        <v>44118</v>
      </c>
      <c r="Q244" s="34">
        <v>0.625</v>
      </c>
      <c r="R244" s="35"/>
      <c r="S244" s="36">
        <v>44125</v>
      </c>
      <c r="T244" s="37">
        <v>0.72916666666666663</v>
      </c>
      <c r="U244" s="38"/>
      <c r="V244" s="39" t="s">
        <v>66</v>
      </c>
      <c r="X244" s="29">
        <f t="shared" si="12"/>
        <v>7</v>
      </c>
      <c r="Y244" s="38"/>
      <c r="Z244" s="29" t="s">
        <v>84</v>
      </c>
      <c r="AA244" s="29">
        <f t="shared" si="11"/>
        <v>3</v>
      </c>
      <c r="AB244" s="29" t="s">
        <v>69</v>
      </c>
      <c r="AC244" s="29">
        <v>3</v>
      </c>
      <c r="AD244" s="29">
        <v>0</v>
      </c>
      <c r="AE244" s="29" t="s">
        <v>70</v>
      </c>
      <c r="AF244">
        <v>4</v>
      </c>
    </row>
    <row r="245" spans="1:32" x14ac:dyDescent="0.25">
      <c r="A245" s="28">
        <v>241</v>
      </c>
      <c r="B245" s="29" t="s">
        <v>60</v>
      </c>
      <c r="C245" s="29" t="s">
        <v>61</v>
      </c>
      <c r="D245" s="29" t="s">
        <v>62</v>
      </c>
      <c r="E245" s="29" t="s">
        <v>62</v>
      </c>
      <c r="F245" s="30" cm="1">
        <f t="array" ref="F245">_xlfn.IFS($G245=$G$5,F$5,$G245=$G$6,F$6,$G245=$G$7,F$7,$G245=$G$8,F$8,$G245=$G$9,F$9,$G245=$G$10,F$10,$G245=$G$11,F$11,$G245=$G$13,F$13,$G245=$G$15,F$15,$G245=$G$16,F$16,$G245=$G$33,F$33,$G245=$G$34,F$34,$G245=$G$248,F$248,$G245=$G$250,F$250)</f>
        <v>8040</v>
      </c>
      <c r="G245" s="29" t="s">
        <v>83</v>
      </c>
      <c r="H245" s="31" cm="1">
        <f t="array" ref="H245">_xlfn.IFS($G245=$G$5,H$5,$G245=$G$6,H$6,$G245=$G$7,H$7,$G245=$G$8,H$8,$G245=$G$9,H$9,$G245=$G$10,H$10,$G245=$G$11,H$11,$G245=$G$13,H$13,$G245=$G$15,H$15,$G245=$G$16,H$16,$G245=$G$33,H$33,$G245=$G$34,H$34,$G245=$G$248,H$248,$G245=$G$250,H$250)</f>
        <v>41.343685000000001</v>
      </c>
      <c r="I245" s="31" cm="1">
        <f t="array" ref="I245">_xlfn.IFS($G245=$G$5,I$5,$G245=$G$6,I$6,$G245=$G$7,I$7,$G245=$G$8,I$8,$G245=$G$9,I$9,$G245=$G$10,I$10,$G245=$G$11,I$11,$G245=$G$13,I$13,$G245=$G$15,I$15,$G245=$G$16,I$16,$G245=$G$33,I$33,$G245=$G$34,I$34,$G245=$G$248,I$248,$G245=$G$250,I$250)</f>
        <v>2.1441490000000001</v>
      </c>
      <c r="J245" s="29" cm="1">
        <f t="array" ref="J245">_xlfn.IFS($G245=$G$5,J$5,$G245=$G$6,J$6,$G245=$G$7,J$7,$G245=$G$8,J$8,$G245=$G$9,J$9,$G245=$G$10,J$10,$G245=$G$11,J$11,$G245=$G$13,J$13,$G245=$G$15,J$15,$G245=$G$16,J$16,$G245=$G$33,J$33,$G245=$G$34,J$34,$G245=$G$248,J$248,$G245=$G$250,J$250)</f>
        <v>4</v>
      </c>
      <c r="K245" s="29" t="str" cm="1">
        <f t="array" ref="K245">_xlfn.IFS($G245=$G$5,K$5,$G245=$G$6,K$6,$G245=$G$7,K$7,$G245=$G$8,K$8,$G245=$G$9,K$9,$G245=$G$10,K$10,$G245=$G$11,K$11,$G245=$G$13,K$13,$G245=$G$15,K$15,$G245=$G$16,K$16,$G245=$G$33,K$33,$G245=$G$34,K$34,$G245=$G$248,K$248,$G245=$G$250,K$250)</f>
        <v>BG sentinel + BG lure7</v>
      </c>
      <c r="L245" s="29" t="str" cm="1">
        <f t="array" ref="L245">_xlfn.IFS($G245=$G$5,L$5,$G245=$G$6,L$6,$G245=$G$7,L$7,$G245=$G$8,L$8,$G245=$G$9,L$9,$G245=$G$10,L$10,$G245=$G$11,L$11,$G245=$G$13,L$13,$G245=$G$15,L$15,$G245=$G$16,L$16,$G245=$G$33,L$33,$G245=$G$34,L$34,$G245=$G$248,L$248,$G245=$G$250,L$250)</f>
        <v>Urban habitat</v>
      </c>
      <c r="O245" s="32" t="str">
        <f t="shared" si="13"/>
        <v>A_SP_BCN_10_201014</v>
      </c>
      <c r="P245" s="33">
        <v>44118</v>
      </c>
      <c r="Q245" s="34">
        <v>0.65277777777777779</v>
      </c>
      <c r="R245" s="35"/>
      <c r="S245" s="36">
        <v>44125</v>
      </c>
      <c r="T245" s="37">
        <v>0.5</v>
      </c>
      <c r="U245" s="38"/>
      <c r="V245" s="39" t="s">
        <v>66</v>
      </c>
      <c r="X245" s="29">
        <f t="shared" si="12"/>
        <v>7</v>
      </c>
      <c r="Y245" s="38"/>
      <c r="Z245" s="29" t="s">
        <v>68</v>
      </c>
      <c r="AA245" s="29">
        <f t="shared" si="11"/>
        <v>4</v>
      </c>
      <c r="AB245" s="29" t="s">
        <v>69</v>
      </c>
      <c r="AC245" s="29">
        <v>4</v>
      </c>
      <c r="AD245" s="29">
        <v>0</v>
      </c>
      <c r="AE245" s="29" t="s">
        <v>70</v>
      </c>
      <c r="AF245">
        <v>4</v>
      </c>
    </row>
    <row r="246" spans="1:32" x14ac:dyDescent="0.25">
      <c r="A246" s="28">
        <v>242</v>
      </c>
      <c r="B246" s="29" t="s">
        <v>60</v>
      </c>
      <c r="C246" s="29" t="s">
        <v>61</v>
      </c>
      <c r="D246" s="29" t="s">
        <v>62</v>
      </c>
      <c r="E246" s="29" t="s">
        <v>62</v>
      </c>
      <c r="F246" s="30" cm="1">
        <f t="array" ref="F246">_xlfn.IFS($G246=$G$5,F$5,$G246=$G$6,F$6,$G246=$G$7,F$7,$G246=$G$8,F$8,$G246=$G$9,F$9,$G246=$G$10,F$10,$G246=$G$11,F$11,$G246=$G$13,F$13,$G246=$G$15,F$15,$G246=$G$16,F$16,$G246=$G$33,F$33,$G246=$G$34,F$34,$G246=$G$248,F$248,$G246=$G$250,F$250)</f>
        <v>8038</v>
      </c>
      <c r="G246" s="29" t="s">
        <v>85</v>
      </c>
      <c r="H246" s="31" cm="1">
        <f t="array" ref="H246">_xlfn.IFS($G246=$G$5,H$5,$G246=$G$6,H$6,$G246=$G$7,H$7,$G246=$G$8,H$8,$G246=$G$9,H$9,$G246=$G$10,H$10,$G246=$G$11,H$11,$G246=$G$13,H$13,$G246=$G$15,H$15,$G246=$G$16,H$16,$G246=$G$33,H$33,$G246=$G$34,H$34,$G246=$G$248,H$248,$G246=$G$250,H$250)</f>
        <v>41.367429999999999</v>
      </c>
      <c r="I246" s="31" cm="1">
        <f t="array" ref="I246">_xlfn.IFS($G246=$G$5,I$5,$G246=$G$6,I$6,$G246=$G$7,I$7,$G246=$G$8,I$8,$G246=$G$9,I$9,$G246=$G$10,I$10,$G246=$G$11,I$11,$G246=$G$13,I$13,$G246=$G$15,I$15,$G246=$G$16,I$16,$G246=$G$33,I$33,$G246=$G$34,I$34,$G246=$G$248,I$248,$G246=$G$250,I$250)</f>
        <v>2.1569609999999999</v>
      </c>
      <c r="J246" s="29" cm="1">
        <f t="array" ref="J246">_xlfn.IFS($G246=$G$5,J$5,$G246=$G$6,J$6,$G246=$G$7,J$7,$G246=$G$8,J$8,$G246=$G$9,J$9,$G246=$G$10,J$10,$G246=$G$11,J$11,$G246=$G$13,J$13,$G246=$G$15,J$15,$G246=$G$16,J$16,$G246=$G$33,J$33,$G246=$G$34,J$34,$G246=$G$248,J$248,$G246=$G$250,J$250)</f>
        <v>91</v>
      </c>
      <c r="K246" s="29" t="str" cm="1">
        <f t="array" ref="K246">_xlfn.IFS($G246=$G$5,K$5,$G246=$G$6,K$6,$G246=$G$7,K$7,$G246=$G$8,K$8,$G246=$G$9,K$9,$G246=$G$10,K$10,$G246=$G$11,K$11,$G246=$G$13,K$13,$G246=$G$15,K$15,$G246=$G$16,K$16,$G246=$G$33,K$33,$G246=$G$34,K$34,$G246=$G$248,K$248,$G246=$G$250,K$250)</f>
        <v>BG sentinel + BG lure7</v>
      </c>
      <c r="L246" s="29" t="str" cm="1">
        <f t="array" ref="L246">_xlfn.IFS($G246=$G$5,L$5,$G246=$G$6,L$6,$G246=$G$7,L$7,$G246=$G$8,L$8,$G246=$G$9,L$9,$G246=$G$10,L$10,$G246=$G$11,L$11,$G246=$G$13,L$13,$G246=$G$15,L$15,$G246=$G$16,L$16,$G246=$G$33,L$33,$G246=$G$34,L$34,$G246=$G$248,L$248,$G246=$G$250,L$250)</f>
        <v>Other</v>
      </c>
      <c r="O246" s="32" t="str">
        <f t="shared" si="13"/>
        <v>A_SP_BCN_11_201014</v>
      </c>
      <c r="P246" s="33">
        <v>44118</v>
      </c>
      <c r="Q246" s="34">
        <v>0.67361111111111116</v>
      </c>
      <c r="R246" s="35"/>
      <c r="S246" s="36">
        <v>44125</v>
      </c>
      <c r="T246" s="37">
        <v>0.52083333333333337</v>
      </c>
      <c r="U246" s="38"/>
      <c r="V246" s="39" t="s">
        <v>66</v>
      </c>
      <c r="X246" s="29">
        <f t="shared" si="12"/>
        <v>7</v>
      </c>
      <c r="Y246" s="38"/>
      <c r="Z246" s="29" t="s">
        <v>68</v>
      </c>
      <c r="AA246" s="29">
        <f t="shared" si="11"/>
        <v>6</v>
      </c>
      <c r="AB246" s="29" t="s">
        <v>69</v>
      </c>
      <c r="AC246" s="29">
        <v>6</v>
      </c>
      <c r="AD246" s="29">
        <v>0</v>
      </c>
      <c r="AE246" s="29" t="s">
        <v>70</v>
      </c>
      <c r="AF246">
        <v>4</v>
      </c>
    </row>
    <row r="247" spans="1:32" x14ac:dyDescent="0.25">
      <c r="A247" s="28">
        <v>243</v>
      </c>
      <c r="B247" s="29" t="s">
        <v>60</v>
      </c>
      <c r="C247" s="29" t="s">
        <v>61</v>
      </c>
      <c r="D247" s="29" t="s">
        <v>62</v>
      </c>
      <c r="E247" s="29" t="s">
        <v>62</v>
      </c>
      <c r="F247" s="30" cm="1">
        <f t="array" ref="F247">_xlfn.IFS($G247=$G$5,F$5,$G247=$G$6,F$6,$G247=$G$7,F$7,$G247=$G$8,F$8,$G247=$G$9,F$9,$G247=$G$10,F$10,$G247=$G$11,F$11,$G247=$G$13,F$13,$G247=$G$15,F$15,$G247=$G$16,F$16,$G247=$G$33,F$33,$G247=$G$34,F$34,$G247=$G$248,F$248,$G247=$G$250,F$250)</f>
        <v>8038</v>
      </c>
      <c r="G247" s="29" t="s">
        <v>86</v>
      </c>
      <c r="H247" s="31" cm="1">
        <f t="array" ref="H247">_xlfn.IFS($G247=$G$5,H$5,$G247=$G$6,H$6,$G247=$G$7,H$7,$G247=$G$8,H$8,$G247=$G$9,H$9,$G247=$G$10,H$10,$G247=$G$11,H$11,$G247=$G$13,H$13,$G247=$G$15,H$15,$G247=$G$16,H$16,$G247=$G$33,H$33,$G247=$G$34,H$34,$G247=$G$248,H$248,$G247=$G$250,H$250)</f>
        <v>41.363377999999997</v>
      </c>
      <c r="I247" s="31" cm="1">
        <f t="array" ref="I247">_xlfn.IFS($G247=$G$5,I$5,$G247=$G$6,I$6,$G247=$G$7,I$7,$G247=$G$8,I$8,$G247=$G$9,I$9,$G247=$G$10,I$10,$G247=$G$11,I$11,$G247=$G$13,I$13,$G247=$G$15,I$15,$G247=$G$16,I$16,$G247=$G$33,I$33,$G247=$G$34,I$34,$G247=$G$248,I$248,$G247=$G$250,I$250)</f>
        <v>2.164879</v>
      </c>
      <c r="J247" s="29" cm="1">
        <f t="array" ref="J247">_xlfn.IFS($G247=$G$5,J$5,$G247=$G$6,J$6,$G247=$G$7,J$7,$G247=$G$8,J$8,$G247=$G$9,J$9,$G247=$G$10,J$10,$G247=$G$11,J$11,$G247=$G$13,J$13,$G247=$G$15,J$15,$G247=$G$16,J$16,$G247=$G$33,J$33,$G247=$G$34,J$34,$G247=$G$248,J$248,$G247=$G$250,J$250)</f>
        <v>185</v>
      </c>
      <c r="K247" s="29" t="str" cm="1">
        <f t="array" ref="K247">_xlfn.IFS($G247=$G$5,K$5,$G247=$G$6,K$6,$G247=$G$7,K$7,$G247=$G$8,K$8,$G247=$G$9,K$9,$G247=$G$10,K$10,$G247=$G$11,K$11,$G247=$G$13,K$13,$G247=$G$15,K$15,$G247=$G$16,K$16,$G247=$G$33,K$33,$G247=$G$34,K$34,$G247=$G$248,K$248,$G247=$G$250,K$250)</f>
        <v>BG sentinel + BG lure7</v>
      </c>
      <c r="L247" s="29" t="str" cm="1">
        <f t="array" ref="L247">_xlfn.IFS($G247=$G$5,L$5,$G247=$G$6,L$6,$G247=$G$7,L$7,$G247=$G$8,L$8,$G247=$G$9,L$9,$G247=$G$10,L$10,$G247=$G$11,L$11,$G247=$G$13,L$13,$G247=$G$15,L$15,$G247=$G$16,L$16,$G247=$G$33,L$33,$G247=$G$34,L$34,$G247=$G$248,L$248,$G247=$G$250,L$250)</f>
        <v>Other</v>
      </c>
      <c r="O247" s="32" t="str">
        <f t="shared" si="13"/>
        <v>A_SP_BCN_12_201014</v>
      </c>
      <c r="P247" s="33">
        <v>44118</v>
      </c>
      <c r="Q247" s="34">
        <v>0.70833333333333337</v>
      </c>
      <c r="R247" s="35"/>
      <c r="S247" s="36">
        <v>44125</v>
      </c>
      <c r="T247" s="37">
        <v>0.55902777777777779</v>
      </c>
      <c r="U247" s="38"/>
      <c r="V247" s="39" t="s">
        <v>66</v>
      </c>
      <c r="X247" s="29">
        <f t="shared" si="12"/>
        <v>7</v>
      </c>
      <c r="Y247" s="38"/>
      <c r="Z247" s="29" t="s">
        <v>75</v>
      </c>
      <c r="AA247" s="29">
        <f t="shared" si="11"/>
        <v>28</v>
      </c>
      <c r="AB247" s="29" t="s">
        <v>69</v>
      </c>
      <c r="AC247" s="29">
        <v>26</v>
      </c>
      <c r="AD247" s="29">
        <v>2</v>
      </c>
      <c r="AE247" s="29" t="s">
        <v>70</v>
      </c>
      <c r="AF247">
        <v>4</v>
      </c>
    </row>
    <row r="248" spans="1:32" x14ac:dyDescent="0.25">
      <c r="A248" s="28">
        <v>244</v>
      </c>
      <c r="B248" s="29" t="s">
        <v>60</v>
      </c>
      <c r="C248" s="29" t="s">
        <v>61</v>
      </c>
      <c r="D248" s="29" t="s">
        <v>62</v>
      </c>
      <c r="E248" s="29" t="s">
        <v>62</v>
      </c>
      <c r="F248" s="30" cm="1">
        <f t="array" ref="F248">_xlfn.IFS($G248=$G$5,F$5,$G248=$G$6,F$6,$G248=$G$7,F$7,$G248=$G$8,F$8,$G248=$G$9,F$9,$G248=$G$10,F$10,$G248=$G$11,F$11,$G248=$G$13,F$13,$G248=$G$15,F$15,$G248=$G$16,F$16,$G248=$G$33,F$33,$G248=$G$34,F$34,$G248=$G$248,F$248,$G248=$G$250,F$250)</f>
        <v>8024</v>
      </c>
      <c r="G248" s="29" t="s">
        <v>63</v>
      </c>
      <c r="H248" s="31" cm="1">
        <f t="array" ref="H248">_xlfn.IFS($G248=$G$5,H$5,$G248=$G$6,H$6,$G248=$G$7,H$7,$G248=$G$8,H$8,$G248=$G$9,H$9,$G248=$G$10,H$10,$G248=$G$11,H$11,$G248=$G$13,H$13,$G248=$G$15,H$15,$G248=$G$16,H$16,$G248=$G$33,H$33,$G248=$G$34,H$34,$G248=$G$248,H$248,$G248=$G$250,H$250)</f>
        <v>41.413573999999997</v>
      </c>
      <c r="I248" s="31" cm="1">
        <f t="array" ref="I248">_xlfn.IFS($G248=$G$5,I$5,$G248=$G$6,I$6,$G248=$G$7,I$7,$G248=$G$8,I$8,$G248=$G$9,I$9,$G248=$G$10,I$10,$G248=$G$11,I$11,$G248=$G$13,I$13,$G248=$G$15,I$15,$G248=$G$16,I$16,$G248=$G$33,I$33,$G248=$G$34,I$34,$G248=$G$248,I$248,$G248=$G$250,I$250)</f>
        <v>2.1520730000000001</v>
      </c>
      <c r="J248" s="29" cm="1">
        <f t="array" ref="J248">_xlfn.IFS($G248=$G$5,J$5,$G248=$G$6,J$6,$G248=$G$7,J$7,$G248=$G$8,J$8,$G248=$G$9,J$9,$G248=$G$10,J$10,$G248=$G$11,J$11,$G248=$G$13,J$13,$G248=$G$15,J$15,$G248=$G$16,J$16,$G248=$G$33,J$33,$G248=$G$34,J$34,$G248=$G$248,J$248,$G248=$G$250,J$250)</f>
        <v>141</v>
      </c>
      <c r="K248" s="29" t="str" cm="1">
        <f t="array" ref="K248">_xlfn.IFS($G248=$G$5,K$5,$G248=$G$6,K$6,$G248=$G$7,K$7,$G248=$G$8,K$8,$G248=$G$9,K$9,$G248=$G$10,K$10,$G248=$G$11,K$11,$G248=$G$13,K$13,$G248=$G$15,K$15,$G248=$G$16,K$16,$G248=$G$33,K$33,$G248=$G$34,K$34,$G248=$G$248,K$248,$G248=$G$250,K$250)</f>
        <v>BG sentinel + BG lure7</v>
      </c>
      <c r="L248" s="29" t="str" cm="1">
        <f t="array" ref="L248">_xlfn.IFS($G248=$G$5,L$5,$G248=$G$6,L$6,$G248=$G$7,L$7,$G248=$G$8,L$8,$G248=$G$9,L$9,$G248=$G$10,L$10,$G248=$G$11,L$11,$G248=$G$13,L$13,$G248=$G$15,L$15,$G248=$G$16,L$16,$G248=$G$33,L$33,$G248=$G$34,L$34,$G248=$G$248,L$248,$G248=$G$250,L$250)</f>
        <v>Urban habitat</v>
      </c>
      <c r="O248" s="32" t="str">
        <f t="shared" si="13"/>
        <v>A_SP_BCN_1_201021</v>
      </c>
      <c r="P248" s="33">
        <v>44125</v>
      </c>
      <c r="Q248" s="34">
        <v>0.69444444444444453</v>
      </c>
      <c r="R248" s="35"/>
      <c r="S248" s="36">
        <v>44132</v>
      </c>
      <c r="T248" s="37">
        <v>0.6875</v>
      </c>
      <c r="U248" s="38"/>
      <c r="V248" s="39" t="s">
        <v>66</v>
      </c>
      <c r="X248" s="29">
        <f t="shared" si="12"/>
        <v>7</v>
      </c>
      <c r="Y248" s="38"/>
      <c r="Z248" s="29" t="s">
        <v>68</v>
      </c>
      <c r="AA248" s="29">
        <f t="shared" si="11"/>
        <v>13</v>
      </c>
      <c r="AB248" s="29" t="s">
        <v>69</v>
      </c>
      <c r="AC248" s="29">
        <v>11</v>
      </c>
      <c r="AD248" s="29">
        <v>2</v>
      </c>
      <c r="AE248" s="29" t="s">
        <v>70</v>
      </c>
      <c r="AF248">
        <v>4</v>
      </c>
    </row>
    <row r="249" spans="1:32" x14ac:dyDescent="0.25">
      <c r="A249" s="28">
        <v>245</v>
      </c>
      <c r="B249" s="29" t="s">
        <v>60</v>
      </c>
      <c r="C249" s="29" t="s">
        <v>61</v>
      </c>
      <c r="D249" s="29" t="s">
        <v>62</v>
      </c>
      <c r="E249" s="29" t="s">
        <v>62</v>
      </c>
      <c r="F249" s="30" cm="1">
        <f t="array" ref="F249">_xlfn.IFS($G249=$G$5,F$5,$G249=$G$6,F$6,$G249=$G$7,F$7,$G249=$G$8,F$8,$G249=$G$9,F$9,$G249=$G$10,F$10,$G249=$G$11,F$11,$G249=$G$13,F$13,$G249=$G$15,F$15,$G249=$G$16,F$16,$G249=$G$33,F$33,$G249=$G$34,F$34,$G249=$G$248,F$248,$G249=$G$250,F$250)</f>
        <v>8035</v>
      </c>
      <c r="G249" s="29" t="s">
        <v>71</v>
      </c>
      <c r="H249" s="31" cm="1">
        <f t="array" ref="H249">_xlfn.IFS($G249=$G$5,H$5,$G249=$G$6,H$6,$G249=$G$7,H$7,$G249=$G$8,H$8,$G249=$G$9,H$9,$G249=$G$10,H$10,$G249=$G$11,H$11,$G249=$G$13,H$13,$G249=$G$15,H$15,$G249=$G$16,H$16,$G249=$G$33,H$33,$G249=$G$34,H$34,$G249=$G$248,H$248,$G249=$G$250,H$250)</f>
        <v>41.424387000000003</v>
      </c>
      <c r="I249" s="31" cm="1">
        <f t="array" ref="I249">_xlfn.IFS($G249=$G$5,I$5,$G249=$G$6,I$6,$G249=$G$7,I$7,$G249=$G$8,I$8,$G249=$G$9,I$9,$G249=$G$10,I$10,$G249=$G$11,I$11,$G249=$G$13,I$13,$G249=$G$15,I$15,$G249=$G$16,I$16,$G249=$G$33,I$33,$G249=$G$34,I$34,$G249=$G$248,I$248,$G249=$G$250,I$250)</f>
        <v>2.1431439999999999</v>
      </c>
      <c r="J249" s="29" cm="1">
        <f t="array" ref="J249">_xlfn.IFS($G249=$G$5,J$5,$G249=$G$6,J$6,$G249=$G$7,J$7,$G249=$G$8,J$8,$G249=$G$9,J$9,$G249=$G$10,J$10,$G249=$G$11,J$11,$G249=$G$13,J$13,$G249=$G$15,J$15,$G249=$G$16,J$16,$G249=$G$33,J$33,$G249=$G$34,J$34,$G249=$G$248,J$248,$G249=$G$250,J$250)</f>
        <v>160</v>
      </c>
      <c r="K249" s="29" t="str" cm="1">
        <f t="array" ref="K249">_xlfn.IFS($G249=$G$5,K$5,$G249=$G$6,K$6,$G249=$G$7,K$7,$G249=$G$8,K$8,$G249=$G$9,K$9,$G249=$G$10,K$10,$G249=$G$11,K$11,$G249=$G$13,K$13,$G249=$G$15,K$15,$G249=$G$16,K$16,$G249=$G$33,K$33,$G249=$G$34,K$34,$G249=$G$248,K$248,$G249=$G$250,K$250)</f>
        <v>BG sentinel + BG lure7</v>
      </c>
      <c r="L249" s="29" t="str" cm="1">
        <f t="array" ref="L249">_xlfn.IFS($G249=$G$5,L$5,$G249=$G$6,L$6,$G249=$G$7,L$7,$G249=$G$8,L$8,$G249=$G$9,L$9,$G249=$G$10,L$10,$G249=$G$11,L$11,$G249=$G$13,L$13,$G249=$G$15,L$15,$G249=$G$16,L$16,$G249=$G$33,L$33,$G249=$G$34,L$34,$G249=$G$248,L$248,$G249=$G$250,L$250)</f>
        <v>Urban habitat</v>
      </c>
      <c r="O249" s="32" t="str">
        <f t="shared" si="13"/>
        <v>A_SP_BCN_2_201021</v>
      </c>
      <c r="P249" s="33">
        <v>44125</v>
      </c>
      <c r="Q249" s="34">
        <v>0.75</v>
      </c>
      <c r="R249" s="35"/>
      <c r="S249" s="36">
        <v>44132</v>
      </c>
      <c r="T249" s="37">
        <v>0.76388888888888884</v>
      </c>
      <c r="U249" s="38"/>
      <c r="V249" s="39" t="s">
        <v>66</v>
      </c>
      <c r="X249" s="29">
        <f t="shared" si="12"/>
        <v>7</v>
      </c>
      <c r="Y249" s="38"/>
      <c r="Z249" s="29" t="s">
        <v>68</v>
      </c>
      <c r="AA249" s="29">
        <f t="shared" si="11"/>
        <v>3</v>
      </c>
      <c r="AB249" s="29" t="s">
        <v>69</v>
      </c>
      <c r="AC249" s="29">
        <v>3</v>
      </c>
      <c r="AD249" s="29">
        <v>0</v>
      </c>
      <c r="AE249" s="29" t="s">
        <v>70</v>
      </c>
      <c r="AF249">
        <v>4</v>
      </c>
    </row>
    <row r="250" spans="1:32" x14ac:dyDescent="0.25">
      <c r="A250" s="28">
        <v>246</v>
      </c>
      <c r="B250" s="29" t="s">
        <v>60</v>
      </c>
      <c r="C250" s="29" t="s">
        <v>61</v>
      </c>
      <c r="D250" s="29" t="s">
        <v>62</v>
      </c>
      <c r="E250" s="29" t="s">
        <v>62</v>
      </c>
      <c r="F250" s="30" cm="1">
        <f t="array" ref="F250">_xlfn.IFS($G250=$G$5,F$5,$G250=$G$6,F$6,$G250=$G$7,F$7,$G250=$G$8,F$8,$G250=$G$9,F$9,$G250=$G$10,F$10,$G250=$G$11,F$11,$G250=$G$13,F$13,$G250=$G$15,F$15,$G250=$G$16,F$16,$G250=$G$33,F$33,$G250=$G$34,F$34,$G250=$G$248,F$248,$G250=$G$250,F$250)</f>
        <v>8016</v>
      </c>
      <c r="G250" s="29" t="s">
        <v>72</v>
      </c>
      <c r="H250" s="31" cm="1">
        <f t="array" ref="H250">_xlfn.IFS($G250=$G$5,H$5,$G250=$G$6,H$6,$G250=$G$7,H$7,$G250=$G$8,H$8,$G250=$G$9,H$9,$G250=$G$10,H$10,$G250=$G$11,H$11,$G250=$G$13,H$13,$G250=$G$15,H$15,$G250=$G$16,H$16,$G250=$G$33,H$33,$G250=$G$34,H$34,$G250=$G$248,H$248,$G250=$G$250,H$250)</f>
        <v>41.437435000000001</v>
      </c>
      <c r="I250" s="31" cm="1">
        <f t="array" ref="I250">_xlfn.IFS($G250=$G$5,I$5,$G250=$G$6,I$6,$G250=$G$7,I$7,$G250=$G$8,I$8,$G250=$G$9,I$9,$G250=$G$10,I$10,$G250=$G$11,I$11,$G250=$G$13,I$13,$G250=$G$15,I$15,$G250=$G$16,I$16,$G250=$G$33,I$33,$G250=$G$34,I$34,$G250=$G$248,I$248,$G250=$G$250,I$250)</f>
        <v>2.1812779999999998</v>
      </c>
      <c r="J250" s="29" cm="1">
        <f t="array" ref="J250">_xlfn.IFS($G250=$G$5,J$5,$G250=$G$6,J$6,$G250=$G$7,J$7,$G250=$G$8,J$8,$G250=$G$9,J$9,$G250=$G$10,J$10,$G250=$G$11,J$11,$G250=$G$13,J$13,$G250=$G$15,J$15,$G250=$G$16,J$16,$G250=$G$33,J$33,$G250=$G$34,J$34,$G250=$G$248,J$248,$G250=$G$250,J$250)</f>
        <v>47</v>
      </c>
      <c r="K250" s="29" t="str" cm="1">
        <f t="array" ref="K250">_xlfn.IFS($G250=$G$5,K$5,$G250=$G$6,K$6,$G250=$G$7,K$7,$G250=$G$8,K$8,$G250=$G$9,K$9,$G250=$G$10,K$10,$G250=$G$11,K$11,$G250=$G$13,K$13,$G250=$G$15,K$15,$G250=$G$16,K$16,$G250=$G$33,K$33,$G250=$G$34,K$34,$G250=$G$248,K$248,$G250=$G$250,K$250)</f>
        <v>BG sentinel + BG lure7</v>
      </c>
      <c r="L250" s="29" t="str" cm="1">
        <f t="array" ref="L250">_xlfn.IFS($G250=$G$5,L$5,$G250=$G$6,L$6,$G250=$G$7,L$7,$G250=$G$8,L$8,$G250=$G$9,L$9,$G250=$G$10,L$10,$G250=$G$11,L$11,$G250=$G$13,L$13,$G250=$G$15,L$15,$G250=$G$16,L$16,$G250=$G$33,L$33,$G250=$G$34,L$34,$G250=$G$248,L$248,$G250=$G$250,L$250)</f>
        <v>Urban habitat</v>
      </c>
      <c r="O250" s="32" t="str">
        <f t="shared" si="13"/>
        <v>A_SP_BCN_3_201021</v>
      </c>
      <c r="P250" s="33">
        <v>44125</v>
      </c>
      <c r="Q250" s="34">
        <v>0.80208333333333337</v>
      </c>
      <c r="R250" s="35"/>
      <c r="S250" s="36">
        <v>44132</v>
      </c>
      <c r="T250" s="37">
        <v>0.77777777777777779</v>
      </c>
      <c r="U250" s="38"/>
      <c r="V250" s="39" t="s">
        <v>66</v>
      </c>
      <c r="X250" s="29">
        <f t="shared" si="12"/>
        <v>7</v>
      </c>
      <c r="Y250" s="38"/>
      <c r="Z250" s="29" t="s">
        <v>68</v>
      </c>
      <c r="AA250" s="29">
        <f t="shared" si="11"/>
        <v>2</v>
      </c>
      <c r="AB250" s="29" t="s">
        <v>69</v>
      </c>
      <c r="AC250" s="29">
        <v>2</v>
      </c>
      <c r="AD250" s="29">
        <v>0</v>
      </c>
      <c r="AE250" s="29" t="s">
        <v>70</v>
      </c>
      <c r="AF250">
        <v>4</v>
      </c>
    </row>
    <row r="251" spans="1:32" x14ac:dyDescent="0.25">
      <c r="A251" s="28">
        <v>247</v>
      </c>
      <c r="B251" s="29" t="s">
        <v>60</v>
      </c>
      <c r="C251" s="29" t="s">
        <v>61</v>
      </c>
      <c r="D251" s="29" t="s">
        <v>62</v>
      </c>
      <c r="E251" s="29" t="s">
        <v>62</v>
      </c>
      <c r="F251" s="30" cm="1">
        <f t="array" ref="F251">_xlfn.IFS($G251=$G$5,F$5,$G251=$G$6,F$6,$G251=$G$7,F$7,$G251=$G$8,F$8,$G251=$G$9,F$9,$G251=$G$10,F$10,$G251=$G$11,F$11,$G251=$G$13,F$13,$G251=$G$15,F$15,$G251=$G$16,F$16,$G251=$G$33,F$33,$G251=$G$34,F$34,$G251=$G$248,F$248,$G251=$G$250,F$250)</f>
        <v>8016</v>
      </c>
      <c r="G251" s="29" t="s">
        <v>72</v>
      </c>
      <c r="H251" s="31" cm="1">
        <f t="array" ref="H251">_xlfn.IFS($G251=$G$5,H$5,$G251=$G$6,H$6,$G251=$G$7,H$7,$G251=$G$8,H$8,$G251=$G$9,H$9,$G251=$G$10,H$10,$G251=$G$11,H$11,$G251=$G$13,H$13,$G251=$G$15,H$15,$G251=$G$16,H$16,$G251=$G$33,H$33,$G251=$G$34,H$34,$G251=$G$248,H$248,$G251=$G$250,H$250)</f>
        <v>41.437435000000001</v>
      </c>
      <c r="I251" s="31" cm="1">
        <f t="array" ref="I251">_xlfn.IFS($G251=$G$5,I$5,$G251=$G$6,I$6,$G251=$G$7,I$7,$G251=$G$8,I$8,$G251=$G$9,I$9,$G251=$G$10,I$10,$G251=$G$11,I$11,$G251=$G$13,I$13,$G251=$G$15,I$15,$G251=$G$16,I$16,$G251=$G$33,I$33,$G251=$G$34,I$34,$G251=$G$248,I$248,$G251=$G$250,I$250)</f>
        <v>2.1812779999999998</v>
      </c>
      <c r="J251" s="29" cm="1">
        <f t="array" ref="J251">_xlfn.IFS($G251=$G$5,J$5,$G251=$G$6,J$6,$G251=$G$7,J$7,$G251=$G$8,J$8,$G251=$G$9,J$9,$G251=$G$10,J$10,$G251=$G$11,J$11,$G251=$G$13,J$13,$G251=$G$15,J$15,$G251=$G$16,J$16,$G251=$G$33,J$33,$G251=$G$34,J$34,$G251=$G$248,J$248,$G251=$G$250,J$250)</f>
        <v>47</v>
      </c>
      <c r="K251" s="29" t="str" cm="1">
        <f t="array" ref="K251">_xlfn.IFS($G251=$G$5,K$5,$G251=$G$6,K$6,$G251=$G$7,K$7,$G251=$G$8,K$8,$G251=$G$9,K$9,$G251=$G$10,K$10,$G251=$G$11,K$11,$G251=$G$13,K$13,$G251=$G$15,K$15,$G251=$G$16,K$16,$G251=$G$33,K$33,$G251=$G$34,K$34,$G251=$G$248,K$248,$G251=$G$250,K$250)</f>
        <v>BG sentinel + BG lure7</v>
      </c>
      <c r="L251" s="29" t="str" cm="1">
        <f t="array" ref="L251">_xlfn.IFS($G251=$G$5,L$5,$G251=$G$6,L$6,$G251=$G$7,L$7,$G251=$G$8,L$8,$G251=$G$9,L$9,$G251=$G$10,L$10,$G251=$G$11,L$11,$G251=$G$13,L$13,$G251=$G$15,L$15,$G251=$G$16,L$16,$G251=$G$33,L$33,$G251=$G$34,L$34,$G251=$G$248,L$248,$G251=$G$250,L$250)</f>
        <v>Urban habitat</v>
      </c>
      <c r="O251" s="32" t="str">
        <f t="shared" si="13"/>
        <v>A_SP_BCN_3_201021</v>
      </c>
      <c r="P251" s="33">
        <v>44125</v>
      </c>
      <c r="Q251" s="34">
        <v>0.80208333333333337</v>
      </c>
      <c r="R251" s="35"/>
      <c r="S251" s="36">
        <v>44132</v>
      </c>
      <c r="T251" s="37">
        <v>0.77777777777777779</v>
      </c>
      <c r="U251" s="38"/>
      <c r="V251" s="39" t="s">
        <v>66</v>
      </c>
      <c r="X251" s="29">
        <f t="shared" si="12"/>
        <v>7</v>
      </c>
      <c r="Y251" s="38"/>
      <c r="Z251" s="29" t="s">
        <v>84</v>
      </c>
      <c r="AA251" s="29">
        <f t="shared" si="11"/>
        <v>1</v>
      </c>
      <c r="AB251" s="29" t="s">
        <v>69</v>
      </c>
      <c r="AC251" s="29">
        <v>0</v>
      </c>
      <c r="AD251" s="29">
        <v>1</v>
      </c>
      <c r="AE251" s="29" t="s">
        <v>70</v>
      </c>
      <c r="AF251">
        <v>4</v>
      </c>
    </row>
    <row r="252" spans="1:32" x14ac:dyDescent="0.25">
      <c r="A252" s="28">
        <v>248</v>
      </c>
      <c r="B252" s="29" t="s">
        <v>60</v>
      </c>
      <c r="C252" s="29" t="s">
        <v>61</v>
      </c>
      <c r="D252" s="29" t="s">
        <v>62</v>
      </c>
      <c r="E252" s="29" t="s">
        <v>62</v>
      </c>
      <c r="F252" s="30" cm="1">
        <f t="array" ref="F252">_xlfn.IFS($G252=$G$5,F$5,$G252=$G$6,F$6,$G252=$G$7,F$7,$G252=$G$8,F$8,$G252=$G$9,F$9,$G252=$G$10,F$10,$G252=$G$11,F$11,$G252=$G$13,F$13,$G252=$G$15,F$15,$G252=$G$16,F$16,$G252=$G$33,F$33,$G252=$G$34,F$34,$G252=$G$248,F$248,$G252=$G$250,F$250)</f>
        <v>8018</v>
      </c>
      <c r="G252" s="29" t="s">
        <v>73</v>
      </c>
      <c r="H252" s="31" cm="1">
        <f t="array" ref="H252">_xlfn.IFS($G252=$G$5,H$5,$G252=$G$6,H$6,$G252=$G$7,H$7,$G252=$G$8,H$8,$G252=$G$9,H$9,$G252=$G$10,H$10,$G252=$G$11,H$11,$G252=$G$13,H$13,$G252=$G$15,H$15,$G252=$G$16,H$16,$G252=$G$33,H$33,$G252=$G$34,H$34,$G252=$G$248,H$248,$G252=$G$250,H$250)</f>
        <v>41.404924999999999</v>
      </c>
      <c r="I252" s="31" cm="1">
        <f t="array" ref="I252">_xlfn.IFS($G252=$G$5,I$5,$G252=$G$6,I$6,$G252=$G$7,I$7,$G252=$G$8,I$8,$G252=$G$9,I$9,$G252=$G$10,I$10,$G252=$G$11,I$11,$G252=$G$13,I$13,$G252=$G$15,I$15,$G252=$G$16,I$16,$G252=$G$33,I$33,$G252=$G$34,I$34,$G252=$G$248,I$248,$G252=$G$250,I$250)</f>
        <v>2.1987909999999999</v>
      </c>
      <c r="J252" s="29" cm="1">
        <f t="array" ref="J252">_xlfn.IFS($G252=$G$5,J$5,$G252=$G$6,J$6,$G252=$G$7,J$7,$G252=$G$8,J$8,$G252=$G$9,J$9,$G252=$G$10,J$10,$G252=$G$11,J$11,$G252=$G$13,J$13,$G252=$G$15,J$15,$G252=$G$16,J$16,$G252=$G$33,J$33,$G252=$G$34,J$34,$G252=$G$248,J$248,$G252=$G$250,J$250)</f>
        <v>4</v>
      </c>
      <c r="K252" s="29" t="str" cm="1">
        <f t="array" ref="K252">_xlfn.IFS($G252=$G$5,K$5,$G252=$G$6,K$6,$G252=$G$7,K$7,$G252=$G$8,K$8,$G252=$G$9,K$9,$G252=$G$10,K$10,$G252=$G$11,K$11,$G252=$G$13,K$13,$G252=$G$15,K$15,$G252=$G$16,K$16,$G252=$G$33,K$33,$G252=$G$34,K$34,$G252=$G$248,K$248,$G252=$G$250,K$250)</f>
        <v>BG sentinel + BG lure7</v>
      </c>
      <c r="L252" s="29" t="str" cm="1">
        <f t="array" ref="L252">_xlfn.IFS($G252=$G$5,L$5,$G252=$G$6,L$6,$G252=$G$7,L$7,$G252=$G$8,L$8,$G252=$G$9,L$9,$G252=$G$10,L$10,$G252=$G$11,L$11,$G252=$G$13,L$13,$G252=$G$15,L$15,$G252=$G$16,L$16,$G252=$G$33,L$33,$G252=$G$34,L$34,$G252=$G$248,L$248,$G252=$G$250,L$250)</f>
        <v>Urban habitat</v>
      </c>
      <c r="O252" s="32" t="str">
        <f t="shared" si="13"/>
        <v>A_SP_BCN_4_201021</v>
      </c>
      <c r="P252" s="33">
        <v>44125</v>
      </c>
      <c r="Q252" s="34">
        <v>0.62847222222222221</v>
      </c>
      <c r="R252" s="35"/>
      <c r="S252" s="36">
        <v>44132</v>
      </c>
      <c r="T252" s="37">
        <v>0.59722222222222221</v>
      </c>
      <c r="U252" s="38"/>
      <c r="V252" s="39" t="s">
        <v>66</v>
      </c>
      <c r="X252" s="29">
        <f t="shared" si="12"/>
        <v>7</v>
      </c>
      <c r="Y252" s="38"/>
      <c r="Z252" s="29" t="s">
        <v>68</v>
      </c>
      <c r="AA252" s="29">
        <f t="shared" si="11"/>
        <v>3</v>
      </c>
      <c r="AB252" s="29" t="s">
        <v>69</v>
      </c>
      <c r="AC252" s="29">
        <v>3</v>
      </c>
      <c r="AD252" s="29">
        <v>0</v>
      </c>
      <c r="AE252" s="29" t="s">
        <v>70</v>
      </c>
      <c r="AF252">
        <v>4</v>
      </c>
    </row>
    <row r="253" spans="1:32" x14ac:dyDescent="0.25">
      <c r="A253" s="28">
        <v>249</v>
      </c>
      <c r="B253" s="29" t="s">
        <v>60</v>
      </c>
      <c r="C253" s="29" t="s">
        <v>61</v>
      </c>
      <c r="D253" s="29" t="s">
        <v>62</v>
      </c>
      <c r="E253" s="29" t="s">
        <v>62</v>
      </c>
      <c r="F253" s="30" cm="1">
        <f t="array" ref="F253">_xlfn.IFS($G253=$G$5,F$5,$G253=$G$6,F$6,$G253=$G$7,F$7,$G253=$G$8,F$8,$G253=$G$9,F$9,$G253=$G$10,F$10,$G253=$G$11,F$11,$G253=$G$13,F$13,$G253=$G$15,F$15,$G253=$G$16,F$16,$G253=$G$33,F$33,$G253=$G$34,F$34,$G253=$G$248,F$248,$G253=$G$250,F$250)</f>
        <v>8019</v>
      </c>
      <c r="G253" s="29" t="s">
        <v>74</v>
      </c>
      <c r="H253" s="31" cm="1">
        <f t="array" ref="H253">_xlfn.IFS($G253=$G$5,H$5,$G253=$G$6,H$6,$G253=$G$7,H$7,$G253=$G$8,H$8,$G253=$G$9,H$9,$G253=$G$10,H$10,$G253=$G$11,H$11,$G253=$G$13,H$13,$G253=$G$15,H$15,$G253=$G$16,H$16,$G253=$G$33,H$33,$G253=$G$34,H$34,$G253=$G$248,H$248,$G253=$G$250,H$250)</f>
        <v>41.410684000000003</v>
      </c>
      <c r="I253" s="31" cm="1">
        <f t="array" ref="I253">_xlfn.IFS($G253=$G$5,I$5,$G253=$G$6,I$6,$G253=$G$7,I$7,$G253=$G$8,I$8,$G253=$G$9,I$9,$G253=$G$10,I$10,$G253=$G$11,I$11,$G253=$G$13,I$13,$G253=$G$15,I$15,$G253=$G$16,I$16,$G253=$G$33,I$33,$G253=$G$34,I$34,$G253=$G$248,I$248,$G253=$G$250,I$250)</f>
        <v>2.2208019999999999</v>
      </c>
      <c r="J253" s="29" cm="1">
        <f t="array" ref="J253">_xlfn.IFS($G253=$G$5,J$5,$G253=$G$6,J$6,$G253=$G$7,J$7,$G253=$G$8,J$8,$G253=$G$9,J$9,$G253=$G$10,J$10,$G253=$G$11,J$11,$G253=$G$13,J$13,$G253=$G$15,J$15,$G253=$G$16,J$16,$G253=$G$33,J$33,$G253=$G$34,J$34,$G253=$G$248,J$248,$G253=$G$250,J$250)</f>
        <v>18</v>
      </c>
      <c r="K253" s="29" t="str" cm="1">
        <f t="array" ref="K253">_xlfn.IFS($G253=$G$5,K$5,$G253=$G$6,K$6,$G253=$G$7,K$7,$G253=$G$8,K$8,$G253=$G$9,K$9,$G253=$G$10,K$10,$G253=$G$11,K$11,$G253=$G$13,K$13,$G253=$G$15,K$15,$G253=$G$16,K$16,$G253=$G$33,K$33,$G253=$G$34,K$34,$G253=$G$248,K$248,$G253=$G$250,K$250)</f>
        <v>BG sentinel + BG lure7</v>
      </c>
      <c r="L253" s="29" t="str" cm="1">
        <f t="array" ref="L253">_xlfn.IFS($G253=$G$5,L$5,$G253=$G$6,L$6,$G253=$G$7,L$7,$G253=$G$8,L$8,$G253=$G$9,L$9,$G253=$G$10,L$10,$G253=$G$11,L$11,$G253=$G$13,L$13,$G253=$G$15,L$15,$G253=$G$16,L$16,$G253=$G$33,L$33,$G253=$G$34,L$34,$G253=$G$248,L$248,$G253=$G$250,L$250)</f>
        <v>Urban habitat</v>
      </c>
      <c r="O253" s="32" t="str">
        <f t="shared" si="13"/>
        <v>A_SP_BCN_5_201021</v>
      </c>
      <c r="P253" s="33">
        <v>44125</v>
      </c>
      <c r="Q253" s="34">
        <v>0.64930555555555558</v>
      </c>
      <c r="R253" s="35"/>
      <c r="S253" s="36">
        <v>44132</v>
      </c>
      <c r="T253" s="37">
        <v>0.61805555555555558</v>
      </c>
      <c r="U253" s="38"/>
      <c r="V253" s="39" t="s">
        <v>66</v>
      </c>
      <c r="X253" s="29">
        <f t="shared" si="12"/>
        <v>7</v>
      </c>
      <c r="Y253" s="38"/>
      <c r="Z253" s="29" t="s">
        <v>75</v>
      </c>
      <c r="AA253" s="29">
        <f t="shared" si="11"/>
        <v>2</v>
      </c>
      <c r="AB253" s="29" t="s">
        <v>69</v>
      </c>
      <c r="AC253" s="29">
        <v>2</v>
      </c>
      <c r="AD253" s="29">
        <v>0</v>
      </c>
      <c r="AE253" s="29" t="s">
        <v>70</v>
      </c>
      <c r="AF253">
        <v>4</v>
      </c>
    </row>
    <row r="254" spans="1:32" x14ac:dyDescent="0.25">
      <c r="A254" s="28">
        <v>250</v>
      </c>
      <c r="B254" s="29" t="s">
        <v>60</v>
      </c>
      <c r="C254" s="29" t="s">
        <v>61</v>
      </c>
      <c r="D254" s="29" t="s">
        <v>62</v>
      </c>
      <c r="E254" s="29" t="s">
        <v>62</v>
      </c>
      <c r="F254" s="30" cm="1">
        <f t="array" ref="F254">_xlfn.IFS($G254=$G$5,F$5,$G254=$G$6,F$6,$G254=$G$7,F$7,$G254=$G$8,F$8,$G254=$G$9,F$9,$G254=$G$10,F$10,$G254=$G$11,F$11,$G254=$G$13,F$13,$G254=$G$15,F$15,$G254=$G$16,F$16,$G254=$G$33,F$33,$G254=$G$34,F$34,$G254=$G$248,F$248,$G254=$G$250,F$250)</f>
        <v>8002</v>
      </c>
      <c r="G254" s="29" t="s">
        <v>76</v>
      </c>
      <c r="H254" s="31" cm="1">
        <f t="array" ref="H254">_xlfn.IFS($G254=$G$5,H$5,$G254=$G$6,H$6,$G254=$G$7,H$7,$G254=$G$8,H$8,$G254=$G$9,H$9,$G254=$G$10,H$10,$G254=$G$11,H$11,$G254=$G$13,H$13,$G254=$G$15,H$15,$G254=$G$16,H$16,$G254=$G$33,H$33,$G254=$G$34,H$34,$G254=$G$248,H$248,$G254=$G$250,H$250)</f>
        <v>41.382339999999999</v>
      </c>
      <c r="I254" s="31" cm="1">
        <f t="array" ref="I254">_xlfn.IFS($G254=$G$5,I$5,$G254=$G$6,I$6,$G254=$G$7,I$7,$G254=$G$8,I$8,$G254=$G$9,I$9,$G254=$G$10,I$10,$G254=$G$11,I$11,$G254=$G$13,I$13,$G254=$G$15,I$15,$G254=$G$16,I$16,$G254=$G$33,I$33,$G254=$G$34,I$34,$G254=$G$248,I$248,$G254=$G$250,I$250)</f>
        <v>2.1714790000000002</v>
      </c>
      <c r="J254" s="29" cm="1">
        <f t="array" ref="J254">_xlfn.IFS($G254=$G$5,J$5,$G254=$G$6,J$6,$G254=$G$7,J$7,$G254=$G$8,J$8,$G254=$G$9,J$9,$G254=$G$10,J$10,$G254=$G$11,J$11,$G254=$G$13,J$13,$G254=$G$15,J$15,$G254=$G$16,J$16,$G254=$G$33,J$33,$G254=$G$34,J$34,$G254=$G$248,J$248,$G254=$G$250,J$250)</f>
        <v>19</v>
      </c>
      <c r="K254" s="29" t="str" cm="1">
        <f t="array" ref="K254">_xlfn.IFS($G254=$G$5,K$5,$G254=$G$6,K$6,$G254=$G$7,K$7,$G254=$G$8,K$8,$G254=$G$9,K$9,$G254=$G$10,K$10,$G254=$G$11,K$11,$G254=$G$13,K$13,$G254=$G$15,K$15,$G254=$G$16,K$16,$G254=$G$33,K$33,$G254=$G$34,K$34,$G254=$G$248,K$248,$G254=$G$250,K$250)</f>
        <v>BG sentinel + BG lure7</v>
      </c>
      <c r="L254" s="29" t="str" cm="1">
        <f t="array" ref="L254">_xlfn.IFS($G254=$G$5,L$5,$G254=$G$6,L$6,$G254=$G$7,L$7,$G254=$G$8,L$8,$G254=$G$9,L$9,$G254=$G$10,L$10,$G254=$G$11,L$11,$G254=$G$13,L$13,$G254=$G$15,L$15,$G254=$G$16,L$16,$G254=$G$33,L$33,$G254=$G$34,L$34,$G254=$G$248,L$248,$G254=$G$250,L$250)</f>
        <v>Urban habitat</v>
      </c>
      <c r="O254" s="32" t="str">
        <f t="shared" si="13"/>
        <v>A_SP_BCN_6_201021</v>
      </c>
      <c r="P254" s="33">
        <v>44125</v>
      </c>
      <c r="Q254" s="34">
        <v>0.57986111111111105</v>
      </c>
      <c r="R254" s="35"/>
      <c r="S254" s="36">
        <v>44132</v>
      </c>
      <c r="T254" s="37">
        <v>0.57291666666666663</v>
      </c>
      <c r="U254" s="38"/>
      <c r="V254" s="39" t="s">
        <v>66</v>
      </c>
      <c r="X254" s="29">
        <f t="shared" si="12"/>
        <v>7</v>
      </c>
      <c r="Y254" s="38"/>
      <c r="Z254" s="29" t="s">
        <v>68</v>
      </c>
      <c r="AA254" s="29">
        <f t="shared" si="11"/>
        <v>2</v>
      </c>
      <c r="AB254" s="29" t="s">
        <v>69</v>
      </c>
      <c r="AC254" s="29">
        <v>2</v>
      </c>
      <c r="AD254" s="29">
        <v>0</v>
      </c>
      <c r="AE254" s="29" t="s">
        <v>70</v>
      </c>
      <c r="AF254">
        <v>4</v>
      </c>
    </row>
    <row r="255" spans="1:32" x14ac:dyDescent="0.25">
      <c r="A255" s="28">
        <v>251</v>
      </c>
      <c r="B255" s="29" t="s">
        <v>60</v>
      </c>
      <c r="C255" s="29" t="s">
        <v>61</v>
      </c>
      <c r="D255" s="29" t="s">
        <v>62</v>
      </c>
      <c r="E255" s="29" t="s">
        <v>62</v>
      </c>
      <c r="F255" s="30" cm="1">
        <f t="array" ref="F255">_xlfn.IFS($G255=$G$5,F$5,$G255=$G$6,F$6,$G255=$G$7,F$7,$G255=$G$8,F$8,$G255=$G$9,F$9,$G255=$G$10,F$10,$G255=$G$11,F$11,$G255=$G$13,F$13,$G255=$G$15,F$15,$G255=$G$16,F$16,$G255=$G$33,F$33,$G255=$G$34,F$34,$G255=$G$248,F$248,$G255=$G$250,F$250)</f>
        <v>8038</v>
      </c>
      <c r="G255" s="29" t="s">
        <v>77</v>
      </c>
      <c r="H255" s="31" cm="1">
        <f t="array" ref="H255">_xlfn.IFS($G255=$G$5,H$5,$G255=$G$6,H$6,$G255=$G$7,H$7,$G255=$G$8,H$8,$G255=$G$9,H$9,$G255=$G$10,H$10,$G255=$G$11,H$11,$G255=$G$13,H$13,$G255=$G$15,H$15,$G255=$G$16,H$16,$G255=$G$33,H$33,$G255=$G$34,H$34,$G255=$G$248,H$248,$G255=$G$250,H$250)</f>
        <v>41.371864000000002</v>
      </c>
      <c r="I255" s="31" cm="1">
        <f t="array" ref="I255">_xlfn.IFS($G255=$G$5,I$5,$G255=$G$6,I$6,$G255=$G$7,I$7,$G255=$G$8,I$8,$G255=$G$9,I$9,$G255=$G$10,I$10,$G255=$G$11,I$11,$G255=$G$13,I$13,$G255=$G$15,I$15,$G255=$G$16,I$16,$G255=$G$33,I$33,$G255=$G$34,I$34,$G255=$G$248,I$248,$G255=$G$250,I$250)</f>
        <v>2.173899</v>
      </c>
      <c r="J255" s="29" cm="1">
        <f t="array" ref="J255">_xlfn.IFS($G255=$G$5,J$5,$G255=$G$6,J$6,$G255=$G$7,J$7,$G255=$G$8,J$8,$G255=$G$9,J$9,$G255=$G$10,J$10,$G255=$G$11,J$11,$G255=$G$13,J$13,$G255=$G$15,J$15,$G255=$G$16,J$16,$G255=$G$33,J$33,$G255=$G$34,J$34,$G255=$G$248,J$248,$G255=$G$250,J$250)</f>
        <v>5</v>
      </c>
      <c r="K255" s="29" t="str" cm="1">
        <f t="array" ref="K255">_xlfn.IFS($G255=$G$5,K$5,$G255=$G$6,K$6,$G255=$G$7,K$7,$G255=$G$8,K$8,$G255=$G$9,K$9,$G255=$G$10,K$10,$G255=$G$11,K$11,$G255=$G$13,K$13,$G255=$G$15,K$15,$G255=$G$16,K$16,$G255=$G$33,K$33,$G255=$G$34,K$34,$G255=$G$248,K$248,$G255=$G$250,K$250)</f>
        <v>BG sentinel + BG lure7</v>
      </c>
      <c r="L255" s="29" t="str" cm="1">
        <f t="array" ref="L255">_xlfn.IFS($G255=$G$5,L$5,$G255=$G$6,L$6,$G255=$G$7,L$7,$G255=$G$8,L$8,$G255=$G$9,L$9,$G255=$G$10,L$10,$G255=$G$11,L$11,$G255=$G$13,L$13,$G255=$G$15,L$15,$G255=$G$16,L$16,$G255=$G$33,L$33,$G255=$G$34,L$34,$G255=$G$248,L$248,$G255=$G$250,L$250)</f>
        <v>Urban habitat</v>
      </c>
      <c r="O255" s="32" t="str">
        <f t="shared" si="13"/>
        <v>A_SP_BCN_7_201021</v>
      </c>
      <c r="P255" s="33">
        <v>44125</v>
      </c>
      <c r="Q255" s="34">
        <v>0.51388888888888895</v>
      </c>
      <c r="R255" s="35"/>
      <c r="S255" s="36">
        <v>44132</v>
      </c>
      <c r="T255" s="37">
        <v>0.50694444444444442</v>
      </c>
      <c r="U255" s="38"/>
      <c r="V255" s="39" t="s">
        <v>99</v>
      </c>
      <c r="X255" s="29">
        <f t="shared" si="12"/>
        <v>7</v>
      </c>
      <c r="Y255" s="38"/>
      <c r="Z255" s="29" t="s">
        <v>68</v>
      </c>
      <c r="AA255" s="29">
        <f t="shared" si="11"/>
        <v>3</v>
      </c>
      <c r="AB255" s="29" t="s">
        <v>69</v>
      </c>
      <c r="AC255" s="29">
        <v>3</v>
      </c>
      <c r="AD255" s="29">
        <v>0</v>
      </c>
      <c r="AE255" s="29" t="s">
        <v>70</v>
      </c>
      <c r="AF255">
        <v>2</v>
      </c>
    </row>
    <row r="256" spans="1:32" x14ac:dyDescent="0.25">
      <c r="A256" s="28">
        <v>252</v>
      </c>
      <c r="B256" s="29" t="s">
        <v>60</v>
      </c>
      <c r="C256" s="29" t="s">
        <v>61</v>
      </c>
      <c r="D256" s="29" t="s">
        <v>62</v>
      </c>
      <c r="E256" s="29" t="s">
        <v>62</v>
      </c>
      <c r="F256" s="30" cm="1">
        <f t="array" ref="F256">_xlfn.IFS($G256=$G$5,F$5,$G256=$G$6,F$6,$G256=$G$7,F$7,$G256=$G$8,F$8,$G256=$G$9,F$9,$G256=$G$10,F$10,$G256=$G$11,F$11,$G256=$G$13,F$13,$G256=$G$15,F$15,$G256=$G$16,F$16,$G256=$G$33,F$33,$G256=$G$34,F$34,$G256=$G$248,F$248,$G256=$G$250,F$250)</f>
        <v>8038</v>
      </c>
      <c r="G256" s="29" t="s">
        <v>78</v>
      </c>
      <c r="H256" s="31" cm="1">
        <f t="array" ref="H256">_xlfn.IFS($G256=$G$5,H$5,$G256=$G$6,H$6,$G256=$G$7,H$7,$G256=$G$8,H$8,$G256=$G$9,H$9,$G256=$G$10,H$10,$G256=$G$11,H$11,$G256=$G$13,H$13,$G256=$G$15,H$15,$G256=$G$16,H$16,$G256=$G$33,H$33,$G256=$G$34,H$34,$G256=$G$248,H$248,$G256=$G$250,H$250)</f>
        <v>41.368589</v>
      </c>
      <c r="I256" s="31" cm="1">
        <f t="array" ref="I256">_xlfn.IFS($G256=$G$5,I$5,$G256=$G$6,I$6,$G256=$G$7,I$7,$G256=$G$8,I$8,$G256=$G$9,I$9,$G256=$G$10,I$10,$G256=$G$11,I$11,$G256=$G$13,I$13,$G256=$G$15,I$15,$G256=$G$16,I$16,$G256=$G$33,I$33,$G256=$G$34,I$34,$G256=$G$248,I$248,$G256=$G$250,I$250)</f>
        <v>2.1620900000000001</v>
      </c>
      <c r="J256" s="29" cm="1">
        <f t="array" ref="J256">_xlfn.IFS($G256=$G$5,J$5,$G256=$G$6,J$6,$G256=$G$7,J$7,$G256=$G$8,J$8,$G256=$G$9,J$9,$G256=$G$10,J$10,$G256=$G$11,J$11,$G256=$G$13,J$13,$G256=$G$15,J$15,$G256=$G$16,J$16,$G256=$G$33,J$33,$G256=$G$34,J$34,$G256=$G$248,J$248,$G256=$G$250,J$250)</f>
        <v>95</v>
      </c>
      <c r="K256" s="29" t="str" cm="1">
        <f t="array" ref="K256">_xlfn.IFS($G256=$G$5,K$5,$G256=$G$6,K$6,$G256=$G$7,K$7,$G256=$G$8,K$8,$G256=$G$9,K$9,$G256=$G$10,K$10,$G256=$G$11,K$11,$G256=$G$13,K$13,$G256=$G$15,K$15,$G256=$G$16,K$16,$G256=$G$33,K$33,$G256=$G$34,K$34,$G256=$G$248,K$248,$G256=$G$250,K$250)</f>
        <v>BG sentinel + BG lure7</v>
      </c>
      <c r="L256" s="29" t="str" cm="1">
        <f t="array" ref="L256">_xlfn.IFS($G256=$G$5,L$5,$G256=$G$6,L$6,$G256=$G$7,L$7,$G256=$G$8,L$8,$G256=$G$9,L$9,$G256=$G$10,L$10,$G256=$G$11,L$11,$G256=$G$13,L$13,$G256=$G$15,L$15,$G256=$G$16,L$16,$G256=$G$33,L$33,$G256=$G$34,L$34,$G256=$G$248,L$248,$G256=$G$250,L$250)</f>
        <v>Other</v>
      </c>
      <c r="O256" s="32" t="str">
        <f t="shared" si="13"/>
        <v>A_SP_BCN_8_201021</v>
      </c>
      <c r="P256" s="33">
        <v>44125</v>
      </c>
      <c r="Q256" s="34">
        <v>0.53125</v>
      </c>
      <c r="R256" s="35"/>
      <c r="S256" s="36">
        <v>44132</v>
      </c>
      <c r="T256" s="37">
        <v>0.52083333333333337</v>
      </c>
      <c r="U256" s="38"/>
      <c r="V256" s="39" t="s">
        <v>66</v>
      </c>
      <c r="X256" s="29">
        <f t="shared" si="12"/>
        <v>7</v>
      </c>
      <c r="Y256" s="38"/>
      <c r="Z256" s="29" t="s">
        <v>68</v>
      </c>
      <c r="AA256" s="29">
        <f t="shared" si="11"/>
        <v>12</v>
      </c>
      <c r="AB256" s="29" t="s">
        <v>69</v>
      </c>
      <c r="AC256" s="29">
        <v>11</v>
      </c>
      <c r="AD256" s="29">
        <v>1</v>
      </c>
      <c r="AE256" s="29" t="s">
        <v>70</v>
      </c>
      <c r="AF256">
        <v>4</v>
      </c>
    </row>
    <row r="257" spans="1:32" x14ac:dyDescent="0.25">
      <c r="A257" s="28">
        <v>253</v>
      </c>
      <c r="B257" s="29" t="s">
        <v>60</v>
      </c>
      <c r="C257" s="29" t="s">
        <v>61</v>
      </c>
      <c r="D257" s="29" t="s">
        <v>62</v>
      </c>
      <c r="E257" s="29" t="s">
        <v>62</v>
      </c>
      <c r="F257" s="30" cm="1">
        <f t="array" ref="F257">_xlfn.IFS($G257=$G$5,F$5,$G257=$G$6,F$6,$G257=$G$7,F$7,$G257=$G$8,F$8,$G257=$G$9,F$9,$G257=$G$10,F$10,$G257=$G$11,F$11,$G257=$G$13,F$13,$G257=$G$15,F$15,$G257=$G$16,F$16,$G257=$G$33,F$33,$G257=$G$34,F$34,$G257=$G$248,F$248,$G257=$G$250,F$250)</f>
        <v>8038</v>
      </c>
      <c r="G257" s="29" t="s">
        <v>78</v>
      </c>
      <c r="H257" s="31" cm="1">
        <f t="array" ref="H257">_xlfn.IFS($G257=$G$5,H$5,$G257=$G$6,H$6,$G257=$G$7,H$7,$G257=$G$8,H$8,$G257=$G$9,H$9,$G257=$G$10,H$10,$G257=$G$11,H$11,$G257=$G$13,H$13,$G257=$G$15,H$15,$G257=$G$16,H$16,$G257=$G$33,H$33,$G257=$G$34,H$34,$G257=$G$248,H$248,$G257=$G$250,H$250)</f>
        <v>41.368589</v>
      </c>
      <c r="I257" s="31" cm="1">
        <f t="array" ref="I257">_xlfn.IFS($G257=$G$5,I$5,$G257=$G$6,I$6,$G257=$G$7,I$7,$G257=$G$8,I$8,$G257=$G$9,I$9,$G257=$G$10,I$10,$G257=$G$11,I$11,$G257=$G$13,I$13,$G257=$G$15,I$15,$G257=$G$16,I$16,$G257=$G$33,I$33,$G257=$G$34,I$34,$G257=$G$248,I$248,$G257=$G$250,I$250)</f>
        <v>2.1620900000000001</v>
      </c>
      <c r="J257" s="29" cm="1">
        <f t="array" ref="J257">_xlfn.IFS($G257=$G$5,J$5,$G257=$G$6,J$6,$G257=$G$7,J$7,$G257=$G$8,J$8,$G257=$G$9,J$9,$G257=$G$10,J$10,$G257=$G$11,J$11,$G257=$G$13,J$13,$G257=$G$15,J$15,$G257=$G$16,J$16,$G257=$G$33,J$33,$G257=$G$34,J$34,$G257=$G$248,J$248,$G257=$G$250,J$250)</f>
        <v>95</v>
      </c>
      <c r="K257" s="29" t="str" cm="1">
        <f t="array" ref="K257">_xlfn.IFS($G257=$G$5,K$5,$G257=$G$6,K$6,$G257=$G$7,K$7,$G257=$G$8,K$8,$G257=$G$9,K$9,$G257=$G$10,K$10,$G257=$G$11,K$11,$G257=$G$13,K$13,$G257=$G$15,K$15,$G257=$G$16,K$16,$G257=$G$33,K$33,$G257=$G$34,K$34,$G257=$G$248,K$248,$G257=$G$250,K$250)</f>
        <v>BG sentinel + BG lure7</v>
      </c>
      <c r="L257" s="29" t="str" cm="1">
        <f t="array" ref="L257">_xlfn.IFS($G257=$G$5,L$5,$G257=$G$6,L$6,$G257=$G$7,L$7,$G257=$G$8,L$8,$G257=$G$9,L$9,$G257=$G$10,L$10,$G257=$G$11,L$11,$G257=$G$13,L$13,$G257=$G$15,L$15,$G257=$G$16,L$16,$G257=$G$33,L$33,$G257=$G$34,L$34,$G257=$G$248,L$248,$G257=$G$250,L$250)</f>
        <v>Other</v>
      </c>
      <c r="O257" s="32" t="str">
        <f t="shared" si="13"/>
        <v>A_SP_BCN_8_201021</v>
      </c>
      <c r="P257" s="33">
        <v>44125</v>
      </c>
      <c r="Q257" s="34">
        <v>0.53125</v>
      </c>
      <c r="R257" s="35"/>
      <c r="S257" s="36">
        <v>44132</v>
      </c>
      <c r="T257" s="37">
        <v>0.52083333333333337</v>
      </c>
      <c r="U257" s="38"/>
      <c r="V257" s="39" t="s">
        <v>66</v>
      </c>
      <c r="X257" s="29">
        <f t="shared" si="12"/>
        <v>7</v>
      </c>
      <c r="Y257" s="38"/>
      <c r="Z257" s="29" t="s">
        <v>75</v>
      </c>
      <c r="AA257" s="29">
        <f t="shared" si="11"/>
        <v>3</v>
      </c>
      <c r="AB257" s="29" t="s">
        <v>69</v>
      </c>
      <c r="AC257" s="29">
        <v>3</v>
      </c>
      <c r="AD257" s="29">
        <v>0</v>
      </c>
      <c r="AE257" s="29" t="s">
        <v>70</v>
      </c>
      <c r="AF257">
        <v>4</v>
      </c>
    </row>
    <row r="258" spans="1:32" x14ac:dyDescent="0.25">
      <c r="A258" s="28">
        <v>254</v>
      </c>
      <c r="B258" s="29" t="s">
        <v>60</v>
      </c>
      <c r="C258" s="29" t="s">
        <v>61</v>
      </c>
      <c r="D258" s="29" t="s">
        <v>62</v>
      </c>
      <c r="E258" s="29" t="s">
        <v>62</v>
      </c>
      <c r="F258" s="30" cm="1">
        <f t="array" ref="F258">_xlfn.IFS($G258=$G$5,F$5,$G258=$G$6,F$6,$G258=$G$7,F$7,$G258=$G$8,F$8,$G258=$G$9,F$9,$G258=$G$10,F$10,$G258=$G$11,F$11,$G258=$G$13,F$13,$G258=$G$15,F$15,$G258=$G$16,F$16,$G258=$G$33,F$33,$G258=$G$34,F$34,$G258=$G$248,F$248,$G258=$G$250,F$250)</f>
        <v>8038</v>
      </c>
      <c r="G258" s="29" t="s">
        <v>78</v>
      </c>
      <c r="H258" s="31" cm="1">
        <f t="array" ref="H258">_xlfn.IFS($G258=$G$5,H$5,$G258=$G$6,H$6,$G258=$G$7,H$7,$G258=$G$8,H$8,$G258=$G$9,H$9,$G258=$G$10,H$10,$G258=$G$11,H$11,$G258=$G$13,H$13,$G258=$G$15,H$15,$G258=$G$16,H$16,$G258=$G$33,H$33,$G258=$G$34,H$34,$G258=$G$248,H$248,$G258=$G$250,H$250)</f>
        <v>41.368589</v>
      </c>
      <c r="I258" s="31" cm="1">
        <f t="array" ref="I258">_xlfn.IFS($G258=$G$5,I$5,$G258=$G$6,I$6,$G258=$G$7,I$7,$G258=$G$8,I$8,$G258=$G$9,I$9,$G258=$G$10,I$10,$G258=$G$11,I$11,$G258=$G$13,I$13,$G258=$G$15,I$15,$G258=$G$16,I$16,$G258=$G$33,I$33,$G258=$G$34,I$34,$G258=$G$248,I$248,$G258=$G$250,I$250)</f>
        <v>2.1620900000000001</v>
      </c>
      <c r="J258" s="29" cm="1">
        <f t="array" ref="J258">_xlfn.IFS($G258=$G$5,J$5,$G258=$G$6,J$6,$G258=$G$7,J$7,$G258=$G$8,J$8,$G258=$G$9,J$9,$G258=$G$10,J$10,$G258=$G$11,J$11,$G258=$G$13,J$13,$G258=$G$15,J$15,$G258=$G$16,J$16,$G258=$G$33,J$33,$G258=$G$34,J$34,$G258=$G$248,J$248,$G258=$G$250,J$250)</f>
        <v>95</v>
      </c>
      <c r="K258" s="29" t="str" cm="1">
        <f t="array" ref="K258">_xlfn.IFS($G258=$G$5,K$5,$G258=$G$6,K$6,$G258=$G$7,K$7,$G258=$G$8,K$8,$G258=$G$9,K$9,$G258=$G$10,K$10,$G258=$G$11,K$11,$G258=$G$13,K$13,$G258=$G$15,K$15,$G258=$G$16,K$16,$G258=$G$33,K$33,$G258=$G$34,K$34,$G258=$G$248,K$248,$G258=$G$250,K$250)</f>
        <v>BG sentinel + BG lure7</v>
      </c>
      <c r="L258" s="29" t="str" cm="1">
        <f t="array" ref="L258">_xlfn.IFS($G258=$G$5,L$5,$G258=$G$6,L$6,$G258=$G$7,L$7,$G258=$G$8,L$8,$G258=$G$9,L$9,$G258=$G$10,L$10,$G258=$G$11,L$11,$G258=$G$13,L$13,$G258=$G$15,L$15,$G258=$G$16,L$16,$G258=$G$33,L$33,$G258=$G$34,L$34,$G258=$G$248,L$248,$G258=$G$250,L$250)</f>
        <v>Other</v>
      </c>
      <c r="O258" s="32" t="str">
        <f t="shared" si="13"/>
        <v>A_SP_BCN_8_201021</v>
      </c>
      <c r="P258" s="33">
        <v>44125</v>
      </c>
      <c r="Q258" s="34">
        <v>0.53125</v>
      </c>
      <c r="R258" s="35"/>
      <c r="S258" s="36">
        <v>44132</v>
      </c>
      <c r="T258" s="37">
        <v>0.52083333333333337</v>
      </c>
      <c r="U258" s="38"/>
      <c r="V258" s="39" t="s">
        <v>66</v>
      </c>
      <c r="X258" s="29">
        <f t="shared" si="12"/>
        <v>7</v>
      </c>
      <c r="Y258" s="38"/>
      <c r="Z258" s="29" t="s">
        <v>84</v>
      </c>
      <c r="AA258" s="29">
        <f t="shared" si="11"/>
        <v>1</v>
      </c>
      <c r="AB258" s="29" t="s">
        <v>69</v>
      </c>
      <c r="AC258" s="29">
        <v>1</v>
      </c>
      <c r="AD258" s="29">
        <v>0</v>
      </c>
      <c r="AE258" s="29" t="s">
        <v>70</v>
      </c>
      <c r="AF258">
        <v>4</v>
      </c>
    </row>
    <row r="259" spans="1:32" x14ac:dyDescent="0.25">
      <c r="A259" s="28">
        <v>255</v>
      </c>
      <c r="B259" s="29" t="s">
        <v>60</v>
      </c>
      <c r="C259" s="29" t="s">
        <v>61</v>
      </c>
      <c r="D259" s="29" t="s">
        <v>62</v>
      </c>
      <c r="E259" s="29" t="s">
        <v>62</v>
      </c>
      <c r="F259" s="30" cm="1">
        <f t="array" ref="F259">_xlfn.IFS($G259=$G$5,F$5,$G259=$G$6,F$6,$G259=$G$7,F$7,$G259=$G$8,F$8,$G259=$G$9,F$9,$G259=$G$10,F$10,$G259=$G$11,F$11,$G259=$G$13,F$13,$G259=$G$15,F$15,$G259=$G$16,F$16,$G259=$G$33,F$33,$G259=$G$34,F$34,$G259=$G$248,F$248,$G259=$G$250,F$250)</f>
        <v>8034</v>
      </c>
      <c r="G259" s="29" t="s">
        <v>81</v>
      </c>
      <c r="H259" s="31" cm="1">
        <f t="array" ref="H259">_xlfn.IFS($G259=$G$5,H$5,$G259=$G$6,H$6,$G259=$G$7,H$7,$G259=$G$8,H$8,$G259=$G$9,H$9,$G259=$G$10,H$10,$G259=$G$11,H$11,$G259=$G$13,H$13,$G259=$G$15,H$15,$G259=$G$16,H$16,$G259=$G$33,H$33,$G259=$G$34,H$34,$G259=$G$248,H$248,$G259=$G$250,H$250)</f>
        <v>41.393644999999999</v>
      </c>
      <c r="I259" s="31" cm="1">
        <f t="array" ref="I259">_xlfn.IFS($G259=$G$5,I$5,$G259=$G$6,I$6,$G259=$G$7,I$7,$G259=$G$8,I$8,$G259=$G$9,I$9,$G259=$G$10,I$10,$G259=$G$11,I$11,$G259=$G$13,I$13,$G259=$G$15,I$15,$G259=$G$16,I$16,$G259=$G$33,I$33,$G259=$G$34,I$34,$G259=$G$248,I$248,$G259=$G$250,I$250)</f>
        <v>2.1216780000000002</v>
      </c>
      <c r="J259" s="29" cm="1">
        <f t="array" ref="J259">_xlfn.IFS($G259=$G$5,J$5,$G259=$G$6,J$6,$G259=$G$7,J$7,$G259=$G$8,J$8,$G259=$G$9,J$9,$G259=$G$10,J$10,$G259=$G$11,J$11,$G259=$G$13,J$13,$G259=$G$15,J$15,$G259=$G$16,J$16,$G259=$G$33,J$33,$G259=$G$34,J$34,$G259=$G$248,J$248,$G259=$G$250,J$250)</f>
        <v>98</v>
      </c>
      <c r="K259" s="29" t="str" cm="1">
        <f t="array" ref="K259">_xlfn.IFS($G259=$G$5,K$5,$G259=$G$6,K$6,$G259=$G$7,K$7,$G259=$G$8,K$8,$G259=$G$9,K$9,$G259=$G$10,K$10,$G259=$G$11,K$11,$G259=$G$13,K$13,$G259=$G$15,K$15,$G259=$G$16,K$16,$G259=$G$33,K$33,$G259=$G$34,K$34,$G259=$G$248,K$248,$G259=$G$250,K$250)</f>
        <v>BG sentinel + BG lure7</v>
      </c>
      <c r="L259" s="29" t="str" cm="1">
        <f t="array" ref="L259">_xlfn.IFS($G259=$G$5,L$5,$G259=$G$6,L$6,$G259=$G$7,L$7,$G259=$G$8,L$8,$G259=$G$9,L$9,$G259=$G$10,L$10,$G259=$G$11,L$11,$G259=$G$13,L$13,$G259=$G$15,L$15,$G259=$G$16,L$16,$G259=$G$33,L$33,$G259=$G$34,L$34,$G259=$G$248,L$248,$G259=$G$250,L$250)</f>
        <v>Other</v>
      </c>
      <c r="O259" s="32" t="str">
        <f t="shared" si="13"/>
        <v>A_SP_BCN_9_201021</v>
      </c>
      <c r="P259" s="33">
        <v>44125</v>
      </c>
      <c r="Q259" s="34">
        <v>0.72916666666666663</v>
      </c>
      <c r="R259" s="35"/>
      <c r="S259" s="36">
        <v>44132</v>
      </c>
      <c r="T259" s="37">
        <v>0.71527777777777779</v>
      </c>
      <c r="U259" s="38"/>
      <c r="V259" s="39" t="s">
        <v>66</v>
      </c>
      <c r="X259" s="29">
        <f t="shared" si="12"/>
        <v>7</v>
      </c>
      <c r="Y259" s="38"/>
      <c r="Z259" s="29" t="s">
        <v>68</v>
      </c>
      <c r="AA259" s="29">
        <f t="shared" si="11"/>
        <v>3</v>
      </c>
      <c r="AB259" s="29" t="s">
        <v>69</v>
      </c>
      <c r="AC259" s="29">
        <v>3</v>
      </c>
      <c r="AD259" s="29">
        <v>0</v>
      </c>
      <c r="AE259" s="29" t="s">
        <v>70</v>
      </c>
      <c r="AF259">
        <v>4</v>
      </c>
    </row>
    <row r="260" spans="1:32" x14ac:dyDescent="0.25">
      <c r="A260" s="28">
        <v>256</v>
      </c>
      <c r="B260" s="29" t="s">
        <v>60</v>
      </c>
      <c r="C260" s="29" t="s">
        <v>61</v>
      </c>
      <c r="D260" s="29" t="s">
        <v>62</v>
      </c>
      <c r="E260" s="29" t="s">
        <v>62</v>
      </c>
      <c r="F260" s="30" cm="1">
        <f t="array" ref="F260">_xlfn.IFS($G260=$G$5,F$5,$G260=$G$6,F$6,$G260=$G$7,F$7,$G260=$G$8,F$8,$G260=$G$9,F$9,$G260=$G$10,F$10,$G260=$G$11,F$11,$G260=$G$13,F$13,$G260=$G$15,F$15,$G260=$G$16,F$16,$G260=$G$33,F$33,$G260=$G$34,F$34,$G260=$G$248,F$248,$G260=$G$250,F$250)</f>
        <v>8034</v>
      </c>
      <c r="G260" s="29" t="s">
        <v>81</v>
      </c>
      <c r="H260" s="31" cm="1">
        <f t="array" ref="H260">_xlfn.IFS($G260=$G$5,H$5,$G260=$G$6,H$6,$G260=$G$7,H$7,$G260=$G$8,H$8,$G260=$G$9,H$9,$G260=$G$10,H$10,$G260=$G$11,H$11,$G260=$G$13,H$13,$G260=$G$15,H$15,$G260=$G$16,H$16,$G260=$G$33,H$33,$G260=$G$34,H$34,$G260=$G$248,H$248,$G260=$G$250,H$250)</f>
        <v>41.393644999999999</v>
      </c>
      <c r="I260" s="31" cm="1">
        <f t="array" ref="I260">_xlfn.IFS($G260=$G$5,I$5,$G260=$G$6,I$6,$G260=$G$7,I$7,$G260=$G$8,I$8,$G260=$G$9,I$9,$G260=$G$10,I$10,$G260=$G$11,I$11,$G260=$G$13,I$13,$G260=$G$15,I$15,$G260=$G$16,I$16,$G260=$G$33,I$33,$G260=$G$34,I$34,$G260=$G$248,I$248,$G260=$G$250,I$250)</f>
        <v>2.1216780000000002</v>
      </c>
      <c r="J260" s="29" cm="1">
        <f t="array" ref="J260">_xlfn.IFS($G260=$G$5,J$5,$G260=$G$6,J$6,$G260=$G$7,J$7,$G260=$G$8,J$8,$G260=$G$9,J$9,$G260=$G$10,J$10,$G260=$G$11,J$11,$G260=$G$13,J$13,$G260=$G$15,J$15,$G260=$G$16,J$16,$G260=$G$33,J$33,$G260=$G$34,J$34,$G260=$G$248,J$248,$G260=$G$250,J$250)</f>
        <v>98</v>
      </c>
      <c r="K260" s="29" t="str" cm="1">
        <f t="array" ref="K260">_xlfn.IFS($G260=$G$5,K$5,$G260=$G$6,K$6,$G260=$G$7,K$7,$G260=$G$8,K$8,$G260=$G$9,K$9,$G260=$G$10,K$10,$G260=$G$11,K$11,$G260=$G$13,K$13,$G260=$G$15,K$15,$G260=$G$16,K$16,$G260=$G$33,K$33,$G260=$G$34,K$34,$G260=$G$248,K$248,$G260=$G$250,K$250)</f>
        <v>BG sentinel + BG lure7</v>
      </c>
      <c r="L260" s="29" t="str" cm="1">
        <f t="array" ref="L260">_xlfn.IFS($G260=$G$5,L$5,$G260=$G$6,L$6,$G260=$G$7,L$7,$G260=$G$8,L$8,$G260=$G$9,L$9,$G260=$G$10,L$10,$G260=$G$11,L$11,$G260=$G$13,L$13,$G260=$G$15,L$15,$G260=$G$16,L$16,$G260=$G$33,L$33,$G260=$G$34,L$34,$G260=$G$248,L$248,$G260=$G$250,L$250)</f>
        <v>Other</v>
      </c>
      <c r="O260" s="32" t="str">
        <f t="shared" si="13"/>
        <v>A_SP_BCN_9_201021</v>
      </c>
      <c r="P260" s="33">
        <v>44125</v>
      </c>
      <c r="Q260" s="34">
        <v>0.72916666666666663</v>
      </c>
      <c r="R260" s="35"/>
      <c r="S260" s="36">
        <v>44132</v>
      </c>
      <c r="T260" s="37">
        <v>0.71527777777777779</v>
      </c>
      <c r="U260" s="38"/>
      <c r="V260" s="39" t="s">
        <v>66</v>
      </c>
      <c r="X260" s="29">
        <f t="shared" si="12"/>
        <v>7</v>
      </c>
      <c r="Y260" s="38"/>
      <c r="Z260" s="29" t="s">
        <v>75</v>
      </c>
      <c r="AA260" s="29">
        <f t="shared" si="11"/>
        <v>1</v>
      </c>
      <c r="AB260" s="29" t="s">
        <v>69</v>
      </c>
      <c r="AC260" s="29">
        <v>1</v>
      </c>
      <c r="AD260" s="29">
        <v>0</v>
      </c>
      <c r="AE260" s="29" t="s">
        <v>70</v>
      </c>
      <c r="AF260">
        <v>4</v>
      </c>
    </row>
    <row r="261" spans="1:32" x14ac:dyDescent="0.25">
      <c r="A261" s="28">
        <v>257</v>
      </c>
      <c r="B261" s="29" t="s">
        <v>60</v>
      </c>
      <c r="C261" s="29" t="s">
        <v>61</v>
      </c>
      <c r="D261" s="29" t="s">
        <v>62</v>
      </c>
      <c r="E261" s="29" t="s">
        <v>62</v>
      </c>
      <c r="F261" s="30" cm="1">
        <f t="array" ref="F261">_xlfn.IFS($G261=$G$5,F$5,$G261=$G$6,F$6,$G261=$G$7,F$7,$G261=$G$8,F$8,$G261=$G$9,F$9,$G261=$G$10,F$10,$G261=$G$11,F$11,$G261=$G$13,F$13,$G261=$G$15,F$15,$G261=$G$16,F$16,$G261=$G$33,F$33,$G261=$G$34,F$34,$G261=$G$248,F$248,$G261=$G$250,F$250)</f>
        <v>8040</v>
      </c>
      <c r="G261" s="29" t="s">
        <v>83</v>
      </c>
      <c r="H261" s="31" cm="1">
        <f t="array" ref="H261">_xlfn.IFS($G261=$G$5,H$5,$G261=$G$6,H$6,$G261=$G$7,H$7,$G261=$G$8,H$8,$G261=$G$9,H$9,$G261=$G$10,H$10,$G261=$G$11,H$11,$G261=$G$13,H$13,$G261=$G$15,H$15,$G261=$G$16,H$16,$G261=$G$33,H$33,$G261=$G$34,H$34,$G261=$G$248,H$248,$G261=$G$250,H$250)</f>
        <v>41.343685000000001</v>
      </c>
      <c r="I261" s="31" cm="1">
        <f t="array" ref="I261">_xlfn.IFS($G261=$G$5,I$5,$G261=$G$6,I$6,$G261=$G$7,I$7,$G261=$G$8,I$8,$G261=$G$9,I$9,$G261=$G$10,I$10,$G261=$G$11,I$11,$G261=$G$13,I$13,$G261=$G$15,I$15,$G261=$G$16,I$16,$G261=$G$33,I$33,$G261=$G$34,I$34,$G261=$G$248,I$248,$G261=$G$250,I$250)</f>
        <v>2.1441490000000001</v>
      </c>
      <c r="J261" s="29" cm="1">
        <f t="array" ref="J261">_xlfn.IFS($G261=$G$5,J$5,$G261=$G$6,J$6,$G261=$G$7,J$7,$G261=$G$8,J$8,$G261=$G$9,J$9,$G261=$G$10,J$10,$G261=$G$11,J$11,$G261=$G$13,J$13,$G261=$G$15,J$15,$G261=$G$16,J$16,$G261=$G$33,J$33,$G261=$G$34,J$34,$G261=$G$248,J$248,$G261=$G$250,J$250)</f>
        <v>4</v>
      </c>
      <c r="K261" s="29" t="str" cm="1">
        <f t="array" ref="K261">_xlfn.IFS($G261=$G$5,K$5,$G261=$G$6,K$6,$G261=$G$7,K$7,$G261=$G$8,K$8,$G261=$G$9,K$9,$G261=$G$10,K$10,$G261=$G$11,K$11,$G261=$G$13,K$13,$G261=$G$15,K$15,$G261=$G$16,K$16,$G261=$G$33,K$33,$G261=$G$34,K$34,$G261=$G$248,K$248,$G261=$G$250,K$250)</f>
        <v>BG sentinel + BG lure7</v>
      </c>
      <c r="L261" s="29" t="str" cm="1">
        <f t="array" ref="L261">_xlfn.IFS($G261=$G$5,L$5,$G261=$G$6,L$6,$G261=$G$7,L$7,$G261=$G$8,L$8,$G261=$G$9,L$9,$G261=$G$10,L$10,$G261=$G$11,L$11,$G261=$G$13,L$13,$G261=$G$15,L$15,$G261=$G$16,L$16,$G261=$G$33,L$33,$G261=$G$34,L$34,$G261=$G$248,L$248,$G261=$G$250,L$250)</f>
        <v>Urban habitat</v>
      </c>
      <c r="O261" s="32" t="str">
        <f t="shared" si="13"/>
        <v>A_SP_BCN_10_201021</v>
      </c>
      <c r="P261" s="33">
        <v>44125</v>
      </c>
      <c r="Q261" s="34">
        <v>0.5</v>
      </c>
      <c r="R261" s="35"/>
      <c r="S261" s="36">
        <v>44132</v>
      </c>
      <c r="T261" s="37">
        <v>0.48958333333333331</v>
      </c>
      <c r="U261" s="38"/>
      <c r="V261" s="39" t="s">
        <v>66</v>
      </c>
      <c r="X261" s="29">
        <f t="shared" si="12"/>
        <v>7</v>
      </c>
      <c r="Y261" s="38"/>
      <c r="Z261" s="29" t="s">
        <v>68</v>
      </c>
      <c r="AA261" s="29">
        <f t="shared" si="11"/>
        <v>1</v>
      </c>
      <c r="AB261" s="29" t="s">
        <v>69</v>
      </c>
      <c r="AC261" s="29">
        <v>1</v>
      </c>
      <c r="AD261" s="29">
        <v>0</v>
      </c>
      <c r="AE261" s="29" t="s">
        <v>70</v>
      </c>
      <c r="AF261">
        <v>4</v>
      </c>
    </row>
    <row r="262" spans="1:32" x14ac:dyDescent="0.25">
      <c r="A262" s="28">
        <v>258</v>
      </c>
      <c r="B262" s="29" t="s">
        <v>60</v>
      </c>
      <c r="C262" s="29" t="s">
        <v>61</v>
      </c>
      <c r="D262" s="29" t="s">
        <v>62</v>
      </c>
      <c r="E262" s="29" t="s">
        <v>62</v>
      </c>
      <c r="F262" s="30" cm="1">
        <f t="array" ref="F262">_xlfn.IFS($G262=$G$5,F$5,$G262=$G$6,F$6,$G262=$G$7,F$7,$G262=$G$8,F$8,$G262=$G$9,F$9,$G262=$G$10,F$10,$G262=$G$11,F$11,$G262=$G$13,F$13,$G262=$G$15,F$15,$G262=$G$16,F$16,$G262=$G$33,F$33,$G262=$G$34,F$34,$G262=$G$248,F$248,$G262=$G$250,F$250)</f>
        <v>8040</v>
      </c>
      <c r="G262" s="29" t="s">
        <v>83</v>
      </c>
      <c r="H262" s="31" cm="1">
        <f t="array" ref="H262">_xlfn.IFS($G262=$G$5,H$5,$G262=$G$6,H$6,$G262=$G$7,H$7,$G262=$G$8,H$8,$G262=$G$9,H$9,$G262=$G$10,H$10,$G262=$G$11,H$11,$G262=$G$13,H$13,$G262=$G$15,H$15,$G262=$G$16,H$16,$G262=$G$33,H$33,$G262=$G$34,H$34,$G262=$G$248,H$248,$G262=$G$250,H$250)</f>
        <v>41.343685000000001</v>
      </c>
      <c r="I262" s="31" cm="1">
        <f t="array" ref="I262">_xlfn.IFS($G262=$G$5,I$5,$G262=$G$6,I$6,$G262=$G$7,I$7,$G262=$G$8,I$8,$G262=$G$9,I$9,$G262=$G$10,I$10,$G262=$G$11,I$11,$G262=$G$13,I$13,$G262=$G$15,I$15,$G262=$G$16,I$16,$G262=$G$33,I$33,$G262=$G$34,I$34,$G262=$G$248,I$248,$G262=$G$250,I$250)</f>
        <v>2.1441490000000001</v>
      </c>
      <c r="J262" s="29" cm="1">
        <f t="array" ref="J262">_xlfn.IFS($G262=$G$5,J$5,$G262=$G$6,J$6,$G262=$G$7,J$7,$G262=$G$8,J$8,$G262=$G$9,J$9,$G262=$G$10,J$10,$G262=$G$11,J$11,$G262=$G$13,J$13,$G262=$G$15,J$15,$G262=$G$16,J$16,$G262=$G$33,J$33,$G262=$G$34,J$34,$G262=$G$248,J$248,$G262=$G$250,J$250)</f>
        <v>4</v>
      </c>
      <c r="K262" s="29" t="str" cm="1">
        <f t="array" ref="K262">_xlfn.IFS($G262=$G$5,K$5,$G262=$G$6,K$6,$G262=$G$7,K$7,$G262=$G$8,K$8,$G262=$G$9,K$9,$G262=$G$10,K$10,$G262=$G$11,K$11,$G262=$G$13,K$13,$G262=$G$15,K$15,$G262=$G$16,K$16,$G262=$G$33,K$33,$G262=$G$34,K$34,$G262=$G$248,K$248,$G262=$G$250,K$250)</f>
        <v>BG sentinel + BG lure7</v>
      </c>
      <c r="L262" s="29" t="str" cm="1">
        <f t="array" ref="L262">_xlfn.IFS($G262=$G$5,L$5,$G262=$G$6,L$6,$G262=$G$7,L$7,$G262=$G$8,L$8,$G262=$G$9,L$9,$G262=$G$10,L$10,$G262=$G$11,L$11,$G262=$G$13,L$13,$G262=$G$15,L$15,$G262=$G$16,L$16,$G262=$G$33,L$33,$G262=$G$34,L$34,$G262=$G$248,L$248,$G262=$G$250,L$250)</f>
        <v>Urban habitat</v>
      </c>
      <c r="O262" s="32" t="str">
        <f t="shared" si="13"/>
        <v>A_SP_BCN_10_201021</v>
      </c>
      <c r="P262" s="33">
        <v>44125</v>
      </c>
      <c r="Q262" s="34">
        <v>0.5</v>
      </c>
      <c r="R262" s="35"/>
      <c r="S262" s="36">
        <v>44132</v>
      </c>
      <c r="T262" s="37">
        <v>0.48958333333333331</v>
      </c>
      <c r="U262" s="38"/>
      <c r="V262" s="39" t="s">
        <v>66</v>
      </c>
      <c r="X262" s="29">
        <f t="shared" si="12"/>
        <v>7</v>
      </c>
      <c r="Y262" s="38"/>
      <c r="Z262" s="29" t="s">
        <v>75</v>
      </c>
      <c r="AA262" s="29">
        <f t="shared" si="11"/>
        <v>1</v>
      </c>
      <c r="AB262" s="29" t="s">
        <v>69</v>
      </c>
      <c r="AC262" s="29">
        <v>1</v>
      </c>
      <c r="AD262" s="29">
        <v>0</v>
      </c>
      <c r="AE262" s="29" t="s">
        <v>70</v>
      </c>
      <c r="AF262">
        <v>4</v>
      </c>
    </row>
    <row r="263" spans="1:32" x14ac:dyDescent="0.25">
      <c r="A263" s="28">
        <v>259</v>
      </c>
      <c r="B263" s="29" t="s">
        <v>60</v>
      </c>
      <c r="C263" s="29" t="s">
        <v>61</v>
      </c>
      <c r="D263" s="29" t="s">
        <v>62</v>
      </c>
      <c r="E263" s="29" t="s">
        <v>62</v>
      </c>
      <c r="F263" s="30" cm="1">
        <f t="array" ref="F263">_xlfn.IFS($G263=$G$5,F$5,$G263=$G$6,F$6,$G263=$G$7,F$7,$G263=$G$8,F$8,$G263=$G$9,F$9,$G263=$G$10,F$10,$G263=$G$11,F$11,$G263=$G$13,F$13,$G263=$G$15,F$15,$G263=$G$16,F$16,$G263=$G$33,F$33,$G263=$G$34,F$34,$G263=$G$248,F$248,$G263=$G$250,F$250)</f>
        <v>8038</v>
      </c>
      <c r="G263" s="29" t="s">
        <v>85</v>
      </c>
      <c r="H263" s="31" cm="1">
        <f t="array" ref="H263">_xlfn.IFS($G263=$G$5,H$5,$G263=$G$6,H$6,$G263=$G$7,H$7,$G263=$G$8,H$8,$G263=$G$9,H$9,$G263=$G$10,H$10,$G263=$G$11,H$11,$G263=$G$13,H$13,$G263=$G$15,H$15,$G263=$G$16,H$16,$G263=$G$33,H$33,$G263=$G$34,H$34,$G263=$G$248,H$248,$G263=$G$250,H$250)</f>
        <v>41.367429999999999</v>
      </c>
      <c r="I263" s="31" cm="1">
        <f t="array" ref="I263">_xlfn.IFS($G263=$G$5,I$5,$G263=$G$6,I$6,$G263=$G$7,I$7,$G263=$G$8,I$8,$G263=$G$9,I$9,$G263=$G$10,I$10,$G263=$G$11,I$11,$G263=$G$13,I$13,$G263=$G$15,I$15,$G263=$G$16,I$16,$G263=$G$33,I$33,$G263=$G$34,I$34,$G263=$G$248,I$248,$G263=$G$250,I$250)</f>
        <v>2.1569609999999999</v>
      </c>
      <c r="J263" s="29" cm="1">
        <f t="array" ref="J263">_xlfn.IFS($G263=$G$5,J$5,$G263=$G$6,J$6,$G263=$G$7,J$7,$G263=$G$8,J$8,$G263=$G$9,J$9,$G263=$G$10,J$10,$G263=$G$11,J$11,$G263=$G$13,J$13,$G263=$G$15,J$15,$G263=$G$16,J$16,$G263=$G$33,J$33,$G263=$G$34,J$34,$G263=$G$248,J$248,$G263=$G$250,J$250)</f>
        <v>91</v>
      </c>
      <c r="K263" s="29" t="str" cm="1">
        <f t="array" ref="K263">_xlfn.IFS($G263=$G$5,K$5,$G263=$G$6,K$6,$G263=$G$7,K$7,$G263=$G$8,K$8,$G263=$G$9,K$9,$G263=$G$10,K$10,$G263=$G$11,K$11,$G263=$G$13,K$13,$G263=$G$15,K$15,$G263=$G$16,K$16,$G263=$G$33,K$33,$G263=$G$34,K$34,$G263=$G$248,K$248,$G263=$G$250,K$250)</f>
        <v>BG sentinel + BG lure7</v>
      </c>
      <c r="L263" s="29" t="str" cm="1">
        <f t="array" ref="L263">_xlfn.IFS($G263=$G$5,L$5,$G263=$G$6,L$6,$G263=$G$7,L$7,$G263=$G$8,L$8,$G263=$G$9,L$9,$G263=$G$10,L$10,$G263=$G$11,L$11,$G263=$G$13,L$13,$G263=$G$15,L$15,$G263=$G$16,L$16,$G263=$G$33,L$33,$G263=$G$34,L$34,$G263=$G$248,L$248,$G263=$G$250,L$250)</f>
        <v>Other</v>
      </c>
      <c r="O263" s="32" t="str">
        <f t="shared" si="13"/>
        <v>A_SP_BCN_11_201021</v>
      </c>
      <c r="P263" s="33">
        <v>44125</v>
      </c>
      <c r="Q263" s="34">
        <v>0.52083333333333337</v>
      </c>
      <c r="R263" s="35"/>
      <c r="S263" s="36">
        <v>44132</v>
      </c>
      <c r="T263" s="37">
        <v>0.51388888888888895</v>
      </c>
      <c r="U263" s="38"/>
      <c r="V263" s="39" t="s">
        <v>66</v>
      </c>
      <c r="X263" s="29">
        <f t="shared" si="12"/>
        <v>7</v>
      </c>
      <c r="Y263" s="38"/>
      <c r="Z263" s="29" t="s">
        <v>68</v>
      </c>
      <c r="AA263" s="29">
        <f t="shared" si="11"/>
        <v>8</v>
      </c>
      <c r="AB263" s="29" t="s">
        <v>69</v>
      </c>
      <c r="AC263" s="29">
        <v>8</v>
      </c>
      <c r="AD263" s="29">
        <v>0</v>
      </c>
      <c r="AE263" s="29" t="s">
        <v>70</v>
      </c>
      <c r="AF263">
        <v>4</v>
      </c>
    </row>
    <row r="264" spans="1:32" x14ac:dyDescent="0.25">
      <c r="A264" s="28">
        <v>260</v>
      </c>
      <c r="B264" s="29" t="s">
        <v>60</v>
      </c>
      <c r="C264" s="29" t="s">
        <v>61</v>
      </c>
      <c r="D264" s="29" t="s">
        <v>62</v>
      </c>
      <c r="E264" s="29" t="s">
        <v>62</v>
      </c>
      <c r="F264" s="30" cm="1">
        <f t="array" ref="F264">_xlfn.IFS($G264=$G$5,F$5,$G264=$G$6,F$6,$G264=$G$7,F$7,$G264=$G$8,F$8,$G264=$G$9,F$9,$G264=$G$10,F$10,$G264=$G$11,F$11,$G264=$G$13,F$13,$G264=$G$15,F$15,$G264=$G$16,F$16,$G264=$G$33,F$33,$G264=$G$34,F$34,$G264=$G$248,F$248,$G264=$G$250,F$250)</f>
        <v>8038</v>
      </c>
      <c r="G264" s="29" t="s">
        <v>85</v>
      </c>
      <c r="H264" s="31" cm="1">
        <f t="array" ref="H264">_xlfn.IFS($G264=$G$5,H$5,$G264=$G$6,H$6,$G264=$G$7,H$7,$G264=$G$8,H$8,$G264=$G$9,H$9,$G264=$G$10,H$10,$G264=$G$11,H$11,$G264=$G$13,H$13,$G264=$G$15,H$15,$G264=$G$16,H$16,$G264=$G$33,H$33,$G264=$G$34,H$34,$G264=$G$248,H$248,$G264=$G$250,H$250)</f>
        <v>41.367429999999999</v>
      </c>
      <c r="I264" s="31" cm="1">
        <f t="array" ref="I264">_xlfn.IFS($G264=$G$5,I$5,$G264=$G$6,I$6,$G264=$G$7,I$7,$G264=$G$8,I$8,$G264=$G$9,I$9,$G264=$G$10,I$10,$G264=$G$11,I$11,$G264=$G$13,I$13,$G264=$G$15,I$15,$G264=$G$16,I$16,$G264=$G$33,I$33,$G264=$G$34,I$34,$G264=$G$248,I$248,$G264=$G$250,I$250)</f>
        <v>2.1569609999999999</v>
      </c>
      <c r="J264" s="29" cm="1">
        <f t="array" ref="J264">_xlfn.IFS($G264=$G$5,J$5,$G264=$G$6,J$6,$G264=$G$7,J$7,$G264=$G$8,J$8,$G264=$G$9,J$9,$G264=$G$10,J$10,$G264=$G$11,J$11,$G264=$G$13,J$13,$G264=$G$15,J$15,$G264=$G$16,J$16,$G264=$G$33,J$33,$G264=$G$34,J$34,$G264=$G$248,J$248,$G264=$G$250,J$250)</f>
        <v>91</v>
      </c>
      <c r="K264" s="29" t="str" cm="1">
        <f t="array" ref="K264">_xlfn.IFS($G264=$G$5,K$5,$G264=$G$6,K$6,$G264=$G$7,K$7,$G264=$G$8,K$8,$G264=$G$9,K$9,$G264=$G$10,K$10,$G264=$G$11,K$11,$G264=$G$13,K$13,$G264=$G$15,K$15,$G264=$G$16,K$16,$G264=$G$33,K$33,$G264=$G$34,K$34,$G264=$G$248,K$248,$G264=$G$250,K$250)</f>
        <v>BG sentinel + BG lure7</v>
      </c>
      <c r="L264" s="29" t="str" cm="1">
        <f t="array" ref="L264">_xlfn.IFS($G264=$G$5,L$5,$G264=$G$6,L$6,$G264=$G$7,L$7,$G264=$G$8,L$8,$G264=$G$9,L$9,$G264=$G$10,L$10,$G264=$G$11,L$11,$G264=$G$13,L$13,$G264=$G$15,L$15,$G264=$G$16,L$16,$G264=$G$33,L$33,$G264=$G$34,L$34,$G264=$G$248,L$248,$G264=$G$250,L$250)</f>
        <v>Other</v>
      </c>
      <c r="O264" s="32" t="str">
        <f t="shared" si="13"/>
        <v>A_SP_BCN_11_201021</v>
      </c>
      <c r="P264" s="33">
        <v>44125</v>
      </c>
      <c r="Q264" s="34">
        <v>0.52083333333333337</v>
      </c>
      <c r="R264" s="35"/>
      <c r="S264" s="36">
        <v>44132</v>
      </c>
      <c r="T264" s="37">
        <v>0.51388888888888895</v>
      </c>
      <c r="U264" s="38"/>
      <c r="V264" s="39" t="s">
        <v>66</v>
      </c>
      <c r="X264" s="29">
        <f t="shared" si="12"/>
        <v>7</v>
      </c>
      <c r="Y264" s="38"/>
      <c r="Z264" s="29" t="s">
        <v>84</v>
      </c>
      <c r="AA264" s="29">
        <f t="shared" si="11"/>
        <v>1</v>
      </c>
      <c r="AB264" s="29" t="s">
        <v>69</v>
      </c>
      <c r="AC264" s="29">
        <v>0</v>
      </c>
      <c r="AD264" s="29">
        <v>1</v>
      </c>
      <c r="AE264" s="29" t="s">
        <v>70</v>
      </c>
      <c r="AF264">
        <v>4</v>
      </c>
    </row>
    <row r="265" spans="1:32" x14ac:dyDescent="0.25">
      <c r="A265" s="28">
        <v>261</v>
      </c>
      <c r="B265" s="29" t="s">
        <v>60</v>
      </c>
      <c r="C265" s="29" t="s">
        <v>61</v>
      </c>
      <c r="D265" s="29" t="s">
        <v>62</v>
      </c>
      <c r="E265" s="29" t="s">
        <v>62</v>
      </c>
      <c r="F265" s="30" cm="1">
        <f t="array" ref="F265">_xlfn.IFS($G265=$G$5,F$5,$G265=$G$6,F$6,$G265=$G$7,F$7,$G265=$G$8,F$8,$G265=$G$9,F$9,$G265=$G$10,F$10,$G265=$G$11,F$11,$G265=$G$13,F$13,$G265=$G$15,F$15,$G265=$G$16,F$16,$G265=$G$33,F$33,$G265=$G$34,F$34,$G265=$G$248,F$248,$G265=$G$250,F$250)</f>
        <v>8038</v>
      </c>
      <c r="G265" s="29" t="s">
        <v>86</v>
      </c>
      <c r="H265" s="31" cm="1">
        <f t="array" ref="H265">_xlfn.IFS($G265=$G$5,H$5,$G265=$G$6,H$6,$G265=$G$7,H$7,$G265=$G$8,H$8,$G265=$G$9,H$9,$G265=$G$10,H$10,$G265=$G$11,H$11,$G265=$G$13,H$13,$G265=$G$15,H$15,$G265=$G$16,H$16,$G265=$G$33,H$33,$G265=$G$34,H$34,$G265=$G$248,H$248,$G265=$G$250,H$250)</f>
        <v>41.363377999999997</v>
      </c>
      <c r="I265" s="31" cm="1">
        <f t="array" ref="I265">_xlfn.IFS($G265=$G$5,I$5,$G265=$G$6,I$6,$G265=$G$7,I$7,$G265=$G$8,I$8,$G265=$G$9,I$9,$G265=$G$10,I$10,$G265=$G$11,I$11,$G265=$G$13,I$13,$G265=$G$15,I$15,$G265=$G$16,I$16,$G265=$G$33,I$33,$G265=$G$34,I$34,$G265=$G$248,I$248,$G265=$G$250,I$250)</f>
        <v>2.164879</v>
      </c>
      <c r="J265" s="29" cm="1">
        <f t="array" ref="J265">_xlfn.IFS($G265=$G$5,J$5,$G265=$G$6,J$6,$G265=$G$7,J$7,$G265=$G$8,J$8,$G265=$G$9,J$9,$G265=$G$10,J$10,$G265=$G$11,J$11,$G265=$G$13,J$13,$G265=$G$15,J$15,$G265=$G$16,J$16,$G265=$G$33,J$33,$G265=$G$34,J$34,$G265=$G$248,J$248,$G265=$G$250,J$250)</f>
        <v>185</v>
      </c>
      <c r="K265" s="29" t="str" cm="1">
        <f t="array" ref="K265">_xlfn.IFS($G265=$G$5,K$5,$G265=$G$6,K$6,$G265=$G$7,K$7,$G265=$G$8,K$8,$G265=$G$9,K$9,$G265=$G$10,K$10,$G265=$G$11,K$11,$G265=$G$13,K$13,$G265=$G$15,K$15,$G265=$G$16,K$16,$G265=$G$33,K$33,$G265=$G$34,K$34,$G265=$G$248,K$248,$G265=$G$250,K$250)</f>
        <v>BG sentinel + BG lure7</v>
      </c>
      <c r="L265" s="29" t="str" cm="1">
        <f t="array" ref="L265">_xlfn.IFS($G265=$G$5,L$5,$G265=$G$6,L$6,$G265=$G$7,L$7,$G265=$G$8,L$8,$G265=$G$9,L$9,$G265=$G$10,L$10,$G265=$G$11,L$11,$G265=$G$13,L$13,$G265=$G$15,L$15,$G265=$G$16,L$16,$G265=$G$33,L$33,$G265=$G$34,L$34,$G265=$G$248,L$248,$G265=$G$250,L$250)</f>
        <v>Other</v>
      </c>
      <c r="O265" s="32" t="str">
        <f t="shared" si="13"/>
        <v>A_SP_BCN_12_201021</v>
      </c>
      <c r="P265" s="33">
        <v>44125</v>
      </c>
      <c r="Q265" s="34">
        <v>0.55902777777777779</v>
      </c>
      <c r="R265" s="35"/>
      <c r="S265" s="36">
        <v>44132</v>
      </c>
      <c r="T265" s="37">
        <v>0.54166666666666663</v>
      </c>
      <c r="U265" s="38"/>
      <c r="V265" s="39" t="s">
        <v>66</v>
      </c>
      <c r="X265" s="29">
        <f t="shared" si="12"/>
        <v>7</v>
      </c>
      <c r="Y265" s="38"/>
      <c r="Z265" s="29" t="s">
        <v>68</v>
      </c>
      <c r="AA265" s="29">
        <f t="shared" ref="AA265:AA328" si="14">SUM(AC265:AD265)</f>
        <v>6</v>
      </c>
      <c r="AB265" s="29" t="s">
        <v>69</v>
      </c>
      <c r="AC265" s="29">
        <v>6</v>
      </c>
      <c r="AD265" s="29">
        <v>0</v>
      </c>
      <c r="AE265" s="29" t="s">
        <v>70</v>
      </c>
      <c r="AF265">
        <v>4</v>
      </c>
    </row>
    <row r="266" spans="1:32" x14ac:dyDescent="0.25">
      <c r="A266" s="28">
        <v>262</v>
      </c>
      <c r="B266" s="29" t="s">
        <v>60</v>
      </c>
      <c r="C266" s="29" t="s">
        <v>61</v>
      </c>
      <c r="D266" s="29" t="s">
        <v>62</v>
      </c>
      <c r="E266" s="29" t="s">
        <v>62</v>
      </c>
      <c r="F266" s="30" cm="1">
        <f t="array" ref="F266">_xlfn.IFS($G266=$G$5,F$5,$G266=$G$6,F$6,$G266=$G$7,F$7,$G266=$G$8,F$8,$G266=$G$9,F$9,$G266=$G$10,F$10,$G266=$G$11,F$11,$G266=$G$13,F$13,$G266=$G$15,F$15,$G266=$G$16,F$16,$G266=$G$33,F$33,$G266=$G$34,F$34,$G266=$G$248,F$248,$G266=$G$250,F$250)</f>
        <v>8038</v>
      </c>
      <c r="G266" s="29" t="s">
        <v>86</v>
      </c>
      <c r="H266" s="31" cm="1">
        <f t="array" ref="H266">_xlfn.IFS($G266=$G$5,H$5,$G266=$G$6,H$6,$G266=$G$7,H$7,$G266=$G$8,H$8,$G266=$G$9,H$9,$G266=$G$10,H$10,$G266=$G$11,H$11,$G266=$G$13,H$13,$G266=$G$15,H$15,$G266=$G$16,H$16,$G266=$G$33,H$33,$G266=$G$34,H$34,$G266=$G$248,H$248,$G266=$G$250,H$250)</f>
        <v>41.363377999999997</v>
      </c>
      <c r="I266" s="31" cm="1">
        <f t="array" ref="I266">_xlfn.IFS($G266=$G$5,I$5,$G266=$G$6,I$6,$G266=$G$7,I$7,$G266=$G$8,I$8,$G266=$G$9,I$9,$G266=$G$10,I$10,$G266=$G$11,I$11,$G266=$G$13,I$13,$G266=$G$15,I$15,$G266=$G$16,I$16,$G266=$G$33,I$33,$G266=$G$34,I$34,$G266=$G$248,I$248,$G266=$G$250,I$250)</f>
        <v>2.164879</v>
      </c>
      <c r="J266" s="29" cm="1">
        <f t="array" ref="J266">_xlfn.IFS($G266=$G$5,J$5,$G266=$G$6,J$6,$G266=$G$7,J$7,$G266=$G$8,J$8,$G266=$G$9,J$9,$G266=$G$10,J$10,$G266=$G$11,J$11,$G266=$G$13,J$13,$G266=$G$15,J$15,$G266=$G$16,J$16,$G266=$G$33,J$33,$G266=$G$34,J$34,$G266=$G$248,J$248,$G266=$G$250,J$250)</f>
        <v>185</v>
      </c>
      <c r="K266" s="29" t="str" cm="1">
        <f t="array" ref="K266">_xlfn.IFS($G266=$G$5,K$5,$G266=$G$6,K$6,$G266=$G$7,K$7,$G266=$G$8,K$8,$G266=$G$9,K$9,$G266=$G$10,K$10,$G266=$G$11,K$11,$G266=$G$13,K$13,$G266=$G$15,K$15,$G266=$G$16,K$16,$G266=$G$33,K$33,$G266=$G$34,K$34,$G266=$G$248,K$248,$G266=$G$250,K$250)</f>
        <v>BG sentinel + BG lure7</v>
      </c>
      <c r="L266" s="29" t="str" cm="1">
        <f t="array" ref="L266">_xlfn.IFS($G266=$G$5,L$5,$G266=$G$6,L$6,$G266=$G$7,L$7,$G266=$G$8,L$8,$G266=$G$9,L$9,$G266=$G$10,L$10,$G266=$G$11,L$11,$G266=$G$13,L$13,$G266=$G$15,L$15,$G266=$G$16,L$16,$G266=$G$33,L$33,$G266=$G$34,L$34,$G266=$G$248,L$248,$G266=$G$250,L$250)</f>
        <v>Other</v>
      </c>
      <c r="O266" s="32" t="str">
        <f t="shared" si="13"/>
        <v>A_SP_BCN_12_201021</v>
      </c>
      <c r="P266" s="33">
        <v>44125</v>
      </c>
      <c r="Q266" s="34">
        <v>0.55902777777777779</v>
      </c>
      <c r="R266" s="35"/>
      <c r="S266" s="36">
        <v>44132</v>
      </c>
      <c r="T266" s="37">
        <v>0.54166666666666663</v>
      </c>
      <c r="U266" s="38"/>
      <c r="V266" s="39" t="s">
        <v>66</v>
      </c>
      <c r="X266" s="29">
        <f t="shared" ref="X266:X331" si="15">S266-P266</f>
        <v>7</v>
      </c>
      <c r="Y266" s="38"/>
      <c r="Z266" s="29" t="s">
        <v>75</v>
      </c>
      <c r="AA266" s="29">
        <f t="shared" si="14"/>
        <v>27</v>
      </c>
      <c r="AB266" s="29" t="s">
        <v>69</v>
      </c>
      <c r="AC266" s="29">
        <v>26</v>
      </c>
      <c r="AD266" s="29">
        <v>1</v>
      </c>
      <c r="AE266" s="29" t="s">
        <v>70</v>
      </c>
      <c r="AF266">
        <v>4</v>
      </c>
    </row>
    <row r="267" spans="1:32" x14ac:dyDescent="0.25">
      <c r="A267" s="28">
        <v>263</v>
      </c>
      <c r="B267" s="29" t="s">
        <v>60</v>
      </c>
      <c r="C267" s="29" t="s">
        <v>61</v>
      </c>
      <c r="D267" s="29" t="s">
        <v>62</v>
      </c>
      <c r="E267" s="29" t="s">
        <v>62</v>
      </c>
      <c r="F267" s="30" cm="1">
        <f t="array" ref="F267">_xlfn.IFS($G267=$G$5,F$5,$G267=$G$6,F$6,$G267=$G$7,F$7,$G267=$G$8,F$8,$G267=$G$9,F$9,$G267=$G$10,F$10,$G267=$G$11,F$11,$G267=$G$13,F$13,$G267=$G$15,F$15,$G267=$G$16,F$16,$G267=$G$33,F$33,$G267=$G$34,F$34,$G267=$G$248,F$248,$G267=$G$250,F$250)</f>
        <v>8038</v>
      </c>
      <c r="G267" s="29" t="s">
        <v>86</v>
      </c>
      <c r="H267" s="31" cm="1">
        <f t="array" ref="H267">_xlfn.IFS($G267=$G$5,H$5,$G267=$G$6,H$6,$G267=$G$7,H$7,$G267=$G$8,H$8,$G267=$G$9,H$9,$G267=$G$10,H$10,$G267=$G$11,H$11,$G267=$G$13,H$13,$G267=$G$15,H$15,$G267=$G$16,H$16,$G267=$G$33,H$33,$G267=$G$34,H$34,$G267=$G$248,H$248,$G267=$G$250,H$250)</f>
        <v>41.363377999999997</v>
      </c>
      <c r="I267" s="31" cm="1">
        <f t="array" ref="I267">_xlfn.IFS($G267=$G$5,I$5,$G267=$G$6,I$6,$G267=$G$7,I$7,$G267=$G$8,I$8,$G267=$G$9,I$9,$G267=$G$10,I$10,$G267=$G$11,I$11,$G267=$G$13,I$13,$G267=$G$15,I$15,$G267=$G$16,I$16,$G267=$G$33,I$33,$G267=$G$34,I$34,$G267=$G$248,I$248,$G267=$G$250,I$250)</f>
        <v>2.164879</v>
      </c>
      <c r="J267" s="29" cm="1">
        <f t="array" ref="J267">_xlfn.IFS($G267=$G$5,J$5,$G267=$G$6,J$6,$G267=$G$7,J$7,$G267=$G$8,J$8,$G267=$G$9,J$9,$G267=$G$10,J$10,$G267=$G$11,J$11,$G267=$G$13,J$13,$G267=$G$15,J$15,$G267=$G$16,J$16,$G267=$G$33,J$33,$G267=$G$34,J$34,$G267=$G$248,J$248,$G267=$G$250,J$250)</f>
        <v>185</v>
      </c>
      <c r="K267" s="29" t="str" cm="1">
        <f t="array" ref="K267">_xlfn.IFS($G267=$G$5,K$5,$G267=$G$6,K$6,$G267=$G$7,K$7,$G267=$G$8,K$8,$G267=$G$9,K$9,$G267=$G$10,K$10,$G267=$G$11,K$11,$G267=$G$13,K$13,$G267=$G$15,K$15,$G267=$G$16,K$16,$G267=$G$33,K$33,$G267=$G$34,K$34,$G267=$G$248,K$248,$G267=$G$250,K$250)</f>
        <v>BG sentinel + BG lure7</v>
      </c>
      <c r="L267" s="29" t="str" cm="1">
        <f t="array" ref="L267">_xlfn.IFS($G267=$G$5,L$5,$G267=$G$6,L$6,$G267=$G$7,L$7,$G267=$G$8,L$8,$G267=$G$9,L$9,$G267=$G$10,L$10,$G267=$G$11,L$11,$G267=$G$13,L$13,$G267=$G$15,L$15,$G267=$G$16,L$16,$G267=$G$33,L$33,$G267=$G$34,L$34,$G267=$G$248,L$248,$G267=$G$250,L$250)</f>
        <v>Other</v>
      </c>
      <c r="O267" s="32" t="str">
        <f t="shared" si="13"/>
        <v>A_SP_BCN_12_201021</v>
      </c>
      <c r="P267" s="33">
        <v>44125</v>
      </c>
      <c r="Q267" s="34">
        <v>0.55902777777777779</v>
      </c>
      <c r="R267" s="35"/>
      <c r="S267" s="36">
        <v>44132</v>
      </c>
      <c r="T267" s="37">
        <v>0.54166666666666663</v>
      </c>
      <c r="U267" s="38"/>
      <c r="V267" s="39" t="s">
        <v>66</v>
      </c>
      <c r="X267" s="29">
        <f t="shared" si="15"/>
        <v>7</v>
      </c>
      <c r="Y267" s="38"/>
      <c r="Z267" s="29" t="s">
        <v>84</v>
      </c>
      <c r="AA267" s="29">
        <f t="shared" si="14"/>
        <v>2</v>
      </c>
      <c r="AB267" s="29" t="s">
        <v>69</v>
      </c>
      <c r="AC267" s="29">
        <v>1</v>
      </c>
      <c r="AD267" s="29">
        <v>1</v>
      </c>
      <c r="AE267" s="29" t="s">
        <v>70</v>
      </c>
      <c r="AF267">
        <v>4</v>
      </c>
    </row>
    <row r="268" spans="1:32" x14ac:dyDescent="0.25">
      <c r="A268" s="28">
        <v>264</v>
      </c>
      <c r="B268" s="29" t="s">
        <v>60</v>
      </c>
      <c r="C268" s="29" t="s">
        <v>61</v>
      </c>
      <c r="D268" s="29" t="s">
        <v>62</v>
      </c>
      <c r="E268" s="29" t="s">
        <v>62</v>
      </c>
      <c r="F268" s="30" cm="1">
        <f t="array" ref="F268">_xlfn.IFS($G268=$G$5,F$5,$G268=$G$6,F$6,$G268=$G$7,F$7,$G268=$G$8,F$8,$G268=$G$9,F$9,$G268=$G$10,F$10,$G268=$G$11,F$11,$G268=$G$13,F$13,$G268=$G$15,F$15,$G268=$G$16,F$16,$G268=$G$33,F$33,$G268=$G$34,F$34,$G268=$G$248,F$248,$G268=$G$250,F$250)</f>
        <v>8024</v>
      </c>
      <c r="G268" s="29" t="s">
        <v>63</v>
      </c>
      <c r="H268" s="31" cm="1">
        <f t="array" ref="H268">_xlfn.IFS($G268=$G$5,H$5,$G268=$G$6,H$6,$G268=$G$7,H$7,$G268=$G$8,H$8,$G268=$G$9,H$9,$G268=$G$10,H$10,$G268=$G$11,H$11,$G268=$G$13,H$13,$G268=$G$15,H$15,$G268=$G$16,H$16,$G268=$G$33,H$33,$G268=$G$34,H$34,$G268=$G$248,H$248,$G268=$G$250,H$250)</f>
        <v>41.413573999999997</v>
      </c>
      <c r="I268" s="31" cm="1">
        <f t="array" ref="I268">_xlfn.IFS($G268=$G$5,I$5,$G268=$G$6,I$6,$G268=$G$7,I$7,$G268=$G$8,I$8,$G268=$G$9,I$9,$G268=$G$10,I$10,$G268=$G$11,I$11,$G268=$G$13,I$13,$G268=$G$15,I$15,$G268=$G$16,I$16,$G268=$G$33,I$33,$G268=$G$34,I$34,$G268=$G$248,I$248,$G268=$G$250,I$250)</f>
        <v>2.1520730000000001</v>
      </c>
      <c r="J268" s="29" cm="1">
        <f t="array" ref="J268">_xlfn.IFS($G268=$G$5,J$5,$G268=$G$6,J$6,$G268=$G$7,J$7,$G268=$G$8,J$8,$G268=$G$9,J$9,$G268=$G$10,J$10,$G268=$G$11,J$11,$G268=$G$13,J$13,$G268=$G$15,J$15,$G268=$G$16,J$16,$G268=$G$33,J$33,$G268=$G$34,J$34,$G268=$G$248,J$248,$G268=$G$250,J$250)</f>
        <v>141</v>
      </c>
      <c r="K268" s="29" t="str" cm="1">
        <f t="array" ref="K268">_xlfn.IFS($G268=$G$5,K$5,$G268=$G$6,K$6,$G268=$G$7,K$7,$G268=$G$8,K$8,$G268=$G$9,K$9,$G268=$G$10,K$10,$G268=$G$11,K$11,$G268=$G$13,K$13,$G268=$G$15,K$15,$G268=$G$16,K$16,$G268=$G$33,K$33,$G268=$G$34,K$34,$G268=$G$248,K$248,$G268=$G$250,K$250)</f>
        <v>BG sentinel + BG lure7</v>
      </c>
      <c r="L268" s="29" t="str" cm="1">
        <f t="array" ref="L268">_xlfn.IFS($G268=$G$5,L$5,$G268=$G$6,L$6,$G268=$G$7,L$7,$G268=$G$8,L$8,$G268=$G$9,L$9,$G268=$G$10,L$10,$G268=$G$11,L$11,$G268=$G$13,L$13,$G268=$G$15,L$15,$G268=$G$16,L$16,$G268=$G$33,L$33,$G268=$G$34,L$34,$G268=$G$248,L$248,$G268=$G$250,L$250)</f>
        <v>Urban habitat</v>
      </c>
      <c r="O268" s="32" t="str">
        <f t="shared" si="13"/>
        <v>A_SP_BCN_1_201028</v>
      </c>
      <c r="P268" s="33">
        <v>44132</v>
      </c>
      <c r="Q268" s="34">
        <v>0.6875</v>
      </c>
      <c r="R268" s="35"/>
      <c r="S268" s="36">
        <v>44139</v>
      </c>
      <c r="T268" s="37">
        <v>0.65277777777777779</v>
      </c>
      <c r="U268" s="38"/>
      <c r="V268" s="39" t="s">
        <v>105</v>
      </c>
      <c r="X268" s="29">
        <f t="shared" si="15"/>
        <v>7</v>
      </c>
      <c r="Y268" s="38"/>
      <c r="Z268" s="29" t="s">
        <v>68</v>
      </c>
      <c r="AA268" s="29">
        <f t="shared" si="14"/>
        <v>3</v>
      </c>
      <c r="AB268" s="29" t="s">
        <v>69</v>
      </c>
      <c r="AC268" s="29">
        <v>3</v>
      </c>
      <c r="AD268" s="29">
        <v>0</v>
      </c>
      <c r="AE268" s="29" t="s">
        <v>70</v>
      </c>
      <c r="AF268">
        <v>2</v>
      </c>
    </row>
    <row r="269" spans="1:32" x14ac:dyDescent="0.25">
      <c r="A269" s="28">
        <v>265</v>
      </c>
      <c r="B269" s="29" t="s">
        <v>60</v>
      </c>
      <c r="C269" s="29" t="s">
        <v>61</v>
      </c>
      <c r="D269" s="29" t="s">
        <v>62</v>
      </c>
      <c r="E269" s="29" t="s">
        <v>62</v>
      </c>
      <c r="F269" s="30" cm="1">
        <f t="array" ref="F269">_xlfn.IFS($G269=$G$5,F$5,$G269=$G$6,F$6,$G269=$G$7,F$7,$G269=$G$8,F$8,$G269=$G$9,F$9,$G269=$G$10,F$10,$G269=$G$11,F$11,$G269=$G$13,F$13,$G269=$G$15,F$15,$G269=$G$16,F$16,$G269=$G$33,F$33,$G269=$G$34,F$34,$G269=$G$248,F$248,$G269=$G$250,F$250)</f>
        <v>8035</v>
      </c>
      <c r="G269" s="29" t="s">
        <v>71</v>
      </c>
      <c r="H269" s="31" cm="1">
        <f t="array" ref="H269">_xlfn.IFS($G269=$G$5,H$5,$G269=$G$6,H$6,$G269=$G$7,H$7,$G269=$G$8,H$8,$G269=$G$9,H$9,$G269=$G$10,H$10,$G269=$G$11,H$11,$G269=$G$13,H$13,$G269=$G$15,H$15,$G269=$G$16,H$16,$G269=$G$33,H$33,$G269=$G$34,H$34,$G269=$G$248,H$248,$G269=$G$250,H$250)</f>
        <v>41.424387000000003</v>
      </c>
      <c r="I269" s="31" cm="1">
        <f t="array" ref="I269">_xlfn.IFS($G269=$G$5,I$5,$G269=$G$6,I$6,$G269=$G$7,I$7,$G269=$G$8,I$8,$G269=$G$9,I$9,$G269=$G$10,I$10,$G269=$G$11,I$11,$G269=$G$13,I$13,$G269=$G$15,I$15,$G269=$G$16,I$16,$G269=$G$33,I$33,$G269=$G$34,I$34,$G269=$G$248,I$248,$G269=$G$250,I$250)</f>
        <v>2.1431439999999999</v>
      </c>
      <c r="J269" s="29" cm="1">
        <f t="array" ref="J269">_xlfn.IFS($G269=$G$5,J$5,$G269=$G$6,J$6,$G269=$G$7,J$7,$G269=$G$8,J$8,$G269=$G$9,J$9,$G269=$G$10,J$10,$G269=$G$11,J$11,$G269=$G$13,J$13,$G269=$G$15,J$15,$G269=$G$16,J$16,$G269=$G$33,J$33,$G269=$G$34,J$34,$G269=$G$248,J$248,$G269=$G$250,J$250)</f>
        <v>160</v>
      </c>
      <c r="K269" s="29" t="str" cm="1">
        <f t="array" ref="K269">_xlfn.IFS($G269=$G$5,K$5,$G269=$G$6,K$6,$G269=$G$7,K$7,$G269=$G$8,K$8,$G269=$G$9,K$9,$G269=$G$10,K$10,$G269=$G$11,K$11,$G269=$G$13,K$13,$G269=$G$15,K$15,$G269=$G$16,K$16,$G269=$G$33,K$33,$G269=$G$34,K$34,$G269=$G$248,K$248,$G269=$G$250,K$250)</f>
        <v>BG sentinel + BG lure7</v>
      </c>
      <c r="L269" s="29" t="str" cm="1">
        <f t="array" ref="L269">_xlfn.IFS($G269=$G$5,L$5,$G269=$G$6,L$6,$G269=$G$7,L$7,$G269=$G$8,L$8,$G269=$G$9,L$9,$G269=$G$10,L$10,$G269=$G$11,L$11,$G269=$G$13,L$13,$G269=$G$15,L$15,$G269=$G$16,L$16,$G269=$G$33,L$33,$G269=$G$34,L$34,$G269=$G$248,L$248,$G269=$G$250,L$250)</f>
        <v>Urban habitat</v>
      </c>
      <c r="O269" s="32" t="str">
        <f t="shared" si="13"/>
        <v>A_SP_BCN_2_201028</v>
      </c>
      <c r="P269" s="33">
        <v>44132</v>
      </c>
      <c r="Q269" s="34">
        <v>0.76388888888888884</v>
      </c>
      <c r="R269" s="35"/>
      <c r="S269" s="36">
        <v>44139</v>
      </c>
      <c r="T269" s="37">
        <v>0.75347222222222221</v>
      </c>
      <c r="U269" s="38"/>
      <c r="V269" s="39" t="s">
        <v>66</v>
      </c>
      <c r="X269" s="29">
        <f t="shared" si="15"/>
        <v>7</v>
      </c>
      <c r="Y269" s="38"/>
      <c r="Z269" s="29" t="s">
        <v>68</v>
      </c>
      <c r="AA269" s="29">
        <f t="shared" si="14"/>
        <v>1</v>
      </c>
      <c r="AB269" s="29" t="s">
        <v>69</v>
      </c>
      <c r="AC269" s="29">
        <v>1</v>
      </c>
      <c r="AD269" s="29">
        <v>0</v>
      </c>
      <c r="AE269" s="29" t="s">
        <v>70</v>
      </c>
      <c r="AF269">
        <v>4</v>
      </c>
    </row>
    <row r="270" spans="1:32" x14ac:dyDescent="0.25">
      <c r="A270" s="28">
        <v>266</v>
      </c>
      <c r="B270" s="29" t="s">
        <v>60</v>
      </c>
      <c r="C270" s="29" t="s">
        <v>61</v>
      </c>
      <c r="D270" s="29" t="s">
        <v>62</v>
      </c>
      <c r="E270" s="29" t="s">
        <v>62</v>
      </c>
      <c r="F270" s="30" cm="1">
        <f t="array" ref="F270">_xlfn.IFS($G270=$G$5,F$5,$G270=$G$6,F$6,$G270=$G$7,F$7,$G270=$G$8,F$8,$G270=$G$9,F$9,$G270=$G$10,F$10,$G270=$G$11,F$11,$G270=$G$13,F$13,$G270=$G$15,F$15,$G270=$G$16,F$16,$G270=$G$33,F$33,$G270=$G$34,F$34,$G270=$G$248,F$248,$G270=$G$250,F$250)</f>
        <v>8016</v>
      </c>
      <c r="G270" s="29" t="s">
        <v>72</v>
      </c>
      <c r="H270" s="31" cm="1">
        <f t="array" ref="H270">_xlfn.IFS($G270=$G$5,H$5,$G270=$G$6,H$6,$G270=$G$7,H$7,$G270=$G$8,H$8,$G270=$G$9,H$9,$G270=$G$10,H$10,$G270=$G$11,H$11,$G270=$G$13,H$13,$G270=$G$15,H$15,$G270=$G$16,H$16,$G270=$G$33,H$33,$G270=$G$34,H$34,$G270=$G$248,H$248,$G270=$G$250,H$250)</f>
        <v>41.437435000000001</v>
      </c>
      <c r="I270" s="31" cm="1">
        <f t="array" ref="I270">_xlfn.IFS($G270=$G$5,I$5,$G270=$G$6,I$6,$G270=$G$7,I$7,$G270=$G$8,I$8,$G270=$G$9,I$9,$G270=$G$10,I$10,$G270=$G$11,I$11,$G270=$G$13,I$13,$G270=$G$15,I$15,$G270=$G$16,I$16,$G270=$G$33,I$33,$G270=$G$34,I$34,$G270=$G$248,I$248,$G270=$G$250,I$250)</f>
        <v>2.1812779999999998</v>
      </c>
      <c r="J270" s="29" cm="1">
        <f t="array" ref="J270">_xlfn.IFS($G270=$G$5,J$5,$G270=$G$6,J$6,$G270=$G$7,J$7,$G270=$G$8,J$8,$G270=$G$9,J$9,$G270=$G$10,J$10,$G270=$G$11,J$11,$G270=$G$13,J$13,$G270=$G$15,J$15,$G270=$G$16,J$16,$G270=$G$33,J$33,$G270=$G$34,J$34,$G270=$G$248,J$248,$G270=$G$250,J$250)</f>
        <v>47</v>
      </c>
      <c r="K270" s="29" t="str" cm="1">
        <f t="array" ref="K270">_xlfn.IFS($G270=$G$5,K$5,$G270=$G$6,K$6,$G270=$G$7,K$7,$G270=$G$8,K$8,$G270=$G$9,K$9,$G270=$G$10,K$10,$G270=$G$11,K$11,$G270=$G$13,K$13,$G270=$G$15,K$15,$G270=$G$16,K$16,$G270=$G$33,K$33,$G270=$G$34,K$34,$G270=$G$248,K$248,$G270=$G$250,K$250)</f>
        <v>BG sentinel + BG lure7</v>
      </c>
      <c r="L270" s="29" t="str" cm="1">
        <f t="array" ref="L270">_xlfn.IFS($G270=$G$5,L$5,$G270=$G$6,L$6,$G270=$G$7,L$7,$G270=$G$8,L$8,$G270=$G$9,L$9,$G270=$G$10,L$10,$G270=$G$11,L$11,$G270=$G$13,L$13,$G270=$G$15,L$15,$G270=$G$16,L$16,$G270=$G$33,L$33,$G270=$G$34,L$34,$G270=$G$248,L$248,$G270=$G$250,L$250)</f>
        <v>Urban habitat</v>
      </c>
      <c r="O270" s="32" t="str">
        <f t="shared" si="13"/>
        <v>A_SP_BCN_3_201028</v>
      </c>
      <c r="P270" s="33">
        <v>44132</v>
      </c>
      <c r="Q270" s="34">
        <v>0.77777777777777779</v>
      </c>
      <c r="R270" s="35"/>
      <c r="S270" s="36">
        <v>44139</v>
      </c>
      <c r="T270" s="37">
        <v>0.62847222222222221</v>
      </c>
      <c r="U270" s="38"/>
      <c r="V270" s="39" t="s">
        <v>66</v>
      </c>
      <c r="X270" s="29">
        <f t="shared" si="15"/>
        <v>7</v>
      </c>
      <c r="Y270" s="38"/>
      <c r="Z270" s="29" t="s">
        <v>68</v>
      </c>
      <c r="AA270" s="29">
        <f t="shared" si="14"/>
        <v>3</v>
      </c>
      <c r="AB270" s="29" t="s">
        <v>69</v>
      </c>
      <c r="AC270" s="29">
        <v>3</v>
      </c>
      <c r="AD270" s="29">
        <v>0</v>
      </c>
      <c r="AE270" s="29" t="s">
        <v>70</v>
      </c>
      <c r="AF270">
        <v>4</v>
      </c>
    </row>
    <row r="271" spans="1:32" x14ac:dyDescent="0.25">
      <c r="A271" s="28">
        <v>267</v>
      </c>
      <c r="B271" s="29" t="s">
        <v>60</v>
      </c>
      <c r="C271" s="29" t="s">
        <v>61</v>
      </c>
      <c r="D271" s="29" t="s">
        <v>62</v>
      </c>
      <c r="E271" s="29" t="s">
        <v>62</v>
      </c>
      <c r="F271" s="30" cm="1">
        <f t="array" ref="F271">_xlfn.IFS($G271=$G$5,F$5,$G271=$G$6,F$6,$G271=$G$7,F$7,$G271=$G$8,F$8,$G271=$G$9,F$9,$G271=$G$10,F$10,$G271=$G$11,F$11,$G271=$G$13,F$13,$G271=$G$15,F$15,$G271=$G$16,F$16,$G271=$G$33,F$33,$G271=$G$34,F$34,$G271=$G$248,F$248,$G271=$G$250,F$250)</f>
        <v>8016</v>
      </c>
      <c r="G271" s="29" t="s">
        <v>72</v>
      </c>
      <c r="H271" s="31" cm="1">
        <f t="array" ref="H271">_xlfn.IFS($G271=$G$5,H$5,$G271=$G$6,H$6,$G271=$G$7,H$7,$G271=$G$8,H$8,$G271=$G$9,H$9,$G271=$G$10,H$10,$G271=$G$11,H$11,$G271=$G$13,H$13,$G271=$G$15,H$15,$G271=$G$16,H$16,$G271=$G$33,H$33,$G271=$G$34,H$34,$G271=$G$248,H$248,$G271=$G$250,H$250)</f>
        <v>41.437435000000001</v>
      </c>
      <c r="I271" s="31" cm="1">
        <f t="array" ref="I271">_xlfn.IFS($G271=$G$5,I$5,$G271=$G$6,I$6,$G271=$G$7,I$7,$G271=$G$8,I$8,$G271=$G$9,I$9,$G271=$G$10,I$10,$G271=$G$11,I$11,$G271=$G$13,I$13,$G271=$G$15,I$15,$G271=$G$16,I$16,$G271=$G$33,I$33,$G271=$G$34,I$34,$G271=$G$248,I$248,$G271=$G$250,I$250)</f>
        <v>2.1812779999999998</v>
      </c>
      <c r="J271" s="29" cm="1">
        <f t="array" ref="J271">_xlfn.IFS($G271=$G$5,J$5,$G271=$G$6,J$6,$G271=$G$7,J$7,$G271=$G$8,J$8,$G271=$G$9,J$9,$G271=$G$10,J$10,$G271=$G$11,J$11,$G271=$G$13,J$13,$G271=$G$15,J$15,$G271=$G$16,J$16,$G271=$G$33,J$33,$G271=$G$34,J$34,$G271=$G$248,J$248,$G271=$G$250,J$250)</f>
        <v>47</v>
      </c>
      <c r="K271" s="29" t="str" cm="1">
        <f t="array" ref="K271">_xlfn.IFS($G271=$G$5,K$5,$G271=$G$6,K$6,$G271=$G$7,K$7,$G271=$G$8,K$8,$G271=$G$9,K$9,$G271=$G$10,K$10,$G271=$G$11,K$11,$G271=$G$13,K$13,$G271=$G$15,K$15,$G271=$G$16,K$16,$G271=$G$33,K$33,$G271=$G$34,K$34,$G271=$G$248,K$248,$G271=$G$250,K$250)</f>
        <v>BG sentinel + BG lure7</v>
      </c>
      <c r="L271" s="29" t="str" cm="1">
        <f t="array" ref="L271">_xlfn.IFS($G271=$G$5,L$5,$G271=$G$6,L$6,$G271=$G$7,L$7,$G271=$G$8,L$8,$G271=$G$9,L$9,$G271=$G$10,L$10,$G271=$G$11,L$11,$G271=$G$13,L$13,$G271=$G$15,L$15,$G271=$G$16,L$16,$G271=$G$33,L$33,$G271=$G$34,L$34,$G271=$G$248,L$248,$G271=$G$250,L$250)</f>
        <v>Urban habitat</v>
      </c>
      <c r="O271" s="32" t="str">
        <f t="shared" si="13"/>
        <v>A_SP_BCN_3_201028</v>
      </c>
      <c r="P271" s="33">
        <v>44132</v>
      </c>
      <c r="Q271" s="34">
        <v>0.77777777777777779</v>
      </c>
      <c r="R271" s="35"/>
      <c r="S271" s="36">
        <v>44139</v>
      </c>
      <c r="T271" s="37">
        <v>0.62847222222222221</v>
      </c>
      <c r="U271" s="38"/>
      <c r="V271" s="39" t="s">
        <v>66</v>
      </c>
      <c r="X271" s="29">
        <f t="shared" si="15"/>
        <v>7</v>
      </c>
      <c r="Y271" s="38"/>
      <c r="Z271" s="29" t="s">
        <v>75</v>
      </c>
      <c r="AA271" s="29">
        <f t="shared" si="14"/>
        <v>2</v>
      </c>
      <c r="AB271" s="29" t="s">
        <v>69</v>
      </c>
      <c r="AC271" s="29">
        <v>1</v>
      </c>
      <c r="AD271" s="29">
        <v>1</v>
      </c>
      <c r="AE271" s="29" t="s">
        <v>70</v>
      </c>
      <c r="AF271">
        <v>4</v>
      </c>
    </row>
    <row r="272" spans="1:32" x14ac:dyDescent="0.25">
      <c r="A272" s="28">
        <v>268</v>
      </c>
      <c r="B272" s="29" t="s">
        <v>60</v>
      </c>
      <c r="C272" s="29" t="s">
        <v>61</v>
      </c>
      <c r="D272" s="29" t="s">
        <v>62</v>
      </c>
      <c r="E272" s="29" t="s">
        <v>62</v>
      </c>
      <c r="F272" s="30" cm="1">
        <f t="array" ref="F272">_xlfn.IFS($G272=$G$5,F$5,$G272=$G$6,F$6,$G272=$G$7,F$7,$G272=$G$8,F$8,$G272=$G$9,F$9,$G272=$G$10,F$10,$G272=$G$11,F$11,$G272=$G$13,F$13,$G272=$G$15,F$15,$G272=$G$16,F$16,$G272=$G$33,F$33,$G272=$G$34,F$34,$G272=$G$248,F$248,$G272=$G$250,F$250)</f>
        <v>8016</v>
      </c>
      <c r="G272" s="29" t="s">
        <v>72</v>
      </c>
      <c r="H272" s="31" cm="1">
        <f t="array" ref="H272">_xlfn.IFS($G272=$G$5,H$5,$G272=$G$6,H$6,$G272=$G$7,H$7,$G272=$G$8,H$8,$G272=$G$9,H$9,$G272=$G$10,H$10,$G272=$G$11,H$11,$G272=$G$13,H$13,$G272=$G$15,H$15,$G272=$G$16,H$16,$G272=$G$33,H$33,$G272=$G$34,H$34,$G272=$G$248,H$248,$G272=$G$250,H$250)</f>
        <v>41.437435000000001</v>
      </c>
      <c r="I272" s="31" cm="1">
        <f t="array" ref="I272">_xlfn.IFS($G272=$G$5,I$5,$G272=$G$6,I$6,$G272=$G$7,I$7,$G272=$G$8,I$8,$G272=$G$9,I$9,$G272=$G$10,I$10,$G272=$G$11,I$11,$G272=$G$13,I$13,$G272=$G$15,I$15,$G272=$G$16,I$16,$G272=$G$33,I$33,$G272=$G$34,I$34,$G272=$G$248,I$248,$G272=$G$250,I$250)</f>
        <v>2.1812779999999998</v>
      </c>
      <c r="J272" s="29" cm="1">
        <f t="array" ref="J272">_xlfn.IFS($G272=$G$5,J$5,$G272=$G$6,J$6,$G272=$G$7,J$7,$G272=$G$8,J$8,$G272=$G$9,J$9,$G272=$G$10,J$10,$G272=$G$11,J$11,$G272=$G$13,J$13,$G272=$G$15,J$15,$G272=$G$16,J$16,$G272=$G$33,J$33,$G272=$G$34,J$34,$G272=$G$248,J$248,$G272=$G$250,J$250)</f>
        <v>47</v>
      </c>
      <c r="K272" s="29" t="str" cm="1">
        <f t="array" ref="K272">_xlfn.IFS($G272=$G$5,K$5,$G272=$G$6,K$6,$G272=$G$7,K$7,$G272=$G$8,K$8,$G272=$G$9,K$9,$G272=$G$10,K$10,$G272=$G$11,K$11,$G272=$G$13,K$13,$G272=$G$15,K$15,$G272=$G$16,K$16,$G272=$G$33,K$33,$G272=$G$34,K$34,$G272=$G$248,K$248,$G272=$G$250,K$250)</f>
        <v>BG sentinel + BG lure7</v>
      </c>
      <c r="L272" s="29" t="str" cm="1">
        <f t="array" ref="L272">_xlfn.IFS($G272=$G$5,L$5,$G272=$G$6,L$6,$G272=$G$7,L$7,$G272=$G$8,L$8,$G272=$G$9,L$9,$G272=$G$10,L$10,$G272=$G$11,L$11,$G272=$G$13,L$13,$G272=$G$15,L$15,$G272=$G$16,L$16,$G272=$G$33,L$33,$G272=$G$34,L$34,$G272=$G$248,L$248,$G272=$G$250,L$250)</f>
        <v>Urban habitat</v>
      </c>
      <c r="O272" s="32" t="str">
        <f t="shared" si="13"/>
        <v>A_SP_BCN_3_201028</v>
      </c>
      <c r="P272" s="33">
        <v>44132</v>
      </c>
      <c r="Q272" s="34">
        <v>0.77777777777777779</v>
      </c>
      <c r="R272" s="35"/>
      <c r="S272" s="36">
        <v>44139</v>
      </c>
      <c r="T272" s="37">
        <v>0.62847222222222221</v>
      </c>
      <c r="U272" s="38"/>
      <c r="V272" s="39" t="s">
        <v>66</v>
      </c>
      <c r="X272" s="29">
        <f t="shared" si="15"/>
        <v>7</v>
      </c>
      <c r="Y272" s="38"/>
      <c r="Z272" s="29" t="s">
        <v>84</v>
      </c>
      <c r="AA272" s="29">
        <f t="shared" si="14"/>
        <v>1</v>
      </c>
      <c r="AB272" s="29" t="s">
        <v>69</v>
      </c>
      <c r="AC272" s="29">
        <v>0</v>
      </c>
      <c r="AD272" s="29">
        <v>1</v>
      </c>
      <c r="AE272" s="29" t="s">
        <v>70</v>
      </c>
      <c r="AF272">
        <v>4</v>
      </c>
    </row>
    <row r="273" spans="1:32" x14ac:dyDescent="0.25">
      <c r="A273" s="28">
        <v>269</v>
      </c>
      <c r="B273" s="29" t="s">
        <v>60</v>
      </c>
      <c r="C273" s="29" t="s">
        <v>61</v>
      </c>
      <c r="D273" s="29" t="s">
        <v>62</v>
      </c>
      <c r="E273" s="29" t="s">
        <v>62</v>
      </c>
      <c r="F273" s="30" cm="1">
        <f t="array" ref="F273">_xlfn.IFS($G273=$G$5,F$5,$G273=$G$6,F$6,$G273=$G$7,F$7,$G273=$G$8,F$8,$G273=$G$9,F$9,$G273=$G$10,F$10,$G273=$G$11,F$11,$G273=$G$13,F$13,$G273=$G$15,F$15,$G273=$G$16,F$16,$G273=$G$33,F$33,$G273=$G$34,F$34,$G273=$G$248,F$248,$G273=$G$250,F$250)</f>
        <v>8018</v>
      </c>
      <c r="G273" s="29" t="s">
        <v>73</v>
      </c>
      <c r="H273" s="31" cm="1">
        <f t="array" ref="H273">_xlfn.IFS($G273=$G$5,H$5,$G273=$G$6,H$6,$G273=$G$7,H$7,$G273=$G$8,H$8,$G273=$G$9,H$9,$G273=$G$10,H$10,$G273=$G$11,H$11,$G273=$G$13,H$13,$G273=$G$15,H$15,$G273=$G$16,H$16,$G273=$G$33,H$33,$G273=$G$34,H$34,$G273=$G$248,H$248,$G273=$G$250,H$250)</f>
        <v>41.404924999999999</v>
      </c>
      <c r="I273" s="31" cm="1">
        <f t="array" ref="I273">_xlfn.IFS($G273=$G$5,I$5,$G273=$G$6,I$6,$G273=$G$7,I$7,$G273=$G$8,I$8,$G273=$G$9,I$9,$G273=$G$10,I$10,$G273=$G$11,I$11,$G273=$G$13,I$13,$G273=$G$15,I$15,$G273=$G$16,I$16,$G273=$G$33,I$33,$G273=$G$34,I$34,$G273=$G$248,I$248,$G273=$G$250,I$250)</f>
        <v>2.1987909999999999</v>
      </c>
      <c r="J273" s="29" cm="1">
        <f t="array" ref="J273">_xlfn.IFS($G273=$G$5,J$5,$G273=$G$6,J$6,$G273=$G$7,J$7,$G273=$G$8,J$8,$G273=$G$9,J$9,$G273=$G$10,J$10,$G273=$G$11,J$11,$G273=$G$13,J$13,$G273=$G$15,J$15,$G273=$G$16,J$16,$G273=$G$33,J$33,$G273=$G$34,J$34,$G273=$G$248,J$248,$G273=$G$250,J$250)</f>
        <v>4</v>
      </c>
      <c r="K273" s="29" t="str" cm="1">
        <f t="array" ref="K273">_xlfn.IFS($G273=$G$5,K$5,$G273=$G$6,K$6,$G273=$G$7,K$7,$G273=$G$8,K$8,$G273=$G$9,K$9,$G273=$G$10,K$10,$G273=$G$11,K$11,$G273=$G$13,K$13,$G273=$G$15,K$15,$G273=$G$16,K$16,$G273=$G$33,K$33,$G273=$G$34,K$34,$G273=$G$248,K$248,$G273=$G$250,K$250)</f>
        <v>BG sentinel + BG lure7</v>
      </c>
      <c r="L273" s="29" t="str" cm="1">
        <f t="array" ref="L273">_xlfn.IFS($G273=$G$5,L$5,$G273=$G$6,L$6,$G273=$G$7,L$7,$G273=$G$8,L$8,$G273=$G$9,L$9,$G273=$G$10,L$10,$G273=$G$11,L$11,$G273=$G$13,L$13,$G273=$G$15,L$15,$G273=$G$16,L$16,$G273=$G$33,L$33,$G273=$G$34,L$34,$G273=$G$248,L$248,$G273=$G$250,L$250)</f>
        <v>Urban habitat</v>
      </c>
      <c r="O273" s="32" t="str">
        <f t="shared" si="13"/>
        <v>A_SP_BCN_4_201028</v>
      </c>
      <c r="P273" s="33">
        <v>44132</v>
      </c>
      <c r="Q273" s="34">
        <v>0.59722222222222221</v>
      </c>
      <c r="R273" s="35"/>
      <c r="S273" s="36">
        <v>44139</v>
      </c>
      <c r="T273" s="37">
        <v>0.59375</v>
      </c>
      <c r="U273" s="38"/>
      <c r="V273" s="39" t="s">
        <v>66</v>
      </c>
      <c r="X273" s="29">
        <f t="shared" si="15"/>
        <v>7</v>
      </c>
      <c r="Y273" s="38"/>
      <c r="AA273" s="29">
        <f t="shared" si="14"/>
        <v>0</v>
      </c>
      <c r="AF273">
        <v>4</v>
      </c>
    </row>
    <row r="274" spans="1:32" x14ac:dyDescent="0.25">
      <c r="A274" s="28">
        <v>270</v>
      </c>
      <c r="B274" s="29" t="s">
        <v>60</v>
      </c>
      <c r="C274" s="29" t="s">
        <v>61</v>
      </c>
      <c r="D274" s="29" t="s">
        <v>62</v>
      </c>
      <c r="E274" s="29" t="s">
        <v>62</v>
      </c>
      <c r="F274" s="30" cm="1">
        <f t="array" ref="F274">_xlfn.IFS($G274=$G$5,F$5,$G274=$G$6,F$6,$G274=$G$7,F$7,$G274=$G$8,F$8,$G274=$G$9,F$9,$G274=$G$10,F$10,$G274=$G$11,F$11,$G274=$G$13,F$13,$G274=$G$15,F$15,$G274=$G$16,F$16,$G274=$G$33,F$33,$G274=$G$34,F$34,$G274=$G$248,F$248,$G274=$G$250,F$250)</f>
        <v>8019</v>
      </c>
      <c r="G274" s="29" t="s">
        <v>74</v>
      </c>
      <c r="H274" s="31" cm="1">
        <f t="array" ref="H274">_xlfn.IFS($G274=$G$5,H$5,$G274=$G$6,H$6,$G274=$G$7,H$7,$G274=$G$8,H$8,$G274=$G$9,H$9,$G274=$G$10,H$10,$G274=$G$11,H$11,$G274=$G$13,H$13,$G274=$G$15,H$15,$G274=$G$16,H$16,$G274=$G$33,H$33,$G274=$G$34,H$34,$G274=$G$248,H$248,$G274=$G$250,H$250)</f>
        <v>41.410684000000003</v>
      </c>
      <c r="I274" s="31" cm="1">
        <f t="array" ref="I274">_xlfn.IFS($G274=$G$5,I$5,$G274=$G$6,I$6,$G274=$G$7,I$7,$G274=$G$8,I$8,$G274=$G$9,I$9,$G274=$G$10,I$10,$G274=$G$11,I$11,$G274=$G$13,I$13,$G274=$G$15,I$15,$G274=$G$16,I$16,$G274=$G$33,I$33,$G274=$G$34,I$34,$G274=$G$248,I$248,$G274=$G$250,I$250)</f>
        <v>2.2208019999999999</v>
      </c>
      <c r="J274" s="29" cm="1">
        <f t="array" ref="J274">_xlfn.IFS($G274=$G$5,J$5,$G274=$G$6,J$6,$G274=$G$7,J$7,$G274=$G$8,J$8,$G274=$G$9,J$9,$G274=$G$10,J$10,$G274=$G$11,J$11,$G274=$G$13,J$13,$G274=$G$15,J$15,$G274=$G$16,J$16,$G274=$G$33,J$33,$G274=$G$34,J$34,$G274=$G$248,J$248,$G274=$G$250,J$250)</f>
        <v>18</v>
      </c>
      <c r="K274" s="29" t="str" cm="1">
        <f t="array" ref="K274">_xlfn.IFS($G274=$G$5,K$5,$G274=$G$6,K$6,$G274=$G$7,K$7,$G274=$G$8,K$8,$G274=$G$9,K$9,$G274=$G$10,K$10,$G274=$G$11,K$11,$G274=$G$13,K$13,$G274=$G$15,K$15,$G274=$G$16,K$16,$G274=$G$33,K$33,$G274=$G$34,K$34,$G274=$G$248,K$248,$G274=$G$250,K$250)</f>
        <v>BG sentinel + BG lure7</v>
      </c>
      <c r="L274" s="29" t="str" cm="1">
        <f t="array" ref="L274">_xlfn.IFS($G274=$G$5,L$5,$G274=$G$6,L$6,$G274=$G$7,L$7,$G274=$G$8,L$8,$G274=$G$9,L$9,$G274=$G$10,L$10,$G274=$G$11,L$11,$G274=$G$13,L$13,$G274=$G$15,L$15,$G274=$G$16,L$16,$G274=$G$33,L$33,$G274=$G$34,L$34,$G274=$G$248,L$248,$G274=$G$250,L$250)</f>
        <v>Urban habitat</v>
      </c>
      <c r="O274" s="32" t="str">
        <f t="shared" ref="O274:O337" si="16">G274&amp;"_"&amp;TEXT(P274,"AAMMDD")</f>
        <v>A_SP_BCN_5_201028</v>
      </c>
      <c r="P274" s="33">
        <v>44132</v>
      </c>
      <c r="Q274" s="34">
        <v>0.61805555555555558</v>
      </c>
      <c r="R274" s="35"/>
      <c r="S274" s="36">
        <v>44139</v>
      </c>
      <c r="T274" s="37">
        <v>0.60416666666666663</v>
      </c>
      <c r="U274" s="38"/>
      <c r="V274" s="39" t="s">
        <v>66</v>
      </c>
      <c r="X274" s="29">
        <f t="shared" si="15"/>
        <v>7</v>
      </c>
      <c r="Y274" s="38"/>
      <c r="Z274" s="29" t="s">
        <v>75</v>
      </c>
      <c r="AA274" s="29">
        <f t="shared" si="14"/>
        <v>3</v>
      </c>
      <c r="AB274" s="29" t="s">
        <v>69</v>
      </c>
      <c r="AC274" s="29">
        <v>3</v>
      </c>
      <c r="AD274" s="29">
        <v>0</v>
      </c>
      <c r="AE274" s="29" t="s">
        <v>70</v>
      </c>
      <c r="AF274">
        <v>4</v>
      </c>
    </row>
    <row r="275" spans="1:32" x14ac:dyDescent="0.25">
      <c r="A275" s="28">
        <v>271</v>
      </c>
      <c r="B275" s="29" t="s">
        <v>60</v>
      </c>
      <c r="C275" s="29" t="s">
        <v>61</v>
      </c>
      <c r="D275" s="29" t="s">
        <v>62</v>
      </c>
      <c r="E275" s="29" t="s">
        <v>62</v>
      </c>
      <c r="F275" s="30" cm="1">
        <f t="array" ref="F275">_xlfn.IFS($G275=$G$5,F$5,$G275=$G$6,F$6,$G275=$G$7,F$7,$G275=$G$8,F$8,$G275=$G$9,F$9,$G275=$G$10,F$10,$G275=$G$11,F$11,$G275=$G$13,F$13,$G275=$G$15,F$15,$G275=$G$16,F$16,$G275=$G$33,F$33,$G275=$G$34,F$34,$G275=$G$248,F$248,$G275=$G$250,F$250)</f>
        <v>8002</v>
      </c>
      <c r="G275" s="29" t="s">
        <v>76</v>
      </c>
      <c r="H275" s="31" cm="1">
        <f t="array" ref="H275">_xlfn.IFS($G275=$G$5,H$5,$G275=$G$6,H$6,$G275=$G$7,H$7,$G275=$G$8,H$8,$G275=$G$9,H$9,$G275=$G$10,H$10,$G275=$G$11,H$11,$G275=$G$13,H$13,$G275=$G$15,H$15,$G275=$G$16,H$16,$G275=$G$33,H$33,$G275=$G$34,H$34,$G275=$G$248,H$248,$G275=$G$250,H$250)</f>
        <v>41.382339999999999</v>
      </c>
      <c r="I275" s="31" cm="1">
        <f t="array" ref="I275">_xlfn.IFS($G275=$G$5,I$5,$G275=$G$6,I$6,$G275=$G$7,I$7,$G275=$G$8,I$8,$G275=$G$9,I$9,$G275=$G$10,I$10,$G275=$G$11,I$11,$G275=$G$13,I$13,$G275=$G$15,I$15,$G275=$G$16,I$16,$G275=$G$33,I$33,$G275=$G$34,I$34,$G275=$G$248,I$248,$G275=$G$250,I$250)</f>
        <v>2.1714790000000002</v>
      </c>
      <c r="J275" s="29" cm="1">
        <f t="array" ref="J275">_xlfn.IFS($G275=$G$5,J$5,$G275=$G$6,J$6,$G275=$G$7,J$7,$G275=$G$8,J$8,$G275=$G$9,J$9,$G275=$G$10,J$10,$G275=$G$11,J$11,$G275=$G$13,J$13,$G275=$G$15,J$15,$G275=$G$16,J$16,$G275=$G$33,J$33,$G275=$G$34,J$34,$G275=$G$248,J$248,$G275=$G$250,J$250)</f>
        <v>19</v>
      </c>
      <c r="K275" s="29" t="str" cm="1">
        <f t="array" ref="K275">_xlfn.IFS($G275=$G$5,K$5,$G275=$G$6,K$6,$G275=$G$7,K$7,$G275=$G$8,K$8,$G275=$G$9,K$9,$G275=$G$10,K$10,$G275=$G$11,K$11,$G275=$G$13,K$13,$G275=$G$15,K$15,$G275=$G$16,K$16,$G275=$G$33,K$33,$G275=$G$34,K$34,$G275=$G$248,K$248,$G275=$G$250,K$250)</f>
        <v>BG sentinel + BG lure7</v>
      </c>
      <c r="L275" s="29" t="str" cm="1">
        <f t="array" ref="L275">_xlfn.IFS($G275=$G$5,L$5,$G275=$G$6,L$6,$G275=$G$7,L$7,$G275=$G$8,L$8,$G275=$G$9,L$9,$G275=$G$10,L$10,$G275=$G$11,L$11,$G275=$G$13,L$13,$G275=$G$15,L$15,$G275=$G$16,L$16,$G275=$G$33,L$33,$G275=$G$34,L$34,$G275=$G$248,L$248,$G275=$G$250,L$250)</f>
        <v>Urban habitat</v>
      </c>
      <c r="O275" s="32" t="str">
        <f t="shared" si="16"/>
        <v>A_SP_BCN_6_201028</v>
      </c>
      <c r="P275" s="33">
        <v>44132</v>
      </c>
      <c r="Q275" s="34">
        <v>0.57291666666666663</v>
      </c>
      <c r="R275" s="35"/>
      <c r="S275" s="36">
        <v>44139</v>
      </c>
      <c r="T275" s="37">
        <v>0.53819444444444442</v>
      </c>
      <c r="U275" s="38"/>
      <c r="V275" s="39" t="s">
        <v>94</v>
      </c>
      <c r="X275" s="29">
        <f t="shared" si="15"/>
        <v>7</v>
      </c>
      <c r="Y275" s="38"/>
      <c r="Z275" s="29" t="s">
        <v>68</v>
      </c>
      <c r="AA275" s="29">
        <f t="shared" si="14"/>
        <v>2</v>
      </c>
      <c r="AB275" s="29" t="s">
        <v>69</v>
      </c>
      <c r="AC275" s="29">
        <v>2</v>
      </c>
      <c r="AD275" s="29">
        <v>0</v>
      </c>
      <c r="AE275" s="29" t="s">
        <v>70</v>
      </c>
      <c r="AF275">
        <v>2</v>
      </c>
    </row>
    <row r="276" spans="1:32" x14ac:dyDescent="0.25">
      <c r="A276" s="28">
        <v>272</v>
      </c>
      <c r="B276" s="29" t="s">
        <v>60</v>
      </c>
      <c r="C276" s="29" t="s">
        <v>61</v>
      </c>
      <c r="D276" s="29" t="s">
        <v>62</v>
      </c>
      <c r="E276" s="29" t="s">
        <v>62</v>
      </c>
      <c r="F276" s="30" cm="1">
        <f t="array" ref="F276">_xlfn.IFS($G276=$G$5,F$5,$G276=$G$6,F$6,$G276=$G$7,F$7,$G276=$G$8,F$8,$G276=$G$9,F$9,$G276=$G$10,F$10,$G276=$G$11,F$11,$G276=$G$13,F$13,$G276=$G$15,F$15,$G276=$G$16,F$16,$G276=$G$33,F$33,$G276=$G$34,F$34,$G276=$G$248,F$248,$G276=$G$250,F$250)</f>
        <v>8038</v>
      </c>
      <c r="G276" s="29" t="s">
        <v>77</v>
      </c>
      <c r="H276" s="31" cm="1">
        <f t="array" ref="H276">_xlfn.IFS($G276=$G$5,H$5,$G276=$G$6,H$6,$G276=$G$7,H$7,$G276=$G$8,H$8,$G276=$G$9,H$9,$G276=$G$10,H$10,$G276=$G$11,H$11,$G276=$G$13,H$13,$G276=$G$15,H$15,$G276=$G$16,H$16,$G276=$G$33,H$33,$G276=$G$34,H$34,$G276=$G$248,H$248,$G276=$G$250,H$250)</f>
        <v>41.371864000000002</v>
      </c>
      <c r="I276" s="31" cm="1">
        <f t="array" ref="I276">_xlfn.IFS($G276=$G$5,I$5,$G276=$G$6,I$6,$G276=$G$7,I$7,$G276=$G$8,I$8,$G276=$G$9,I$9,$G276=$G$10,I$10,$G276=$G$11,I$11,$G276=$G$13,I$13,$G276=$G$15,I$15,$G276=$G$16,I$16,$G276=$G$33,I$33,$G276=$G$34,I$34,$G276=$G$248,I$248,$G276=$G$250,I$250)</f>
        <v>2.173899</v>
      </c>
      <c r="J276" s="29" cm="1">
        <f t="array" ref="J276">_xlfn.IFS($G276=$G$5,J$5,$G276=$G$6,J$6,$G276=$G$7,J$7,$G276=$G$8,J$8,$G276=$G$9,J$9,$G276=$G$10,J$10,$G276=$G$11,J$11,$G276=$G$13,J$13,$G276=$G$15,J$15,$G276=$G$16,J$16,$G276=$G$33,J$33,$G276=$G$34,J$34,$G276=$G$248,J$248,$G276=$G$250,J$250)</f>
        <v>5</v>
      </c>
      <c r="K276" s="29" t="str" cm="1">
        <f t="array" ref="K276">_xlfn.IFS($G276=$G$5,K$5,$G276=$G$6,K$6,$G276=$G$7,K$7,$G276=$G$8,K$8,$G276=$G$9,K$9,$G276=$G$10,K$10,$G276=$G$11,K$11,$G276=$G$13,K$13,$G276=$G$15,K$15,$G276=$G$16,K$16,$G276=$G$33,K$33,$G276=$G$34,K$34,$G276=$G$248,K$248,$G276=$G$250,K$250)</f>
        <v>BG sentinel + BG lure7</v>
      </c>
      <c r="L276" s="29" t="str" cm="1">
        <f t="array" ref="L276">_xlfn.IFS($G276=$G$5,L$5,$G276=$G$6,L$6,$G276=$G$7,L$7,$G276=$G$8,L$8,$G276=$G$9,L$9,$G276=$G$10,L$10,$G276=$G$11,L$11,$G276=$G$13,L$13,$G276=$G$15,L$15,$G276=$G$16,L$16,$G276=$G$33,L$33,$G276=$G$34,L$34,$G276=$G$248,L$248,$G276=$G$250,L$250)</f>
        <v>Urban habitat</v>
      </c>
      <c r="O276" s="32" t="str">
        <f t="shared" si="16"/>
        <v>A_SP_BCN_7_201028</v>
      </c>
      <c r="P276" s="33">
        <v>44132</v>
      </c>
      <c r="Q276" s="34">
        <v>0.50694444444444442</v>
      </c>
      <c r="R276" s="35"/>
      <c r="S276" s="36">
        <v>44139</v>
      </c>
      <c r="T276" s="37">
        <v>0.45833333333333331</v>
      </c>
      <c r="U276" s="38"/>
      <c r="V276" s="39" t="s">
        <v>66</v>
      </c>
      <c r="X276" s="29">
        <f t="shared" si="15"/>
        <v>7</v>
      </c>
      <c r="Y276" s="38"/>
      <c r="Z276" s="29" t="s">
        <v>84</v>
      </c>
      <c r="AA276" s="29">
        <f t="shared" si="14"/>
        <v>1</v>
      </c>
      <c r="AB276" s="29" t="s">
        <v>69</v>
      </c>
      <c r="AC276" s="29">
        <v>1</v>
      </c>
      <c r="AD276" s="29">
        <v>0</v>
      </c>
      <c r="AE276" s="29" t="s">
        <v>70</v>
      </c>
      <c r="AF276">
        <v>4</v>
      </c>
    </row>
    <row r="277" spans="1:32" x14ac:dyDescent="0.25">
      <c r="A277" s="28">
        <v>273</v>
      </c>
      <c r="B277" s="29" t="s">
        <v>60</v>
      </c>
      <c r="C277" s="29" t="s">
        <v>61</v>
      </c>
      <c r="D277" s="29" t="s">
        <v>62</v>
      </c>
      <c r="E277" s="29" t="s">
        <v>62</v>
      </c>
      <c r="F277" s="30" cm="1">
        <f t="array" ref="F277">_xlfn.IFS($G277=$G$5,F$5,$G277=$G$6,F$6,$G277=$G$7,F$7,$G277=$G$8,F$8,$G277=$G$9,F$9,$G277=$G$10,F$10,$G277=$G$11,F$11,$G277=$G$13,F$13,$G277=$G$15,F$15,$G277=$G$16,F$16,$G277=$G$33,F$33,$G277=$G$34,F$34,$G277=$G$248,F$248,$G277=$G$250,F$250)</f>
        <v>8038</v>
      </c>
      <c r="G277" s="29" t="s">
        <v>78</v>
      </c>
      <c r="H277" s="31" cm="1">
        <f t="array" ref="H277">_xlfn.IFS($G277=$G$5,H$5,$G277=$G$6,H$6,$G277=$G$7,H$7,$G277=$G$8,H$8,$G277=$G$9,H$9,$G277=$G$10,H$10,$G277=$G$11,H$11,$G277=$G$13,H$13,$G277=$G$15,H$15,$G277=$G$16,H$16,$G277=$G$33,H$33,$G277=$G$34,H$34,$G277=$G$248,H$248,$G277=$G$250,H$250)</f>
        <v>41.368589</v>
      </c>
      <c r="I277" s="31" cm="1">
        <f t="array" ref="I277">_xlfn.IFS($G277=$G$5,I$5,$G277=$G$6,I$6,$G277=$G$7,I$7,$G277=$G$8,I$8,$G277=$G$9,I$9,$G277=$G$10,I$10,$G277=$G$11,I$11,$G277=$G$13,I$13,$G277=$G$15,I$15,$G277=$G$16,I$16,$G277=$G$33,I$33,$G277=$G$34,I$34,$G277=$G$248,I$248,$G277=$G$250,I$250)</f>
        <v>2.1620900000000001</v>
      </c>
      <c r="J277" s="29" cm="1">
        <f t="array" ref="J277">_xlfn.IFS($G277=$G$5,J$5,$G277=$G$6,J$6,$G277=$G$7,J$7,$G277=$G$8,J$8,$G277=$G$9,J$9,$G277=$G$10,J$10,$G277=$G$11,J$11,$G277=$G$13,J$13,$G277=$G$15,J$15,$G277=$G$16,J$16,$G277=$G$33,J$33,$G277=$G$34,J$34,$G277=$G$248,J$248,$G277=$G$250,J$250)</f>
        <v>95</v>
      </c>
      <c r="K277" s="29" t="str" cm="1">
        <f t="array" ref="K277">_xlfn.IFS($G277=$G$5,K$5,$G277=$G$6,K$6,$G277=$G$7,K$7,$G277=$G$8,K$8,$G277=$G$9,K$9,$G277=$G$10,K$10,$G277=$G$11,K$11,$G277=$G$13,K$13,$G277=$G$15,K$15,$G277=$G$16,K$16,$G277=$G$33,K$33,$G277=$G$34,K$34,$G277=$G$248,K$248,$G277=$G$250,K$250)</f>
        <v>BG sentinel + BG lure7</v>
      </c>
      <c r="L277" s="29" t="str" cm="1">
        <f t="array" ref="L277">_xlfn.IFS($G277=$G$5,L$5,$G277=$G$6,L$6,$G277=$G$7,L$7,$G277=$G$8,L$8,$G277=$G$9,L$9,$G277=$G$10,L$10,$G277=$G$11,L$11,$G277=$G$13,L$13,$G277=$G$15,L$15,$G277=$G$16,L$16,$G277=$G$33,L$33,$G277=$G$34,L$34,$G277=$G$248,L$248,$G277=$G$250,L$250)</f>
        <v>Other</v>
      </c>
      <c r="O277" s="32" t="str">
        <f t="shared" si="16"/>
        <v>A_SP_BCN_8_201028</v>
      </c>
      <c r="P277" s="33">
        <v>44132</v>
      </c>
      <c r="Q277" s="34">
        <v>0.52083333333333337</v>
      </c>
      <c r="R277" s="35"/>
      <c r="S277" s="36">
        <v>44139</v>
      </c>
      <c r="T277" s="37">
        <v>0.47916666666666669</v>
      </c>
      <c r="U277" s="38"/>
      <c r="V277" s="39" t="s">
        <v>94</v>
      </c>
      <c r="X277" s="29">
        <f t="shared" si="15"/>
        <v>7</v>
      </c>
      <c r="Y277" s="38"/>
      <c r="Z277" s="29" t="s">
        <v>68</v>
      </c>
      <c r="AA277" s="29">
        <f t="shared" si="14"/>
        <v>7</v>
      </c>
      <c r="AB277" s="29" t="s">
        <v>69</v>
      </c>
      <c r="AC277" s="29">
        <v>7</v>
      </c>
      <c r="AD277" s="29">
        <v>0</v>
      </c>
      <c r="AE277" s="29" t="s">
        <v>70</v>
      </c>
      <c r="AF277">
        <v>2</v>
      </c>
    </row>
    <row r="278" spans="1:32" x14ac:dyDescent="0.25">
      <c r="A278" s="28">
        <v>274</v>
      </c>
      <c r="B278" s="29" t="s">
        <v>60</v>
      </c>
      <c r="C278" s="29" t="s">
        <v>61</v>
      </c>
      <c r="D278" s="29" t="s">
        <v>62</v>
      </c>
      <c r="E278" s="29" t="s">
        <v>62</v>
      </c>
      <c r="F278" s="30" cm="1">
        <f t="array" ref="F278">_xlfn.IFS($G278=$G$5,F$5,$G278=$G$6,F$6,$G278=$G$7,F$7,$G278=$G$8,F$8,$G278=$G$9,F$9,$G278=$G$10,F$10,$G278=$G$11,F$11,$G278=$G$13,F$13,$G278=$G$15,F$15,$G278=$G$16,F$16,$G278=$G$33,F$33,$G278=$G$34,F$34,$G278=$G$248,F$248,$G278=$G$250,F$250)</f>
        <v>8038</v>
      </c>
      <c r="G278" s="29" t="s">
        <v>78</v>
      </c>
      <c r="H278" s="31" cm="1">
        <f t="array" ref="H278">_xlfn.IFS($G278=$G$5,H$5,$G278=$G$6,H$6,$G278=$G$7,H$7,$G278=$G$8,H$8,$G278=$G$9,H$9,$G278=$G$10,H$10,$G278=$G$11,H$11,$G278=$G$13,H$13,$G278=$G$15,H$15,$G278=$G$16,H$16,$G278=$G$33,H$33,$G278=$G$34,H$34,$G278=$G$248,H$248,$G278=$G$250,H$250)</f>
        <v>41.368589</v>
      </c>
      <c r="I278" s="31" cm="1">
        <f t="array" ref="I278">_xlfn.IFS($G278=$G$5,I$5,$G278=$G$6,I$6,$G278=$G$7,I$7,$G278=$G$8,I$8,$G278=$G$9,I$9,$G278=$G$10,I$10,$G278=$G$11,I$11,$G278=$G$13,I$13,$G278=$G$15,I$15,$G278=$G$16,I$16,$G278=$G$33,I$33,$G278=$G$34,I$34,$G278=$G$248,I$248,$G278=$G$250,I$250)</f>
        <v>2.1620900000000001</v>
      </c>
      <c r="J278" s="29" cm="1">
        <f t="array" ref="J278">_xlfn.IFS($G278=$G$5,J$5,$G278=$G$6,J$6,$G278=$G$7,J$7,$G278=$G$8,J$8,$G278=$G$9,J$9,$G278=$G$10,J$10,$G278=$G$11,J$11,$G278=$G$13,J$13,$G278=$G$15,J$15,$G278=$G$16,J$16,$G278=$G$33,J$33,$G278=$G$34,J$34,$G278=$G$248,J$248,$G278=$G$250,J$250)</f>
        <v>95</v>
      </c>
      <c r="K278" s="29" t="str" cm="1">
        <f t="array" ref="K278">_xlfn.IFS($G278=$G$5,K$5,$G278=$G$6,K$6,$G278=$G$7,K$7,$G278=$G$8,K$8,$G278=$G$9,K$9,$G278=$G$10,K$10,$G278=$G$11,K$11,$G278=$G$13,K$13,$G278=$G$15,K$15,$G278=$G$16,K$16,$G278=$G$33,K$33,$G278=$G$34,K$34,$G278=$G$248,K$248,$G278=$G$250,K$250)</f>
        <v>BG sentinel + BG lure7</v>
      </c>
      <c r="L278" s="29" t="str" cm="1">
        <f t="array" ref="L278">_xlfn.IFS($G278=$G$5,L$5,$G278=$G$6,L$6,$G278=$G$7,L$7,$G278=$G$8,L$8,$G278=$G$9,L$9,$G278=$G$10,L$10,$G278=$G$11,L$11,$G278=$G$13,L$13,$G278=$G$15,L$15,$G278=$G$16,L$16,$G278=$G$33,L$33,$G278=$G$34,L$34,$G278=$G$248,L$248,$G278=$G$250,L$250)</f>
        <v>Other</v>
      </c>
      <c r="O278" s="32" t="str">
        <f t="shared" si="16"/>
        <v>A_SP_BCN_8_201028</v>
      </c>
      <c r="P278" s="33">
        <v>44132</v>
      </c>
      <c r="Q278" s="34">
        <v>0.52083333333333337</v>
      </c>
      <c r="R278" s="35"/>
      <c r="S278" s="36">
        <v>44139</v>
      </c>
      <c r="T278" s="37">
        <v>0.47916666666666669</v>
      </c>
      <c r="U278" s="38"/>
      <c r="V278" s="39" t="s">
        <v>94</v>
      </c>
      <c r="X278" s="29">
        <f t="shared" si="15"/>
        <v>7</v>
      </c>
      <c r="Y278" s="38"/>
      <c r="Z278" s="29" t="s">
        <v>75</v>
      </c>
      <c r="AA278" s="29">
        <f t="shared" si="14"/>
        <v>1</v>
      </c>
      <c r="AB278" s="29" t="s">
        <v>69</v>
      </c>
      <c r="AC278" s="29">
        <v>1</v>
      </c>
      <c r="AD278" s="29">
        <v>0</v>
      </c>
      <c r="AE278" s="29" t="s">
        <v>70</v>
      </c>
      <c r="AF278">
        <v>2</v>
      </c>
    </row>
    <row r="279" spans="1:32" x14ac:dyDescent="0.25">
      <c r="A279" s="28">
        <v>275</v>
      </c>
      <c r="B279" s="29" t="s">
        <v>60</v>
      </c>
      <c r="C279" s="29" t="s">
        <v>61</v>
      </c>
      <c r="D279" s="29" t="s">
        <v>62</v>
      </c>
      <c r="E279" s="29" t="s">
        <v>62</v>
      </c>
      <c r="F279" s="30" cm="1">
        <f t="array" ref="F279">_xlfn.IFS($G279=$G$5,F$5,$G279=$G$6,F$6,$G279=$G$7,F$7,$G279=$G$8,F$8,$G279=$G$9,F$9,$G279=$G$10,F$10,$G279=$G$11,F$11,$G279=$G$13,F$13,$G279=$G$15,F$15,$G279=$G$16,F$16,$G279=$G$33,F$33,$G279=$G$34,F$34,$G279=$G$248,F$248,$G279=$G$250,F$250)</f>
        <v>8038</v>
      </c>
      <c r="G279" s="29" t="s">
        <v>78</v>
      </c>
      <c r="H279" s="31" cm="1">
        <f t="array" ref="H279">_xlfn.IFS($G279=$G$5,H$5,$G279=$G$6,H$6,$G279=$G$7,H$7,$G279=$G$8,H$8,$G279=$G$9,H$9,$G279=$G$10,H$10,$G279=$G$11,H$11,$G279=$G$13,H$13,$G279=$G$15,H$15,$G279=$G$16,H$16,$G279=$G$33,H$33,$G279=$G$34,H$34,$G279=$G$248,H$248,$G279=$G$250,H$250)</f>
        <v>41.368589</v>
      </c>
      <c r="I279" s="31" cm="1">
        <f t="array" ref="I279">_xlfn.IFS($G279=$G$5,I$5,$G279=$G$6,I$6,$G279=$G$7,I$7,$G279=$G$8,I$8,$G279=$G$9,I$9,$G279=$G$10,I$10,$G279=$G$11,I$11,$G279=$G$13,I$13,$G279=$G$15,I$15,$G279=$G$16,I$16,$G279=$G$33,I$33,$G279=$G$34,I$34,$G279=$G$248,I$248,$G279=$G$250,I$250)</f>
        <v>2.1620900000000001</v>
      </c>
      <c r="J279" s="29" cm="1">
        <f t="array" ref="J279">_xlfn.IFS($G279=$G$5,J$5,$G279=$G$6,J$6,$G279=$G$7,J$7,$G279=$G$8,J$8,$G279=$G$9,J$9,$G279=$G$10,J$10,$G279=$G$11,J$11,$G279=$G$13,J$13,$G279=$G$15,J$15,$G279=$G$16,J$16,$G279=$G$33,J$33,$G279=$G$34,J$34,$G279=$G$248,J$248,$G279=$G$250,J$250)</f>
        <v>95</v>
      </c>
      <c r="K279" s="29" t="str" cm="1">
        <f t="array" ref="K279">_xlfn.IFS($G279=$G$5,K$5,$G279=$G$6,K$6,$G279=$G$7,K$7,$G279=$G$8,K$8,$G279=$G$9,K$9,$G279=$G$10,K$10,$G279=$G$11,K$11,$G279=$G$13,K$13,$G279=$G$15,K$15,$G279=$G$16,K$16,$G279=$G$33,K$33,$G279=$G$34,K$34,$G279=$G$248,K$248,$G279=$G$250,K$250)</f>
        <v>BG sentinel + BG lure7</v>
      </c>
      <c r="L279" s="29" t="str" cm="1">
        <f t="array" ref="L279">_xlfn.IFS($G279=$G$5,L$5,$G279=$G$6,L$6,$G279=$G$7,L$7,$G279=$G$8,L$8,$G279=$G$9,L$9,$G279=$G$10,L$10,$G279=$G$11,L$11,$G279=$G$13,L$13,$G279=$G$15,L$15,$G279=$G$16,L$16,$G279=$G$33,L$33,$G279=$G$34,L$34,$G279=$G$248,L$248,$G279=$G$250,L$250)</f>
        <v>Other</v>
      </c>
      <c r="O279" s="32" t="str">
        <f t="shared" si="16"/>
        <v>A_SP_BCN_8_201028</v>
      </c>
      <c r="P279" s="33">
        <v>44132</v>
      </c>
      <c r="Q279" s="34">
        <v>0.52083333333333337</v>
      </c>
      <c r="R279" s="35"/>
      <c r="S279" s="36">
        <v>44139</v>
      </c>
      <c r="T279" s="37">
        <v>0.47916666666666669</v>
      </c>
      <c r="U279" s="38"/>
      <c r="V279" s="39" t="s">
        <v>94</v>
      </c>
      <c r="X279" s="29">
        <f t="shared" si="15"/>
        <v>7</v>
      </c>
      <c r="Y279" s="38"/>
      <c r="Z279" s="29" t="s">
        <v>84</v>
      </c>
      <c r="AA279" s="29">
        <f t="shared" si="14"/>
        <v>2</v>
      </c>
      <c r="AB279" s="29" t="s">
        <v>69</v>
      </c>
      <c r="AC279" s="29">
        <v>1</v>
      </c>
      <c r="AD279" s="29">
        <v>1</v>
      </c>
      <c r="AE279" s="29" t="s">
        <v>70</v>
      </c>
      <c r="AF279">
        <v>2</v>
      </c>
    </row>
    <row r="280" spans="1:32" x14ac:dyDescent="0.25">
      <c r="A280" s="28">
        <v>276</v>
      </c>
      <c r="B280" s="29" t="s">
        <v>60</v>
      </c>
      <c r="C280" s="29" t="s">
        <v>61</v>
      </c>
      <c r="D280" s="29" t="s">
        <v>62</v>
      </c>
      <c r="E280" s="29" t="s">
        <v>62</v>
      </c>
      <c r="F280" s="30" cm="1">
        <f t="array" ref="F280">_xlfn.IFS($G280=$G$5,F$5,$G280=$G$6,F$6,$G280=$G$7,F$7,$G280=$G$8,F$8,$G280=$G$9,F$9,$G280=$G$10,F$10,$G280=$G$11,F$11,$G280=$G$13,F$13,$G280=$G$15,F$15,$G280=$G$16,F$16,$G280=$G$33,F$33,$G280=$G$34,F$34,$G280=$G$248,F$248,$G280=$G$250,F$250)</f>
        <v>8034</v>
      </c>
      <c r="G280" s="29" t="s">
        <v>81</v>
      </c>
      <c r="H280" s="31" cm="1">
        <f t="array" ref="H280">_xlfn.IFS($G280=$G$5,H$5,$G280=$G$6,H$6,$G280=$G$7,H$7,$G280=$G$8,H$8,$G280=$G$9,H$9,$G280=$G$10,H$10,$G280=$G$11,H$11,$G280=$G$13,H$13,$G280=$G$15,H$15,$G280=$G$16,H$16,$G280=$G$33,H$33,$G280=$G$34,H$34,$G280=$G$248,H$248,$G280=$G$250,H$250)</f>
        <v>41.393644999999999</v>
      </c>
      <c r="I280" s="31" cm="1">
        <f t="array" ref="I280">_xlfn.IFS($G280=$G$5,I$5,$G280=$G$6,I$6,$G280=$G$7,I$7,$G280=$G$8,I$8,$G280=$G$9,I$9,$G280=$G$10,I$10,$G280=$G$11,I$11,$G280=$G$13,I$13,$G280=$G$15,I$15,$G280=$G$16,I$16,$G280=$G$33,I$33,$G280=$G$34,I$34,$G280=$G$248,I$248,$G280=$G$250,I$250)</f>
        <v>2.1216780000000002</v>
      </c>
      <c r="J280" s="29" cm="1">
        <f t="array" ref="J280">_xlfn.IFS($G280=$G$5,J$5,$G280=$G$6,J$6,$G280=$G$7,J$7,$G280=$G$8,J$8,$G280=$G$9,J$9,$G280=$G$10,J$10,$G280=$G$11,J$11,$G280=$G$13,J$13,$G280=$G$15,J$15,$G280=$G$16,J$16,$G280=$G$33,J$33,$G280=$G$34,J$34,$G280=$G$248,J$248,$G280=$G$250,J$250)</f>
        <v>98</v>
      </c>
      <c r="K280" s="29" t="str" cm="1">
        <f t="array" ref="K280">_xlfn.IFS($G280=$G$5,K$5,$G280=$G$6,K$6,$G280=$G$7,K$7,$G280=$G$8,K$8,$G280=$G$9,K$9,$G280=$G$10,K$10,$G280=$G$11,K$11,$G280=$G$13,K$13,$G280=$G$15,K$15,$G280=$G$16,K$16,$G280=$G$33,K$33,$G280=$G$34,K$34,$G280=$G$248,K$248,$G280=$G$250,K$250)</f>
        <v>BG sentinel + BG lure7</v>
      </c>
      <c r="L280" s="29" t="str" cm="1">
        <f t="array" ref="L280">_xlfn.IFS($G280=$G$5,L$5,$G280=$G$6,L$6,$G280=$G$7,L$7,$G280=$G$8,L$8,$G280=$G$9,L$9,$G280=$G$10,L$10,$G280=$G$11,L$11,$G280=$G$13,L$13,$G280=$G$15,L$15,$G280=$G$16,L$16,$G280=$G$33,L$33,$G280=$G$34,L$34,$G280=$G$248,L$248,$G280=$G$250,L$250)</f>
        <v>Other</v>
      </c>
      <c r="O280" s="32" t="str">
        <f t="shared" si="16"/>
        <v>A_SP_BCN_9_201028</v>
      </c>
      <c r="P280" s="33">
        <v>44132</v>
      </c>
      <c r="Q280" s="34">
        <v>0.71527777777777779</v>
      </c>
      <c r="R280" s="35"/>
      <c r="S280" s="36">
        <v>44139</v>
      </c>
      <c r="T280" s="37">
        <v>0.68402777777777779</v>
      </c>
      <c r="U280" s="38"/>
      <c r="V280" s="39" t="s">
        <v>66</v>
      </c>
      <c r="X280" s="29">
        <f t="shared" si="15"/>
        <v>7</v>
      </c>
      <c r="Y280" s="38"/>
      <c r="Z280" s="29" t="s">
        <v>68</v>
      </c>
      <c r="AA280" s="29">
        <f t="shared" si="14"/>
        <v>2</v>
      </c>
      <c r="AB280" s="29" t="s">
        <v>69</v>
      </c>
      <c r="AC280" s="29">
        <v>2</v>
      </c>
      <c r="AD280" s="29">
        <v>0</v>
      </c>
      <c r="AE280" s="29" t="s">
        <v>70</v>
      </c>
      <c r="AF280">
        <v>4</v>
      </c>
    </row>
    <row r="281" spans="1:32" x14ac:dyDescent="0.25">
      <c r="A281" s="28">
        <v>277</v>
      </c>
      <c r="B281" s="29" t="s">
        <v>60</v>
      </c>
      <c r="C281" s="29" t="s">
        <v>61</v>
      </c>
      <c r="D281" s="29" t="s">
        <v>62</v>
      </c>
      <c r="E281" s="29" t="s">
        <v>62</v>
      </c>
      <c r="F281" s="30" cm="1">
        <f t="array" ref="F281">_xlfn.IFS($G281=$G$5,F$5,$G281=$G$6,F$6,$G281=$G$7,F$7,$G281=$G$8,F$8,$G281=$G$9,F$9,$G281=$G$10,F$10,$G281=$G$11,F$11,$G281=$G$13,F$13,$G281=$G$15,F$15,$G281=$G$16,F$16,$G281=$G$33,F$33,$G281=$G$34,F$34,$G281=$G$248,F$248,$G281=$G$250,F$250)</f>
        <v>8040</v>
      </c>
      <c r="G281" s="29" t="s">
        <v>83</v>
      </c>
      <c r="H281" s="31" cm="1">
        <f t="array" ref="H281">_xlfn.IFS($G281=$G$5,H$5,$G281=$G$6,H$6,$G281=$G$7,H$7,$G281=$G$8,H$8,$G281=$G$9,H$9,$G281=$G$10,H$10,$G281=$G$11,H$11,$G281=$G$13,H$13,$G281=$G$15,H$15,$G281=$G$16,H$16,$G281=$G$33,H$33,$G281=$G$34,H$34,$G281=$G$248,H$248,$G281=$G$250,H$250)</f>
        <v>41.343685000000001</v>
      </c>
      <c r="I281" s="31" cm="1">
        <f t="array" ref="I281">_xlfn.IFS($G281=$G$5,I$5,$G281=$G$6,I$6,$G281=$G$7,I$7,$G281=$G$8,I$8,$G281=$G$9,I$9,$G281=$G$10,I$10,$G281=$G$11,I$11,$G281=$G$13,I$13,$G281=$G$15,I$15,$G281=$G$16,I$16,$G281=$G$33,I$33,$G281=$G$34,I$34,$G281=$G$248,I$248,$G281=$G$250,I$250)</f>
        <v>2.1441490000000001</v>
      </c>
      <c r="J281" s="29" cm="1">
        <f t="array" ref="J281">_xlfn.IFS($G281=$G$5,J$5,$G281=$G$6,J$6,$G281=$G$7,J$7,$G281=$G$8,J$8,$G281=$G$9,J$9,$G281=$G$10,J$10,$G281=$G$11,J$11,$G281=$G$13,J$13,$G281=$G$15,J$15,$G281=$G$16,J$16,$G281=$G$33,J$33,$G281=$G$34,J$34,$G281=$G$248,J$248,$G281=$G$250,J$250)</f>
        <v>4</v>
      </c>
      <c r="K281" s="29" t="str" cm="1">
        <f t="array" ref="K281">_xlfn.IFS($G281=$G$5,K$5,$G281=$G$6,K$6,$G281=$G$7,K$7,$G281=$G$8,K$8,$G281=$G$9,K$9,$G281=$G$10,K$10,$G281=$G$11,K$11,$G281=$G$13,K$13,$G281=$G$15,K$15,$G281=$G$16,K$16,$G281=$G$33,K$33,$G281=$G$34,K$34,$G281=$G$248,K$248,$G281=$G$250,K$250)</f>
        <v>BG sentinel + BG lure7</v>
      </c>
      <c r="L281" s="29" t="str" cm="1">
        <f t="array" ref="L281">_xlfn.IFS($G281=$G$5,L$5,$G281=$G$6,L$6,$G281=$G$7,L$7,$G281=$G$8,L$8,$G281=$G$9,L$9,$G281=$G$10,L$10,$G281=$G$11,L$11,$G281=$G$13,L$13,$G281=$G$15,L$15,$G281=$G$16,L$16,$G281=$G$33,L$33,$G281=$G$34,L$34,$G281=$G$248,L$248,$G281=$G$250,L$250)</f>
        <v>Urban habitat</v>
      </c>
      <c r="O281" s="32" t="str">
        <f t="shared" si="16"/>
        <v>A_SP_BCN_10_201028</v>
      </c>
      <c r="P281" s="33">
        <v>44132</v>
      </c>
      <c r="Q281" s="34">
        <v>0.48958333333333331</v>
      </c>
      <c r="R281" s="35"/>
      <c r="S281" s="36">
        <v>44139</v>
      </c>
      <c r="T281" s="37">
        <v>0.4513888888888889</v>
      </c>
      <c r="U281" s="38"/>
      <c r="V281" s="39" t="s">
        <v>66</v>
      </c>
      <c r="X281" s="29">
        <f t="shared" si="15"/>
        <v>7</v>
      </c>
      <c r="Y281" s="38"/>
      <c r="Z281" s="29" t="s">
        <v>68</v>
      </c>
      <c r="AA281" s="29">
        <f t="shared" si="14"/>
        <v>1</v>
      </c>
      <c r="AB281" s="29" t="s">
        <v>69</v>
      </c>
      <c r="AC281" s="29">
        <v>0</v>
      </c>
      <c r="AD281" s="29">
        <v>1</v>
      </c>
      <c r="AE281" s="29" t="s">
        <v>70</v>
      </c>
      <c r="AF281">
        <v>4</v>
      </c>
    </row>
    <row r="282" spans="1:32" x14ac:dyDescent="0.25">
      <c r="A282" s="28">
        <v>278</v>
      </c>
      <c r="B282" s="29" t="s">
        <v>60</v>
      </c>
      <c r="C282" s="29" t="s">
        <v>61</v>
      </c>
      <c r="D282" s="29" t="s">
        <v>62</v>
      </c>
      <c r="E282" s="29" t="s">
        <v>62</v>
      </c>
      <c r="F282" s="30" cm="1">
        <f t="array" ref="F282">_xlfn.IFS($G282=$G$5,F$5,$G282=$G$6,F$6,$G282=$G$7,F$7,$G282=$G$8,F$8,$G282=$G$9,F$9,$G282=$G$10,F$10,$G282=$G$11,F$11,$G282=$G$13,F$13,$G282=$G$15,F$15,$G282=$G$16,F$16,$G282=$G$33,F$33,$G282=$G$34,F$34,$G282=$G$248,F$248,$G282=$G$250,F$250)</f>
        <v>8040</v>
      </c>
      <c r="G282" s="29" t="s">
        <v>83</v>
      </c>
      <c r="H282" s="31" cm="1">
        <f t="array" ref="H282">_xlfn.IFS($G282=$G$5,H$5,$G282=$G$6,H$6,$G282=$G$7,H$7,$G282=$G$8,H$8,$G282=$G$9,H$9,$G282=$G$10,H$10,$G282=$G$11,H$11,$G282=$G$13,H$13,$G282=$G$15,H$15,$G282=$G$16,H$16,$G282=$G$33,H$33,$G282=$G$34,H$34,$G282=$G$248,H$248,$G282=$G$250,H$250)</f>
        <v>41.343685000000001</v>
      </c>
      <c r="I282" s="31" cm="1">
        <f t="array" ref="I282">_xlfn.IFS($G282=$G$5,I$5,$G282=$G$6,I$6,$G282=$G$7,I$7,$G282=$G$8,I$8,$G282=$G$9,I$9,$G282=$G$10,I$10,$G282=$G$11,I$11,$G282=$G$13,I$13,$G282=$G$15,I$15,$G282=$G$16,I$16,$G282=$G$33,I$33,$G282=$G$34,I$34,$G282=$G$248,I$248,$G282=$G$250,I$250)</f>
        <v>2.1441490000000001</v>
      </c>
      <c r="J282" s="29" cm="1">
        <f t="array" ref="J282">_xlfn.IFS($G282=$G$5,J$5,$G282=$G$6,J$6,$G282=$G$7,J$7,$G282=$G$8,J$8,$G282=$G$9,J$9,$G282=$G$10,J$10,$G282=$G$11,J$11,$G282=$G$13,J$13,$G282=$G$15,J$15,$G282=$G$16,J$16,$G282=$G$33,J$33,$G282=$G$34,J$34,$G282=$G$248,J$248,$G282=$G$250,J$250)</f>
        <v>4</v>
      </c>
      <c r="K282" s="29" t="str" cm="1">
        <f t="array" ref="K282">_xlfn.IFS($G282=$G$5,K$5,$G282=$G$6,K$6,$G282=$G$7,K$7,$G282=$G$8,K$8,$G282=$G$9,K$9,$G282=$G$10,K$10,$G282=$G$11,K$11,$G282=$G$13,K$13,$G282=$G$15,K$15,$G282=$G$16,K$16,$G282=$G$33,K$33,$G282=$G$34,K$34,$G282=$G$248,K$248,$G282=$G$250,K$250)</f>
        <v>BG sentinel + BG lure7</v>
      </c>
      <c r="L282" s="29" t="str" cm="1">
        <f t="array" ref="L282">_xlfn.IFS($G282=$G$5,L$5,$G282=$G$6,L$6,$G282=$G$7,L$7,$G282=$G$8,L$8,$G282=$G$9,L$9,$G282=$G$10,L$10,$G282=$G$11,L$11,$G282=$G$13,L$13,$G282=$G$15,L$15,$G282=$G$16,L$16,$G282=$G$33,L$33,$G282=$G$34,L$34,$G282=$G$248,L$248,$G282=$G$250,L$250)</f>
        <v>Urban habitat</v>
      </c>
      <c r="O282" s="32" t="str">
        <f t="shared" si="16"/>
        <v>A_SP_BCN_10_201028</v>
      </c>
      <c r="P282" s="33">
        <v>44132</v>
      </c>
      <c r="Q282" s="34">
        <v>0.48958333333333331</v>
      </c>
      <c r="R282" s="35"/>
      <c r="S282" s="36">
        <v>44139</v>
      </c>
      <c r="T282" s="37">
        <v>0.4513888888888889</v>
      </c>
      <c r="U282" s="38"/>
      <c r="V282" s="39" t="s">
        <v>66</v>
      </c>
      <c r="X282" s="29">
        <f t="shared" si="15"/>
        <v>7</v>
      </c>
      <c r="Y282" s="38"/>
      <c r="Z282" s="29" t="s">
        <v>75</v>
      </c>
      <c r="AA282" s="29">
        <f t="shared" si="14"/>
        <v>1</v>
      </c>
      <c r="AB282" s="29" t="s">
        <v>69</v>
      </c>
      <c r="AC282" s="29">
        <v>1</v>
      </c>
      <c r="AD282" s="29">
        <v>0</v>
      </c>
      <c r="AE282" s="29" t="s">
        <v>70</v>
      </c>
      <c r="AF282">
        <v>4</v>
      </c>
    </row>
    <row r="283" spans="1:32" x14ac:dyDescent="0.25">
      <c r="A283" s="28">
        <v>279</v>
      </c>
      <c r="B283" s="29" t="s">
        <v>60</v>
      </c>
      <c r="C283" s="29" t="s">
        <v>61</v>
      </c>
      <c r="D283" s="29" t="s">
        <v>62</v>
      </c>
      <c r="E283" s="29" t="s">
        <v>62</v>
      </c>
      <c r="F283" s="30" cm="1">
        <f t="array" ref="F283">_xlfn.IFS($G283=$G$5,F$5,$G283=$G$6,F$6,$G283=$G$7,F$7,$G283=$G$8,F$8,$G283=$G$9,F$9,$G283=$G$10,F$10,$G283=$G$11,F$11,$G283=$G$13,F$13,$G283=$G$15,F$15,$G283=$G$16,F$16,$G283=$G$33,F$33,$G283=$G$34,F$34,$G283=$G$248,F$248,$G283=$G$250,F$250)</f>
        <v>8038</v>
      </c>
      <c r="G283" s="29" t="s">
        <v>85</v>
      </c>
      <c r="H283" s="31" cm="1">
        <f t="array" ref="H283">_xlfn.IFS($G283=$G$5,H$5,$G283=$G$6,H$6,$G283=$G$7,H$7,$G283=$G$8,H$8,$G283=$G$9,H$9,$G283=$G$10,H$10,$G283=$G$11,H$11,$G283=$G$13,H$13,$G283=$G$15,H$15,$G283=$G$16,H$16,$G283=$G$33,H$33,$G283=$G$34,H$34,$G283=$G$248,H$248,$G283=$G$250,H$250)</f>
        <v>41.367429999999999</v>
      </c>
      <c r="I283" s="31" cm="1">
        <f t="array" ref="I283">_xlfn.IFS($G283=$G$5,I$5,$G283=$G$6,I$6,$G283=$G$7,I$7,$G283=$G$8,I$8,$G283=$G$9,I$9,$G283=$G$10,I$10,$G283=$G$11,I$11,$G283=$G$13,I$13,$G283=$G$15,I$15,$G283=$G$16,I$16,$G283=$G$33,I$33,$G283=$G$34,I$34,$G283=$G$248,I$248,$G283=$G$250,I$250)</f>
        <v>2.1569609999999999</v>
      </c>
      <c r="J283" s="29" cm="1">
        <f t="array" ref="J283">_xlfn.IFS($G283=$G$5,J$5,$G283=$G$6,J$6,$G283=$G$7,J$7,$G283=$G$8,J$8,$G283=$G$9,J$9,$G283=$G$10,J$10,$G283=$G$11,J$11,$G283=$G$13,J$13,$G283=$G$15,J$15,$G283=$G$16,J$16,$G283=$G$33,J$33,$G283=$G$34,J$34,$G283=$G$248,J$248,$G283=$G$250,J$250)</f>
        <v>91</v>
      </c>
      <c r="K283" s="29" t="str" cm="1">
        <f t="array" ref="K283">_xlfn.IFS($G283=$G$5,K$5,$G283=$G$6,K$6,$G283=$G$7,K$7,$G283=$G$8,K$8,$G283=$G$9,K$9,$G283=$G$10,K$10,$G283=$G$11,K$11,$G283=$G$13,K$13,$G283=$G$15,K$15,$G283=$G$16,K$16,$G283=$G$33,K$33,$G283=$G$34,K$34,$G283=$G$248,K$248,$G283=$G$250,K$250)</f>
        <v>BG sentinel + BG lure7</v>
      </c>
      <c r="L283" s="29" t="str" cm="1">
        <f t="array" ref="L283">_xlfn.IFS($G283=$G$5,L$5,$G283=$G$6,L$6,$G283=$G$7,L$7,$G283=$G$8,L$8,$G283=$G$9,L$9,$G283=$G$10,L$10,$G283=$G$11,L$11,$G283=$G$13,L$13,$G283=$G$15,L$15,$G283=$G$16,L$16,$G283=$G$33,L$33,$G283=$G$34,L$34,$G283=$G$248,L$248,$G283=$G$250,L$250)</f>
        <v>Other</v>
      </c>
      <c r="O283" s="32" t="str">
        <f t="shared" si="16"/>
        <v>A_SP_BCN_11_201028</v>
      </c>
      <c r="P283" s="33">
        <v>44132</v>
      </c>
      <c r="Q283" s="34">
        <v>0.51388888888888895</v>
      </c>
      <c r="R283" s="35"/>
      <c r="S283" s="36">
        <v>44139</v>
      </c>
      <c r="T283" s="37">
        <v>0.46875</v>
      </c>
      <c r="U283" s="38"/>
      <c r="V283" s="39" t="s">
        <v>66</v>
      </c>
      <c r="X283" s="29">
        <f t="shared" si="15"/>
        <v>7</v>
      </c>
      <c r="Y283" s="38"/>
      <c r="Z283" s="29" t="s">
        <v>68</v>
      </c>
      <c r="AA283" s="29">
        <f t="shared" si="14"/>
        <v>1</v>
      </c>
      <c r="AB283" s="29" t="s">
        <v>69</v>
      </c>
      <c r="AC283" s="29">
        <v>1</v>
      </c>
      <c r="AD283" s="29">
        <v>0</v>
      </c>
      <c r="AE283" s="29" t="s">
        <v>70</v>
      </c>
      <c r="AF283">
        <v>4</v>
      </c>
    </row>
    <row r="284" spans="1:32" x14ac:dyDescent="0.25">
      <c r="A284" s="28">
        <v>280</v>
      </c>
      <c r="B284" s="29" t="s">
        <v>60</v>
      </c>
      <c r="C284" s="29" t="s">
        <v>61</v>
      </c>
      <c r="D284" s="29" t="s">
        <v>62</v>
      </c>
      <c r="E284" s="29" t="s">
        <v>62</v>
      </c>
      <c r="F284" s="30" cm="1">
        <f t="array" ref="F284">_xlfn.IFS($G284=$G$5,F$5,$G284=$G$6,F$6,$G284=$G$7,F$7,$G284=$G$8,F$8,$G284=$G$9,F$9,$G284=$G$10,F$10,$G284=$G$11,F$11,$G284=$G$13,F$13,$G284=$G$15,F$15,$G284=$G$16,F$16,$G284=$G$33,F$33,$G284=$G$34,F$34,$G284=$G$248,F$248,$G284=$G$250,F$250)</f>
        <v>8038</v>
      </c>
      <c r="G284" s="29" t="s">
        <v>86</v>
      </c>
      <c r="H284" s="31" cm="1">
        <f t="array" ref="H284">_xlfn.IFS($G284=$G$5,H$5,$G284=$G$6,H$6,$G284=$G$7,H$7,$G284=$G$8,H$8,$G284=$G$9,H$9,$G284=$G$10,H$10,$G284=$G$11,H$11,$G284=$G$13,H$13,$G284=$G$15,H$15,$G284=$G$16,H$16,$G284=$G$33,H$33,$G284=$G$34,H$34,$G284=$G$248,H$248,$G284=$G$250,H$250)</f>
        <v>41.363377999999997</v>
      </c>
      <c r="I284" s="31" cm="1">
        <f t="array" ref="I284">_xlfn.IFS($G284=$G$5,I$5,$G284=$G$6,I$6,$G284=$G$7,I$7,$G284=$G$8,I$8,$G284=$G$9,I$9,$G284=$G$10,I$10,$G284=$G$11,I$11,$G284=$G$13,I$13,$G284=$G$15,I$15,$G284=$G$16,I$16,$G284=$G$33,I$33,$G284=$G$34,I$34,$G284=$G$248,I$248,$G284=$G$250,I$250)</f>
        <v>2.164879</v>
      </c>
      <c r="J284" s="29" cm="1">
        <f t="array" ref="J284">_xlfn.IFS($G284=$G$5,J$5,$G284=$G$6,J$6,$G284=$G$7,J$7,$G284=$G$8,J$8,$G284=$G$9,J$9,$G284=$G$10,J$10,$G284=$G$11,J$11,$G284=$G$13,J$13,$G284=$G$15,J$15,$G284=$G$16,J$16,$G284=$G$33,J$33,$G284=$G$34,J$34,$G284=$G$248,J$248,$G284=$G$250,J$250)</f>
        <v>185</v>
      </c>
      <c r="K284" s="29" t="str" cm="1">
        <f t="array" ref="K284">_xlfn.IFS($G284=$G$5,K$5,$G284=$G$6,K$6,$G284=$G$7,K$7,$G284=$G$8,K$8,$G284=$G$9,K$9,$G284=$G$10,K$10,$G284=$G$11,K$11,$G284=$G$13,K$13,$G284=$G$15,K$15,$G284=$G$16,K$16,$G284=$G$33,K$33,$G284=$G$34,K$34,$G284=$G$248,K$248,$G284=$G$250,K$250)</f>
        <v>BG sentinel + BG lure7</v>
      </c>
      <c r="L284" s="29" t="str" cm="1">
        <f t="array" ref="L284">_xlfn.IFS($G284=$G$5,L$5,$G284=$G$6,L$6,$G284=$G$7,L$7,$G284=$G$8,L$8,$G284=$G$9,L$9,$G284=$G$10,L$10,$G284=$G$11,L$11,$G284=$G$13,L$13,$G284=$G$15,L$15,$G284=$G$16,L$16,$G284=$G$33,L$33,$G284=$G$34,L$34,$G284=$G$248,L$248,$G284=$G$250,L$250)</f>
        <v>Other</v>
      </c>
      <c r="O284" s="32" t="str">
        <f t="shared" si="16"/>
        <v>A_SP_BCN_12_201028</v>
      </c>
      <c r="P284" s="33">
        <v>44132</v>
      </c>
      <c r="Q284" s="34">
        <v>0.54166666666666663</v>
      </c>
      <c r="R284" s="35"/>
      <c r="S284" s="36">
        <v>44139</v>
      </c>
      <c r="T284" s="37">
        <v>0.5</v>
      </c>
      <c r="U284" s="38"/>
      <c r="V284" s="39" t="s">
        <v>66</v>
      </c>
      <c r="X284" s="29">
        <f t="shared" si="15"/>
        <v>7</v>
      </c>
      <c r="Y284" s="38"/>
      <c r="Z284" s="29" t="s">
        <v>75</v>
      </c>
      <c r="AA284" s="29">
        <f t="shared" si="14"/>
        <v>5</v>
      </c>
      <c r="AB284" s="29" t="s">
        <v>69</v>
      </c>
      <c r="AC284" s="29">
        <v>5</v>
      </c>
      <c r="AD284" s="29">
        <v>0</v>
      </c>
      <c r="AE284" s="29" t="s">
        <v>70</v>
      </c>
      <c r="AF284">
        <v>4</v>
      </c>
    </row>
    <row r="285" spans="1:32" x14ac:dyDescent="0.25">
      <c r="A285" s="28">
        <v>281</v>
      </c>
      <c r="B285" s="29" t="s">
        <v>60</v>
      </c>
      <c r="C285" s="29" t="s">
        <v>61</v>
      </c>
      <c r="D285" s="29" t="s">
        <v>62</v>
      </c>
      <c r="E285" s="29" t="s">
        <v>62</v>
      </c>
      <c r="F285" s="30" cm="1">
        <f t="array" ref="F285">_xlfn.IFS($G285=$G$5,F$5,$G285=$G$6,F$6,$G285=$G$7,F$7,$G285=$G$8,F$8,$G285=$G$9,F$9,$G285=$G$10,F$10,$G285=$G$11,F$11,$G285=$G$13,F$13,$G285=$G$15,F$15,$G285=$G$16,F$16,$G285=$G$33,F$33,$G285=$G$34,F$34,$G285=$G$248,F$248,$G285=$G$250,F$250)</f>
        <v>8038</v>
      </c>
      <c r="G285" s="29" t="s">
        <v>86</v>
      </c>
      <c r="H285" s="31" cm="1">
        <f t="array" ref="H285">_xlfn.IFS($G285=$G$5,H$5,$G285=$G$6,H$6,$G285=$G$7,H$7,$G285=$G$8,H$8,$G285=$G$9,H$9,$G285=$G$10,H$10,$G285=$G$11,H$11,$G285=$G$13,H$13,$G285=$G$15,H$15,$G285=$G$16,H$16,$G285=$G$33,H$33,$G285=$G$34,H$34,$G285=$G$248,H$248,$G285=$G$250,H$250)</f>
        <v>41.363377999999997</v>
      </c>
      <c r="I285" s="31" cm="1">
        <f t="array" ref="I285">_xlfn.IFS($G285=$G$5,I$5,$G285=$G$6,I$6,$G285=$G$7,I$7,$G285=$G$8,I$8,$G285=$G$9,I$9,$G285=$G$10,I$10,$G285=$G$11,I$11,$G285=$G$13,I$13,$G285=$G$15,I$15,$G285=$G$16,I$16,$G285=$G$33,I$33,$G285=$G$34,I$34,$G285=$G$248,I$248,$G285=$G$250,I$250)</f>
        <v>2.164879</v>
      </c>
      <c r="J285" s="29" cm="1">
        <f t="array" ref="J285">_xlfn.IFS($G285=$G$5,J$5,$G285=$G$6,J$6,$G285=$G$7,J$7,$G285=$G$8,J$8,$G285=$G$9,J$9,$G285=$G$10,J$10,$G285=$G$11,J$11,$G285=$G$13,J$13,$G285=$G$15,J$15,$G285=$G$16,J$16,$G285=$G$33,J$33,$G285=$G$34,J$34,$G285=$G$248,J$248,$G285=$G$250,J$250)</f>
        <v>185</v>
      </c>
      <c r="K285" s="29" t="str" cm="1">
        <f t="array" ref="K285">_xlfn.IFS($G285=$G$5,K$5,$G285=$G$6,K$6,$G285=$G$7,K$7,$G285=$G$8,K$8,$G285=$G$9,K$9,$G285=$G$10,K$10,$G285=$G$11,K$11,$G285=$G$13,K$13,$G285=$G$15,K$15,$G285=$G$16,K$16,$G285=$G$33,K$33,$G285=$G$34,K$34,$G285=$G$248,K$248,$G285=$G$250,K$250)</f>
        <v>BG sentinel + BG lure7</v>
      </c>
      <c r="L285" s="29" t="str" cm="1">
        <f t="array" ref="L285">_xlfn.IFS($G285=$G$5,L$5,$G285=$G$6,L$6,$G285=$G$7,L$7,$G285=$G$8,L$8,$G285=$G$9,L$9,$G285=$G$10,L$10,$G285=$G$11,L$11,$G285=$G$13,L$13,$G285=$G$15,L$15,$G285=$G$16,L$16,$G285=$G$33,L$33,$G285=$G$34,L$34,$G285=$G$248,L$248,$G285=$G$250,L$250)</f>
        <v>Other</v>
      </c>
      <c r="O285" s="32" t="str">
        <f t="shared" si="16"/>
        <v>A_SP_BCN_12_201028</v>
      </c>
      <c r="P285" s="33">
        <v>44132</v>
      </c>
      <c r="Q285" s="34">
        <v>0.54166666666666663</v>
      </c>
      <c r="R285" s="35"/>
      <c r="S285" s="36">
        <v>44139</v>
      </c>
      <c r="T285" s="37">
        <v>0.5</v>
      </c>
      <c r="U285" s="38"/>
      <c r="V285" s="39" t="s">
        <v>66</v>
      </c>
      <c r="X285" s="29">
        <f t="shared" si="15"/>
        <v>7</v>
      </c>
      <c r="Y285" s="38"/>
      <c r="Z285" s="29" t="s">
        <v>84</v>
      </c>
      <c r="AA285" s="29">
        <f t="shared" si="14"/>
        <v>1</v>
      </c>
      <c r="AB285" s="29" t="s">
        <v>69</v>
      </c>
      <c r="AC285" s="29">
        <v>1</v>
      </c>
      <c r="AD285" s="29">
        <v>0</v>
      </c>
      <c r="AE285" s="29" t="s">
        <v>70</v>
      </c>
      <c r="AF285">
        <v>4</v>
      </c>
    </row>
    <row r="286" spans="1:32" x14ac:dyDescent="0.25">
      <c r="A286" s="28">
        <v>282</v>
      </c>
      <c r="B286" s="29" t="s">
        <v>60</v>
      </c>
      <c r="C286" s="29" t="s">
        <v>61</v>
      </c>
      <c r="D286" s="29" t="s">
        <v>62</v>
      </c>
      <c r="E286" s="29" t="s">
        <v>62</v>
      </c>
      <c r="F286" s="30" cm="1">
        <f t="array" ref="F286">_xlfn.IFS($G286=$G$5,F$5,$G286=$G$6,F$6,$G286=$G$7,F$7,$G286=$G$8,F$8,$G286=$G$9,F$9,$G286=$G$10,F$10,$G286=$G$11,F$11,$G286=$G$13,F$13,$G286=$G$15,F$15,$G286=$G$16,F$16,$G286=$G$33,F$33,$G286=$G$34,F$34,$G286=$G$248,F$248,$G286=$G$250,F$250)</f>
        <v>8024</v>
      </c>
      <c r="G286" s="29" t="s">
        <v>63</v>
      </c>
      <c r="H286" s="31" cm="1">
        <f t="array" ref="H286">_xlfn.IFS($G286=$G$5,H$5,$G286=$G$6,H$6,$G286=$G$7,H$7,$G286=$G$8,H$8,$G286=$G$9,H$9,$G286=$G$10,H$10,$G286=$G$11,H$11,$G286=$G$13,H$13,$G286=$G$15,H$15,$G286=$G$16,H$16,$G286=$G$33,H$33,$G286=$G$34,H$34,$G286=$G$248,H$248,$G286=$G$250,H$250)</f>
        <v>41.413573999999997</v>
      </c>
      <c r="I286" s="31" cm="1">
        <f t="array" ref="I286">_xlfn.IFS($G286=$G$5,I$5,$G286=$G$6,I$6,$G286=$G$7,I$7,$G286=$G$8,I$8,$G286=$G$9,I$9,$G286=$G$10,I$10,$G286=$G$11,I$11,$G286=$G$13,I$13,$G286=$G$15,I$15,$G286=$G$16,I$16,$G286=$G$33,I$33,$G286=$G$34,I$34,$G286=$G$248,I$248,$G286=$G$250,I$250)</f>
        <v>2.1520730000000001</v>
      </c>
      <c r="J286" s="29" cm="1">
        <f t="array" ref="J286">_xlfn.IFS($G286=$G$5,J$5,$G286=$G$6,J$6,$G286=$G$7,J$7,$G286=$G$8,J$8,$G286=$G$9,J$9,$G286=$G$10,J$10,$G286=$G$11,J$11,$G286=$G$13,J$13,$G286=$G$15,J$15,$G286=$G$16,J$16,$G286=$G$33,J$33,$G286=$G$34,J$34,$G286=$G$248,J$248,$G286=$G$250,J$250)</f>
        <v>141</v>
      </c>
      <c r="K286" s="29" t="str" cm="1">
        <f t="array" ref="K286">_xlfn.IFS($G286=$G$5,K$5,$G286=$G$6,K$6,$G286=$G$7,K$7,$G286=$G$8,K$8,$G286=$G$9,K$9,$G286=$G$10,K$10,$G286=$G$11,K$11,$G286=$G$13,K$13,$G286=$G$15,K$15,$G286=$G$16,K$16,$G286=$G$33,K$33,$G286=$G$34,K$34,$G286=$G$248,K$248,$G286=$G$250,K$250)</f>
        <v>BG sentinel + BG lure7</v>
      </c>
      <c r="L286" s="29" t="str" cm="1">
        <f t="array" ref="L286">_xlfn.IFS($G286=$G$5,L$5,$G286=$G$6,L$6,$G286=$G$7,L$7,$G286=$G$8,L$8,$G286=$G$9,L$9,$G286=$G$10,L$10,$G286=$G$11,L$11,$G286=$G$13,L$13,$G286=$G$15,L$15,$G286=$G$16,L$16,$G286=$G$33,L$33,$G286=$G$34,L$34,$G286=$G$248,L$248,$G286=$G$250,L$250)</f>
        <v>Urban habitat</v>
      </c>
      <c r="O286" s="32" t="str">
        <f t="shared" si="16"/>
        <v>A_SP_BCN_1_201104</v>
      </c>
      <c r="P286" s="33">
        <v>44139</v>
      </c>
      <c r="Q286" s="34">
        <v>0.65277777777777779</v>
      </c>
      <c r="R286" s="35"/>
      <c r="S286" s="36">
        <v>44146</v>
      </c>
      <c r="T286" s="37">
        <v>0.64583333333333337</v>
      </c>
      <c r="U286" s="38"/>
      <c r="V286" s="39" t="s">
        <v>106</v>
      </c>
      <c r="X286" s="29">
        <f t="shared" si="15"/>
        <v>7</v>
      </c>
      <c r="Y286" s="38"/>
      <c r="Z286" s="29" t="s">
        <v>68</v>
      </c>
      <c r="AA286" s="29">
        <f t="shared" si="14"/>
        <v>1</v>
      </c>
      <c r="AB286" s="29" t="s">
        <v>69</v>
      </c>
      <c r="AC286" s="29">
        <v>1</v>
      </c>
      <c r="AD286" s="29">
        <v>0</v>
      </c>
      <c r="AE286" s="29" t="s">
        <v>70</v>
      </c>
      <c r="AF286">
        <v>2</v>
      </c>
    </row>
    <row r="287" spans="1:32" x14ac:dyDescent="0.25">
      <c r="A287" s="28">
        <v>283</v>
      </c>
      <c r="B287" s="29" t="s">
        <v>60</v>
      </c>
      <c r="C287" s="29" t="s">
        <v>61</v>
      </c>
      <c r="D287" s="29" t="s">
        <v>62</v>
      </c>
      <c r="E287" s="29" t="s">
        <v>62</v>
      </c>
      <c r="F287" s="30" cm="1">
        <f t="array" ref="F287">_xlfn.IFS($G287=$G$5,F$5,$G287=$G$6,F$6,$G287=$G$7,F$7,$G287=$G$8,F$8,$G287=$G$9,F$9,$G287=$G$10,F$10,$G287=$G$11,F$11,$G287=$G$13,F$13,$G287=$G$15,F$15,$G287=$G$16,F$16,$G287=$G$33,F$33,$G287=$G$34,F$34,$G287=$G$248,F$248,$G287=$G$250,F$250)</f>
        <v>8024</v>
      </c>
      <c r="G287" s="29" t="s">
        <v>63</v>
      </c>
      <c r="H287" s="31" cm="1">
        <f t="array" ref="H287">_xlfn.IFS($G287=$G$5,H$5,$G287=$G$6,H$6,$G287=$G$7,H$7,$G287=$G$8,H$8,$G287=$G$9,H$9,$G287=$G$10,H$10,$G287=$G$11,H$11,$G287=$G$13,H$13,$G287=$G$15,H$15,$G287=$G$16,H$16,$G287=$G$33,H$33,$G287=$G$34,H$34,$G287=$G$248,H$248,$G287=$G$250,H$250)</f>
        <v>41.413573999999997</v>
      </c>
      <c r="I287" s="31" cm="1">
        <f t="array" ref="I287">_xlfn.IFS($G287=$G$5,I$5,$G287=$G$6,I$6,$G287=$G$7,I$7,$G287=$G$8,I$8,$G287=$G$9,I$9,$G287=$G$10,I$10,$G287=$G$11,I$11,$G287=$G$13,I$13,$G287=$G$15,I$15,$G287=$G$16,I$16,$G287=$G$33,I$33,$G287=$G$34,I$34,$G287=$G$248,I$248,$G287=$G$250,I$250)</f>
        <v>2.1520730000000001</v>
      </c>
      <c r="J287" s="29" cm="1">
        <f t="array" ref="J287">_xlfn.IFS($G287=$G$5,J$5,$G287=$G$6,J$6,$G287=$G$7,J$7,$G287=$G$8,J$8,$G287=$G$9,J$9,$G287=$G$10,J$10,$G287=$G$11,J$11,$G287=$G$13,J$13,$G287=$G$15,J$15,$G287=$G$16,J$16,$G287=$G$33,J$33,$G287=$G$34,J$34,$G287=$G$248,J$248,$G287=$G$250,J$250)</f>
        <v>141</v>
      </c>
      <c r="K287" s="29" t="str" cm="1">
        <f t="array" ref="K287">_xlfn.IFS($G287=$G$5,K$5,$G287=$G$6,K$6,$G287=$G$7,K$7,$G287=$G$8,K$8,$G287=$G$9,K$9,$G287=$G$10,K$10,$G287=$G$11,K$11,$G287=$G$13,K$13,$G287=$G$15,K$15,$G287=$G$16,K$16,$G287=$G$33,K$33,$G287=$G$34,K$34,$G287=$G$248,K$248,$G287=$G$250,K$250)</f>
        <v>BG sentinel + BG lure7</v>
      </c>
      <c r="L287" s="29" t="str" cm="1">
        <f t="array" ref="L287">_xlfn.IFS($G287=$G$5,L$5,$G287=$G$6,L$6,$G287=$G$7,L$7,$G287=$G$8,L$8,$G287=$G$9,L$9,$G287=$G$10,L$10,$G287=$G$11,L$11,$G287=$G$13,L$13,$G287=$G$15,L$15,$G287=$G$16,L$16,$G287=$G$33,L$33,$G287=$G$34,L$34,$G287=$G$248,L$248,$G287=$G$250,L$250)</f>
        <v>Urban habitat</v>
      </c>
      <c r="O287" s="32" t="str">
        <f t="shared" si="16"/>
        <v>A_SP_BCN_1_201104</v>
      </c>
      <c r="P287" s="33">
        <v>44139</v>
      </c>
      <c r="Q287" s="34">
        <v>0.65277777777777779</v>
      </c>
      <c r="R287" s="35"/>
      <c r="S287" s="36">
        <v>44146</v>
      </c>
      <c r="T287" s="37">
        <v>0.64583333333333337</v>
      </c>
      <c r="U287" s="38"/>
      <c r="V287" s="39" t="s">
        <v>106</v>
      </c>
      <c r="X287" s="29">
        <f t="shared" si="15"/>
        <v>7</v>
      </c>
      <c r="Y287" s="38"/>
      <c r="Z287" s="29" t="s">
        <v>75</v>
      </c>
      <c r="AA287" s="29">
        <f t="shared" si="14"/>
        <v>2</v>
      </c>
      <c r="AB287" s="29" t="s">
        <v>69</v>
      </c>
      <c r="AC287" s="29">
        <v>1</v>
      </c>
      <c r="AD287" s="29">
        <v>1</v>
      </c>
      <c r="AE287" s="29" t="s">
        <v>70</v>
      </c>
      <c r="AF287">
        <v>2</v>
      </c>
    </row>
    <row r="288" spans="1:32" x14ac:dyDescent="0.25">
      <c r="A288" s="28">
        <v>284</v>
      </c>
      <c r="B288" s="29" t="s">
        <v>60</v>
      </c>
      <c r="C288" s="29" t="s">
        <v>61</v>
      </c>
      <c r="D288" s="29" t="s">
        <v>62</v>
      </c>
      <c r="E288" s="29" t="s">
        <v>62</v>
      </c>
      <c r="F288" s="30" cm="1">
        <f t="array" ref="F288">_xlfn.IFS($G288=$G$5,F$5,$G288=$G$6,F$6,$G288=$G$7,F$7,$G288=$G$8,F$8,$G288=$G$9,F$9,$G288=$G$10,F$10,$G288=$G$11,F$11,$G288=$G$13,F$13,$G288=$G$15,F$15,$G288=$G$16,F$16,$G288=$G$33,F$33,$G288=$G$34,F$34,$G288=$G$248,F$248,$G288=$G$250,F$250)</f>
        <v>8035</v>
      </c>
      <c r="G288" s="29" t="s">
        <v>71</v>
      </c>
      <c r="H288" s="31" cm="1">
        <f t="array" ref="H288">_xlfn.IFS($G288=$G$5,H$5,$G288=$G$6,H$6,$G288=$G$7,H$7,$G288=$G$8,H$8,$G288=$G$9,H$9,$G288=$G$10,H$10,$G288=$G$11,H$11,$G288=$G$13,H$13,$G288=$G$15,H$15,$G288=$G$16,H$16,$G288=$G$33,H$33,$G288=$G$34,H$34,$G288=$G$248,H$248,$G288=$G$250,H$250)</f>
        <v>41.424387000000003</v>
      </c>
      <c r="I288" s="31" cm="1">
        <f t="array" ref="I288">_xlfn.IFS($G288=$G$5,I$5,$G288=$G$6,I$6,$G288=$G$7,I$7,$G288=$G$8,I$8,$G288=$G$9,I$9,$G288=$G$10,I$10,$G288=$G$11,I$11,$G288=$G$13,I$13,$G288=$G$15,I$15,$G288=$G$16,I$16,$G288=$G$33,I$33,$G288=$G$34,I$34,$G288=$G$248,I$248,$G288=$G$250,I$250)</f>
        <v>2.1431439999999999</v>
      </c>
      <c r="J288" s="29" cm="1">
        <f t="array" ref="J288">_xlfn.IFS($G288=$G$5,J$5,$G288=$G$6,J$6,$G288=$G$7,J$7,$G288=$G$8,J$8,$G288=$G$9,J$9,$G288=$G$10,J$10,$G288=$G$11,J$11,$G288=$G$13,J$13,$G288=$G$15,J$15,$G288=$G$16,J$16,$G288=$G$33,J$33,$G288=$G$34,J$34,$G288=$G$248,J$248,$G288=$G$250,J$250)</f>
        <v>160</v>
      </c>
      <c r="K288" s="29" t="str" cm="1">
        <f t="array" ref="K288">_xlfn.IFS($G288=$G$5,K$5,$G288=$G$6,K$6,$G288=$G$7,K$7,$G288=$G$8,K$8,$G288=$G$9,K$9,$G288=$G$10,K$10,$G288=$G$11,K$11,$G288=$G$13,K$13,$G288=$G$15,K$15,$G288=$G$16,K$16,$G288=$G$33,K$33,$G288=$G$34,K$34,$G288=$G$248,K$248,$G288=$G$250,K$250)</f>
        <v>BG sentinel + BG lure7</v>
      </c>
      <c r="L288" s="29" t="str" cm="1">
        <f t="array" ref="L288">_xlfn.IFS($G288=$G$5,L$5,$G288=$G$6,L$6,$G288=$G$7,L$7,$G288=$G$8,L$8,$G288=$G$9,L$9,$G288=$G$10,L$10,$G288=$G$11,L$11,$G288=$G$13,L$13,$G288=$G$15,L$15,$G288=$G$16,L$16,$G288=$G$33,L$33,$G288=$G$34,L$34,$G288=$G$248,L$248,$G288=$G$250,L$250)</f>
        <v>Urban habitat</v>
      </c>
      <c r="O288" s="32" t="str">
        <f t="shared" si="16"/>
        <v>A_SP_BCN_2_201104</v>
      </c>
      <c r="P288" s="33">
        <v>44139</v>
      </c>
      <c r="Q288" s="34">
        <v>0.75347222222222221</v>
      </c>
      <c r="R288" s="35"/>
      <c r="S288" s="36">
        <v>44146</v>
      </c>
      <c r="T288" s="37">
        <v>0.72916666666666663</v>
      </c>
      <c r="U288" s="38"/>
      <c r="V288" s="39" t="s">
        <v>66</v>
      </c>
      <c r="X288" s="29">
        <f t="shared" si="15"/>
        <v>7</v>
      </c>
      <c r="Y288" s="38"/>
      <c r="Z288" s="29" t="s">
        <v>68</v>
      </c>
      <c r="AA288" s="29">
        <f t="shared" si="14"/>
        <v>1</v>
      </c>
      <c r="AB288" s="29" t="s">
        <v>69</v>
      </c>
      <c r="AC288" s="29">
        <v>1</v>
      </c>
      <c r="AD288" s="29">
        <v>0</v>
      </c>
      <c r="AE288" s="29" t="s">
        <v>70</v>
      </c>
      <c r="AF288">
        <v>4</v>
      </c>
    </row>
    <row r="289" spans="1:32" x14ac:dyDescent="0.25">
      <c r="A289" s="28">
        <v>285</v>
      </c>
      <c r="B289" s="29" t="s">
        <v>60</v>
      </c>
      <c r="C289" s="29" t="s">
        <v>61</v>
      </c>
      <c r="D289" s="29" t="s">
        <v>62</v>
      </c>
      <c r="E289" s="29" t="s">
        <v>62</v>
      </c>
      <c r="F289" s="30" cm="1">
        <f t="array" ref="F289">_xlfn.IFS($G289=$G$5,F$5,$G289=$G$6,F$6,$G289=$G$7,F$7,$G289=$G$8,F$8,$G289=$G$9,F$9,$G289=$G$10,F$10,$G289=$G$11,F$11,$G289=$G$13,F$13,$G289=$G$15,F$15,$G289=$G$16,F$16,$G289=$G$33,F$33,$G289=$G$34,F$34,$G289=$G$248,F$248,$G289=$G$250,F$250)</f>
        <v>8016</v>
      </c>
      <c r="G289" s="29" t="s">
        <v>72</v>
      </c>
      <c r="H289" s="31" cm="1">
        <f t="array" ref="H289">_xlfn.IFS($G289=$G$5,H$5,$G289=$G$6,H$6,$G289=$G$7,H$7,$G289=$G$8,H$8,$G289=$G$9,H$9,$G289=$G$10,H$10,$G289=$G$11,H$11,$G289=$G$13,H$13,$G289=$G$15,H$15,$G289=$G$16,H$16,$G289=$G$33,H$33,$G289=$G$34,H$34,$G289=$G$248,H$248,$G289=$G$250,H$250)</f>
        <v>41.437435000000001</v>
      </c>
      <c r="I289" s="31" cm="1">
        <f t="array" ref="I289">_xlfn.IFS($G289=$G$5,I$5,$G289=$G$6,I$6,$G289=$G$7,I$7,$G289=$G$8,I$8,$G289=$G$9,I$9,$G289=$G$10,I$10,$G289=$G$11,I$11,$G289=$G$13,I$13,$G289=$G$15,I$15,$G289=$G$16,I$16,$G289=$G$33,I$33,$G289=$G$34,I$34,$G289=$G$248,I$248,$G289=$G$250,I$250)</f>
        <v>2.1812779999999998</v>
      </c>
      <c r="J289" s="29" cm="1">
        <f t="array" ref="J289">_xlfn.IFS($G289=$G$5,J$5,$G289=$G$6,J$6,$G289=$G$7,J$7,$G289=$G$8,J$8,$G289=$G$9,J$9,$G289=$G$10,J$10,$G289=$G$11,J$11,$G289=$G$13,J$13,$G289=$G$15,J$15,$G289=$G$16,J$16,$G289=$G$33,J$33,$G289=$G$34,J$34,$G289=$G$248,J$248,$G289=$G$250,J$250)</f>
        <v>47</v>
      </c>
      <c r="K289" s="29" t="str" cm="1">
        <f t="array" ref="K289">_xlfn.IFS($G289=$G$5,K$5,$G289=$G$6,K$6,$G289=$G$7,K$7,$G289=$G$8,K$8,$G289=$G$9,K$9,$G289=$G$10,K$10,$G289=$G$11,K$11,$G289=$G$13,K$13,$G289=$G$15,K$15,$G289=$G$16,K$16,$G289=$G$33,K$33,$G289=$G$34,K$34,$G289=$G$248,K$248,$G289=$G$250,K$250)</f>
        <v>BG sentinel + BG lure7</v>
      </c>
      <c r="L289" s="29" t="str" cm="1">
        <f t="array" ref="L289">_xlfn.IFS($G289=$G$5,L$5,$G289=$G$6,L$6,$G289=$G$7,L$7,$G289=$G$8,L$8,$G289=$G$9,L$9,$G289=$G$10,L$10,$G289=$G$11,L$11,$G289=$G$13,L$13,$G289=$G$15,L$15,$G289=$G$16,L$16,$G289=$G$33,L$33,$G289=$G$34,L$34,$G289=$G$248,L$248,$G289=$G$250,L$250)</f>
        <v>Urban habitat</v>
      </c>
      <c r="O289" s="32" t="str">
        <f t="shared" si="16"/>
        <v>A_SP_BCN_3_201104</v>
      </c>
      <c r="P289" s="33">
        <v>44139</v>
      </c>
      <c r="Q289" s="34">
        <v>0.62847222222222221</v>
      </c>
      <c r="R289" s="35"/>
      <c r="S289" s="36">
        <v>44146</v>
      </c>
      <c r="T289" s="37">
        <v>0.74305555555555547</v>
      </c>
      <c r="U289" s="38"/>
      <c r="V289" s="39" t="s">
        <v>66</v>
      </c>
      <c r="X289" s="29">
        <f t="shared" si="15"/>
        <v>7</v>
      </c>
      <c r="Y289" s="38"/>
      <c r="Z289" s="29" t="s">
        <v>68</v>
      </c>
      <c r="AA289" s="29">
        <f t="shared" si="14"/>
        <v>4</v>
      </c>
      <c r="AB289" s="29" t="s">
        <v>69</v>
      </c>
      <c r="AC289" s="29">
        <v>4</v>
      </c>
      <c r="AD289" s="29">
        <v>0</v>
      </c>
      <c r="AE289" s="29" t="s">
        <v>70</v>
      </c>
      <c r="AF289">
        <v>4</v>
      </c>
    </row>
    <row r="290" spans="1:32" x14ac:dyDescent="0.25">
      <c r="A290" s="28">
        <v>286</v>
      </c>
      <c r="B290" s="29" t="s">
        <v>60</v>
      </c>
      <c r="C290" s="29" t="s">
        <v>61</v>
      </c>
      <c r="D290" s="29" t="s">
        <v>62</v>
      </c>
      <c r="E290" s="29" t="s">
        <v>62</v>
      </c>
      <c r="F290" s="30" cm="1">
        <f t="array" ref="F290">_xlfn.IFS($G290=$G$5,F$5,$G290=$G$6,F$6,$G290=$G$7,F$7,$G290=$G$8,F$8,$G290=$G$9,F$9,$G290=$G$10,F$10,$G290=$G$11,F$11,$G290=$G$13,F$13,$G290=$G$15,F$15,$G290=$G$16,F$16,$G290=$G$33,F$33,$G290=$G$34,F$34,$G290=$G$248,F$248,$G290=$G$250,F$250)</f>
        <v>8016</v>
      </c>
      <c r="G290" s="29" t="s">
        <v>72</v>
      </c>
      <c r="H290" s="31" cm="1">
        <f t="array" ref="H290">_xlfn.IFS($G290=$G$5,H$5,$G290=$G$6,H$6,$G290=$G$7,H$7,$G290=$G$8,H$8,$G290=$G$9,H$9,$G290=$G$10,H$10,$G290=$G$11,H$11,$G290=$G$13,H$13,$G290=$G$15,H$15,$G290=$G$16,H$16,$G290=$G$33,H$33,$G290=$G$34,H$34,$G290=$G$248,H$248,$G290=$G$250,H$250)</f>
        <v>41.437435000000001</v>
      </c>
      <c r="I290" s="31" cm="1">
        <f t="array" ref="I290">_xlfn.IFS($G290=$G$5,I$5,$G290=$G$6,I$6,$G290=$G$7,I$7,$G290=$G$8,I$8,$G290=$G$9,I$9,$G290=$G$10,I$10,$G290=$G$11,I$11,$G290=$G$13,I$13,$G290=$G$15,I$15,$G290=$G$16,I$16,$G290=$G$33,I$33,$G290=$G$34,I$34,$G290=$G$248,I$248,$G290=$G$250,I$250)</f>
        <v>2.1812779999999998</v>
      </c>
      <c r="J290" s="29" cm="1">
        <f t="array" ref="J290">_xlfn.IFS($G290=$G$5,J$5,$G290=$G$6,J$6,$G290=$G$7,J$7,$G290=$G$8,J$8,$G290=$G$9,J$9,$G290=$G$10,J$10,$G290=$G$11,J$11,$G290=$G$13,J$13,$G290=$G$15,J$15,$G290=$G$16,J$16,$G290=$G$33,J$33,$G290=$G$34,J$34,$G290=$G$248,J$248,$G290=$G$250,J$250)</f>
        <v>47</v>
      </c>
      <c r="K290" s="29" t="str" cm="1">
        <f t="array" ref="K290">_xlfn.IFS($G290=$G$5,K$5,$G290=$G$6,K$6,$G290=$G$7,K$7,$G290=$G$8,K$8,$G290=$G$9,K$9,$G290=$G$10,K$10,$G290=$G$11,K$11,$G290=$G$13,K$13,$G290=$G$15,K$15,$G290=$G$16,K$16,$G290=$G$33,K$33,$G290=$G$34,K$34,$G290=$G$248,K$248,$G290=$G$250,K$250)</f>
        <v>BG sentinel + BG lure7</v>
      </c>
      <c r="L290" s="29" t="str" cm="1">
        <f t="array" ref="L290">_xlfn.IFS($G290=$G$5,L$5,$G290=$G$6,L$6,$G290=$G$7,L$7,$G290=$G$8,L$8,$G290=$G$9,L$9,$G290=$G$10,L$10,$G290=$G$11,L$11,$G290=$G$13,L$13,$G290=$G$15,L$15,$G290=$G$16,L$16,$G290=$G$33,L$33,$G290=$G$34,L$34,$G290=$G$248,L$248,$G290=$G$250,L$250)</f>
        <v>Urban habitat</v>
      </c>
      <c r="O290" s="32" t="str">
        <f t="shared" si="16"/>
        <v>A_SP_BCN_3_201104</v>
      </c>
      <c r="P290" s="33">
        <v>44139</v>
      </c>
      <c r="Q290" s="34">
        <v>0.62847222222222221</v>
      </c>
      <c r="R290" s="35"/>
      <c r="S290" s="36">
        <v>44146</v>
      </c>
      <c r="T290" s="37">
        <v>0.74305555555555547</v>
      </c>
      <c r="U290" s="38"/>
      <c r="V290" s="39" t="s">
        <v>66</v>
      </c>
      <c r="X290" s="29">
        <f t="shared" si="15"/>
        <v>7</v>
      </c>
      <c r="Y290" s="38"/>
      <c r="Z290" s="29" t="s">
        <v>75</v>
      </c>
      <c r="AA290" s="29">
        <f t="shared" si="14"/>
        <v>3</v>
      </c>
      <c r="AB290" s="29" t="s">
        <v>69</v>
      </c>
      <c r="AC290" s="29">
        <v>1</v>
      </c>
      <c r="AD290" s="29">
        <v>2</v>
      </c>
      <c r="AE290" s="29" t="s">
        <v>70</v>
      </c>
      <c r="AF290">
        <v>4</v>
      </c>
    </row>
    <row r="291" spans="1:32" x14ac:dyDescent="0.25">
      <c r="A291" s="28">
        <v>287</v>
      </c>
      <c r="B291" s="29" t="s">
        <v>60</v>
      </c>
      <c r="C291" s="29" t="s">
        <v>61</v>
      </c>
      <c r="D291" s="29" t="s">
        <v>62</v>
      </c>
      <c r="E291" s="29" t="s">
        <v>62</v>
      </c>
      <c r="F291" s="30" cm="1">
        <f t="array" ref="F291">_xlfn.IFS($G291=$G$5,F$5,$G291=$G$6,F$6,$G291=$G$7,F$7,$G291=$G$8,F$8,$G291=$G$9,F$9,$G291=$G$10,F$10,$G291=$G$11,F$11,$G291=$G$13,F$13,$G291=$G$15,F$15,$G291=$G$16,F$16,$G291=$G$33,F$33,$G291=$G$34,F$34,$G291=$G$248,F$248,$G291=$G$250,F$250)</f>
        <v>8016</v>
      </c>
      <c r="G291" s="29" t="s">
        <v>72</v>
      </c>
      <c r="H291" s="31" cm="1">
        <f t="array" ref="H291">_xlfn.IFS($G291=$G$5,H$5,$G291=$G$6,H$6,$G291=$G$7,H$7,$G291=$G$8,H$8,$G291=$G$9,H$9,$G291=$G$10,H$10,$G291=$G$11,H$11,$G291=$G$13,H$13,$G291=$G$15,H$15,$G291=$G$16,H$16,$G291=$G$33,H$33,$G291=$G$34,H$34,$G291=$G$248,H$248,$G291=$G$250,H$250)</f>
        <v>41.437435000000001</v>
      </c>
      <c r="I291" s="31" cm="1">
        <f t="array" ref="I291">_xlfn.IFS($G291=$G$5,I$5,$G291=$G$6,I$6,$G291=$G$7,I$7,$G291=$G$8,I$8,$G291=$G$9,I$9,$G291=$G$10,I$10,$G291=$G$11,I$11,$G291=$G$13,I$13,$G291=$G$15,I$15,$G291=$G$16,I$16,$G291=$G$33,I$33,$G291=$G$34,I$34,$G291=$G$248,I$248,$G291=$G$250,I$250)</f>
        <v>2.1812779999999998</v>
      </c>
      <c r="J291" s="29" cm="1">
        <f t="array" ref="J291">_xlfn.IFS($G291=$G$5,J$5,$G291=$G$6,J$6,$G291=$G$7,J$7,$G291=$G$8,J$8,$G291=$G$9,J$9,$G291=$G$10,J$10,$G291=$G$11,J$11,$G291=$G$13,J$13,$G291=$G$15,J$15,$G291=$G$16,J$16,$G291=$G$33,J$33,$G291=$G$34,J$34,$G291=$G$248,J$248,$G291=$G$250,J$250)</f>
        <v>47</v>
      </c>
      <c r="K291" s="29" t="str" cm="1">
        <f t="array" ref="K291">_xlfn.IFS($G291=$G$5,K$5,$G291=$G$6,K$6,$G291=$G$7,K$7,$G291=$G$8,K$8,$G291=$G$9,K$9,$G291=$G$10,K$10,$G291=$G$11,K$11,$G291=$G$13,K$13,$G291=$G$15,K$15,$G291=$G$16,K$16,$G291=$G$33,K$33,$G291=$G$34,K$34,$G291=$G$248,K$248,$G291=$G$250,K$250)</f>
        <v>BG sentinel + BG lure7</v>
      </c>
      <c r="L291" s="29" t="str" cm="1">
        <f t="array" ref="L291">_xlfn.IFS($G291=$G$5,L$5,$G291=$G$6,L$6,$G291=$G$7,L$7,$G291=$G$8,L$8,$G291=$G$9,L$9,$G291=$G$10,L$10,$G291=$G$11,L$11,$G291=$G$13,L$13,$G291=$G$15,L$15,$G291=$G$16,L$16,$G291=$G$33,L$33,$G291=$G$34,L$34,$G291=$G$248,L$248,$G291=$G$250,L$250)</f>
        <v>Urban habitat</v>
      </c>
      <c r="O291" s="32" t="str">
        <f t="shared" si="16"/>
        <v>A_SP_BCN_3_201104</v>
      </c>
      <c r="P291" s="33">
        <v>44139</v>
      </c>
      <c r="Q291" s="34">
        <v>0.62847222222222221</v>
      </c>
      <c r="R291" s="35"/>
      <c r="S291" s="36">
        <v>44146</v>
      </c>
      <c r="T291" s="37">
        <v>0.74305555555555547</v>
      </c>
      <c r="U291" s="38"/>
      <c r="V291" s="39" t="s">
        <v>66</v>
      </c>
      <c r="X291" s="29">
        <f t="shared" si="15"/>
        <v>7</v>
      </c>
      <c r="Y291" s="38"/>
      <c r="Z291" s="29" t="s">
        <v>84</v>
      </c>
      <c r="AA291" s="29">
        <f t="shared" si="14"/>
        <v>1</v>
      </c>
      <c r="AB291" s="29" t="s">
        <v>69</v>
      </c>
      <c r="AC291" s="29">
        <v>0</v>
      </c>
      <c r="AD291" s="29">
        <v>1</v>
      </c>
      <c r="AE291" s="29" t="s">
        <v>70</v>
      </c>
      <c r="AF291">
        <v>4</v>
      </c>
    </row>
    <row r="292" spans="1:32" x14ac:dyDescent="0.25">
      <c r="A292" s="28">
        <v>288</v>
      </c>
      <c r="B292" s="29" t="s">
        <v>60</v>
      </c>
      <c r="C292" s="29" t="s">
        <v>61</v>
      </c>
      <c r="D292" s="29" t="s">
        <v>62</v>
      </c>
      <c r="E292" s="29" t="s">
        <v>62</v>
      </c>
      <c r="F292" s="30" cm="1">
        <f t="array" ref="F292">_xlfn.IFS($G292=$G$5,F$5,$G292=$G$6,F$6,$G292=$G$7,F$7,$G292=$G$8,F$8,$G292=$G$9,F$9,$G292=$G$10,F$10,$G292=$G$11,F$11,$G292=$G$13,F$13,$G292=$G$15,F$15,$G292=$G$16,F$16,$G292=$G$33,F$33,$G292=$G$34,F$34,$G292=$G$248,F$248,$G292=$G$250,F$250)</f>
        <v>8018</v>
      </c>
      <c r="G292" s="29" t="s">
        <v>73</v>
      </c>
      <c r="H292" s="31" cm="1">
        <f t="array" ref="H292">_xlfn.IFS($G292=$G$5,H$5,$G292=$G$6,H$6,$G292=$G$7,H$7,$G292=$G$8,H$8,$G292=$G$9,H$9,$G292=$G$10,H$10,$G292=$G$11,H$11,$G292=$G$13,H$13,$G292=$G$15,H$15,$G292=$G$16,H$16,$G292=$G$33,H$33,$G292=$G$34,H$34,$G292=$G$248,H$248,$G292=$G$250,H$250)</f>
        <v>41.404924999999999</v>
      </c>
      <c r="I292" s="31" cm="1">
        <f t="array" ref="I292">_xlfn.IFS($G292=$G$5,I$5,$G292=$G$6,I$6,$G292=$G$7,I$7,$G292=$G$8,I$8,$G292=$G$9,I$9,$G292=$G$10,I$10,$G292=$G$11,I$11,$G292=$G$13,I$13,$G292=$G$15,I$15,$G292=$G$16,I$16,$G292=$G$33,I$33,$G292=$G$34,I$34,$G292=$G$248,I$248,$G292=$G$250,I$250)</f>
        <v>2.1987909999999999</v>
      </c>
      <c r="J292" s="29" cm="1">
        <f t="array" ref="J292">_xlfn.IFS($G292=$G$5,J$5,$G292=$G$6,J$6,$G292=$G$7,J$7,$G292=$G$8,J$8,$G292=$G$9,J$9,$G292=$G$10,J$10,$G292=$G$11,J$11,$G292=$G$13,J$13,$G292=$G$15,J$15,$G292=$G$16,J$16,$G292=$G$33,J$33,$G292=$G$34,J$34,$G292=$G$248,J$248,$G292=$G$250,J$250)</f>
        <v>4</v>
      </c>
      <c r="K292" s="29" t="str" cm="1">
        <f t="array" ref="K292">_xlfn.IFS($G292=$G$5,K$5,$G292=$G$6,K$6,$G292=$G$7,K$7,$G292=$G$8,K$8,$G292=$G$9,K$9,$G292=$G$10,K$10,$G292=$G$11,K$11,$G292=$G$13,K$13,$G292=$G$15,K$15,$G292=$G$16,K$16,$G292=$G$33,K$33,$G292=$G$34,K$34,$G292=$G$248,K$248,$G292=$G$250,K$250)</f>
        <v>BG sentinel + BG lure7</v>
      </c>
      <c r="L292" s="29" t="str" cm="1">
        <f t="array" ref="L292">_xlfn.IFS($G292=$G$5,L$5,$G292=$G$6,L$6,$G292=$G$7,L$7,$G292=$G$8,L$8,$G292=$G$9,L$9,$G292=$G$10,L$10,$G292=$G$11,L$11,$G292=$G$13,L$13,$G292=$G$15,L$15,$G292=$G$16,L$16,$G292=$G$33,L$33,$G292=$G$34,L$34,$G292=$G$248,L$248,$G292=$G$250,L$250)</f>
        <v>Urban habitat</v>
      </c>
      <c r="O292" s="32" t="str">
        <f t="shared" si="16"/>
        <v>A_SP_BCN_4_201104</v>
      </c>
      <c r="P292" s="33">
        <v>44139</v>
      </c>
      <c r="Q292" s="34">
        <v>0.59375</v>
      </c>
      <c r="R292" s="35"/>
      <c r="S292" s="36">
        <v>44146</v>
      </c>
      <c r="T292" s="37">
        <v>0.58333333333333337</v>
      </c>
      <c r="U292" s="38"/>
      <c r="V292" s="39" t="s">
        <v>66</v>
      </c>
      <c r="X292" s="29">
        <f t="shared" si="15"/>
        <v>7</v>
      </c>
      <c r="Y292" s="38"/>
      <c r="Z292" s="29" t="s">
        <v>75</v>
      </c>
      <c r="AA292" s="29">
        <f t="shared" si="14"/>
        <v>1</v>
      </c>
      <c r="AB292" s="29" t="s">
        <v>69</v>
      </c>
      <c r="AC292" s="29">
        <v>1</v>
      </c>
      <c r="AD292" s="29">
        <v>0</v>
      </c>
      <c r="AE292" s="29" t="s">
        <v>70</v>
      </c>
      <c r="AF292">
        <v>4</v>
      </c>
    </row>
    <row r="293" spans="1:32" x14ac:dyDescent="0.25">
      <c r="A293" s="28">
        <v>289</v>
      </c>
      <c r="B293" s="29" t="s">
        <v>60</v>
      </c>
      <c r="C293" s="29" t="s">
        <v>61</v>
      </c>
      <c r="D293" s="29" t="s">
        <v>62</v>
      </c>
      <c r="E293" s="29" t="s">
        <v>62</v>
      </c>
      <c r="F293" s="30" cm="1">
        <f t="array" ref="F293">_xlfn.IFS($G293=$G$5,F$5,$G293=$G$6,F$6,$G293=$G$7,F$7,$G293=$G$8,F$8,$G293=$G$9,F$9,$G293=$G$10,F$10,$G293=$G$11,F$11,$G293=$G$13,F$13,$G293=$G$15,F$15,$G293=$G$16,F$16,$G293=$G$33,F$33,$G293=$G$34,F$34,$G293=$G$248,F$248,$G293=$G$250,F$250)</f>
        <v>8019</v>
      </c>
      <c r="G293" s="29" t="s">
        <v>74</v>
      </c>
      <c r="H293" s="31" cm="1">
        <f t="array" ref="H293">_xlfn.IFS($G293=$G$5,H$5,$G293=$G$6,H$6,$G293=$G$7,H$7,$G293=$G$8,H$8,$G293=$G$9,H$9,$G293=$G$10,H$10,$G293=$G$11,H$11,$G293=$G$13,H$13,$G293=$G$15,H$15,$G293=$G$16,H$16,$G293=$G$33,H$33,$G293=$G$34,H$34,$G293=$G$248,H$248,$G293=$G$250,H$250)</f>
        <v>41.410684000000003</v>
      </c>
      <c r="I293" s="31" cm="1">
        <f t="array" ref="I293">_xlfn.IFS($G293=$G$5,I$5,$G293=$G$6,I$6,$G293=$G$7,I$7,$G293=$G$8,I$8,$G293=$G$9,I$9,$G293=$G$10,I$10,$G293=$G$11,I$11,$G293=$G$13,I$13,$G293=$G$15,I$15,$G293=$G$16,I$16,$G293=$G$33,I$33,$G293=$G$34,I$34,$G293=$G$248,I$248,$G293=$G$250,I$250)</f>
        <v>2.2208019999999999</v>
      </c>
      <c r="J293" s="29" cm="1">
        <f t="array" ref="J293">_xlfn.IFS($G293=$G$5,J$5,$G293=$G$6,J$6,$G293=$G$7,J$7,$G293=$G$8,J$8,$G293=$G$9,J$9,$G293=$G$10,J$10,$G293=$G$11,J$11,$G293=$G$13,J$13,$G293=$G$15,J$15,$G293=$G$16,J$16,$G293=$G$33,J$33,$G293=$G$34,J$34,$G293=$G$248,J$248,$G293=$G$250,J$250)</f>
        <v>18</v>
      </c>
      <c r="K293" s="29" t="str" cm="1">
        <f t="array" ref="K293">_xlfn.IFS($G293=$G$5,K$5,$G293=$G$6,K$6,$G293=$G$7,K$7,$G293=$G$8,K$8,$G293=$G$9,K$9,$G293=$G$10,K$10,$G293=$G$11,K$11,$G293=$G$13,K$13,$G293=$G$15,K$15,$G293=$G$16,K$16,$G293=$G$33,K$33,$G293=$G$34,K$34,$G293=$G$248,K$248,$G293=$G$250,K$250)</f>
        <v>BG sentinel + BG lure7</v>
      </c>
      <c r="L293" s="29" t="str" cm="1">
        <f t="array" ref="L293">_xlfn.IFS($G293=$G$5,L$5,$G293=$G$6,L$6,$G293=$G$7,L$7,$G293=$G$8,L$8,$G293=$G$9,L$9,$G293=$G$10,L$10,$G293=$G$11,L$11,$G293=$G$13,L$13,$G293=$G$15,L$15,$G293=$G$16,L$16,$G293=$G$33,L$33,$G293=$G$34,L$34,$G293=$G$248,L$248,$G293=$G$250,L$250)</f>
        <v>Urban habitat</v>
      </c>
      <c r="O293" s="32" t="str">
        <f t="shared" si="16"/>
        <v>A_SP_BCN_5_201104</v>
      </c>
      <c r="P293" s="33">
        <v>44139</v>
      </c>
      <c r="Q293" s="34">
        <v>0.60416666666666663</v>
      </c>
      <c r="R293" s="35"/>
      <c r="S293" s="36">
        <v>44146</v>
      </c>
      <c r="T293" s="37">
        <v>0.60416666666666663</v>
      </c>
      <c r="U293" s="38"/>
      <c r="V293" s="39" t="s">
        <v>66</v>
      </c>
      <c r="X293" s="29">
        <f t="shared" si="15"/>
        <v>7</v>
      </c>
      <c r="Y293" s="38"/>
      <c r="Z293" s="29" t="s">
        <v>75</v>
      </c>
      <c r="AA293" s="29">
        <f t="shared" si="14"/>
        <v>4</v>
      </c>
      <c r="AB293" s="29" t="s">
        <v>69</v>
      </c>
      <c r="AC293" s="29">
        <v>4</v>
      </c>
      <c r="AD293" s="29">
        <v>0</v>
      </c>
      <c r="AE293" s="29" t="s">
        <v>70</v>
      </c>
      <c r="AF293">
        <v>4</v>
      </c>
    </row>
    <row r="294" spans="1:32" x14ac:dyDescent="0.25">
      <c r="A294" s="28">
        <v>290</v>
      </c>
      <c r="B294" s="29" t="s">
        <v>60</v>
      </c>
      <c r="C294" s="29" t="s">
        <v>61</v>
      </c>
      <c r="D294" s="29" t="s">
        <v>62</v>
      </c>
      <c r="E294" s="29" t="s">
        <v>62</v>
      </c>
      <c r="F294" s="30" cm="1">
        <f t="array" ref="F294">_xlfn.IFS($G294=$G$5,F$5,$G294=$G$6,F$6,$G294=$G$7,F$7,$G294=$G$8,F$8,$G294=$G$9,F$9,$G294=$G$10,F$10,$G294=$G$11,F$11,$G294=$G$13,F$13,$G294=$G$15,F$15,$G294=$G$16,F$16,$G294=$G$33,F$33,$G294=$G$34,F$34,$G294=$G$248,F$248,$G294=$G$250,F$250)</f>
        <v>8002</v>
      </c>
      <c r="G294" s="29" t="s">
        <v>76</v>
      </c>
      <c r="H294" s="31" cm="1">
        <f t="array" ref="H294">_xlfn.IFS($G294=$G$5,H$5,$G294=$G$6,H$6,$G294=$G$7,H$7,$G294=$G$8,H$8,$G294=$G$9,H$9,$G294=$G$10,H$10,$G294=$G$11,H$11,$G294=$G$13,H$13,$G294=$G$15,H$15,$G294=$G$16,H$16,$G294=$G$33,H$33,$G294=$G$34,H$34,$G294=$G$248,H$248,$G294=$G$250,H$250)</f>
        <v>41.382339999999999</v>
      </c>
      <c r="I294" s="31" cm="1">
        <f t="array" ref="I294">_xlfn.IFS($G294=$G$5,I$5,$G294=$G$6,I$6,$G294=$G$7,I$7,$G294=$G$8,I$8,$G294=$G$9,I$9,$G294=$G$10,I$10,$G294=$G$11,I$11,$G294=$G$13,I$13,$G294=$G$15,I$15,$G294=$G$16,I$16,$G294=$G$33,I$33,$G294=$G$34,I$34,$G294=$G$248,I$248,$G294=$G$250,I$250)</f>
        <v>2.1714790000000002</v>
      </c>
      <c r="J294" s="29" cm="1">
        <f t="array" ref="J294">_xlfn.IFS($G294=$G$5,J$5,$G294=$G$6,J$6,$G294=$G$7,J$7,$G294=$G$8,J$8,$G294=$G$9,J$9,$G294=$G$10,J$10,$G294=$G$11,J$11,$G294=$G$13,J$13,$G294=$G$15,J$15,$G294=$G$16,J$16,$G294=$G$33,J$33,$G294=$G$34,J$34,$G294=$G$248,J$248,$G294=$G$250,J$250)</f>
        <v>19</v>
      </c>
      <c r="K294" s="29" t="str" cm="1">
        <f t="array" ref="K294">_xlfn.IFS($G294=$G$5,K$5,$G294=$G$6,K$6,$G294=$G$7,K$7,$G294=$G$8,K$8,$G294=$G$9,K$9,$G294=$G$10,K$10,$G294=$G$11,K$11,$G294=$G$13,K$13,$G294=$G$15,K$15,$G294=$G$16,K$16,$G294=$G$33,K$33,$G294=$G$34,K$34,$G294=$G$248,K$248,$G294=$G$250,K$250)</f>
        <v>BG sentinel + BG lure7</v>
      </c>
      <c r="L294" s="29" t="str" cm="1">
        <f t="array" ref="L294">_xlfn.IFS($G294=$G$5,L$5,$G294=$G$6,L$6,$G294=$G$7,L$7,$G294=$G$8,L$8,$G294=$G$9,L$9,$G294=$G$10,L$10,$G294=$G$11,L$11,$G294=$G$13,L$13,$G294=$G$15,L$15,$G294=$G$16,L$16,$G294=$G$33,L$33,$G294=$G$34,L$34,$G294=$G$248,L$248,$G294=$G$250,L$250)</f>
        <v>Urban habitat</v>
      </c>
      <c r="O294" s="32" t="str">
        <f t="shared" si="16"/>
        <v>A_SP_BCN_6_201104</v>
      </c>
      <c r="P294" s="33">
        <v>44139</v>
      </c>
      <c r="Q294" s="34">
        <v>0.53819444444444442</v>
      </c>
      <c r="R294" s="35"/>
      <c r="S294" s="36">
        <v>44146</v>
      </c>
      <c r="T294" s="37">
        <v>0.55555555555555558</v>
      </c>
      <c r="U294" s="38"/>
      <c r="V294" s="39" t="s">
        <v>66</v>
      </c>
      <c r="X294" s="29">
        <f t="shared" si="15"/>
        <v>7</v>
      </c>
      <c r="Y294" s="38"/>
      <c r="AA294" s="29">
        <f t="shared" si="14"/>
        <v>0</v>
      </c>
      <c r="AF294">
        <v>4</v>
      </c>
    </row>
    <row r="295" spans="1:32" x14ac:dyDescent="0.25">
      <c r="A295" s="28">
        <v>291</v>
      </c>
      <c r="B295" s="29" t="s">
        <v>60</v>
      </c>
      <c r="C295" s="29" t="s">
        <v>61</v>
      </c>
      <c r="D295" s="29" t="s">
        <v>62</v>
      </c>
      <c r="E295" s="29" t="s">
        <v>62</v>
      </c>
      <c r="F295" s="30" cm="1">
        <f t="array" ref="F295">_xlfn.IFS($G295=$G$5,F$5,$G295=$G$6,F$6,$G295=$G$7,F$7,$G295=$G$8,F$8,$G295=$G$9,F$9,$G295=$G$10,F$10,$G295=$G$11,F$11,$G295=$G$13,F$13,$G295=$G$15,F$15,$G295=$G$16,F$16,$G295=$G$33,F$33,$G295=$G$34,F$34,$G295=$G$248,F$248,$G295=$G$250,F$250)</f>
        <v>8038</v>
      </c>
      <c r="G295" s="29" t="s">
        <v>77</v>
      </c>
      <c r="H295" s="31" cm="1">
        <f t="array" ref="H295">_xlfn.IFS($G295=$G$5,H$5,$G295=$G$6,H$6,$G295=$G$7,H$7,$G295=$G$8,H$8,$G295=$G$9,H$9,$G295=$G$10,H$10,$G295=$G$11,H$11,$G295=$G$13,H$13,$G295=$G$15,H$15,$G295=$G$16,H$16,$G295=$G$33,H$33,$G295=$G$34,H$34,$G295=$G$248,H$248,$G295=$G$250,H$250)</f>
        <v>41.371864000000002</v>
      </c>
      <c r="I295" s="31" cm="1">
        <f t="array" ref="I295">_xlfn.IFS($G295=$G$5,I$5,$G295=$G$6,I$6,$G295=$G$7,I$7,$G295=$G$8,I$8,$G295=$G$9,I$9,$G295=$G$10,I$10,$G295=$G$11,I$11,$G295=$G$13,I$13,$G295=$G$15,I$15,$G295=$G$16,I$16,$G295=$G$33,I$33,$G295=$G$34,I$34,$G295=$G$248,I$248,$G295=$G$250,I$250)</f>
        <v>2.173899</v>
      </c>
      <c r="J295" s="29" cm="1">
        <f t="array" ref="J295">_xlfn.IFS($G295=$G$5,J$5,$G295=$G$6,J$6,$G295=$G$7,J$7,$G295=$G$8,J$8,$G295=$G$9,J$9,$G295=$G$10,J$10,$G295=$G$11,J$11,$G295=$G$13,J$13,$G295=$G$15,J$15,$G295=$G$16,J$16,$G295=$G$33,J$33,$G295=$G$34,J$34,$G295=$G$248,J$248,$G295=$G$250,J$250)</f>
        <v>5</v>
      </c>
      <c r="K295" s="29" t="str" cm="1">
        <f t="array" ref="K295">_xlfn.IFS($G295=$G$5,K$5,$G295=$G$6,K$6,$G295=$G$7,K$7,$G295=$G$8,K$8,$G295=$G$9,K$9,$G295=$G$10,K$10,$G295=$G$11,K$11,$G295=$G$13,K$13,$G295=$G$15,K$15,$G295=$G$16,K$16,$G295=$G$33,K$33,$G295=$G$34,K$34,$G295=$G$248,K$248,$G295=$G$250,K$250)</f>
        <v>BG sentinel + BG lure7</v>
      </c>
      <c r="L295" s="29" t="str" cm="1">
        <f t="array" ref="L295">_xlfn.IFS($G295=$G$5,L$5,$G295=$G$6,L$6,$G295=$G$7,L$7,$G295=$G$8,L$8,$G295=$G$9,L$9,$G295=$G$10,L$10,$G295=$G$11,L$11,$G295=$G$13,L$13,$G295=$G$15,L$15,$G295=$G$16,L$16,$G295=$G$33,L$33,$G295=$G$34,L$34,$G295=$G$248,L$248,$G295=$G$250,L$250)</f>
        <v>Urban habitat</v>
      </c>
      <c r="O295" s="32" t="str">
        <f t="shared" si="16"/>
        <v>A_SP_BCN_7_201104</v>
      </c>
      <c r="P295" s="33">
        <v>44139</v>
      </c>
      <c r="Q295" s="34">
        <v>0.45833333333333331</v>
      </c>
      <c r="R295" s="35"/>
      <c r="S295" s="36">
        <v>44146</v>
      </c>
      <c r="T295" s="37">
        <v>0.5</v>
      </c>
      <c r="U295" s="38"/>
      <c r="V295" s="39" t="s">
        <v>66</v>
      </c>
      <c r="X295" s="29">
        <f t="shared" si="15"/>
        <v>7</v>
      </c>
      <c r="Y295" s="38"/>
      <c r="Z295" s="29" t="s">
        <v>68</v>
      </c>
      <c r="AA295" s="29">
        <f t="shared" si="14"/>
        <v>2</v>
      </c>
      <c r="AB295" s="29" t="s">
        <v>69</v>
      </c>
      <c r="AC295" s="29">
        <v>2</v>
      </c>
      <c r="AD295" s="29">
        <v>0</v>
      </c>
      <c r="AE295" s="29" t="s">
        <v>70</v>
      </c>
      <c r="AF295">
        <v>4</v>
      </c>
    </row>
    <row r="296" spans="1:32" x14ac:dyDescent="0.25">
      <c r="A296" s="28">
        <v>292</v>
      </c>
      <c r="B296" s="29" t="s">
        <v>60</v>
      </c>
      <c r="C296" s="29" t="s">
        <v>61</v>
      </c>
      <c r="D296" s="29" t="s">
        <v>62</v>
      </c>
      <c r="E296" s="29" t="s">
        <v>62</v>
      </c>
      <c r="F296" s="30" cm="1">
        <f t="array" ref="F296">_xlfn.IFS($G296=$G$5,F$5,$G296=$G$6,F$6,$G296=$G$7,F$7,$G296=$G$8,F$8,$G296=$G$9,F$9,$G296=$G$10,F$10,$G296=$G$11,F$11,$G296=$G$13,F$13,$G296=$G$15,F$15,$G296=$G$16,F$16,$G296=$G$33,F$33,$G296=$G$34,F$34,$G296=$G$248,F$248,$G296=$G$250,F$250)</f>
        <v>8038</v>
      </c>
      <c r="G296" s="29" t="s">
        <v>77</v>
      </c>
      <c r="H296" s="31" cm="1">
        <f t="array" ref="H296">_xlfn.IFS($G296=$G$5,H$5,$G296=$G$6,H$6,$G296=$G$7,H$7,$G296=$G$8,H$8,$G296=$G$9,H$9,$G296=$G$10,H$10,$G296=$G$11,H$11,$G296=$G$13,H$13,$G296=$G$15,H$15,$G296=$G$16,H$16,$G296=$G$33,H$33,$G296=$G$34,H$34,$G296=$G$248,H$248,$G296=$G$250,H$250)</f>
        <v>41.371864000000002</v>
      </c>
      <c r="I296" s="31" cm="1">
        <f t="array" ref="I296">_xlfn.IFS($G296=$G$5,I$5,$G296=$G$6,I$6,$G296=$G$7,I$7,$G296=$G$8,I$8,$G296=$G$9,I$9,$G296=$G$10,I$10,$G296=$G$11,I$11,$G296=$G$13,I$13,$G296=$G$15,I$15,$G296=$G$16,I$16,$G296=$G$33,I$33,$G296=$G$34,I$34,$G296=$G$248,I$248,$G296=$G$250,I$250)</f>
        <v>2.173899</v>
      </c>
      <c r="J296" s="29" cm="1">
        <f t="array" ref="J296">_xlfn.IFS($G296=$G$5,J$5,$G296=$G$6,J$6,$G296=$G$7,J$7,$G296=$G$8,J$8,$G296=$G$9,J$9,$G296=$G$10,J$10,$G296=$G$11,J$11,$G296=$G$13,J$13,$G296=$G$15,J$15,$G296=$G$16,J$16,$G296=$G$33,J$33,$G296=$G$34,J$34,$G296=$G$248,J$248,$G296=$G$250,J$250)</f>
        <v>5</v>
      </c>
      <c r="K296" s="29" t="str" cm="1">
        <f t="array" ref="K296">_xlfn.IFS($G296=$G$5,K$5,$G296=$G$6,K$6,$G296=$G$7,K$7,$G296=$G$8,K$8,$G296=$G$9,K$9,$G296=$G$10,K$10,$G296=$G$11,K$11,$G296=$G$13,K$13,$G296=$G$15,K$15,$G296=$G$16,K$16,$G296=$G$33,K$33,$G296=$G$34,K$34,$G296=$G$248,K$248,$G296=$G$250,K$250)</f>
        <v>BG sentinel + BG lure7</v>
      </c>
      <c r="L296" s="29" t="str" cm="1">
        <f t="array" ref="L296">_xlfn.IFS($G296=$G$5,L$5,$G296=$G$6,L$6,$G296=$G$7,L$7,$G296=$G$8,L$8,$G296=$G$9,L$9,$G296=$G$10,L$10,$G296=$G$11,L$11,$G296=$G$13,L$13,$G296=$G$15,L$15,$G296=$G$16,L$16,$G296=$G$33,L$33,$G296=$G$34,L$34,$G296=$G$248,L$248,$G296=$G$250,L$250)</f>
        <v>Urban habitat</v>
      </c>
      <c r="O296" s="32" t="str">
        <f t="shared" si="16"/>
        <v>A_SP_BCN_7_201104</v>
      </c>
      <c r="P296" s="33">
        <v>44139</v>
      </c>
      <c r="Q296" s="34">
        <v>0.45833333333333331</v>
      </c>
      <c r="R296" s="35"/>
      <c r="S296" s="36">
        <v>44146</v>
      </c>
      <c r="T296" s="37">
        <v>0.5</v>
      </c>
      <c r="U296" s="38"/>
      <c r="V296" s="39" t="s">
        <v>66</v>
      </c>
      <c r="X296" s="29">
        <f t="shared" si="15"/>
        <v>7</v>
      </c>
      <c r="Y296" s="38"/>
      <c r="Z296" s="29" t="s">
        <v>75</v>
      </c>
      <c r="AA296" s="29">
        <f t="shared" si="14"/>
        <v>1</v>
      </c>
      <c r="AB296" s="29" t="s">
        <v>69</v>
      </c>
      <c r="AC296" s="29">
        <v>1</v>
      </c>
      <c r="AD296" s="29">
        <v>0</v>
      </c>
      <c r="AE296" s="29" t="s">
        <v>70</v>
      </c>
      <c r="AF296">
        <v>4</v>
      </c>
    </row>
    <row r="297" spans="1:32" x14ac:dyDescent="0.25">
      <c r="A297" s="28">
        <v>293</v>
      </c>
      <c r="B297" s="29" t="s">
        <v>60</v>
      </c>
      <c r="C297" s="29" t="s">
        <v>61</v>
      </c>
      <c r="D297" s="29" t="s">
        <v>62</v>
      </c>
      <c r="E297" s="29" t="s">
        <v>62</v>
      </c>
      <c r="F297" s="30" cm="1">
        <f t="array" ref="F297">_xlfn.IFS($G297=$G$5,F$5,$G297=$G$6,F$6,$G297=$G$7,F$7,$G297=$G$8,F$8,$G297=$G$9,F$9,$G297=$G$10,F$10,$G297=$G$11,F$11,$G297=$G$13,F$13,$G297=$G$15,F$15,$G297=$G$16,F$16,$G297=$G$33,F$33,$G297=$G$34,F$34,$G297=$G$248,F$248,$G297=$G$250,F$250)</f>
        <v>8038</v>
      </c>
      <c r="G297" s="29" t="s">
        <v>78</v>
      </c>
      <c r="H297" s="31" cm="1">
        <f t="array" ref="H297">_xlfn.IFS($G297=$G$5,H$5,$G297=$G$6,H$6,$G297=$G$7,H$7,$G297=$G$8,H$8,$G297=$G$9,H$9,$G297=$G$10,H$10,$G297=$G$11,H$11,$G297=$G$13,H$13,$G297=$G$15,H$15,$G297=$G$16,H$16,$G297=$G$33,H$33,$G297=$G$34,H$34,$G297=$G$248,H$248,$G297=$G$250,H$250)</f>
        <v>41.368589</v>
      </c>
      <c r="I297" s="31" cm="1">
        <f t="array" ref="I297">_xlfn.IFS($G297=$G$5,I$5,$G297=$G$6,I$6,$G297=$G$7,I$7,$G297=$G$8,I$8,$G297=$G$9,I$9,$G297=$G$10,I$10,$G297=$G$11,I$11,$G297=$G$13,I$13,$G297=$G$15,I$15,$G297=$G$16,I$16,$G297=$G$33,I$33,$G297=$G$34,I$34,$G297=$G$248,I$248,$G297=$G$250,I$250)</f>
        <v>2.1620900000000001</v>
      </c>
      <c r="J297" s="29" cm="1">
        <f t="array" ref="J297">_xlfn.IFS($G297=$G$5,J$5,$G297=$G$6,J$6,$G297=$G$7,J$7,$G297=$G$8,J$8,$G297=$G$9,J$9,$G297=$G$10,J$10,$G297=$G$11,J$11,$G297=$G$13,J$13,$G297=$G$15,J$15,$G297=$G$16,J$16,$G297=$G$33,J$33,$G297=$G$34,J$34,$G297=$G$248,J$248,$G297=$G$250,J$250)</f>
        <v>95</v>
      </c>
      <c r="K297" s="29" t="str" cm="1">
        <f t="array" ref="K297">_xlfn.IFS($G297=$G$5,K$5,$G297=$G$6,K$6,$G297=$G$7,K$7,$G297=$G$8,K$8,$G297=$G$9,K$9,$G297=$G$10,K$10,$G297=$G$11,K$11,$G297=$G$13,K$13,$G297=$G$15,K$15,$G297=$G$16,K$16,$G297=$G$33,K$33,$G297=$G$34,K$34,$G297=$G$248,K$248,$G297=$G$250,K$250)</f>
        <v>BG sentinel + BG lure7</v>
      </c>
      <c r="L297" s="29" t="str" cm="1">
        <f t="array" ref="L297">_xlfn.IFS($G297=$G$5,L$5,$G297=$G$6,L$6,$G297=$G$7,L$7,$G297=$G$8,L$8,$G297=$G$9,L$9,$G297=$G$10,L$10,$G297=$G$11,L$11,$G297=$G$13,L$13,$G297=$G$15,L$15,$G297=$G$16,L$16,$G297=$G$33,L$33,$G297=$G$34,L$34,$G297=$G$248,L$248,$G297=$G$250,L$250)</f>
        <v>Other</v>
      </c>
      <c r="O297" s="32" t="str">
        <f t="shared" si="16"/>
        <v>A_SP_BCN_8_201104</v>
      </c>
      <c r="P297" s="33">
        <v>44139</v>
      </c>
      <c r="Q297" s="34">
        <v>0.47916666666666669</v>
      </c>
      <c r="R297" s="35"/>
      <c r="S297" s="36">
        <v>44146</v>
      </c>
      <c r="T297" s="37">
        <v>0.51736111111111105</v>
      </c>
      <c r="U297" s="38"/>
      <c r="V297" s="39" t="s">
        <v>66</v>
      </c>
      <c r="W297" s="39" t="s">
        <v>92</v>
      </c>
      <c r="X297" s="29">
        <f t="shared" si="15"/>
        <v>7</v>
      </c>
      <c r="Y297" s="38"/>
      <c r="Z297" s="29" t="s">
        <v>75</v>
      </c>
      <c r="AA297" s="41">
        <f t="shared" si="14"/>
        <v>3</v>
      </c>
      <c r="AB297" s="29" t="s">
        <v>69</v>
      </c>
      <c r="AC297" s="41">
        <v>2</v>
      </c>
      <c r="AD297" s="29">
        <v>1</v>
      </c>
      <c r="AE297" s="29" t="s">
        <v>70</v>
      </c>
      <c r="AF297">
        <v>4</v>
      </c>
    </row>
    <row r="298" spans="1:32" x14ac:dyDescent="0.25">
      <c r="A298" s="28">
        <v>294</v>
      </c>
      <c r="B298" s="29" t="s">
        <v>60</v>
      </c>
      <c r="C298" s="29" t="s">
        <v>61</v>
      </c>
      <c r="D298" s="29" t="s">
        <v>62</v>
      </c>
      <c r="E298" s="29" t="s">
        <v>62</v>
      </c>
      <c r="F298" s="30" cm="1">
        <f t="array" ref="F298">_xlfn.IFS($G298=$G$5,F$5,$G298=$G$6,F$6,$G298=$G$7,F$7,$G298=$G$8,F$8,$G298=$G$9,F$9,$G298=$G$10,F$10,$G298=$G$11,F$11,$G298=$G$13,F$13,$G298=$G$15,F$15,$G298=$G$16,F$16,$G298=$G$33,F$33,$G298=$G$34,F$34,$G298=$G$248,F$248,$G298=$G$250,F$250)</f>
        <v>8038</v>
      </c>
      <c r="G298" s="29" t="s">
        <v>78</v>
      </c>
      <c r="H298" s="31" cm="1">
        <f t="array" ref="H298">_xlfn.IFS($G298=$G$5,H$5,$G298=$G$6,H$6,$G298=$G$7,H$7,$G298=$G$8,H$8,$G298=$G$9,H$9,$G298=$G$10,H$10,$G298=$G$11,H$11,$G298=$G$13,H$13,$G298=$G$15,H$15,$G298=$G$16,H$16,$G298=$G$33,H$33,$G298=$G$34,H$34,$G298=$G$248,H$248,$G298=$G$250,H$250)</f>
        <v>41.368589</v>
      </c>
      <c r="I298" s="31" cm="1">
        <f t="array" ref="I298">_xlfn.IFS($G298=$G$5,I$5,$G298=$G$6,I$6,$G298=$G$7,I$7,$G298=$G$8,I$8,$G298=$G$9,I$9,$G298=$G$10,I$10,$G298=$G$11,I$11,$G298=$G$13,I$13,$G298=$G$15,I$15,$G298=$G$16,I$16,$G298=$G$33,I$33,$G298=$G$34,I$34,$G298=$G$248,I$248,$G298=$G$250,I$250)</f>
        <v>2.1620900000000001</v>
      </c>
      <c r="J298" s="29" cm="1">
        <f t="array" ref="J298">_xlfn.IFS($G298=$G$5,J$5,$G298=$G$6,J$6,$G298=$G$7,J$7,$G298=$G$8,J$8,$G298=$G$9,J$9,$G298=$G$10,J$10,$G298=$G$11,J$11,$G298=$G$13,J$13,$G298=$G$15,J$15,$G298=$G$16,J$16,$G298=$G$33,J$33,$G298=$G$34,J$34,$G298=$G$248,J$248,$G298=$G$250,J$250)</f>
        <v>95</v>
      </c>
      <c r="K298" s="29" t="str" cm="1">
        <f t="array" ref="K298">_xlfn.IFS($G298=$G$5,K$5,$G298=$G$6,K$6,$G298=$G$7,K$7,$G298=$G$8,K$8,$G298=$G$9,K$9,$G298=$G$10,K$10,$G298=$G$11,K$11,$G298=$G$13,K$13,$G298=$G$15,K$15,$G298=$G$16,K$16,$G298=$G$33,K$33,$G298=$G$34,K$34,$G298=$G$248,K$248,$G298=$G$250,K$250)</f>
        <v>BG sentinel + BG lure7</v>
      </c>
      <c r="L298" s="29" t="str" cm="1">
        <f t="array" ref="L298">_xlfn.IFS($G298=$G$5,L$5,$G298=$G$6,L$6,$G298=$G$7,L$7,$G298=$G$8,L$8,$G298=$G$9,L$9,$G298=$G$10,L$10,$G298=$G$11,L$11,$G298=$G$13,L$13,$G298=$G$15,L$15,$G298=$G$16,L$16,$G298=$G$33,L$33,$G298=$G$34,L$34,$G298=$G$248,L$248,$G298=$G$250,L$250)</f>
        <v>Other</v>
      </c>
      <c r="O298" s="32" t="str">
        <f t="shared" si="16"/>
        <v>A_SP_BCN_8_201104</v>
      </c>
      <c r="P298" s="33">
        <v>44139</v>
      </c>
      <c r="Q298" s="34">
        <v>0.47916666666666669</v>
      </c>
      <c r="R298" s="35"/>
      <c r="S298" s="36">
        <v>44146</v>
      </c>
      <c r="T298" s="37">
        <v>0.51736111111111105</v>
      </c>
      <c r="U298" s="38"/>
      <c r="V298" s="39" t="s">
        <v>66</v>
      </c>
      <c r="X298" s="29">
        <f t="shared" si="15"/>
        <v>7</v>
      </c>
      <c r="Y298" s="38"/>
      <c r="Z298" s="29" t="s">
        <v>84</v>
      </c>
      <c r="AA298" s="29">
        <f t="shared" si="14"/>
        <v>2</v>
      </c>
      <c r="AB298" s="29" t="s">
        <v>69</v>
      </c>
      <c r="AC298" s="29">
        <v>0</v>
      </c>
      <c r="AD298" s="29">
        <v>2</v>
      </c>
      <c r="AE298" s="29" t="s">
        <v>70</v>
      </c>
      <c r="AF298">
        <v>4</v>
      </c>
    </row>
    <row r="299" spans="1:32" x14ac:dyDescent="0.25">
      <c r="A299" s="28">
        <v>296</v>
      </c>
      <c r="B299" s="29" t="s">
        <v>60</v>
      </c>
      <c r="C299" s="29" t="s">
        <v>61</v>
      </c>
      <c r="D299" s="29" t="s">
        <v>62</v>
      </c>
      <c r="E299" s="29" t="s">
        <v>62</v>
      </c>
      <c r="F299" s="30" cm="1">
        <f t="array" ref="F299">_xlfn.IFS($G299=$G$5,F$5,$G299=$G$6,F$6,$G299=$G$7,F$7,$G299=$G$8,F$8,$G299=$G$9,F$9,$G299=$G$10,F$10,$G299=$G$11,F$11,$G299=$G$13,F$13,$G299=$G$15,F$15,$G299=$G$16,F$16,$G299=$G$33,F$33,$G299=$G$34,F$34,$G299=$G$248,F$248,$G299=$G$250,F$250)</f>
        <v>8034</v>
      </c>
      <c r="G299" s="29" t="s">
        <v>81</v>
      </c>
      <c r="H299" s="31" cm="1">
        <f t="array" ref="H299">_xlfn.IFS($G299=$G$5,H$5,$G299=$G$6,H$6,$G299=$G$7,H$7,$G299=$G$8,H$8,$G299=$G$9,H$9,$G299=$G$10,H$10,$G299=$G$11,H$11,$G299=$G$13,H$13,$G299=$G$15,H$15,$G299=$G$16,H$16,$G299=$G$33,H$33,$G299=$G$34,H$34,$G299=$G$248,H$248,$G299=$G$250,H$250)</f>
        <v>41.393644999999999</v>
      </c>
      <c r="I299" s="31" cm="1">
        <f t="array" ref="I299">_xlfn.IFS($G299=$G$5,I$5,$G299=$G$6,I$6,$G299=$G$7,I$7,$G299=$G$8,I$8,$G299=$G$9,I$9,$G299=$G$10,I$10,$G299=$G$11,I$11,$G299=$G$13,I$13,$G299=$G$15,I$15,$G299=$G$16,I$16,$G299=$G$33,I$33,$G299=$G$34,I$34,$G299=$G$248,I$248,$G299=$G$250,I$250)</f>
        <v>2.1216780000000002</v>
      </c>
      <c r="J299" s="29" cm="1">
        <f t="array" ref="J299">_xlfn.IFS($G299=$G$5,J$5,$G299=$G$6,J$6,$G299=$G$7,J$7,$G299=$G$8,J$8,$G299=$G$9,J$9,$G299=$G$10,J$10,$G299=$G$11,J$11,$G299=$G$13,J$13,$G299=$G$15,J$15,$G299=$G$16,J$16,$G299=$G$33,J$33,$G299=$G$34,J$34,$G299=$G$248,J$248,$G299=$G$250,J$250)</f>
        <v>98</v>
      </c>
      <c r="K299" s="29" t="str" cm="1">
        <f t="array" ref="K299">_xlfn.IFS($G299=$G$5,K$5,$G299=$G$6,K$6,$G299=$G$7,K$7,$G299=$G$8,K$8,$G299=$G$9,K$9,$G299=$G$10,K$10,$G299=$G$11,K$11,$G299=$G$13,K$13,$G299=$G$15,K$15,$G299=$G$16,K$16,$G299=$G$33,K$33,$G299=$G$34,K$34,$G299=$G$248,K$248,$G299=$G$250,K$250)</f>
        <v>BG sentinel + BG lure7</v>
      </c>
      <c r="L299" s="29" t="str" cm="1">
        <f t="array" ref="L299">_xlfn.IFS($G299=$G$5,L$5,$G299=$G$6,L$6,$G299=$G$7,L$7,$G299=$G$8,L$8,$G299=$G$9,L$9,$G299=$G$10,L$10,$G299=$G$11,L$11,$G299=$G$13,L$13,$G299=$G$15,L$15,$G299=$G$16,L$16,$G299=$G$33,L$33,$G299=$G$34,L$34,$G299=$G$248,L$248,$G299=$G$250,L$250)</f>
        <v>Other</v>
      </c>
      <c r="O299" s="32" t="str">
        <f t="shared" si="16"/>
        <v>A_SP_BCN_9_201104</v>
      </c>
      <c r="P299" s="33">
        <v>44139</v>
      </c>
      <c r="Q299" s="34">
        <v>0.68402777777777779</v>
      </c>
      <c r="R299" s="35"/>
      <c r="S299" s="36">
        <v>44146</v>
      </c>
      <c r="T299" s="37">
        <v>0.67708333333333337</v>
      </c>
      <c r="U299" s="38"/>
      <c r="V299" s="39" t="s">
        <v>66</v>
      </c>
      <c r="X299" s="29">
        <f>S299-P299</f>
        <v>7</v>
      </c>
      <c r="Y299" s="38"/>
      <c r="Z299" s="29" t="s">
        <v>68</v>
      </c>
      <c r="AA299" s="29">
        <f t="shared" si="14"/>
        <v>1</v>
      </c>
      <c r="AC299" s="29">
        <v>1</v>
      </c>
      <c r="AD299" s="29">
        <v>0</v>
      </c>
      <c r="AF299">
        <v>4</v>
      </c>
    </row>
    <row r="300" spans="1:32" x14ac:dyDescent="0.25">
      <c r="A300" s="28">
        <v>297</v>
      </c>
      <c r="B300" s="29" t="s">
        <v>60</v>
      </c>
      <c r="C300" s="29" t="s">
        <v>61</v>
      </c>
      <c r="D300" s="29" t="s">
        <v>62</v>
      </c>
      <c r="E300" s="29" t="s">
        <v>62</v>
      </c>
      <c r="F300" s="30" cm="1">
        <f t="array" ref="F300">_xlfn.IFS($G300=$G$5,F$5,$G300=$G$6,F$6,$G300=$G$7,F$7,$G300=$G$8,F$8,$G300=$G$9,F$9,$G300=$G$10,F$10,$G300=$G$11,F$11,$G300=$G$13,F$13,$G300=$G$15,F$15,$G300=$G$16,F$16,$G300=$G$33,F$33,$G300=$G$34,F$34,$G300=$G$248,F$248,$G300=$G$250,F$250)</f>
        <v>8034</v>
      </c>
      <c r="G300" s="29" t="s">
        <v>81</v>
      </c>
      <c r="H300" s="31" cm="1">
        <f t="array" ref="H300">_xlfn.IFS($G300=$G$5,H$5,$G300=$G$6,H$6,$G300=$G$7,H$7,$G300=$G$8,H$8,$G300=$G$9,H$9,$G300=$G$10,H$10,$G300=$G$11,H$11,$G300=$G$13,H$13,$G300=$G$15,H$15,$G300=$G$16,H$16,$G300=$G$33,H$33,$G300=$G$34,H$34,$G300=$G$248,H$248,$G300=$G$250,H$250)</f>
        <v>41.393644999999999</v>
      </c>
      <c r="I300" s="31" cm="1">
        <f t="array" ref="I300">_xlfn.IFS($G300=$G$5,I$5,$G300=$G$6,I$6,$G300=$G$7,I$7,$G300=$G$8,I$8,$G300=$G$9,I$9,$G300=$G$10,I$10,$G300=$G$11,I$11,$G300=$G$13,I$13,$G300=$G$15,I$15,$G300=$G$16,I$16,$G300=$G$33,I$33,$G300=$G$34,I$34,$G300=$G$248,I$248,$G300=$G$250,I$250)</f>
        <v>2.1216780000000002</v>
      </c>
      <c r="J300" s="29" cm="1">
        <f t="array" ref="J300">_xlfn.IFS($G300=$G$5,J$5,$G300=$G$6,J$6,$G300=$G$7,J$7,$G300=$G$8,J$8,$G300=$G$9,J$9,$G300=$G$10,J$10,$G300=$G$11,J$11,$G300=$G$13,J$13,$G300=$G$15,J$15,$G300=$G$16,J$16,$G300=$G$33,J$33,$G300=$G$34,J$34,$G300=$G$248,J$248,$G300=$G$250,J$250)</f>
        <v>98</v>
      </c>
      <c r="K300" s="29" t="str" cm="1">
        <f t="array" ref="K300">_xlfn.IFS($G300=$G$5,K$5,$G300=$G$6,K$6,$G300=$G$7,K$7,$G300=$G$8,K$8,$G300=$G$9,K$9,$G300=$G$10,K$10,$G300=$G$11,K$11,$G300=$G$13,K$13,$G300=$G$15,K$15,$G300=$G$16,K$16,$G300=$G$33,K$33,$G300=$G$34,K$34,$G300=$G$248,K$248,$G300=$G$250,K$250)</f>
        <v>BG sentinel + BG lure7</v>
      </c>
      <c r="L300" s="29" t="str" cm="1">
        <f t="array" ref="L300">_xlfn.IFS($G300=$G$5,L$5,$G300=$G$6,L$6,$G300=$G$7,L$7,$G300=$G$8,L$8,$G300=$G$9,L$9,$G300=$G$10,L$10,$G300=$G$11,L$11,$G300=$G$13,L$13,$G300=$G$15,L$15,$G300=$G$16,L$16,$G300=$G$33,L$33,$G300=$G$34,L$34,$G300=$G$248,L$248,$G300=$G$250,L$250)</f>
        <v>Other</v>
      </c>
      <c r="O300" s="32" t="str">
        <f t="shared" si="16"/>
        <v>A_SP_BCN_9_201104</v>
      </c>
      <c r="P300" s="33">
        <v>44139</v>
      </c>
      <c r="Q300" s="34">
        <v>0.68402777777777779</v>
      </c>
      <c r="R300" s="35"/>
      <c r="S300" s="36">
        <v>44146</v>
      </c>
      <c r="T300" s="37">
        <v>0.67708333333333337</v>
      </c>
      <c r="U300" s="38"/>
      <c r="V300" s="39" t="s">
        <v>66</v>
      </c>
      <c r="X300" s="29">
        <f t="shared" ref="X300:X365" si="17">S300-P300</f>
        <v>7</v>
      </c>
      <c r="Y300" s="38"/>
      <c r="Z300" s="29" t="s">
        <v>84</v>
      </c>
      <c r="AA300" s="29">
        <f t="shared" si="14"/>
        <v>2</v>
      </c>
      <c r="AB300" s="29" t="s">
        <v>69</v>
      </c>
      <c r="AC300" s="29">
        <v>1</v>
      </c>
      <c r="AD300" s="29">
        <v>1</v>
      </c>
      <c r="AE300" s="29" t="s">
        <v>70</v>
      </c>
      <c r="AF300">
        <v>4</v>
      </c>
    </row>
    <row r="301" spans="1:32" x14ac:dyDescent="0.25">
      <c r="A301" s="28">
        <v>298</v>
      </c>
      <c r="B301" s="29" t="s">
        <v>60</v>
      </c>
      <c r="C301" s="29" t="s">
        <v>61</v>
      </c>
      <c r="D301" s="29" t="s">
        <v>62</v>
      </c>
      <c r="E301" s="29" t="s">
        <v>62</v>
      </c>
      <c r="F301" s="30" cm="1">
        <f t="array" ref="F301">_xlfn.IFS($G301=$G$5,F$5,$G301=$G$6,F$6,$G301=$G$7,F$7,$G301=$G$8,F$8,$G301=$G$9,F$9,$G301=$G$10,F$10,$G301=$G$11,F$11,$G301=$G$13,F$13,$G301=$G$15,F$15,$G301=$G$16,F$16,$G301=$G$33,F$33,$G301=$G$34,F$34,$G301=$G$248,F$248,$G301=$G$250,F$250)</f>
        <v>8040</v>
      </c>
      <c r="G301" s="29" t="s">
        <v>83</v>
      </c>
      <c r="H301" s="31" cm="1">
        <f t="array" ref="H301">_xlfn.IFS($G301=$G$5,H$5,$G301=$G$6,H$6,$G301=$G$7,H$7,$G301=$G$8,H$8,$G301=$G$9,H$9,$G301=$G$10,H$10,$G301=$G$11,H$11,$G301=$G$13,H$13,$G301=$G$15,H$15,$G301=$G$16,H$16,$G301=$G$33,H$33,$G301=$G$34,H$34,$G301=$G$248,H$248,$G301=$G$250,H$250)</f>
        <v>41.343685000000001</v>
      </c>
      <c r="I301" s="31" cm="1">
        <f t="array" ref="I301">_xlfn.IFS($G301=$G$5,I$5,$G301=$G$6,I$6,$G301=$G$7,I$7,$G301=$G$8,I$8,$G301=$G$9,I$9,$G301=$G$10,I$10,$G301=$G$11,I$11,$G301=$G$13,I$13,$G301=$G$15,I$15,$G301=$G$16,I$16,$G301=$G$33,I$33,$G301=$G$34,I$34,$G301=$G$248,I$248,$G301=$G$250,I$250)</f>
        <v>2.1441490000000001</v>
      </c>
      <c r="J301" s="29" cm="1">
        <f t="array" ref="J301">_xlfn.IFS($G301=$G$5,J$5,$G301=$G$6,J$6,$G301=$G$7,J$7,$G301=$G$8,J$8,$G301=$G$9,J$9,$G301=$G$10,J$10,$G301=$G$11,J$11,$G301=$G$13,J$13,$G301=$G$15,J$15,$G301=$G$16,J$16,$G301=$G$33,J$33,$G301=$G$34,J$34,$G301=$G$248,J$248,$G301=$G$250,J$250)</f>
        <v>4</v>
      </c>
      <c r="K301" s="29" t="str" cm="1">
        <f t="array" ref="K301">_xlfn.IFS($G301=$G$5,K$5,$G301=$G$6,K$6,$G301=$G$7,K$7,$G301=$G$8,K$8,$G301=$G$9,K$9,$G301=$G$10,K$10,$G301=$G$11,K$11,$G301=$G$13,K$13,$G301=$G$15,K$15,$G301=$G$16,K$16,$G301=$G$33,K$33,$G301=$G$34,K$34,$G301=$G$248,K$248,$G301=$G$250,K$250)</f>
        <v>BG sentinel + BG lure7</v>
      </c>
      <c r="L301" s="29" t="str" cm="1">
        <f t="array" ref="L301">_xlfn.IFS($G301=$G$5,L$5,$G301=$G$6,L$6,$G301=$G$7,L$7,$G301=$G$8,L$8,$G301=$G$9,L$9,$G301=$G$10,L$10,$G301=$G$11,L$11,$G301=$G$13,L$13,$G301=$G$15,L$15,$G301=$G$16,L$16,$G301=$G$33,L$33,$G301=$G$34,L$34,$G301=$G$248,L$248,$G301=$G$250,L$250)</f>
        <v>Urban habitat</v>
      </c>
      <c r="O301" s="32" t="str">
        <f t="shared" si="16"/>
        <v>A_SP_BCN_10_201104</v>
      </c>
      <c r="P301" s="33">
        <v>44139</v>
      </c>
      <c r="Q301" s="34">
        <v>0.4513888888888889</v>
      </c>
      <c r="R301" s="35"/>
      <c r="S301" s="36">
        <v>44146</v>
      </c>
      <c r="T301" s="37">
        <v>0.48958333333333331</v>
      </c>
      <c r="U301" s="38"/>
      <c r="V301" s="39" t="s">
        <v>66</v>
      </c>
      <c r="X301" s="29">
        <f t="shared" si="17"/>
        <v>7</v>
      </c>
      <c r="Y301" s="38"/>
      <c r="AA301" s="29">
        <f t="shared" si="14"/>
        <v>0</v>
      </c>
      <c r="AF301">
        <v>4</v>
      </c>
    </row>
    <row r="302" spans="1:32" x14ac:dyDescent="0.25">
      <c r="A302" s="28">
        <v>299</v>
      </c>
      <c r="B302" s="29" t="s">
        <v>60</v>
      </c>
      <c r="C302" s="29" t="s">
        <v>61</v>
      </c>
      <c r="D302" s="29" t="s">
        <v>62</v>
      </c>
      <c r="E302" s="29" t="s">
        <v>62</v>
      </c>
      <c r="F302" s="30" cm="1">
        <f t="array" ref="F302">_xlfn.IFS($G302=$G$5,F$5,$G302=$G$6,F$6,$G302=$G$7,F$7,$G302=$G$8,F$8,$G302=$G$9,F$9,$G302=$G$10,F$10,$G302=$G$11,F$11,$G302=$G$13,F$13,$G302=$G$15,F$15,$G302=$G$16,F$16,$G302=$G$33,F$33,$G302=$G$34,F$34,$G302=$G$248,F$248,$G302=$G$250,F$250)</f>
        <v>8038</v>
      </c>
      <c r="G302" s="29" t="s">
        <v>85</v>
      </c>
      <c r="H302" s="31" cm="1">
        <f t="array" ref="H302">_xlfn.IFS($G302=$G$5,H$5,$G302=$G$6,H$6,$G302=$G$7,H$7,$G302=$G$8,H$8,$G302=$G$9,H$9,$G302=$G$10,H$10,$G302=$G$11,H$11,$G302=$G$13,H$13,$G302=$G$15,H$15,$G302=$G$16,H$16,$G302=$G$33,H$33,$G302=$G$34,H$34,$G302=$G$248,H$248,$G302=$G$250,H$250)</f>
        <v>41.367429999999999</v>
      </c>
      <c r="I302" s="31" cm="1">
        <f t="array" ref="I302">_xlfn.IFS($G302=$G$5,I$5,$G302=$G$6,I$6,$G302=$G$7,I$7,$G302=$G$8,I$8,$G302=$G$9,I$9,$G302=$G$10,I$10,$G302=$G$11,I$11,$G302=$G$13,I$13,$G302=$G$15,I$15,$G302=$G$16,I$16,$G302=$G$33,I$33,$G302=$G$34,I$34,$G302=$G$248,I$248,$G302=$G$250,I$250)</f>
        <v>2.1569609999999999</v>
      </c>
      <c r="J302" s="29" cm="1">
        <f t="array" ref="J302">_xlfn.IFS($G302=$G$5,J$5,$G302=$G$6,J$6,$G302=$G$7,J$7,$G302=$G$8,J$8,$G302=$G$9,J$9,$G302=$G$10,J$10,$G302=$G$11,J$11,$G302=$G$13,J$13,$G302=$G$15,J$15,$G302=$G$16,J$16,$G302=$G$33,J$33,$G302=$G$34,J$34,$G302=$G$248,J$248,$G302=$G$250,J$250)</f>
        <v>91</v>
      </c>
      <c r="K302" s="29" t="str" cm="1">
        <f t="array" ref="K302">_xlfn.IFS($G302=$G$5,K$5,$G302=$G$6,K$6,$G302=$G$7,K$7,$G302=$G$8,K$8,$G302=$G$9,K$9,$G302=$G$10,K$10,$G302=$G$11,K$11,$G302=$G$13,K$13,$G302=$G$15,K$15,$G302=$G$16,K$16,$G302=$G$33,K$33,$G302=$G$34,K$34,$G302=$G$248,K$248,$G302=$G$250,K$250)</f>
        <v>BG sentinel + BG lure7</v>
      </c>
      <c r="L302" s="29" t="str" cm="1">
        <f t="array" ref="L302">_xlfn.IFS($G302=$G$5,L$5,$G302=$G$6,L$6,$G302=$G$7,L$7,$G302=$G$8,L$8,$G302=$G$9,L$9,$G302=$G$10,L$10,$G302=$G$11,L$11,$G302=$G$13,L$13,$G302=$G$15,L$15,$G302=$G$16,L$16,$G302=$G$33,L$33,$G302=$G$34,L$34,$G302=$G$248,L$248,$G302=$G$250,L$250)</f>
        <v>Other</v>
      </c>
      <c r="O302" s="32" t="str">
        <f t="shared" si="16"/>
        <v>A_SP_BCN_11_201104</v>
      </c>
      <c r="P302" s="33">
        <v>44139</v>
      </c>
      <c r="Q302" s="34">
        <v>0.46875</v>
      </c>
      <c r="R302" s="35"/>
      <c r="S302" s="36">
        <v>44146</v>
      </c>
      <c r="T302" s="37">
        <v>0.51041666666666663</v>
      </c>
      <c r="U302" s="38"/>
      <c r="V302" s="39" t="s">
        <v>66</v>
      </c>
      <c r="X302" s="29">
        <f t="shared" si="17"/>
        <v>7</v>
      </c>
      <c r="Y302" s="38"/>
      <c r="Z302" s="29" t="s">
        <v>75</v>
      </c>
      <c r="AA302" s="29">
        <f t="shared" si="14"/>
        <v>1</v>
      </c>
      <c r="AB302" s="29" t="s">
        <v>69</v>
      </c>
      <c r="AC302" s="29">
        <v>0</v>
      </c>
      <c r="AD302" s="29">
        <v>1</v>
      </c>
      <c r="AE302" s="29" t="s">
        <v>70</v>
      </c>
      <c r="AF302">
        <v>4</v>
      </c>
    </row>
    <row r="303" spans="1:32" x14ac:dyDescent="0.25">
      <c r="A303" s="28">
        <v>300</v>
      </c>
      <c r="B303" s="29" t="s">
        <v>60</v>
      </c>
      <c r="C303" s="29" t="s">
        <v>61</v>
      </c>
      <c r="D303" s="29" t="s">
        <v>62</v>
      </c>
      <c r="E303" s="29" t="s">
        <v>62</v>
      </c>
      <c r="F303" s="30" cm="1">
        <f t="array" ref="F303">_xlfn.IFS($G303=$G$5,F$5,$G303=$G$6,F$6,$G303=$G$7,F$7,$G303=$G$8,F$8,$G303=$G$9,F$9,$G303=$G$10,F$10,$G303=$G$11,F$11,$G303=$G$13,F$13,$G303=$G$15,F$15,$G303=$G$16,F$16,$G303=$G$33,F$33,$G303=$G$34,F$34,$G303=$G$248,F$248,$G303=$G$250,F$250)</f>
        <v>8038</v>
      </c>
      <c r="G303" s="29" t="s">
        <v>86</v>
      </c>
      <c r="H303" s="31" cm="1">
        <f t="array" ref="H303">_xlfn.IFS($G303=$G$5,H$5,$G303=$G$6,H$6,$G303=$G$7,H$7,$G303=$G$8,H$8,$G303=$G$9,H$9,$G303=$G$10,H$10,$G303=$G$11,H$11,$G303=$G$13,H$13,$G303=$G$15,H$15,$G303=$G$16,H$16,$G303=$G$33,H$33,$G303=$G$34,H$34,$G303=$G$248,H$248,$G303=$G$250,H$250)</f>
        <v>41.363377999999997</v>
      </c>
      <c r="I303" s="31" cm="1">
        <f t="array" ref="I303">_xlfn.IFS($G303=$G$5,I$5,$G303=$G$6,I$6,$G303=$G$7,I$7,$G303=$G$8,I$8,$G303=$G$9,I$9,$G303=$G$10,I$10,$G303=$G$11,I$11,$G303=$G$13,I$13,$G303=$G$15,I$15,$G303=$G$16,I$16,$G303=$G$33,I$33,$G303=$G$34,I$34,$G303=$G$248,I$248,$G303=$G$250,I$250)</f>
        <v>2.164879</v>
      </c>
      <c r="J303" s="29" cm="1">
        <f t="array" ref="J303">_xlfn.IFS($G303=$G$5,J$5,$G303=$G$6,J$6,$G303=$G$7,J$7,$G303=$G$8,J$8,$G303=$G$9,J$9,$G303=$G$10,J$10,$G303=$G$11,J$11,$G303=$G$13,J$13,$G303=$G$15,J$15,$G303=$G$16,J$16,$G303=$G$33,J$33,$G303=$G$34,J$34,$G303=$G$248,J$248,$G303=$G$250,J$250)</f>
        <v>185</v>
      </c>
      <c r="K303" s="29" t="str" cm="1">
        <f t="array" ref="K303">_xlfn.IFS($G303=$G$5,K$5,$G303=$G$6,K$6,$G303=$G$7,K$7,$G303=$G$8,K$8,$G303=$G$9,K$9,$G303=$G$10,K$10,$G303=$G$11,K$11,$G303=$G$13,K$13,$G303=$G$15,K$15,$G303=$G$16,K$16,$G303=$G$33,K$33,$G303=$G$34,K$34,$G303=$G$248,K$248,$G303=$G$250,K$250)</f>
        <v>BG sentinel + BG lure7</v>
      </c>
      <c r="L303" s="29" t="str" cm="1">
        <f t="array" ref="L303">_xlfn.IFS($G303=$G$5,L$5,$G303=$G$6,L$6,$G303=$G$7,L$7,$G303=$G$8,L$8,$G303=$G$9,L$9,$G303=$G$10,L$10,$G303=$G$11,L$11,$G303=$G$13,L$13,$G303=$G$15,L$15,$G303=$G$16,L$16,$G303=$G$33,L$33,$G303=$G$34,L$34,$G303=$G$248,L$248,$G303=$G$250,L$250)</f>
        <v>Other</v>
      </c>
      <c r="O303" s="32" t="str">
        <f t="shared" si="16"/>
        <v>A_SP_BCN_12_201104</v>
      </c>
      <c r="P303" s="33">
        <v>44139</v>
      </c>
      <c r="Q303" s="34">
        <v>0.5</v>
      </c>
      <c r="R303" s="35"/>
      <c r="S303" s="36">
        <v>44146</v>
      </c>
      <c r="T303" s="37">
        <v>0.53472222222222221</v>
      </c>
      <c r="U303" s="38"/>
      <c r="V303" s="39" t="s">
        <v>66</v>
      </c>
      <c r="X303" s="29">
        <f t="shared" si="17"/>
        <v>7</v>
      </c>
      <c r="Y303" s="38"/>
      <c r="Z303" s="29" t="s">
        <v>75</v>
      </c>
      <c r="AA303" s="29">
        <f t="shared" si="14"/>
        <v>10</v>
      </c>
      <c r="AB303" s="29" t="s">
        <v>69</v>
      </c>
      <c r="AC303" s="29">
        <v>8</v>
      </c>
      <c r="AD303" s="29">
        <v>2</v>
      </c>
      <c r="AE303" s="29" t="s">
        <v>70</v>
      </c>
      <c r="AF303">
        <v>4</v>
      </c>
    </row>
    <row r="304" spans="1:32" x14ac:dyDescent="0.25">
      <c r="A304" s="28">
        <v>301</v>
      </c>
      <c r="B304" s="29" t="s">
        <v>60</v>
      </c>
      <c r="C304" s="29" t="s">
        <v>61</v>
      </c>
      <c r="D304" s="29" t="s">
        <v>62</v>
      </c>
      <c r="E304" s="29" t="s">
        <v>62</v>
      </c>
      <c r="F304" s="30" cm="1">
        <f t="array" ref="F304">_xlfn.IFS($G304=$G$5,F$5,$G304=$G$6,F$6,$G304=$G$7,F$7,$G304=$G$8,F$8,$G304=$G$9,F$9,$G304=$G$10,F$10,$G304=$G$11,F$11,$G304=$G$13,F$13,$G304=$G$15,F$15,$G304=$G$16,F$16,$G304=$G$33,F$33,$G304=$G$34,F$34,$G304=$G$248,F$248,$G304=$G$250,F$250)</f>
        <v>8038</v>
      </c>
      <c r="G304" s="29" t="s">
        <v>86</v>
      </c>
      <c r="H304" s="31" cm="1">
        <f t="array" ref="H304">_xlfn.IFS($G304=$G$5,H$5,$G304=$G$6,H$6,$G304=$G$7,H$7,$G304=$G$8,H$8,$G304=$G$9,H$9,$G304=$G$10,H$10,$G304=$G$11,H$11,$G304=$G$13,H$13,$G304=$G$15,H$15,$G304=$G$16,H$16,$G304=$G$33,H$33,$G304=$G$34,H$34,$G304=$G$248,H$248,$G304=$G$250,H$250)</f>
        <v>41.363377999999997</v>
      </c>
      <c r="I304" s="31" cm="1">
        <f t="array" ref="I304">_xlfn.IFS($G304=$G$5,I$5,$G304=$G$6,I$6,$G304=$G$7,I$7,$G304=$G$8,I$8,$G304=$G$9,I$9,$G304=$G$10,I$10,$G304=$G$11,I$11,$G304=$G$13,I$13,$G304=$G$15,I$15,$G304=$G$16,I$16,$G304=$G$33,I$33,$G304=$G$34,I$34,$G304=$G$248,I$248,$G304=$G$250,I$250)</f>
        <v>2.164879</v>
      </c>
      <c r="J304" s="29" cm="1">
        <f t="array" ref="J304">_xlfn.IFS($G304=$G$5,J$5,$G304=$G$6,J$6,$G304=$G$7,J$7,$G304=$G$8,J$8,$G304=$G$9,J$9,$G304=$G$10,J$10,$G304=$G$11,J$11,$G304=$G$13,J$13,$G304=$G$15,J$15,$G304=$G$16,J$16,$G304=$G$33,J$33,$G304=$G$34,J$34,$G304=$G$248,J$248,$G304=$G$250,J$250)</f>
        <v>185</v>
      </c>
      <c r="K304" s="29" t="str" cm="1">
        <f t="array" ref="K304">_xlfn.IFS($G304=$G$5,K$5,$G304=$G$6,K$6,$G304=$G$7,K$7,$G304=$G$8,K$8,$G304=$G$9,K$9,$G304=$G$10,K$10,$G304=$G$11,K$11,$G304=$G$13,K$13,$G304=$G$15,K$15,$G304=$G$16,K$16,$G304=$G$33,K$33,$G304=$G$34,K$34,$G304=$G$248,K$248,$G304=$G$250,K$250)</f>
        <v>BG sentinel + BG lure7</v>
      </c>
      <c r="L304" s="29" t="str" cm="1">
        <f t="array" ref="L304">_xlfn.IFS($G304=$G$5,L$5,$G304=$G$6,L$6,$G304=$G$7,L$7,$G304=$G$8,L$8,$G304=$G$9,L$9,$G304=$G$10,L$10,$G304=$G$11,L$11,$G304=$G$13,L$13,$G304=$G$15,L$15,$G304=$G$16,L$16,$G304=$G$33,L$33,$G304=$G$34,L$34,$G304=$G$248,L$248,$G304=$G$250,L$250)</f>
        <v>Other</v>
      </c>
      <c r="O304" s="32" t="str">
        <f t="shared" si="16"/>
        <v>A_SP_BCN_12_201104</v>
      </c>
      <c r="P304" s="33">
        <v>44139</v>
      </c>
      <c r="Q304" s="34">
        <v>0.5</v>
      </c>
      <c r="R304" s="35"/>
      <c r="S304" s="36">
        <v>44146</v>
      </c>
      <c r="T304" s="37">
        <v>0.53472222222222221</v>
      </c>
      <c r="U304" s="38"/>
      <c r="V304" s="39" t="s">
        <v>66</v>
      </c>
      <c r="X304" s="29">
        <f t="shared" si="17"/>
        <v>7</v>
      </c>
      <c r="Y304" s="38"/>
      <c r="Z304" s="29" t="s">
        <v>84</v>
      </c>
      <c r="AA304" s="29">
        <f t="shared" si="14"/>
        <v>1</v>
      </c>
      <c r="AB304" s="29" t="s">
        <v>69</v>
      </c>
      <c r="AC304" s="29">
        <v>1</v>
      </c>
      <c r="AD304" s="29">
        <v>0</v>
      </c>
      <c r="AE304" s="29" t="s">
        <v>70</v>
      </c>
      <c r="AF304">
        <v>4</v>
      </c>
    </row>
    <row r="305" spans="1:32" x14ac:dyDescent="0.25">
      <c r="A305" s="28">
        <v>302</v>
      </c>
      <c r="B305" s="29" t="s">
        <v>60</v>
      </c>
      <c r="C305" s="29" t="s">
        <v>61</v>
      </c>
      <c r="D305" s="29" t="s">
        <v>62</v>
      </c>
      <c r="E305" s="29" t="s">
        <v>62</v>
      </c>
      <c r="F305" s="30" cm="1">
        <f t="array" ref="F305">_xlfn.IFS($G305=$G$5,F$5,$G305=$G$6,F$6,$G305=$G$7,F$7,$G305=$G$8,F$8,$G305=$G$9,F$9,$G305=$G$10,F$10,$G305=$G$11,F$11,$G305=$G$13,F$13,$G305=$G$15,F$15,$G305=$G$16,F$16,$G305=$G$33,F$33,$G305=$G$34,F$34,$G305=$G$248,F$248,$G305=$G$250,F$250)</f>
        <v>8024</v>
      </c>
      <c r="G305" s="29" t="s">
        <v>63</v>
      </c>
      <c r="H305" s="31" cm="1">
        <f t="array" ref="H305">_xlfn.IFS($G305=$G$5,H$5,$G305=$G$6,H$6,$G305=$G$7,H$7,$G305=$G$8,H$8,$G305=$G$9,H$9,$G305=$G$10,H$10,$G305=$G$11,H$11,$G305=$G$13,H$13,$G305=$G$15,H$15,$G305=$G$16,H$16,$G305=$G$33,H$33,$G305=$G$34,H$34,$G305=$G$248,H$248,$G305=$G$250,H$250)</f>
        <v>41.413573999999997</v>
      </c>
      <c r="I305" s="31" cm="1">
        <f t="array" ref="I305">_xlfn.IFS($G305=$G$5,I$5,$G305=$G$6,I$6,$G305=$G$7,I$7,$G305=$G$8,I$8,$G305=$G$9,I$9,$G305=$G$10,I$10,$G305=$G$11,I$11,$G305=$G$13,I$13,$G305=$G$15,I$15,$G305=$G$16,I$16,$G305=$G$33,I$33,$G305=$G$34,I$34,$G305=$G$248,I$248,$G305=$G$250,I$250)</f>
        <v>2.1520730000000001</v>
      </c>
      <c r="J305" s="29" cm="1">
        <f t="array" ref="J305">_xlfn.IFS($G305=$G$5,J$5,$G305=$G$6,J$6,$G305=$G$7,J$7,$G305=$G$8,J$8,$G305=$G$9,J$9,$G305=$G$10,J$10,$G305=$G$11,J$11,$G305=$G$13,J$13,$G305=$G$15,J$15,$G305=$G$16,J$16,$G305=$G$33,J$33,$G305=$G$34,J$34,$G305=$G$248,J$248,$G305=$G$250,J$250)</f>
        <v>141</v>
      </c>
      <c r="K305" s="29" t="str" cm="1">
        <f t="array" ref="K305">_xlfn.IFS($G305=$G$5,K$5,$G305=$G$6,K$6,$G305=$G$7,K$7,$G305=$G$8,K$8,$G305=$G$9,K$9,$G305=$G$10,K$10,$G305=$G$11,K$11,$G305=$G$13,K$13,$G305=$G$15,K$15,$G305=$G$16,K$16,$G305=$G$33,K$33,$G305=$G$34,K$34,$G305=$G$248,K$248,$G305=$G$250,K$250)</f>
        <v>BG sentinel + BG lure7</v>
      </c>
      <c r="L305" s="29" t="str" cm="1">
        <f t="array" ref="L305">_xlfn.IFS($G305=$G$5,L$5,$G305=$G$6,L$6,$G305=$G$7,L$7,$G305=$G$8,L$8,$G305=$G$9,L$9,$G305=$G$10,L$10,$G305=$G$11,L$11,$G305=$G$13,L$13,$G305=$G$15,L$15,$G305=$G$16,L$16,$G305=$G$33,L$33,$G305=$G$34,L$34,$G305=$G$248,L$248,$G305=$G$250,L$250)</f>
        <v>Urban habitat</v>
      </c>
      <c r="O305" s="32" t="str">
        <f t="shared" si="16"/>
        <v>A_SP_BCN_1_201111</v>
      </c>
      <c r="P305" s="33">
        <v>44146</v>
      </c>
      <c r="Q305" s="34">
        <v>0.64583333333333337</v>
      </c>
      <c r="R305" s="35"/>
      <c r="S305" s="36">
        <v>44153</v>
      </c>
      <c r="T305" s="37">
        <v>0.66666666666666663</v>
      </c>
      <c r="U305" s="38"/>
      <c r="V305" s="39" t="s">
        <v>66</v>
      </c>
      <c r="X305" s="29">
        <f t="shared" si="17"/>
        <v>7</v>
      </c>
      <c r="Y305" s="38"/>
      <c r="Z305" s="29" t="s">
        <v>68</v>
      </c>
      <c r="AA305" s="29">
        <f t="shared" si="14"/>
        <v>1</v>
      </c>
      <c r="AB305" s="29" t="s">
        <v>69</v>
      </c>
      <c r="AC305" s="29">
        <v>0</v>
      </c>
      <c r="AD305" s="29">
        <v>1</v>
      </c>
      <c r="AE305" s="29" t="s">
        <v>70</v>
      </c>
      <c r="AF305">
        <v>4</v>
      </c>
    </row>
    <row r="306" spans="1:32" x14ac:dyDescent="0.25">
      <c r="A306" s="28">
        <v>303</v>
      </c>
      <c r="B306" s="29" t="s">
        <v>60</v>
      </c>
      <c r="C306" s="29" t="s">
        <v>61</v>
      </c>
      <c r="D306" s="29" t="s">
        <v>62</v>
      </c>
      <c r="E306" s="29" t="s">
        <v>62</v>
      </c>
      <c r="F306" s="30" cm="1">
        <f t="array" ref="F306">_xlfn.IFS($G306=$G$5,F$5,$G306=$G$6,F$6,$G306=$G$7,F$7,$G306=$G$8,F$8,$G306=$G$9,F$9,$G306=$G$10,F$10,$G306=$G$11,F$11,$G306=$G$13,F$13,$G306=$G$15,F$15,$G306=$G$16,F$16,$G306=$G$33,F$33,$G306=$G$34,F$34,$G306=$G$248,F$248,$G306=$G$250,F$250)</f>
        <v>8035</v>
      </c>
      <c r="G306" s="29" t="s">
        <v>71</v>
      </c>
      <c r="H306" s="31" cm="1">
        <f t="array" ref="H306">_xlfn.IFS($G306=$G$5,H$5,$G306=$G$6,H$6,$G306=$G$7,H$7,$G306=$G$8,H$8,$G306=$G$9,H$9,$G306=$G$10,H$10,$G306=$G$11,H$11,$G306=$G$13,H$13,$G306=$G$15,H$15,$G306=$G$16,H$16,$G306=$G$33,H$33,$G306=$G$34,H$34,$G306=$G$248,H$248,$G306=$G$250,H$250)</f>
        <v>41.424387000000003</v>
      </c>
      <c r="I306" s="31" cm="1">
        <f t="array" ref="I306">_xlfn.IFS($G306=$G$5,I$5,$G306=$G$6,I$6,$G306=$G$7,I$7,$G306=$G$8,I$8,$G306=$G$9,I$9,$G306=$G$10,I$10,$G306=$G$11,I$11,$G306=$G$13,I$13,$G306=$G$15,I$15,$G306=$G$16,I$16,$G306=$G$33,I$33,$G306=$G$34,I$34,$G306=$G$248,I$248,$G306=$G$250,I$250)</f>
        <v>2.1431439999999999</v>
      </c>
      <c r="J306" s="29" cm="1">
        <f t="array" ref="J306">_xlfn.IFS($G306=$G$5,J$5,$G306=$G$6,J$6,$G306=$G$7,J$7,$G306=$G$8,J$8,$G306=$G$9,J$9,$G306=$G$10,J$10,$G306=$G$11,J$11,$G306=$G$13,J$13,$G306=$G$15,J$15,$G306=$G$16,J$16,$G306=$G$33,J$33,$G306=$G$34,J$34,$G306=$G$248,J$248,$G306=$G$250,J$250)</f>
        <v>160</v>
      </c>
      <c r="K306" s="29" t="str" cm="1">
        <f t="array" ref="K306">_xlfn.IFS($G306=$G$5,K$5,$G306=$G$6,K$6,$G306=$G$7,K$7,$G306=$G$8,K$8,$G306=$G$9,K$9,$G306=$G$10,K$10,$G306=$G$11,K$11,$G306=$G$13,K$13,$G306=$G$15,K$15,$G306=$G$16,K$16,$G306=$G$33,K$33,$G306=$G$34,K$34,$G306=$G$248,K$248,$G306=$G$250,K$250)</f>
        <v>BG sentinel + BG lure7</v>
      </c>
      <c r="L306" s="29" t="str" cm="1">
        <f t="array" ref="L306">_xlfn.IFS($G306=$G$5,L$5,$G306=$G$6,L$6,$G306=$G$7,L$7,$G306=$G$8,L$8,$G306=$G$9,L$9,$G306=$G$10,L$10,$G306=$G$11,L$11,$G306=$G$13,L$13,$G306=$G$15,L$15,$G306=$G$16,L$16,$G306=$G$33,L$33,$G306=$G$34,L$34,$G306=$G$248,L$248,$G306=$G$250,L$250)</f>
        <v>Urban habitat</v>
      </c>
      <c r="O306" s="32" t="str">
        <f t="shared" si="16"/>
        <v>A_SP_BCN_2_201111</v>
      </c>
      <c r="P306" s="33">
        <v>44146</v>
      </c>
      <c r="Q306" s="34">
        <v>0.72916666666666663</v>
      </c>
      <c r="R306" s="35"/>
      <c r="S306" s="36">
        <v>44153</v>
      </c>
      <c r="T306" s="37">
        <v>0.75694444444444453</v>
      </c>
      <c r="U306" s="38"/>
      <c r="V306" s="39" t="s">
        <v>66</v>
      </c>
      <c r="X306" s="29">
        <f t="shared" si="17"/>
        <v>7</v>
      </c>
      <c r="Y306" s="38"/>
      <c r="AA306" s="29">
        <f t="shared" si="14"/>
        <v>0</v>
      </c>
      <c r="AF306">
        <v>4</v>
      </c>
    </row>
    <row r="307" spans="1:32" x14ac:dyDescent="0.25">
      <c r="A307" s="28">
        <v>304</v>
      </c>
      <c r="B307" s="29" t="s">
        <v>60</v>
      </c>
      <c r="C307" s="29" t="s">
        <v>61</v>
      </c>
      <c r="D307" s="29" t="s">
        <v>62</v>
      </c>
      <c r="E307" s="29" t="s">
        <v>62</v>
      </c>
      <c r="F307" s="30" cm="1">
        <f t="array" ref="F307">_xlfn.IFS($G307=$G$5,F$5,$G307=$G$6,F$6,$G307=$G$7,F$7,$G307=$G$8,F$8,$G307=$G$9,F$9,$G307=$G$10,F$10,$G307=$G$11,F$11,$G307=$G$13,F$13,$G307=$G$15,F$15,$G307=$G$16,F$16,$G307=$G$33,F$33,$G307=$G$34,F$34,$G307=$G$248,F$248,$G307=$G$250,F$250)</f>
        <v>8016</v>
      </c>
      <c r="G307" s="29" t="s">
        <v>72</v>
      </c>
      <c r="H307" s="31" cm="1">
        <f t="array" ref="H307">_xlfn.IFS($G307=$G$5,H$5,$G307=$G$6,H$6,$G307=$G$7,H$7,$G307=$G$8,H$8,$G307=$G$9,H$9,$G307=$G$10,H$10,$G307=$G$11,H$11,$G307=$G$13,H$13,$G307=$G$15,H$15,$G307=$G$16,H$16,$G307=$G$33,H$33,$G307=$G$34,H$34,$G307=$G$248,H$248,$G307=$G$250,H$250)</f>
        <v>41.437435000000001</v>
      </c>
      <c r="I307" s="31" cm="1">
        <f t="array" ref="I307">_xlfn.IFS($G307=$G$5,I$5,$G307=$G$6,I$6,$G307=$G$7,I$7,$G307=$G$8,I$8,$G307=$G$9,I$9,$G307=$G$10,I$10,$G307=$G$11,I$11,$G307=$G$13,I$13,$G307=$G$15,I$15,$G307=$G$16,I$16,$G307=$G$33,I$33,$G307=$G$34,I$34,$G307=$G$248,I$248,$G307=$G$250,I$250)</f>
        <v>2.1812779999999998</v>
      </c>
      <c r="J307" s="29" cm="1">
        <f t="array" ref="J307">_xlfn.IFS($G307=$G$5,J$5,$G307=$G$6,J$6,$G307=$G$7,J$7,$G307=$G$8,J$8,$G307=$G$9,J$9,$G307=$G$10,J$10,$G307=$G$11,J$11,$G307=$G$13,J$13,$G307=$G$15,J$15,$G307=$G$16,J$16,$G307=$G$33,J$33,$G307=$G$34,J$34,$G307=$G$248,J$248,$G307=$G$250,J$250)</f>
        <v>47</v>
      </c>
      <c r="K307" s="29" t="str" cm="1">
        <f t="array" ref="K307">_xlfn.IFS($G307=$G$5,K$5,$G307=$G$6,K$6,$G307=$G$7,K$7,$G307=$G$8,K$8,$G307=$G$9,K$9,$G307=$G$10,K$10,$G307=$G$11,K$11,$G307=$G$13,K$13,$G307=$G$15,K$15,$G307=$G$16,K$16,$G307=$G$33,K$33,$G307=$G$34,K$34,$G307=$G$248,K$248,$G307=$G$250,K$250)</f>
        <v>BG sentinel + BG lure7</v>
      </c>
      <c r="L307" s="29" t="str" cm="1">
        <f t="array" ref="L307">_xlfn.IFS($G307=$G$5,L$5,$G307=$G$6,L$6,$G307=$G$7,L$7,$G307=$G$8,L$8,$G307=$G$9,L$9,$G307=$G$10,L$10,$G307=$G$11,L$11,$G307=$G$13,L$13,$G307=$G$15,L$15,$G307=$G$16,L$16,$G307=$G$33,L$33,$G307=$G$34,L$34,$G307=$G$248,L$248,$G307=$G$250,L$250)</f>
        <v>Urban habitat</v>
      </c>
      <c r="O307" s="32" t="str">
        <f t="shared" si="16"/>
        <v>A_SP_BCN_3_201111</v>
      </c>
      <c r="P307" s="33">
        <v>44146</v>
      </c>
      <c r="Q307" s="34">
        <v>0.74305555555555547</v>
      </c>
      <c r="R307" s="35"/>
      <c r="S307" s="36">
        <v>44153</v>
      </c>
      <c r="T307" s="37">
        <v>0.77083333333333337</v>
      </c>
      <c r="U307" s="38"/>
      <c r="V307" s="39" t="s">
        <v>66</v>
      </c>
      <c r="X307" s="29">
        <f t="shared" si="17"/>
        <v>7</v>
      </c>
      <c r="Y307" s="38"/>
      <c r="Z307" s="29" t="s">
        <v>68</v>
      </c>
      <c r="AA307" s="29">
        <f t="shared" si="14"/>
        <v>2</v>
      </c>
      <c r="AB307" s="29" t="s">
        <v>69</v>
      </c>
      <c r="AC307" s="29">
        <v>2</v>
      </c>
      <c r="AD307" s="29">
        <v>0</v>
      </c>
      <c r="AE307" s="29" t="s">
        <v>70</v>
      </c>
      <c r="AF307">
        <v>4</v>
      </c>
    </row>
    <row r="308" spans="1:32" x14ac:dyDescent="0.25">
      <c r="A308" s="28">
        <v>305</v>
      </c>
      <c r="B308" s="29" t="s">
        <v>60</v>
      </c>
      <c r="C308" s="29" t="s">
        <v>61</v>
      </c>
      <c r="D308" s="29" t="s">
        <v>62</v>
      </c>
      <c r="E308" s="29" t="s">
        <v>62</v>
      </c>
      <c r="F308" s="30" cm="1">
        <f t="array" ref="F308">_xlfn.IFS($G308=$G$5,F$5,$G308=$G$6,F$6,$G308=$G$7,F$7,$G308=$G$8,F$8,$G308=$G$9,F$9,$G308=$G$10,F$10,$G308=$G$11,F$11,$G308=$G$13,F$13,$G308=$G$15,F$15,$G308=$G$16,F$16,$G308=$G$33,F$33,$G308=$G$34,F$34,$G308=$G$248,F$248,$G308=$G$250,F$250)</f>
        <v>8016</v>
      </c>
      <c r="G308" s="29" t="s">
        <v>72</v>
      </c>
      <c r="H308" s="31" cm="1">
        <f t="array" ref="H308">_xlfn.IFS($G308=$G$5,H$5,$G308=$G$6,H$6,$G308=$G$7,H$7,$G308=$G$8,H$8,$G308=$G$9,H$9,$G308=$G$10,H$10,$G308=$G$11,H$11,$G308=$G$13,H$13,$G308=$G$15,H$15,$G308=$G$16,H$16,$G308=$G$33,H$33,$G308=$G$34,H$34,$G308=$G$248,H$248,$G308=$G$250,H$250)</f>
        <v>41.437435000000001</v>
      </c>
      <c r="I308" s="31" cm="1">
        <f t="array" ref="I308">_xlfn.IFS($G308=$G$5,I$5,$G308=$G$6,I$6,$G308=$G$7,I$7,$G308=$G$8,I$8,$G308=$G$9,I$9,$G308=$G$10,I$10,$G308=$G$11,I$11,$G308=$G$13,I$13,$G308=$G$15,I$15,$G308=$G$16,I$16,$G308=$G$33,I$33,$G308=$G$34,I$34,$G308=$G$248,I$248,$G308=$G$250,I$250)</f>
        <v>2.1812779999999998</v>
      </c>
      <c r="J308" s="29" cm="1">
        <f t="array" ref="J308">_xlfn.IFS($G308=$G$5,J$5,$G308=$G$6,J$6,$G308=$G$7,J$7,$G308=$G$8,J$8,$G308=$G$9,J$9,$G308=$G$10,J$10,$G308=$G$11,J$11,$G308=$G$13,J$13,$G308=$G$15,J$15,$G308=$G$16,J$16,$G308=$G$33,J$33,$G308=$G$34,J$34,$G308=$G$248,J$248,$G308=$G$250,J$250)</f>
        <v>47</v>
      </c>
      <c r="K308" s="29" t="str" cm="1">
        <f t="array" ref="K308">_xlfn.IFS($G308=$G$5,K$5,$G308=$G$6,K$6,$G308=$G$7,K$7,$G308=$G$8,K$8,$G308=$G$9,K$9,$G308=$G$10,K$10,$G308=$G$11,K$11,$G308=$G$13,K$13,$G308=$G$15,K$15,$G308=$G$16,K$16,$G308=$G$33,K$33,$G308=$G$34,K$34,$G308=$G$248,K$248,$G308=$G$250,K$250)</f>
        <v>BG sentinel + BG lure7</v>
      </c>
      <c r="L308" s="29" t="str" cm="1">
        <f t="array" ref="L308">_xlfn.IFS($G308=$G$5,L$5,$G308=$G$6,L$6,$G308=$G$7,L$7,$G308=$G$8,L$8,$G308=$G$9,L$9,$G308=$G$10,L$10,$G308=$G$11,L$11,$G308=$G$13,L$13,$G308=$G$15,L$15,$G308=$G$16,L$16,$G308=$G$33,L$33,$G308=$G$34,L$34,$G308=$G$248,L$248,$G308=$G$250,L$250)</f>
        <v>Urban habitat</v>
      </c>
      <c r="O308" s="32" t="str">
        <f t="shared" si="16"/>
        <v>A_SP_BCN_3_201111</v>
      </c>
      <c r="P308" s="33">
        <v>44146</v>
      </c>
      <c r="Q308" s="34">
        <v>0.74305555555555547</v>
      </c>
      <c r="R308" s="35"/>
      <c r="S308" s="36">
        <v>44153</v>
      </c>
      <c r="T308" s="37">
        <v>0.77083333333333337</v>
      </c>
      <c r="U308" s="38"/>
      <c r="V308" s="39" t="s">
        <v>66</v>
      </c>
      <c r="X308" s="29">
        <f t="shared" si="17"/>
        <v>7</v>
      </c>
      <c r="Y308" s="38"/>
      <c r="Z308" s="41" t="s">
        <v>75</v>
      </c>
      <c r="AA308" s="41">
        <f t="shared" si="14"/>
        <v>6</v>
      </c>
      <c r="AB308" s="29" t="s">
        <v>69</v>
      </c>
      <c r="AC308" s="41">
        <v>3</v>
      </c>
      <c r="AD308" s="29">
        <v>3</v>
      </c>
      <c r="AE308" s="29" t="s">
        <v>70</v>
      </c>
      <c r="AF308">
        <v>4</v>
      </c>
    </row>
    <row r="309" spans="1:32" x14ac:dyDescent="0.25">
      <c r="A309" s="28">
        <v>307</v>
      </c>
      <c r="B309" s="29" t="s">
        <v>60</v>
      </c>
      <c r="C309" s="29" t="s">
        <v>61</v>
      </c>
      <c r="D309" s="29" t="s">
        <v>62</v>
      </c>
      <c r="E309" s="29" t="s">
        <v>62</v>
      </c>
      <c r="F309" s="30" cm="1">
        <f t="array" ref="F309">_xlfn.IFS($G309=$G$5,F$5,$G309=$G$6,F$6,$G309=$G$7,F$7,$G309=$G$8,F$8,$G309=$G$9,F$9,$G309=$G$10,F$10,$G309=$G$11,F$11,$G309=$G$13,F$13,$G309=$G$15,F$15,$G309=$G$16,F$16,$G309=$G$33,F$33,$G309=$G$34,F$34,$G309=$G$248,F$248,$G309=$G$250,F$250)</f>
        <v>8018</v>
      </c>
      <c r="G309" s="29" t="s">
        <v>73</v>
      </c>
      <c r="H309" s="31" cm="1">
        <f t="array" ref="H309">_xlfn.IFS($G309=$G$5,H$5,$G309=$G$6,H$6,$G309=$G$7,H$7,$G309=$G$8,H$8,$G309=$G$9,H$9,$G309=$G$10,H$10,$G309=$G$11,H$11,$G309=$G$13,H$13,$G309=$G$15,H$15,$G309=$G$16,H$16,$G309=$G$33,H$33,$G309=$G$34,H$34,$G309=$G$248,H$248,$G309=$G$250,H$250)</f>
        <v>41.404924999999999</v>
      </c>
      <c r="I309" s="31" cm="1">
        <f t="array" ref="I309">_xlfn.IFS($G309=$G$5,I$5,$G309=$G$6,I$6,$G309=$G$7,I$7,$G309=$G$8,I$8,$G309=$G$9,I$9,$G309=$G$10,I$10,$G309=$G$11,I$11,$G309=$G$13,I$13,$G309=$G$15,I$15,$G309=$G$16,I$16,$G309=$G$33,I$33,$G309=$G$34,I$34,$G309=$G$248,I$248,$G309=$G$250,I$250)</f>
        <v>2.1987909999999999</v>
      </c>
      <c r="J309" s="29" cm="1">
        <f t="array" ref="J309">_xlfn.IFS($G309=$G$5,J$5,$G309=$G$6,J$6,$G309=$G$7,J$7,$G309=$G$8,J$8,$G309=$G$9,J$9,$G309=$G$10,J$10,$G309=$G$11,J$11,$G309=$G$13,J$13,$G309=$G$15,J$15,$G309=$G$16,J$16,$G309=$G$33,J$33,$G309=$G$34,J$34,$G309=$G$248,J$248,$G309=$G$250,J$250)</f>
        <v>4</v>
      </c>
      <c r="K309" s="29" t="str" cm="1">
        <f t="array" ref="K309">_xlfn.IFS($G309=$G$5,K$5,$G309=$G$6,K$6,$G309=$G$7,K$7,$G309=$G$8,K$8,$G309=$G$9,K$9,$G309=$G$10,K$10,$G309=$G$11,K$11,$G309=$G$13,K$13,$G309=$G$15,K$15,$G309=$G$16,K$16,$G309=$G$33,K$33,$G309=$G$34,K$34,$G309=$G$248,K$248,$G309=$G$250,K$250)</f>
        <v>BG sentinel + BG lure7</v>
      </c>
      <c r="L309" s="29" t="str" cm="1">
        <f t="array" ref="L309">_xlfn.IFS($G309=$G$5,L$5,$G309=$G$6,L$6,$G309=$G$7,L$7,$G309=$G$8,L$8,$G309=$G$9,L$9,$G309=$G$10,L$10,$G309=$G$11,L$11,$G309=$G$13,L$13,$G309=$G$15,L$15,$G309=$G$16,L$16,$G309=$G$33,L$33,$G309=$G$34,L$34,$G309=$G$248,L$248,$G309=$G$250,L$250)</f>
        <v>Urban habitat</v>
      </c>
      <c r="O309" s="32" t="str">
        <f t="shared" si="16"/>
        <v>A_SP_BCN_4_201111</v>
      </c>
      <c r="P309" s="33">
        <v>44146</v>
      </c>
      <c r="Q309" s="34">
        <v>0.58333333333333337</v>
      </c>
      <c r="R309" s="35"/>
      <c r="S309" s="36">
        <v>44153</v>
      </c>
      <c r="T309" s="37">
        <v>0.59722222222222221</v>
      </c>
      <c r="U309" s="38"/>
      <c r="V309" s="39" t="s">
        <v>66</v>
      </c>
      <c r="X309" s="29">
        <f t="shared" si="17"/>
        <v>7</v>
      </c>
      <c r="Y309" s="38"/>
      <c r="Z309" s="29" t="s">
        <v>75</v>
      </c>
      <c r="AA309" s="29">
        <f t="shared" si="14"/>
        <v>1</v>
      </c>
      <c r="AB309" s="29" t="s">
        <v>69</v>
      </c>
      <c r="AC309" s="29">
        <v>1</v>
      </c>
      <c r="AD309" s="29">
        <v>0</v>
      </c>
      <c r="AE309" s="29" t="s">
        <v>70</v>
      </c>
      <c r="AF309">
        <v>4</v>
      </c>
    </row>
    <row r="310" spans="1:32" x14ac:dyDescent="0.25">
      <c r="A310" s="28">
        <v>308</v>
      </c>
      <c r="B310" s="29" t="s">
        <v>60</v>
      </c>
      <c r="C310" s="29" t="s">
        <v>61</v>
      </c>
      <c r="D310" s="29" t="s">
        <v>62</v>
      </c>
      <c r="E310" s="29" t="s">
        <v>62</v>
      </c>
      <c r="F310" s="30" cm="1">
        <f t="array" ref="F310">_xlfn.IFS($G310=$G$5,F$5,$G310=$G$6,F$6,$G310=$G$7,F$7,$G310=$G$8,F$8,$G310=$G$9,F$9,$G310=$G$10,F$10,$G310=$G$11,F$11,$G310=$G$13,F$13,$G310=$G$15,F$15,$G310=$G$16,F$16,$G310=$G$33,F$33,$G310=$G$34,F$34,$G310=$G$248,F$248,$G310=$G$250,F$250)</f>
        <v>8019</v>
      </c>
      <c r="G310" s="29" t="s">
        <v>74</v>
      </c>
      <c r="H310" s="31" cm="1">
        <f t="array" ref="H310">_xlfn.IFS($G310=$G$5,H$5,$G310=$G$6,H$6,$G310=$G$7,H$7,$G310=$G$8,H$8,$G310=$G$9,H$9,$G310=$G$10,H$10,$G310=$G$11,H$11,$G310=$G$13,H$13,$G310=$G$15,H$15,$G310=$G$16,H$16,$G310=$G$33,H$33,$G310=$G$34,H$34,$G310=$G$248,H$248,$G310=$G$250,H$250)</f>
        <v>41.410684000000003</v>
      </c>
      <c r="I310" s="31" cm="1">
        <f t="array" ref="I310">_xlfn.IFS($G310=$G$5,I$5,$G310=$G$6,I$6,$G310=$G$7,I$7,$G310=$G$8,I$8,$G310=$G$9,I$9,$G310=$G$10,I$10,$G310=$G$11,I$11,$G310=$G$13,I$13,$G310=$G$15,I$15,$G310=$G$16,I$16,$G310=$G$33,I$33,$G310=$G$34,I$34,$G310=$G$248,I$248,$G310=$G$250,I$250)</f>
        <v>2.2208019999999999</v>
      </c>
      <c r="J310" s="29" cm="1">
        <f t="array" ref="J310">_xlfn.IFS($G310=$G$5,J$5,$G310=$G$6,J$6,$G310=$G$7,J$7,$G310=$G$8,J$8,$G310=$G$9,J$9,$G310=$G$10,J$10,$G310=$G$11,J$11,$G310=$G$13,J$13,$G310=$G$15,J$15,$G310=$G$16,J$16,$G310=$G$33,J$33,$G310=$G$34,J$34,$G310=$G$248,J$248,$G310=$G$250,J$250)</f>
        <v>18</v>
      </c>
      <c r="K310" s="29" t="str" cm="1">
        <f t="array" ref="K310">_xlfn.IFS($G310=$G$5,K$5,$G310=$G$6,K$6,$G310=$G$7,K$7,$G310=$G$8,K$8,$G310=$G$9,K$9,$G310=$G$10,K$10,$G310=$G$11,K$11,$G310=$G$13,K$13,$G310=$G$15,K$15,$G310=$G$16,K$16,$G310=$G$33,K$33,$G310=$G$34,K$34,$G310=$G$248,K$248,$G310=$G$250,K$250)</f>
        <v>BG sentinel + BG lure7</v>
      </c>
      <c r="L310" s="29" t="str" cm="1">
        <f t="array" ref="L310">_xlfn.IFS($G310=$G$5,L$5,$G310=$G$6,L$6,$G310=$G$7,L$7,$G310=$G$8,L$8,$G310=$G$9,L$9,$G310=$G$10,L$10,$G310=$G$11,L$11,$G310=$G$13,L$13,$G310=$G$15,L$15,$G310=$G$16,L$16,$G310=$G$33,L$33,$G310=$G$34,L$34,$G310=$G$248,L$248,$G310=$G$250,L$250)</f>
        <v>Urban habitat</v>
      </c>
      <c r="O310" s="32" t="str">
        <f t="shared" si="16"/>
        <v>A_SP_BCN_5_201111</v>
      </c>
      <c r="P310" s="33">
        <v>44146</v>
      </c>
      <c r="Q310" s="34">
        <v>0.60416666666666663</v>
      </c>
      <c r="R310" s="35"/>
      <c r="S310" s="36">
        <v>44153</v>
      </c>
      <c r="T310" s="37">
        <v>0.62152777777777779</v>
      </c>
      <c r="U310" s="38"/>
      <c r="V310" s="39" t="s">
        <v>66</v>
      </c>
      <c r="X310" s="29">
        <f t="shared" si="17"/>
        <v>7</v>
      </c>
      <c r="Y310" s="38"/>
      <c r="Z310" s="29" t="s">
        <v>75</v>
      </c>
      <c r="AA310" s="29">
        <f t="shared" si="14"/>
        <v>2</v>
      </c>
      <c r="AB310" s="29" t="s">
        <v>69</v>
      </c>
      <c r="AC310" s="29">
        <v>2</v>
      </c>
      <c r="AD310" s="29">
        <v>0</v>
      </c>
      <c r="AE310" s="29" t="s">
        <v>70</v>
      </c>
      <c r="AF310">
        <v>4</v>
      </c>
    </row>
    <row r="311" spans="1:32" x14ac:dyDescent="0.25">
      <c r="A311" s="28">
        <v>309</v>
      </c>
      <c r="B311" s="29" t="s">
        <v>60</v>
      </c>
      <c r="C311" s="29" t="s">
        <v>61</v>
      </c>
      <c r="D311" s="29" t="s">
        <v>62</v>
      </c>
      <c r="E311" s="29" t="s">
        <v>62</v>
      </c>
      <c r="F311" s="30" cm="1">
        <f t="array" ref="F311">_xlfn.IFS($G311=$G$5,F$5,$G311=$G$6,F$6,$G311=$G$7,F$7,$G311=$G$8,F$8,$G311=$G$9,F$9,$G311=$G$10,F$10,$G311=$G$11,F$11,$G311=$G$13,F$13,$G311=$G$15,F$15,$G311=$G$16,F$16,$G311=$G$33,F$33,$G311=$G$34,F$34,$G311=$G$248,F$248,$G311=$G$250,F$250)</f>
        <v>8002</v>
      </c>
      <c r="G311" s="29" t="s">
        <v>76</v>
      </c>
      <c r="H311" s="31" cm="1">
        <f t="array" ref="H311">_xlfn.IFS($G311=$G$5,H$5,$G311=$G$6,H$6,$G311=$G$7,H$7,$G311=$G$8,H$8,$G311=$G$9,H$9,$G311=$G$10,H$10,$G311=$G$11,H$11,$G311=$G$13,H$13,$G311=$G$15,H$15,$G311=$G$16,H$16,$G311=$G$33,H$33,$G311=$G$34,H$34,$G311=$G$248,H$248,$G311=$G$250,H$250)</f>
        <v>41.382339999999999</v>
      </c>
      <c r="I311" s="31" cm="1">
        <f t="array" ref="I311">_xlfn.IFS($G311=$G$5,I$5,$G311=$G$6,I$6,$G311=$G$7,I$7,$G311=$G$8,I$8,$G311=$G$9,I$9,$G311=$G$10,I$10,$G311=$G$11,I$11,$G311=$G$13,I$13,$G311=$G$15,I$15,$G311=$G$16,I$16,$G311=$G$33,I$33,$G311=$G$34,I$34,$G311=$G$248,I$248,$G311=$G$250,I$250)</f>
        <v>2.1714790000000002</v>
      </c>
      <c r="J311" s="29" cm="1">
        <f t="array" ref="J311">_xlfn.IFS($G311=$G$5,J$5,$G311=$G$6,J$6,$G311=$G$7,J$7,$G311=$G$8,J$8,$G311=$G$9,J$9,$G311=$G$10,J$10,$G311=$G$11,J$11,$G311=$G$13,J$13,$G311=$G$15,J$15,$G311=$G$16,J$16,$G311=$G$33,J$33,$G311=$G$34,J$34,$G311=$G$248,J$248,$G311=$G$250,J$250)</f>
        <v>19</v>
      </c>
      <c r="K311" s="29" t="str" cm="1">
        <f t="array" ref="K311">_xlfn.IFS($G311=$G$5,K$5,$G311=$G$6,K$6,$G311=$G$7,K$7,$G311=$G$8,K$8,$G311=$G$9,K$9,$G311=$G$10,K$10,$G311=$G$11,K$11,$G311=$G$13,K$13,$G311=$G$15,K$15,$G311=$G$16,K$16,$G311=$G$33,K$33,$G311=$G$34,K$34,$G311=$G$248,K$248,$G311=$G$250,K$250)</f>
        <v>BG sentinel + BG lure7</v>
      </c>
      <c r="L311" s="29" t="str" cm="1">
        <f t="array" ref="L311">_xlfn.IFS($G311=$G$5,L$5,$G311=$G$6,L$6,$G311=$G$7,L$7,$G311=$G$8,L$8,$G311=$G$9,L$9,$G311=$G$10,L$10,$G311=$G$11,L$11,$G311=$G$13,L$13,$G311=$G$15,L$15,$G311=$G$16,L$16,$G311=$G$33,L$33,$G311=$G$34,L$34,$G311=$G$248,L$248,$G311=$G$250,L$250)</f>
        <v>Urban habitat</v>
      </c>
      <c r="O311" s="32" t="str">
        <f t="shared" si="16"/>
        <v>A_SP_BCN_6_201111</v>
      </c>
      <c r="P311" s="33">
        <v>44146</v>
      </c>
      <c r="Q311" s="34">
        <v>0.55555555555555558</v>
      </c>
      <c r="R311" s="35"/>
      <c r="S311" s="36">
        <v>44153</v>
      </c>
      <c r="T311" s="37">
        <v>0.56944444444444442</v>
      </c>
      <c r="U311" s="38"/>
      <c r="V311" s="39" t="s">
        <v>66</v>
      </c>
      <c r="X311" s="29">
        <f t="shared" si="17"/>
        <v>7</v>
      </c>
      <c r="Y311" s="38"/>
      <c r="Z311" s="29" t="s">
        <v>75</v>
      </c>
      <c r="AA311" s="29">
        <f t="shared" si="14"/>
        <v>1</v>
      </c>
      <c r="AB311" s="29" t="s">
        <v>69</v>
      </c>
      <c r="AC311" s="29">
        <v>1</v>
      </c>
      <c r="AD311" s="29">
        <v>0</v>
      </c>
      <c r="AE311" s="29" t="s">
        <v>70</v>
      </c>
      <c r="AF311">
        <v>4</v>
      </c>
    </row>
    <row r="312" spans="1:32" x14ac:dyDescent="0.25">
      <c r="A312" s="28">
        <v>310</v>
      </c>
      <c r="B312" s="28" t="s">
        <v>60</v>
      </c>
      <c r="C312" s="28" t="s">
        <v>61</v>
      </c>
      <c r="D312" s="28" t="s">
        <v>62</v>
      </c>
      <c r="E312" s="29" t="s">
        <v>62</v>
      </c>
      <c r="F312" s="30" cm="1">
        <f t="array" ref="F312">_xlfn.IFS($G312=$G$5,F$5,$G312=$G$6,F$6,$G312=$G$7,F$7,$G312=$G$8,F$8,$G312=$G$9,F$9,$G312=$G$10,F$10,$G312=$G$11,F$11,$G312=$G$13,F$13,$G312=$G$15,F$15,$G312=$G$16,F$16,$G312=$G$33,F$33,$G312=$G$34,F$34,$G312=$G$248,F$248,$G312=$G$250,F$250)</f>
        <v>8038</v>
      </c>
      <c r="G312" s="29" t="s">
        <v>77</v>
      </c>
      <c r="H312" s="31" cm="1">
        <f t="array" ref="H312">_xlfn.IFS($G312=$G$5,H$5,$G312=$G$6,H$6,$G312=$G$7,H$7,$G312=$G$8,H$8,$G312=$G$9,H$9,$G312=$G$10,H$10,$G312=$G$11,H$11,$G312=$G$13,H$13,$G312=$G$15,H$15,$G312=$G$16,H$16,$G312=$G$33,H$33,$G312=$G$34,H$34,$G312=$G$248,H$248,$G312=$G$250,H$250)</f>
        <v>41.371864000000002</v>
      </c>
      <c r="I312" s="31" cm="1">
        <f t="array" ref="I312">_xlfn.IFS($G312=$G$5,I$5,$G312=$G$6,I$6,$G312=$G$7,I$7,$G312=$G$8,I$8,$G312=$G$9,I$9,$G312=$G$10,I$10,$G312=$G$11,I$11,$G312=$G$13,I$13,$G312=$G$15,I$15,$G312=$G$16,I$16,$G312=$G$33,I$33,$G312=$G$34,I$34,$G312=$G$248,I$248,$G312=$G$250,I$250)</f>
        <v>2.173899</v>
      </c>
      <c r="J312" s="29" cm="1">
        <f t="array" ref="J312">_xlfn.IFS($G312=$G$5,J$5,$G312=$G$6,J$6,$G312=$G$7,J$7,$G312=$G$8,J$8,$G312=$G$9,J$9,$G312=$G$10,J$10,$G312=$G$11,J$11,$G312=$G$13,J$13,$G312=$G$15,J$15,$G312=$G$16,J$16,$G312=$G$33,J$33,$G312=$G$34,J$34,$G312=$G$248,J$248,$G312=$G$250,J$250)</f>
        <v>5</v>
      </c>
      <c r="K312" s="29" t="str" cm="1">
        <f t="array" ref="K312">_xlfn.IFS($G312=$G$5,K$5,$G312=$G$6,K$6,$G312=$G$7,K$7,$G312=$G$8,K$8,$G312=$G$9,K$9,$G312=$G$10,K$10,$G312=$G$11,K$11,$G312=$G$13,K$13,$G312=$G$15,K$15,$G312=$G$16,K$16,$G312=$G$33,K$33,$G312=$G$34,K$34,$G312=$G$248,K$248,$G312=$G$250,K$250)</f>
        <v>BG sentinel + BG lure7</v>
      </c>
      <c r="L312" s="29" t="str" cm="1">
        <f t="array" ref="L312">_xlfn.IFS($G312=$G$5,L$5,$G312=$G$6,L$6,$G312=$G$7,L$7,$G312=$G$8,L$8,$G312=$G$9,L$9,$G312=$G$10,L$10,$G312=$G$11,L$11,$G312=$G$13,L$13,$G312=$G$15,L$15,$G312=$G$16,L$16,$G312=$G$33,L$33,$G312=$G$34,L$34,$G312=$G$248,L$248,$G312=$G$250,L$250)</f>
        <v>Urban habitat</v>
      </c>
      <c r="O312" s="32" t="str">
        <f t="shared" si="16"/>
        <v>A_SP_BCN_7_201111</v>
      </c>
      <c r="P312" s="33">
        <v>44146</v>
      </c>
      <c r="Q312" s="34">
        <v>0.5</v>
      </c>
      <c r="R312" s="35"/>
      <c r="S312" s="36">
        <v>44153</v>
      </c>
      <c r="T312" s="37">
        <v>0.51041666666666663</v>
      </c>
      <c r="U312" s="38"/>
      <c r="V312" s="39" t="s">
        <v>66</v>
      </c>
      <c r="X312" s="29">
        <f t="shared" si="17"/>
        <v>7</v>
      </c>
      <c r="Y312" s="38"/>
      <c r="Z312" s="29" t="s">
        <v>68</v>
      </c>
      <c r="AA312" s="29">
        <f t="shared" si="14"/>
        <v>1</v>
      </c>
      <c r="AB312" s="29" t="s">
        <v>69</v>
      </c>
      <c r="AC312" s="29">
        <v>1</v>
      </c>
      <c r="AD312" s="29">
        <v>0</v>
      </c>
      <c r="AE312" s="28" t="s">
        <v>70</v>
      </c>
      <c r="AF312" s="42">
        <v>4</v>
      </c>
    </row>
    <row r="313" spans="1:32" s="51" customFormat="1" x14ac:dyDescent="0.25">
      <c r="A313" s="28">
        <v>311</v>
      </c>
      <c r="B313" s="28" t="s">
        <v>60</v>
      </c>
      <c r="C313" s="28" t="s">
        <v>61</v>
      </c>
      <c r="D313" s="28" t="s">
        <v>62</v>
      </c>
      <c r="E313" s="28" t="s">
        <v>62</v>
      </c>
      <c r="F313" s="30" cm="1">
        <f t="array" ref="F313">_xlfn.IFS($G313=$G$5,F$5,$G313=$G$6,F$6,$G313=$G$7,F$7,$G313=$G$8,F$8,$G313=$G$9,F$9,$G313=$G$10,F$10,$G313=$G$11,F$11,$G313=$G$13,F$13,$G313=$G$15,F$15,$G313=$G$16,F$16,$G313=$G$33,F$33,$G313=$G$34,F$34,$G313=$G$248,F$248,$G313=$G$250,F$250)</f>
        <v>8038</v>
      </c>
      <c r="G313" s="28" t="s">
        <v>78</v>
      </c>
      <c r="H313" s="31" cm="1">
        <f t="array" ref="H313">_xlfn.IFS($G313=$G$5,H$5,$G313=$G$6,H$6,$G313=$G$7,H$7,$G313=$G$8,H$8,$G313=$G$9,H$9,$G313=$G$10,H$10,$G313=$G$11,H$11,$G313=$G$13,H$13,$G313=$G$15,H$15,$G313=$G$16,H$16,$G313=$G$33,H$33,$G313=$G$34,H$34,$G313=$G$248,H$248,$G313=$G$250,H$250)</f>
        <v>41.368589</v>
      </c>
      <c r="I313" s="31" cm="1">
        <f t="array" ref="I313">_xlfn.IFS($G313=$G$5,I$5,$G313=$G$6,I$6,$G313=$G$7,I$7,$G313=$G$8,I$8,$G313=$G$9,I$9,$G313=$G$10,I$10,$G313=$G$11,I$11,$G313=$G$13,I$13,$G313=$G$15,I$15,$G313=$G$16,I$16,$G313=$G$33,I$33,$G313=$G$34,I$34,$G313=$G$248,I$248,$G313=$G$250,I$250)</f>
        <v>2.1620900000000001</v>
      </c>
      <c r="J313" s="29" cm="1">
        <f t="array" ref="J313">_xlfn.IFS($G313=$G$5,J$5,$G313=$G$6,J$6,$G313=$G$7,J$7,$G313=$G$8,J$8,$G313=$G$9,J$9,$G313=$G$10,J$10,$G313=$G$11,J$11,$G313=$G$13,J$13,$G313=$G$15,J$15,$G313=$G$16,J$16,$G313=$G$33,J$33,$G313=$G$34,J$34,$G313=$G$248,J$248,$G313=$G$250,J$250)</f>
        <v>95</v>
      </c>
      <c r="K313" s="29" t="str" cm="1">
        <f t="array" ref="K313">_xlfn.IFS($G313=$G$5,K$5,$G313=$G$6,K$6,$G313=$G$7,K$7,$G313=$G$8,K$8,$G313=$G$9,K$9,$G313=$G$10,K$10,$G313=$G$11,K$11,$G313=$G$13,K$13,$G313=$G$15,K$15,$G313=$G$16,K$16,$G313=$G$33,K$33,$G313=$G$34,K$34,$G313=$G$248,K$248,$G313=$G$250,K$250)</f>
        <v>BG sentinel + BG lure7</v>
      </c>
      <c r="L313" s="29" t="str" cm="1">
        <f t="array" ref="L313">_xlfn.IFS($G313=$G$5,L$5,$G313=$G$6,L$6,$G313=$G$7,L$7,$G313=$G$8,L$8,$G313=$G$9,L$9,$G313=$G$10,L$10,$G313=$G$11,L$11,$G313=$G$13,L$13,$G313=$G$15,L$15,$G313=$G$16,L$16,$G313=$G$33,L$33,$G313=$G$34,L$34,$G313=$G$248,L$248,$G313=$G$250,L$250)</f>
        <v>Other</v>
      </c>
      <c r="M313" s="28"/>
      <c r="N313" s="28"/>
      <c r="O313" s="43" t="str">
        <f t="shared" si="16"/>
        <v>A_SP_BCN_8_201111</v>
      </c>
      <c r="P313" s="44">
        <v>44146</v>
      </c>
      <c r="Q313" s="45">
        <v>0.51736111111111105</v>
      </c>
      <c r="R313" s="46"/>
      <c r="S313" s="47">
        <v>44153</v>
      </c>
      <c r="T313" s="48">
        <v>0.52777777777777779</v>
      </c>
      <c r="U313" s="49"/>
      <c r="V313" s="50" t="s">
        <v>66</v>
      </c>
      <c r="W313" s="50"/>
      <c r="X313" s="28">
        <f t="shared" si="17"/>
        <v>7</v>
      </c>
      <c r="Y313" s="49"/>
      <c r="Z313" s="28" t="s">
        <v>68</v>
      </c>
      <c r="AA313" s="41">
        <f t="shared" si="14"/>
        <v>2</v>
      </c>
      <c r="AB313" s="28" t="s">
        <v>69</v>
      </c>
      <c r="AC313" s="41">
        <v>2</v>
      </c>
      <c r="AD313" s="28">
        <v>0</v>
      </c>
      <c r="AE313" s="28" t="s">
        <v>70</v>
      </c>
      <c r="AF313" s="42">
        <v>4</v>
      </c>
    </row>
    <row r="314" spans="1:32" s="51" customFormat="1" x14ac:dyDescent="0.25">
      <c r="A314" s="28">
        <v>312</v>
      </c>
      <c r="B314" s="28" t="s">
        <v>60</v>
      </c>
      <c r="C314" s="28" t="s">
        <v>61</v>
      </c>
      <c r="D314" s="28" t="s">
        <v>62</v>
      </c>
      <c r="E314" s="28" t="s">
        <v>62</v>
      </c>
      <c r="F314" s="30" cm="1">
        <f t="array" ref="F314">_xlfn.IFS($G314=$G$5,F$5,$G314=$G$6,F$6,$G314=$G$7,F$7,$G314=$G$8,F$8,$G314=$G$9,F$9,$G314=$G$10,F$10,$G314=$G$11,F$11,$G314=$G$13,F$13,$G314=$G$15,F$15,$G314=$G$16,F$16,$G314=$G$33,F$33,$G314=$G$34,F$34,$G314=$G$248,F$248,$G314=$G$250,F$250)</f>
        <v>8038</v>
      </c>
      <c r="G314" s="28" t="s">
        <v>78</v>
      </c>
      <c r="H314" s="31" cm="1">
        <f t="array" ref="H314">_xlfn.IFS($G314=$G$5,H$5,$G314=$G$6,H$6,$G314=$G$7,H$7,$G314=$G$8,H$8,$G314=$G$9,H$9,$G314=$G$10,H$10,$G314=$G$11,H$11,$G314=$G$13,H$13,$G314=$G$15,H$15,$G314=$G$16,H$16,$G314=$G$33,H$33,$G314=$G$34,H$34,$G314=$G$248,H$248,$G314=$G$250,H$250)</f>
        <v>41.368589</v>
      </c>
      <c r="I314" s="31" cm="1">
        <f t="array" ref="I314">_xlfn.IFS($G314=$G$5,I$5,$G314=$G$6,I$6,$G314=$G$7,I$7,$G314=$G$8,I$8,$G314=$G$9,I$9,$G314=$G$10,I$10,$G314=$G$11,I$11,$G314=$G$13,I$13,$G314=$G$15,I$15,$G314=$G$16,I$16,$G314=$G$33,I$33,$G314=$G$34,I$34,$G314=$G$248,I$248,$G314=$G$250,I$250)</f>
        <v>2.1620900000000001</v>
      </c>
      <c r="J314" s="29" cm="1">
        <f t="array" ref="J314">_xlfn.IFS($G314=$G$5,J$5,$G314=$G$6,J$6,$G314=$G$7,J$7,$G314=$G$8,J$8,$G314=$G$9,J$9,$G314=$G$10,J$10,$G314=$G$11,J$11,$G314=$G$13,J$13,$G314=$G$15,J$15,$G314=$G$16,J$16,$G314=$G$33,J$33,$G314=$G$34,J$34,$G314=$G$248,J$248,$G314=$G$250,J$250)</f>
        <v>95</v>
      </c>
      <c r="K314" s="29" t="str" cm="1">
        <f t="array" ref="K314">_xlfn.IFS($G314=$G$5,K$5,$G314=$G$6,K$6,$G314=$G$7,K$7,$G314=$G$8,K$8,$G314=$G$9,K$9,$G314=$G$10,K$10,$G314=$G$11,K$11,$G314=$G$13,K$13,$G314=$G$15,K$15,$G314=$G$16,K$16,$G314=$G$33,K$33,$G314=$G$34,K$34,$G314=$G$248,K$248,$G314=$G$250,K$250)</f>
        <v>BG sentinel + BG lure7</v>
      </c>
      <c r="L314" s="29" t="str" cm="1">
        <f t="array" ref="L314">_xlfn.IFS($G314=$G$5,L$5,$G314=$G$6,L$6,$G314=$G$7,L$7,$G314=$G$8,L$8,$G314=$G$9,L$9,$G314=$G$10,L$10,$G314=$G$11,L$11,$G314=$G$13,L$13,$G314=$G$15,L$15,$G314=$G$16,L$16,$G314=$G$33,L$33,$G314=$G$34,L$34,$G314=$G$248,L$248,$G314=$G$250,L$250)</f>
        <v>Other</v>
      </c>
      <c r="M314" s="28"/>
      <c r="N314" s="28"/>
      <c r="O314" s="43" t="str">
        <f t="shared" si="16"/>
        <v>A_SP_BCN_8_201111</v>
      </c>
      <c r="P314" s="44">
        <v>44146</v>
      </c>
      <c r="Q314" s="45">
        <v>0.51736111111111105</v>
      </c>
      <c r="R314" s="46"/>
      <c r="S314" s="47">
        <v>44153</v>
      </c>
      <c r="T314" s="48">
        <v>0.52777777777777779</v>
      </c>
      <c r="U314" s="49"/>
      <c r="V314" s="50" t="s">
        <v>66</v>
      </c>
      <c r="W314" s="50"/>
      <c r="X314" s="28">
        <f t="shared" si="17"/>
        <v>7</v>
      </c>
      <c r="Y314" s="49"/>
      <c r="Z314" s="41" t="s">
        <v>75</v>
      </c>
      <c r="AA314" s="41">
        <f t="shared" si="14"/>
        <v>3</v>
      </c>
      <c r="AB314" s="28" t="s">
        <v>69</v>
      </c>
      <c r="AC314" s="41">
        <v>3</v>
      </c>
      <c r="AD314" s="41">
        <v>0</v>
      </c>
      <c r="AE314" s="28" t="s">
        <v>70</v>
      </c>
      <c r="AF314" s="42">
        <v>4</v>
      </c>
    </row>
    <row r="315" spans="1:32" s="51" customFormat="1" x14ac:dyDescent="0.25">
      <c r="A315" s="28">
        <v>313</v>
      </c>
      <c r="B315" s="28" t="s">
        <v>60</v>
      </c>
      <c r="C315" s="28" t="s">
        <v>61</v>
      </c>
      <c r="D315" s="28" t="s">
        <v>62</v>
      </c>
      <c r="E315" s="28" t="s">
        <v>62</v>
      </c>
      <c r="F315" s="30" cm="1">
        <f t="array" ref="F315">_xlfn.IFS($G315=$G$5,F$5,$G315=$G$6,F$6,$G315=$G$7,F$7,$G315=$G$8,F$8,$G315=$G$9,F$9,$G315=$G$10,F$10,$G315=$G$11,F$11,$G315=$G$13,F$13,$G315=$G$15,F$15,$G315=$G$16,F$16,$G315=$G$33,F$33,$G315=$G$34,F$34,$G315=$G$248,F$248,$G315=$G$250,F$250)</f>
        <v>8038</v>
      </c>
      <c r="G315" s="28" t="s">
        <v>78</v>
      </c>
      <c r="H315" s="31" cm="1">
        <f t="array" ref="H315">_xlfn.IFS($G315=$G$5,H$5,$G315=$G$6,H$6,$G315=$G$7,H$7,$G315=$G$8,H$8,$G315=$G$9,H$9,$G315=$G$10,H$10,$G315=$G$11,H$11,$G315=$G$13,H$13,$G315=$G$15,H$15,$G315=$G$16,H$16,$G315=$G$33,H$33,$G315=$G$34,H$34,$G315=$G$248,H$248,$G315=$G$250,H$250)</f>
        <v>41.368589</v>
      </c>
      <c r="I315" s="31" cm="1">
        <f t="array" ref="I315">_xlfn.IFS($G315=$G$5,I$5,$G315=$G$6,I$6,$G315=$G$7,I$7,$G315=$G$8,I$8,$G315=$G$9,I$9,$G315=$G$10,I$10,$G315=$G$11,I$11,$G315=$G$13,I$13,$G315=$G$15,I$15,$G315=$G$16,I$16,$G315=$G$33,I$33,$G315=$G$34,I$34,$G315=$G$248,I$248,$G315=$G$250,I$250)</f>
        <v>2.1620900000000001</v>
      </c>
      <c r="J315" s="29" cm="1">
        <f t="array" ref="J315">_xlfn.IFS($G315=$G$5,J$5,$G315=$G$6,J$6,$G315=$G$7,J$7,$G315=$G$8,J$8,$G315=$G$9,J$9,$G315=$G$10,J$10,$G315=$G$11,J$11,$G315=$G$13,J$13,$G315=$G$15,J$15,$G315=$G$16,J$16,$G315=$G$33,J$33,$G315=$G$34,J$34,$G315=$G$248,J$248,$G315=$G$250,J$250)</f>
        <v>95</v>
      </c>
      <c r="K315" s="29" t="str" cm="1">
        <f t="array" ref="K315">_xlfn.IFS($G315=$G$5,K$5,$G315=$G$6,K$6,$G315=$G$7,K$7,$G315=$G$8,K$8,$G315=$G$9,K$9,$G315=$G$10,K$10,$G315=$G$11,K$11,$G315=$G$13,K$13,$G315=$G$15,K$15,$G315=$G$16,K$16,$G315=$G$33,K$33,$G315=$G$34,K$34,$G315=$G$248,K$248,$G315=$G$250,K$250)</f>
        <v>BG sentinel + BG lure7</v>
      </c>
      <c r="L315" s="29" t="str" cm="1">
        <f t="array" ref="L315">_xlfn.IFS($G315=$G$5,L$5,$G315=$G$6,L$6,$G315=$G$7,L$7,$G315=$G$8,L$8,$G315=$G$9,L$9,$G315=$G$10,L$10,$G315=$G$11,L$11,$G315=$G$13,L$13,$G315=$G$15,L$15,$G315=$G$16,L$16,$G315=$G$33,L$33,$G315=$G$34,L$34,$G315=$G$248,L$248,$G315=$G$250,L$250)</f>
        <v>Other</v>
      </c>
      <c r="M315" s="28"/>
      <c r="N315" s="28"/>
      <c r="O315" s="43" t="str">
        <f t="shared" si="16"/>
        <v>A_SP_BCN_8_201111</v>
      </c>
      <c r="P315" s="44">
        <v>44146</v>
      </c>
      <c r="Q315" s="45">
        <v>0.51736111111111105</v>
      </c>
      <c r="R315" s="46"/>
      <c r="S315" s="47">
        <v>44153</v>
      </c>
      <c r="T315" s="48">
        <v>0.52777777777777779</v>
      </c>
      <c r="U315" s="49"/>
      <c r="V315" s="50" t="s">
        <v>66</v>
      </c>
      <c r="W315" s="50"/>
      <c r="X315" s="28">
        <f t="shared" si="17"/>
        <v>7</v>
      </c>
      <c r="Y315" s="49"/>
      <c r="Z315" s="28" t="s">
        <v>84</v>
      </c>
      <c r="AA315" s="41">
        <f t="shared" si="14"/>
        <v>4</v>
      </c>
      <c r="AB315" s="28" t="s">
        <v>69</v>
      </c>
      <c r="AC315" s="28">
        <v>2</v>
      </c>
      <c r="AD315" s="41">
        <v>2</v>
      </c>
      <c r="AE315" s="28" t="s">
        <v>70</v>
      </c>
      <c r="AF315" s="42">
        <v>4</v>
      </c>
    </row>
    <row r="316" spans="1:32" x14ac:dyDescent="0.25">
      <c r="A316" s="28">
        <v>314</v>
      </c>
      <c r="B316" s="28" t="s">
        <v>60</v>
      </c>
      <c r="C316" s="28" t="s">
        <v>61</v>
      </c>
      <c r="D316" s="28" t="s">
        <v>62</v>
      </c>
      <c r="E316" s="29" t="s">
        <v>62</v>
      </c>
      <c r="F316" s="30" cm="1">
        <f t="array" ref="F316">_xlfn.IFS($G316=$G$5,F$5,$G316=$G$6,F$6,$G316=$G$7,F$7,$G316=$G$8,F$8,$G316=$G$9,F$9,$G316=$G$10,F$10,$G316=$G$11,F$11,$G316=$G$13,F$13,$G316=$G$15,F$15,$G316=$G$16,F$16,$G316=$G$33,F$33,$G316=$G$34,F$34,$G316=$G$248,F$248,$G316=$G$250,F$250)</f>
        <v>8034</v>
      </c>
      <c r="G316" s="29" t="s">
        <v>81</v>
      </c>
      <c r="H316" s="31" cm="1">
        <f t="array" ref="H316">_xlfn.IFS($G316=$G$5,H$5,$G316=$G$6,H$6,$G316=$G$7,H$7,$G316=$G$8,H$8,$G316=$G$9,H$9,$G316=$G$10,H$10,$G316=$G$11,H$11,$G316=$G$13,H$13,$G316=$G$15,H$15,$G316=$G$16,H$16,$G316=$G$33,H$33,$G316=$G$34,H$34,$G316=$G$248,H$248,$G316=$G$250,H$250)</f>
        <v>41.393644999999999</v>
      </c>
      <c r="I316" s="31" cm="1">
        <f t="array" ref="I316">_xlfn.IFS($G316=$G$5,I$5,$G316=$G$6,I$6,$G316=$G$7,I$7,$G316=$G$8,I$8,$G316=$G$9,I$9,$G316=$G$10,I$10,$G316=$G$11,I$11,$G316=$G$13,I$13,$G316=$G$15,I$15,$G316=$G$16,I$16,$G316=$G$33,I$33,$G316=$G$34,I$34,$G316=$G$248,I$248,$G316=$G$250,I$250)</f>
        <v>2.1216780000000002</v>
      </c>
      <c r="J316" s="29" cm="1">
        <f t="array" ref="J316">_xlfn.IFS($G316=$G$5,J$5,$G316=$G$6,J$6,$G316=$G$7,J$7,$G316=$G$8,J$8,$G316=$G$9,J$9,$G316=$G$10,J$10,$G316=$G$11,J$11,$G316=$G$13,J$13,$G316=$G$15,J$15,$G316=$G$16,J$16,$G316=$G$33,J$33,$G316=$G$34,J$34,$G316=$G$248,J$248,$G316=$G$250,J$250)</f>
        <v>98</v>
      </c>
      <c r="K316" s="29" t="str" cm="1">
        <f t="array" ref="K316">_xlfn.IFS($G316=$G$5,K$5,$G316=$G$6,K$6,$G316=$G$7,K$7,$G316=$G$8,K$8,$G316=$G$9,K$9,$G316=$G$10,K$10,$G316=$G$11,K$11,$G316=$G$13,K$13,$G316=$G$15,K$15,$G316=$G$16,K$16,$G316=$G$33,K$33,$G316=$G$34,K$34,$G316=$G$248,K$248,$G316=$G$250,K$250)</f>
        <v>BG sentinel + BG lure7</v>
      </c>
      <c r="L316" s="29" t="str" cm="1">
        <f t="array" ref="L316">_xlfn.IFS($G316=$G$5,L$5,$G316=$G$6,L$6,$G316=$G$7,L$7,$G316=$G$8,L$8,$G316=$G$9,L$9,$G316=$G$10,L$10,$G316=$G$11,L$11,$G316=$G$13,L$13,$G316=$G$15,L$15,$G316=$G$16,L$16,$G316=$G$33,L$33,$G316=$G$34,L$34,$G316=$G$248,L$248,$G316=$G$250,L$250)</f>
        <v>Other</v>
      </c>
      <c r="O316" s="32" t="str">
        <f t="shared" si="16"/>
        <v>A_SP_BCN_9_201111</v>
      </c>
      <c r="P316" s="33">
        <v>44146</v>
      </c>
      <c r="Q316" s="34">
        <v>0.67708333333333337</v>
      </c>
      <c r="R316" s="35"/>
      <c r="S316" s="36">
        <v>44153</v>
      </c>
      <c r="T316" s="37">
        <v>0.70138888888888884</v>
      </c>
      <c r="U316" s="38"/>
      <c r="V316" s="39" t="s">
        <v>66</v>
      </c>
      <c r="X316" s="29">
        <f t="shared" si="17"/>
        <v>7</v>
      </c>
      <c r="Y316" s="38"/>
      <c r="Z316" s="29" t="s">
        <v>68</v>
      </c>
      <c r="AA316" s="29">
        <f t="shared" si="14"/>
        <v>1</v>
      </c>
      <c r="AB316" s="28" t="s">
        <v>69</v>
      </c>
      <c r="AC316" s="29">
        <v>1</v>
      </c>
      <c r="AD316" s="29">
        <v>0</v>
      </c>
      <c r="AE316" s="28" t="s">
        <v>70</v>
      </c>
      <c r="AF316" s="42">
        <v>4</v>
      </c>
    </row>
    <row r="317" spans="1:32" x14ac:dyDescent="0.25">
      <c r="A317" s="28">
        <v>315</v>
      </c>
      <c r="B317" s="28" t="s">
        <v>60</v>
      </c>
      <c r="C317" s="28" t="s">
        <v>61</v>
      </c>
      <c r="D317" s="28" t="s">
        <v>62</v>
      </c>
      <c r="E317" s="29" t="s">
        <v>62</v>
      </c>
      <c r="F317" s="30" cm="1">
        <f t="array" ref="F317">_xlfn.IFS($G317=$G$5,F$5,$G317=$G$6,F$6,$G317=$G$7,F$7,$G317=$G$8,F$8,$G317=$G$9,F$9,$G317=$G$10,F$10,$G317=$G$11,F$11,$G317=$G$13,F$13,$G317=$G$15,F$15,$G317=$G$16,F$16,$G317=$G$33,F$33,$G317=$G$34,F$34,$G317=$G$248,F$248,$G317=$G$250,F$250)</f>
        <v>8034</v>
      </c>
      <c r="G317" s="29" t="s">
        <v>81</v>
      </c>
      <c r="H317" s="31" cm="1">
        <f t="array" ref="H317">_xlfn.IFS($G317=$G$5,H$5,$G317=$G$6,H$6,$G317=$G$7,H$7,$G317=$G$8,H$8,$G317=$G$9,H$9,$G317=$G$10,H$10,$G317=$G$11,H$11,$G317=$G$13,H$13,$G317=$G$15,H$15,$G317=$G$16,H$16,$G317=$G$33,H$33,$G317=$G$34,H$34,$G317=$G$248,H$248,$G317=$G$250,H$250)</f>
        <v>41.393644999999999</v>
      </c>
      <c r="I317" s="31" cm="1">
        <f t="array" ref="I317">_xlfn.IFS($G317=$G$5,I$5,$G317=$G$6,I$6,$G317=$G$7,I$7,$G317=$G$8,I$8,$G317=$G$9,I$9,$G317=$G$10,I$10,$G317=$G$11,I$11,$G317=$G$13,I$13,$G317=$G$15,I$15,$G317=$G$16,I$16,$G317=$G$33,I$33,$G317=$G$34,I$34,$G317=$G$248,I$248,$G317=$G$250,I$250)</f>
        <v>2.1216780000000002</v>
      </c>
      <c r="J317" s="29" cm="1">
        <f t="array" ref="J317">_xlfn.IFS($G317=$G$5,J$5,$G317=$G$6,J$6,$G317=$G$7,J$7,$G317=$G$8,J$8,$G317=$G$9,J$9,$G317=$G$10,J$10,$G317=$G$11,J$11,$G317=$G$13,J$13,$G317=$G$15,J$15,$G317=$G$16,J$16,$G317=$G$33,J$33,$G317=$G$34,J$34,$G317=$G$248,J$248,$G317=$G$250,J$250)</f>
        <v>98</v>
      </c>
      <c r="K317" s="29" t="str" cm="1">
        <f t="array" ref="K317">_xlfn.IFS($G317=$G$5,K$5,$G317=$G$6,K$6,$G317=$G$7,K$7,$G317=$G$8,K$8,$G317=$G$9,K$9,$G317=$G$10,K$10,$G317=$G$11,K$11,$G317=$G$13,K$13,$G317=$G$15,K$15,$G317=$G$16,K$16,$G317=$G$33,K$33,$G317=$G$34,K$34,$G317=$G$248,K$248,$G317=$G$250,K$250)</f>
        <v>BG sentinel + BG lure7</v>
      </c>
      <c r="L317" s="29" t="str" cm="1">
        <f t="array" ref="L317">_xlfn.IFS($G317=$G$5,L$5,$G317=$G$6,L$6,$G317=$G$7,L$7,$G317=$G$8,L$8,$G317=$G$9,L$9,$G317=$G$10,L$10,$G317=$G$11,L$11,$G317=$G$13,L$13,$G317=$G$15,L$15,$G317=$G$16,L$16,$G317=$G$33,L$33,$G317=$G$34,L$34,$G317=$G$248,L$248,$G317=$G$250,L$250)</f>
        <v>Other</v>
      </c>
      <c r="O317" s="32" t="str">
        <f t="shared" si="16"/>
        <v>A_SP_BCN_9_201111</v>
      </c>
      <c r="P317" s="33">
        <v>44146</v>
      </c>
      <c r="Q317" s="34">
        <v>0.67708333333333337</v>
      </c>
      <c r="R317" s="35"/>
      <c r="S317" s="36">
        <v>44153</v>
      </c>
      <c r="T317" s="37">
        <v>0.70138888888888884</v>
      </c>
      <c r="U317" s="38"/>
      <c r="V317" s="39" t="s">
        <v>66</v>
      </c>
      <c r="X317" s="29">
        <f t="shared" si="17"/>
        <v>7</v>
      </c>
      <c r="Y317" s="38"/>
      <c r="Z317" s="29" t="s">
        <v>75</v>
      </c>
      <c r="AA317" s="29">
        <f t="shared" si="14"/>
        <v>1</v>
      </c>
      <c r="AB317" s="29" t="s">
        <v>69</v>
      </c>
      <c r="AC317" s="29">
        <v>1</v>
      </c>
      <c r="AD317" s="29">
        <v>0</v>
      </c>
      <c r="AE317" s="29" t="s">
        <v>70</v>
      </c>
      <c r="AF317" s="42">
        <v>4</v>
      </c>
    </row>
    <row r="318" spans="1:32" x14ac:dyDescent="0.25">
      <c r="A318" s="28">
        <v>316</v>
      </c>
      <c r="B318" s="28" t="s">
        <v>60</v>
      </c>
      <c r="C318" s="28" t="s">
        <v>61</v>
      </c>
      <c r="D318" s="28" t="s">
        <v>62</v>
      </c>
      <c r="E318" s="29" t="s">
        <v>62</v>
      </c>
      <c r="F318" s="30" cm="1">
        <f t="array" ref="F318">_xlfn.IFS($G318=$G$5,F$5,$G318=$G$6,F$6,$G318=$G$7,F$7,$G318=$G$8,F$8,$G318=$G$9,F$9,$G318=$G$10,F$10,$G318=$G$11,F$11,$G318=$G$13,F$13,$G318=$G$15,F$15,$G318=$G$16,F$16,$G318=$G$33,F$33,$G318=$G$34,F$34,$G318=$G$248,F$248,$G318=$G$250,F$250)</f>
        <v>8034</v>
      </c>
      <c r="G318" s="29" t="s">
        <v>81</v>
      </c>
      <c r="H318" s="31" cm="1">
        <f t="array" ref="H318">_xlfn.IFS($G318=$G$5,H$5,$G318=$G$6,H$6,$G318=$G$7,H$7,$G318=$G$8,H$8,$G318=$G$9,H$9,$G318=$G$10,H$10,$G318=$G$11,H$11,$G318=$G$13,H$13,$G318=$G$15,H$15,$G318=$G$16,H$16,$G318=$G$33,H$33,$G318=$G$34,H$34,$G318=$G$248,H$248,$G318=$G$250,H$250)</f>
        <v>41.393644999999999</v>
      </c>
      <c r="I318" s="31" cm="1">
        <f t="array" ref="I318">_xlfn.IFS($G318=$G$5,I$5,$G318=$G$6,I$6,$G318=$G$7,I$7,$G318=$G$8,I$8,$G318=$G$9,I$9,$G318=$G$10,I$10,$G318=$G$11,I$11,$G318=$G$13,I$13,$G318=$G$15,I$15,$G318=$G$16,I$16,$G318=$G$33,I$33,$G318=$G$34,I$34,$G318=$G$248,I$248,$G318=$G$250,I$250)</f>
        <v>2.1216780000000002</v>
      </c>
      <c r="J318" s="29" cm="1">
        <f t="array" ref="J318">_xlfn.IFS($G318=$G$5,J$5,$G318=$G$6,J$6,$G318=$G$7,J$7,$G318=$G$8,J$8,$G318=$G$9,J$9,$G318=$G$10,J$10,$G318=$G$11,J$11,$G318=$G$13,J$13,$G318=$G$15,J$15,$G318=$G$16,J$16,$G318=$G$33,J$33,$G318=$G$34,J$34,$G318=$G$248,J$248,$G318=$G$250,J$250)</f>
        <v>98</v>
      </c>
      <c r="K318" s="29" t="str" cm="1">
        <f t="array" ref="K318">_xlfn.IFS($G318=$G$5,K$5,$G318=$G$6,K$6,$G318=$G$7,K$7,$G318=$G$8,K$8,$G318=$G$9,K$9,$G318=$G$10,K$10,$G318=$G$11,K$11,$G318=$G$13,K$13,$G318=$G$15,K$15,$G318=$G$16,K$16,$G318=$G$33,K$33,$G318=$G$34,K$34,$G318=$G$248,K$248,$G318=$G$250,K$250)</f>
        <v>BG sentinel + BG lure7</v>
      </c>
      <c r="L318" s="29" t="str" cm="1">
        <f t="array" ref="L318">_xlfn.IFS($G318=$G$5,L$5,$G318=$G$6,L$6,$G318=$G$7,L$7,$G318=$G$8,L$8,$G318=$G$9,L$9,$G318=$G$10,L$10,$G318=$G$11,L$11,$G318=$G$13,L$13,$G318=$G$15,L$15,$G318=$G$16,L$16,$G318=$G$33,L$33,$G318=$G$34,L$34,$G318=$G$248,L$248,$G318=$G$250,L$250)</f>
        <v>Other</v>
      </c>
      <c r="O318" s="32" t="str">
        <f t="shared" si="16"/>
        <v>A_SP_BCN_9_201111</v>
      </c>
      <c r="P318" s="33">
        <v>44146</v>
      </c>
      <c r="Q318" s="34">
        <v>0.67708333333333337</v>
      </c>
      <c r="R318" s="35"/>
      <c r="S318" s="36">
        <v>44153</v>
      </c>
      <c r="T318" s="37">
        <v>0.70138888888888884</v>
      </c>
      <c r="U318" s="38"/>
      <c r="V318" s="39" t="s">
        <v>66</v>
      </c>
      <c r="X318" s="29">
        <f t="shared" si="17"/>
        <v>7</v>
      </c>
      <c r="Y318" s="38"/>
      <c r="Z318" s="29" t="s">
        <v>84</v>
      </c>
      <c r="AA318" s="29">
        <f t="shared" si="14"/>
        <v>1</v>
      </c>
      <c r="AB318" s="29" t="s">
        <v>69</v>
      </c>
      <c r="AC318" s="29">
        <v>1</v>
      </c>
      <c r="AD318" s="29">
        <v>0</v>
      </c>
      <c r="AE318" s="29" t="s">
        <v>70</v>
      </c>
      <c r="AF318">
        <v>4</v>
      </c>
    </row>
    <row r="319" spans="1:32" x14ac:dyDescent="0.25">
      <c r="A319" s="28">
        <v>317</v>
      </c>
      <c r="B319" s="28" t="s">
        <v>60</v>
      </c>
      <c r="C319" s="28" t="s">
        <v>61</v>
      </c>
      <c r="D319" s="28" t="s">
        <v>62</v>
      </c>
      <c r="E319" s="29" t="s">
        <v>62</v>
      </c>
      <c r="F319" s="30" cm="1">
        <f t="array" ref="F319">_xlfn.IFS($G319=$G$5,F$5,$G319=$G$6,F$6,$G319=$G$7,F$7,$G319=$G$8,F$8,$G319=$G$9,F$9,$G319=$G$10,F$10,$G319=$G$11,F$11,$G319=$G$13,F$13,$G319=$G$15,F$15,$G319=$G$16,F$16,$G319=$G$33,F$33,$G319=$G$34,F$34,$G319=$G$248,F$248,$G319=$G$250,F$250)</f>
        <v>8040</v>
      </c>
      <c r="G319" s="29" t="s">
        <v>83</v>
      </c>
      <c r="H319" s="31" cm="1">
        <f t="array" ref="H319">_xlfn.IFS($G319=$G$5,H$5,$G319=$G$6,H$6,$G319=$G$7,H$7,$G319=$G$8,H$8,$G319=$G$9,H$9,$G319=$G$10,H$10,$G319=$G$11,H$11,$G319=$G$13,H$13,$G319=$G$15,H$15,$G319=$G$16,H$16,$G319=$G$33,H$33,$G319=$G$34,H$34,$G319=$G$248,H$248,$G319=$G$250,H$250)</f>
        <v>41.343685000000001</v>
      </c>
      <c r="I319" s="31" cm="1">
        <f t="array" ref="I319">_xlfn.IFS($G319=$G$5,I$5,$G319=$G$6,I$6,$G319=$G$7,I$7,$G319=$G$8,I$8,$G319=$G$9,I$9,$G319=$G$10,I$10,$G319=$G$11,I$11,$G319=$G$13,I$13,$G319=$G$15,I$15,$G319=$G$16,I$16,$G319=$G$33,I$33,$G319=$G$34,I$34,$G319=$G$248,I$248,$G319=$G$250,I$250)</f>
        <v>2.1441490000000001</v>
      </c>
      <c r="J319" s="29" cm="1">
        <f t="array" ref="J319">_xlfn.IFS($G319=$G$5,J$5,$G319=$G$6,J$6,$G319=$G$7,J$7,$G319=$G$8,J$8,$G319=$G$9,J$9,$G319=$G$10,J$10,$G319=$G$11,J$11,$G319=$G$13,J$13,$G319=$G$15,J$15,$G319=$G$16,J$16,$G319=$G$33,J$33,$G319=$G$34,J$34,$G319=$G$248,J$248,$G319=$G$250,J$250)</f>
        <v>4</v>
      </c>
      <c r="K319" s="29" t="str" cm="1">
        <f t="array" ref="K319">_xlfn.IFS($G319=$G$5,K$5,$G319=$G$6,K$6,$G319=$G$7,K$7,$G319=$G$8,K$8,$G319=$G$9,K$9,$G319=$G$10,K$10,$G319=$G$11,K$11,$G319=$G$13,K$13,$G319=$G$15,K$15,$G319=$G$16,K$16,$G319=$G$33,K$33,$G319=$G$34,K$34,$G319=$G$248,K$248,$G319=$G$250,K$250)</f>
        <v>BG sentinel + BG lure7</v>
      </c>
      <c r="L319" s="29" t="str" cm="1">
        <f t="array" ref="L319">_xlfn.IFS($G319=$G$5,L$5,$G319=$G$6,L$6,$G319=$G$7,L$7,$G319=$G$8,L$8,$G319=$G$9,L$9,$G319=$G$10,L$10,$G319=$G$11,L$11,$G319=$G$13,L$13,$G319=$G$15,L$15,$G319=$G$16,L$16,$G319=$G$33,L$33,$G319=$G$34,L$34,$G319=$G$248,L$248,$G319=$G$250,L$250)</f>
        <v>Urban habitat</v>
      </c>
      <c r="O319" s="32" t="str">
        <f t="shared" si="16"/>
        <v>A_SP_BCN_10_201111</v>
      </c>
      <c r="P319" s="33">
        <v>44146</v>
      </c>
      <c r="Q319" s="34">
        <v>0.48958333333333331</v>
      </c>
      <c r="R319" s="35"/>
      <c r="S319" s="36">
        <v>44153</v>
      </c>
      <c r="T319" s="37">
        <v>0.5</v>
      </c>
      <c r="U319" s="38"/>
      <c r="V319" s="39" t="s">
        <v>66</v>
      </c>
      <c r="X319" s="29">
        <f t="shared" si="17"/>
        <v>7</v>
      </c>
      <c r="Y319" s="38"/>
      <c r="AA319" s="29">
        <f t="shared" si="14"/>
        <v>0</v>
      </c>
      <c r="AF319">
        <v>4</v>
      </c>
    </row>
    <row r="320" spans="1:32" s="51" customFormat="1" x14ac:dyDescent="0.25">
      <c r="A320" s="28">
        <v>318</v>
      </c>
      <c r="B320" s="28" t="s">
        <v>60</v>
      </c>
      <c r="C320" s="28" t="s">
        <v>61</v>
      </c>
      <c r="D320" s="28" t="s">
        <v>62</v>
      </c>
      <c r="E320" s="28" t="s">
        <v>62</v>
      </c>
      <c r="F320" s="30" cm="1">
        <f t="array" ref="F320">_xlfn.IFS($G320=$G$5,F$5,$G320=$G$6,F$6,$G320=$G$7,F$7,$G320=$G$8,F$8,$G320=$G$9,F$9,$G320=$G$10,F$10,$G320=$G$11,F$11,$G320=$G$13,F$13,$G320=$G$15,F$15,$G320=$G$16,F$16,$G320=$G$33,F$33,$G320=$G$34,F$34,$G320=$G$248,F$248,$G320=$G$250,F$250)</f>
        <v>8038</v>
      </c>
      <c r="G320" s="28" t="s">
        <v>85</v>
      </c>
      <c r="H320" s="31" cm="1">
        <f t="array" ref="H320">_xlfn.IFS($G320=$G$5,H$5,$G320=$G$6,H$6,$G320=$G$7,H$7,$G320=$G$8,H$8,$G320=$G$9,H$9,$G320=$G$10,H$10,$G320=$G$11,H$11,$G320=$G$13,H$13,$G320=$G$15,H$15,$G320=$G$16,H$16,$G320=$G$33,H$33,$G320=$G$34,H$34,$G320=$G$248,H$248,$G320=$G$250,H$250)</f>
        <v>41.367429999999999</v>
      </c>
      <c r="I320" s="31" cm="1">
        <f t="array" ref="I320">_xlfn.IFS($G320=$G$5,I$5,$G320=$G$6,I$6,$G320=$G$7,I$7,$G320=$G$8,I$8,$G320=$G$9,I$9,$G320=$G$10,I$10,$G320=$G$11,I$11,$G320=$G$13,I$13,$G320=$G$15,I$15,$G320=$G$16,I$16,$G320=$G$33,I$33,$G320=$G$34,I$34,$G320=$G$248,I$248,$G320=$G$250,I$250)</f>
        <v>2.1569609999999999</v>
      </c>
      <c r="J320" s="29" cm="1">
        <f t="array" ref="J320">_xlfn.IFS($G320=$G$5,J$5,$G320=$G$6,J$6,$G320=$G$7,J$7,$G320=$G$8,J$8,$G320=$G$9,J$9,$G320=$G$10,J$10,$G320=$G$11,J$11,$G320=$G$13,J$13,$G320=$G$15,J$15,$G320=$G$16,J$16,$G320=$G$33,J$33,$G320=$G$34,J$34,$G320=$G$248,J$248,$G320=$G$250,J$250)</f>
        <v>91</v>
      </c>
      <c r="K320" s="29" t="str" cm="1">
        <f t="array" ref="K320">_xlfn.IFS($G320=$G$5,K$5,$G320=$G$6,K$6,$G320=$G$7,K$7,$G320=$G$8,K$8,$G320=$G$9,K$9,$G320=$G$10,K$10,$G320=$G$11,K$11,$G320=$G$13,K$13,$G320=$G$15,K$15,$G320=$G$16,K$16,$G320=$G$33,K$33,$G320=$G$34,K$34,$G320=$G$248,K$248,$G320=$G$250,K$250)</f>
        <v>BG sentinel + BG lure7</v>
      </c>
      <c r="L320" s="29" t="str" cm="1">
        <f t="array" ref="L320">_xlfn.IFS($G320=$G$5,L$5,$G320=$G$6,L$6,$G320=$G$7,L$7,$G320=$G$8,L$8,$G320=$G$9,L$9,$G320=$G$10,L$10,$G320=$G$11,L$11,$G320=$G$13,L$13,$G320=$G$15,L$15,$G320=$G$16,L$16,$G320=$G$33,L$33,$G320=$G$34,L$34,$G320=$G$248,L$248,$G320=$G$250,L$250)</f>
        <v>Other</v>
      </c>
      <c r="M320" s="28"/>
      <c r="N320" s="28"/>
      <c r="O320" s="43" t="str">
        <f t="shared" si="16"/>
        <v>A_SP_BCN_11_201111</v>
      </c>
      <c r="P320" s="44">
        <v>44146</v>
      </c>
      <c r="Q320" s="45">
        <v>0.51041666666666663</v>
      </c>
      <c r="R320" s="46"/>
      <c r="S320" s="47">
        <v>44153</v>
      </c>
      <c r="T320" s="48">
        <v>0.52083333333333337</v>
      </c>
      <c r="U320" s="52"/>
      <c r="V320" s="50" t="s">
        <v>66</v>
      </c>
      <c r="W320" s="50"/>
      <c r="X320" s="28">
        <f t="shared" si="17"/>
        <v>7</v>
      </c>
      <c r="Y320" s="52"/>
      <c r="Z320" s="41" t="s">
        <v>68</v>
      </c>
      <c r="AA320" s="41">
        <f t="shared" si="14"/>
        <v>2</v>
      </c>
      <c r="AB320" s="28" t="s">
        <v>69</v>
      </c>
      <c r="AC320" s="41">
        <v>2</v>
      </c>
      <c r="AD320" s="28">
        <v>0</v>
      </c>
      <c r="AE320" s="28" t="s">
        <v>70</v>
      </c>
      <c r="AF320" s="42">
        <v>4</v>
      </c>
    </row>
    <row r="321" spans="1:32" x14ac:dyDescent="0.25">
      <c r="A321" s="28">
        <v>319</v>
      </c>
      <c r="B321" s="28" t="s">
        <v>60</v>
      </c>
      <c r="C321" s="28" t="s">
        <v>61</v>
      </c>
      <c r="D321" s="28" t="s">
        <v>62</v>
      </c>
      <c r="E321" s="29" t="s">
        <v>62</v>
      </c>
      <c r="F321" s="30" cm="1">
        <f t="array" ref="F321">_xlfn.IFS($G321=$G$5,F$5,$G321=$G$6,F$6,$G321=$G$7,F$7,$G321=$G$8,F$8,$G321=$G$9,F$9,$G321=$G$10,F$10,$G321=$G$11,F$11,$G321=$G$13,F$13,$G321=$G$15,F$15,$G321=$G$16,F$16,$G321=$G$33,F$33,$G321=$G$34,F$34,$G321=$G$248,F$248,$G321=$G$250,F$250)</f>
        <v>8038</v>
      </c>
      <c r="G321" s="29" t="s">
        <v>86</v>
      </c>
      <c r="H321" s="31" cm="1">
        <f t="array" ref="H321">_xlfn.IFS($G321=$G$5,H$5,$G321=$G$6,H$6,$G321=$G$7,H$7,$G321=$G$8,H$8,$G321=$G$9,H$9,$G321=$G$10,H$10,$G321=$G$11,H$11,$G321=$G$13,H$13,$G321=$G$15,H$15,$G321=$G$16,H$16,$G321=$G$33,H$33,$G321=$G$34,H$34,$G321=$G$248,H$248,$G321=$G$250,H$250)</f>
        <v>41.363377999999997</v>
      </c>
      <c r="I321" s="31" cm="1">
        <f t="array" ref="I321">_xlfn.IFS($G321=$G$5,I$5,$G321=$G$6,I$6,$G321=$G$7,I$7,$G321=$G$8,I$8,$G321=$G$9,I$9,$G321=$G$10,I$10,$G321=$G$11,I$11,$G321=$G$13,I$13,$G321=$G$15,I$15,$G321=$G$16,I$16,$G321=$G$33,I$33,$G321=$G$34,I$34,$G321=$G$248,I$248,$G321=$G$250,I$250)</f>
        <v>2.164879</v>
      </c>
      <c r="J321" s="29" cm="1">
        <f t="array" ref="J321">_xlfn.IFS($G321=$G$5,J$5,$G321=$G$6,J$6,$G321=$G$7,J$7,$G321=$G$8,J$8,$G321=$G$9,J$9,$G321=$G$10,J$10,$G321=$G$11,J$11,$G321=$G$13,J$13,$G321=$G$15,J$15,$G321=$G$16,J$16,$G321=$G$33,J$33,$G321=$G$34,J$34,$G321=$G$248,J$248,$G321=$G$250,J$250)</f>
        <v>185</v>
      </c>
      <c r="K321" s="29" t="str" cm="1">
        <f t="array" ref="K321">_xlfn.IFS($G321=$G$5,K$5,$G321=$G$6,K$6,$G321=$G$7,K$7,$G321=$G$8,K$8,$G321=$G$9,K$9,$G321=$G$10,K$10,$G321=$G$11,K$11,$G321=$G$13,K$13,$G321=$G$15,K$15,$G321=$G$16,K$16,$G321=$G$33,K$33,$G321=$G$34,K$34,$G321=$G$248,K$248,$G321=$G$250,K$250)</f>
        <v>BG sentinel + BG lure7</v>
      </c>
      <c r="L321" s="29" t="str" cm="1">
        <f t="array" ref="L321">_xlfn.IFS($G321=$G$5,L$5,$G321=$G$6,L$6,$G321=$G$7,L$7,$G321=$G$8,L$8,$G321=$G$9,L$9,$G321=$G$10,L$10,$G321=$G$11,L$11,$G321=$G$13,L$13,$G321=$G$15,L$15,$G321=$G$16,L$16,$G321=$G$33,L$33,$G321=$G$34,L$34,$G321=$G$248,L$248,$G321=$G$250,L$250)</f>
        <v>Other</v>
      </c>
      <c r="O321" s="32" t="str">
        <f t="shared" si="16"/>
        <v>A_SP_BCN_12_201111</v>
      </c>
      <c r="P321" s="33">
        <v>44146</v>
      </c>
      <c r="Q321" s="34">
        <v>0.53472222222222221</v>
      </c>
      <c r="R321" s="35"/>
      <c r="S321" s="36">
        <v>44153</v>
      </c>
      <c r="T321" s="37">
        <v>0.54861111111111105</v>
      </c>
      <c r="U321" s="38"/>
      <c r="V321" s="39" t="s">
        <v>66</v>
      </c>
      <c r="X321" s="29">
        <f t="shared" si="17"/>
        <v>7</v>
      </c>
      <c r="Y321" s="38"/>
      <c r="Z321" s="29" t="s">
        <v>75</v>
      </c>
      <c r="AA321" s="29">
        <f t="shared" si="14"/>
        <v>13</v>
      </c>
      <c r="AB321" s="29" t="s">
        <v>69</v>
      </c>
      <c r="AC321" s="29">
        <v>12</v>
      </c>
      <c r="AD321" s="29">
        <v>1</v>
      </c>
      <c r="AE321" s="29" t="s">
        <v>70</v>
      </c>
      <c r="AF321">
        <v>4</v>
      </c>
    </row>
    <row r="322" spans="1:32" x14ac:dyDescent="0.25">
      <c r="A322" s="28">
        <v>320</v>
      </c>
      <c r="B322" s="28" t="s">
        <v>60</v>
      </c>
      <c r="C322" s="28" t="s">
        <v>61</v>
      </c>
      <c r="D322" s="28" t="s">
        <v>62</v>
      </c>
      <c r="E322" s="29" t="s">
        <v>62</v>
      </c>
      <c r="F322" s="30" cm="1">
        <f t="array" ref="F322">_xlfn.IFS($G322=$G$5,F$5,$G322=$G$6,F$6,$G322=$G$7,F$7,$G322=$G$8,F$8,$G322=$G$9,F$9,$G322=$G$10,F$10,$G322=$G$11,F$11,$G322=$G$13,F$13,$G322=$G$15,F$15,$G322=$G$16,F$16,$G322=$G$33,F$33,$G322=$G$34,F$34,$G322=$G$248,F$248,$G322=$G$250,F$250)</f>
        <v>8038</v>
      </c>
      <c r="G322" s="29" t="s">
        <v>86</v>
      </c>
      <c r="H322" s="31" cm="1">
        <f t="array" ref="H322">_xlfn.IFS($G322=$G$5,H$5,$G322=$G$6,H$6,$G322=$G$7,H$7,$G322=$G$8,H$8,$G322=$G$9,H$9,$G322=$G$10,H$10,$G322=$G$11,H$11,$G322=$G$13,H$13,$G322=$G$15,H$15,$G322=$G$16,H$16,$G322=$G$33,H$33,$G322=$G$34,H$34,$G322=$G$248,H$248,$G322=$G$250,H$250)</f>
        <v>41.363377999999997</v>
      </c>
      <c r="I322" s="31" cm="1">
        <f t="array" ref="I322">_xlfn.IFS($G322=$G$5,I$5,$G322=$G$6,I$6,$G322=$G$7,I$7,$G322=$G$8,I$8,$G322=$G$9,I$9,$G322=$G$10,I$10,$G322=$G$11,I$11,$G322=$G$13,I$13,$G322=$G$15,I$15,$G322=$G$16,I$16,$G322=$G$33,I$33,$G322=$G$34,I$34,$G322=$G$248,I$248,$G322=$G$250,I$250)</f>
        <v>2.164879</v>
      </c>
      <c r="J322" s="29" cm="1">
        <f t="array" ref="J322">_xlfn.IFS($G322=$G$5,J$5,$G322=$G$6,J$6,$G322=$G$7,J$7,$G322=$G$8,J$8,$G322=$G$9,J$9,$G322=$G$10,J$10,$G322=$G$11,J$11,$G322=$G$13,J$13,$G322=$G$15,J$15,$G322=$G$16,J$16,$G322=$G$33,J$33,$G322=$G$34,J$34,$G322=$G$248,J$248,$G322=$G$250,J$250)</f>
        <v>185</v>
      </c>
      <c r="K322" s="29" t="str" cm="1">
        <f t="array" ref="K322">_xlfn.IFS($G322=$G$5,K$5,$G322=$G$6,K$6,$G322=$G$7,K$7,$G322=$G$8,K$8,$G322=$G$9,K$9,$G322=$G$10,K$10,$G322=$G$11,K$11,$G322=$G$13,K$13,$G322=$G$15,K$15,$G322=$G$16,K$16,$G322=$G$33,K$33,$G322=$G$34,K$34,$G322=$G$248,K$248,$G322=$G$250,K$250)</f>
        <v>BG sentinel + BG lure7</v>
      </c>
      <c r="L322" s="29" t="str" cm="1">
        <f t="array" ref="L322">_xlfn.IFS($G322=$G$5,L$5,$G322=$G$6,L$6,$G322=$G$7,L$7,$G322=$G$8,L$8,$G322=$G$9,L$9,$G322=$G$10,L$10,$G322=$G$11,L$11,$G322=$G$13,L$13,$G322=$G$15,L$15,$G322=$G$16,L$16,$G322=$G$33,L$33,$G322=$G$34,L$34,$G322=$G$248,L$248,$G322=$G$250,L$250)</f>
        <v>Other</v>
      </c>
      <c r="O322" s="32" t="str">
        <f t="shared" si="16"/>
        <v>A_SP_BCN_12_201111</v>
      </c>
      <c r="P322" s="33">
        <v>44146</v>
      </c>
      <c r="Q322" s="34">
        <v>0.53472222222222221</v>
      </c>
      <c r="R322" s="35"/>
      <c r="S322" s="36">
        <v>44153</v>
      </c>
      <c r="T322" s="37">
        <v>0.54861111111111105</v>
      </c>
      <c r="U322" s="38"/>
      <c r="V322" s="39" t="s">
        <v>66</v>
      </c>
      <c r="X322" s="29">
        <f t="shared" si="17"/>
        <v>7</v>
      </c>
      <c r="Y322" s="38"/>
      <c r="Z322" s="29" t="s">
        <v>84</v>
      </c>
      <c r="AA322" s="29">
        <f t="shared" si="14"/>
        <v>1</v>
      </c>
      <c r="AB322" s="29" t="s">
        <v>69</v>
      </c>
      <c r="AC322" s="29">
        <v>1</v>
      </c>
      <c r="AD322" s="29">
        <v>0</v>
      </c>
      <c r="AE322" s="29" t="s">
        <v>70</v>
      </c>
      <c r="AF322">
        <v>4</v>
      </c>
    </row>
    <row r="323" spans="1:32" x14ac:dyDescent="0.25">
      <c r="A323" s="28">
        <v>321</v>
      </c>
      <c r="B323" s="29" t="s">
        <v>60</v>
      </c>
      <c r="C323" s="29" t="s">
        <v>61</v>
      </c>
      <c r="D323" s="29" t="s">
        <v>62</v>
      </c>
      <c r="E323" s="29" t="s">
        <v>62</v>
      </c>
      <c r="F323" s="30" cm="1">
        <f t="array" ref="F323">_xlfn.IFS($G323=$G$5,F$5,$G323=$G$6,F$6,$G323=$G$7,F$7,$G323=$G$8,F$8,$G323=$G$9,F$9,$G323=$G$10,F$10,$G323=$G$11,F$11,$G323=$G$13,F$13,$G323=$G$15,F$15,$G323=$G$16,F$16,$G323=$G$33,F$33,$G323=$G$34,F$34,$G323=$G$248,F$248,$G323=$G$250,F$250)</f>
        <v>8024</v>
      </c>
      <c r="G323" s="29" t="s">
        <v>63</v>
      </c>
      <c r="H323" s="31" cm="1">
        <f t="array" ref="H323">_xlfn.IFS($G323=$G$5,H$5,$G323=$G$6,H$6,$G323=$G$7,H$7,$G323=$G$8,H$8,$G323=$G$9,H$9,$G323=$G$10,H$10,$G323=$G$11,H$11,$G323=$G$13,H$13,$G323=$G$15,H$15,$G323=$G$16,H$16,$G323=$G$33,H$33,$G323=$G$34,H$34,$G323=$G$248,H$248,$G323=$G$250,H$250)</f>
        <v>41.413573999999997</v>
      </c>
      <c r="I323" s="31" cm="1">
        <f t="array" ref="I323">_xlfn.IFS($G323=$G$5,I$5,$G323=$G$6,I$6,$G323=$G$7,I$7,$G323=$G$8,I$8,$G323=$G$9,I$9,$G323=$G$10,I$10,$G323=$G$11,I$11,$G323=$G$13,I$13,$G323=$G$15,I$15,$G323=$G$16,I$16,$G323=$G$33,I$33,$G323=$G$34,I$34,$G323=$G$248,I$248,$G323=$G$250,I$250)</f>
        <v>2.1520730000000001</v>
      </c>
      <c r="J323" s="29" cm="1">
        <f t="array" ref="J323">_xlfn.IFS($G323=$G$5,J$5,$G323=$G$6,J$6,$G323=$G$7,J$7,$G323=$G$8,J$8,$G323=$G$9,J$9,$G323=$G$10,J$10,$G323=$G$11,J$11,$G323=$G$13,J$13,$G323=$G$15,J$15,$G323=$G$16,J$16,$G323=$G$33,J$33,$G323=$G$34,J$34,$G323=$G$248,J$248,$G323=$G$250,J$250)</f>
        <v>141</v>
      </c>
      <c r="K323" s="29" t="str" cm="1">
        <f t="array" ref="K323">_xlfn.IFS($G323=$G$5,K$5,$G323=$G$6,K$6,$G323=$G$7,K$7,$G323=$G$8,K$8,$G323=$G$9,K$9,$G323=$G$10,K$10,$G323=$G$11,K$11,$G323=$G$13,K$13,$G323=$G$15,K$15,$G323=$G$16,K$16,$G323=$G$33,K$33,$G323=$G$34,K$34,$G323=$G$248,K$248,$G323=$G$250,K$250)</f>
        <v>BG sentinel + BG lure7</v>
      </c>
      <c r="L323" s="29" t="str" cm="1">
        <f t="array" ref="L323">_xlfn.IFS($G323=$G$5,L$5,$G323=$G$6,L$6,$G323=$G$7,L$7,$G323=$G$8,L$8,$G323=$G$9,L$9,$G323=$G$10,L$10,$G323=$G$11,L$11,$G323=$G$13,L$13,$G323=$G$15,L$15,$G323=$G$16,L$16,$G323=$G$33,L$33,$G323=$G$34,L$34,$G323=$G$248,L$248,$G323=$G$250,L$250)</f>
        <v>Urban habitat</v>
      </c>
      <c r="O323" s="32" t="str">
        <f t="shared" si="16"/>
        <v>A_SP_BCN_1_201118</v>
      </c>
      <c r="P323" s="33">
        <v>44153</v>
      </c>
      <c r="Q323" s="34">
        <v>0.66666666666666663</v>
      </c>
      <c r="R323" s="35"/>
      <c r="S323" s="36">
        <v>44160</v>
      </c>
      <c r="T323" s="37">
        <v>0.67361111111111116</v>
      </c>
      <c r="U323" s="38"/>
      <c r="V323" s="39" t="s">
        <v>66</v>
      </c>
      <c r="X323" s="29">
        <f t="shared" si="17"/>
        <v>7</v>
      </c>
      <c r="Y323" s="38"/>
      <c r="Z323" s="29" t="s">
        <v>68</v>
      </c>
      <c r="AA323" s="29">
        <f t="shared" si="14"/>
        <v>1</v>
      </c>
      <c r="AB323" s="29" t="s">
        <v>69</v>
      </c>
      <c r="AC323" s="29">
        <v>1</v>
      </c>
      <c r="AD323" s="29">
        <v>0</v>
      </c>
      <c r="AE323" s="29" t="s">
        <v>70</v>
      </c>
      <c r="AF323">
        <v>4</v>
      </c>
    </row>
    <row r="324" spans="1:32" x14ac:dyDescent="0.25">
      <c r="A324" s="28">
        <v>322</v>
      </c>
      <c r="B324" s="29" t="s">
        <v>60</v>
      </c>
      <c r="C324" s="29" t="s">
        <v>61</v>
      </c>
      <c r="D324" s="29" t="s">
        <v>62</v>
      </c>
      <c r="E324" s="29" t="s">
        <v>62</v>
      </c>
      <c r="F324" s="30" cm="1">
        <f t="array" ref="F324">_xlfn.IFS($G324=$G$5,F$5,$G324=$G$6,F$6,$G324=$G$7,F$7,$G324=$G$8,F$8,$G324=$G$9,F$9,$G324=$G$10,F$10,$G324=$G$11,F$11,$G324=$G$13,F$13,$G324=$G$15,F$15,$G324=$G$16,F$16,$G324=$G$33,F$33,$G324=$G$34,F$34,$G324=$G$248,F$248,$G324=$G$250,F$250)</f>
        <v>8035</v>
      </c>
      <c r="G324" s="29" t="s">
        <v>71</v>
      </c>
      <c r="H324" s="31" cm="1">
        <f t="array" ref="H324">_xlfn.IFS($G324=$G$5,H$5,$G324=$G$6,H$6,$G324=$G$7,H$7,$G324=$G$8,H$8,$G324=$G$9,H$9,$G324=$G$10,H$10,$G324=$G$11,H$11,$G324=$G$13,H$13,$G324=$G$15,H$15,$G324=$G$16,H$16,$G324=$G$33,H$33,$G324=$G$34,H$34,$G324=$G$248,H$248,$G324=$G$250,H$250)</f>
        <v>41.424387000000003</v>
      </c>
      <c r="I324" s="31" cm="1">
        <f t="array" ref="I324">_xlfn.IFS($G324=$G$5,I$5,$G324=$G$6,I$6,$G324=$G$7,I$7,$G324=$G$8,I$8,$G324=$G$9,I$9,$G324=$G$10,I$10,$G324=$G$11,I$11,$G324=$G$13,I$13,$G324=$G$15,I$15,$G324=$G$16,I$16,$G324=$G$33,I$33,$G324=$G$34,I$34,$G324=$G$248,I$248,$G324=$G$250,I$250)</f>
        <v>2.1431439999999999</v>
      </c>
      <c r="J324" s="29" cm="1">
        <f t="array" ref="J324">_xlfn.IFS($G324=$G$5,J$5,$G324=$G$6,J$6,$G324=$G$7,J$7,$G324=$G$8,J$8,$G324=$G$9,J$9,$G324=$G$10,J$10,$G324=$G$11,J$11,$G324=$G$13,J$13,$G324=$G$15,J$15,$G324=$G$16,J$16,$G324=$G$33,J$33,$G324=$G$34,J$34,$G324=$G$248,J$248,$G324=$G$250,J$250)</f>
        <v>160</v>
      </c>
      <c r="K324" s="29" t="str" cm="1">
        <f t="array" ref="K324">_xlfn.IFS($G324=$G$5,K$5,$G324=$G$6,K$6,$G324=$G$7,K$7,$G324=$G$8,K$8,$G324=$G$9,K$9,$G324=$G$10,K$10,$G324=$G$11,K$11,$G324=$G$13,K$13,$G324=$G$15,K$15,$G324=$G$16,K$16,$G324=$G$33,K$33,$G324=$G$34,K$34,$G324=$G$248,K$248,$G324=$G$250,K$250)</f>
        <v>BG sentinel + BG lure7</v>
      </c>
      <c r="L324" s="29" t="str" cm="1">
        <f t="array" ref="L324">_xlfn.IFS($G324=$G$5,L$5,$G324=$G$6,L$6,$G324=$G$7,L$7,$G324=$G$8,L$8,$G324=$G$9,L$9,$G324=$G$10,L$10,$G324=$G$11,L$11,$G324=$G$13,L$13,$G324=$G$15,L$15,$G324=$G$16,L$16,$G324=$G$33,L$33,$G324=$G$34,L$34,$G324=$G$248,L$248,$G324=$G$250,L$250)</f>
        <v>Urban habitat</v>
      </c>
      <c r="O324" s="32" t="str">
        <f t="shared" si="16"/>
        <v>A_SP_BCN_2_201118</v>
      </c>
      <c r="P324" s="33">
        <v>44153</v>
      </c>
      <c r="Q324" s="34">
        <v>0.75694444444444453</v>
      </c>
      <c r="R324" s="35"/>
      <c r="S324" s="36">
        <v>44160</v>
      </c>
      <c r="T324" s="37">
        <v>0.77777777777777779</v>
      </c>
      <c r="U324" s="38"/>
      <c r="V324" s="39" t="s">
        <v>66</v>
      </c>
      <c r="X324" s="29">
        <f t="shared" si="17"/>
        <v>7</v>
      </c>
      <c r="Y324" s="38"/>
      <c r="AA324" s="29">
        <f t="shared" si="14"/>
        <v>0</v>
      </c>
      <c r="AF324">
        <v>4</v>
      </c>
    </row>
    <row r="325" spans="1:32" x14ac:dyDescent="0.25">
      <c r="A325" s="28">
        <v>323</v>
      </c>
      <c r="B325" s="29" t="s">
        <v>60</v>
      </c>
      <c r="C325" s="29" t="s">
        <v>61</v>
      </c>
      <c r="D325" s="29" t="s">
        <v>62</v>
      </c>
      <c r="E325" s="29" t="s">
        <v>62</v>
      </c>
      <c r="F325" s="30" cm="1">
        <f t="array" ref="F325">_xlfn.IFS($G325=$G$5,F$5,$G325=$G$6,F$6,$G325=$G$7,F$7,$G325=$G$8,F$8,$G325=$G$9,F$9,$G325=$G$10,F$10,$G325=$G$11,F$11,$G325=$G$13,F$13,$G325=$G$15,F$15,$G325=$G$16,F$16,$G325=$G$33,F$33,$G325=$G$34,F$34,$G325=$G$248,F$248,$G325=$G$250,F$250)</f>
        <v>8016</v>
      </c>
      <c r="G325" s="29" t="s">
        <v>72</v>
      </c>
      <c r="H325" s="31" cm="1">
        <f t="array" ref="H325">_xlfn.IFS($G325=$G$5,H$5,$G325=$G$6,H$6,$G325=$G$7,H$7,$G325=$G$8,H$8,$G325=$G$9,H$9,$G325=$G$10,H$10,$G325=$G$11,H$11,$G325=$G$13,H$13,$G325=$G$15,H$15,$G325=$G$16,H$16,$G325=$G$33,H$33,$G325=$G$34,H$34,$G325=$G$248,H$248,$G325=$G$250,H$250)</f>
        <v>41.437435000000001</v>
      </c>
      <c r="I325" s="31" cm="1">
        <f t="array" ref="I325">_xlfn.IFS($G325=$G$5,I$5,$G325=$G$6,I$6,$G325=$G$7,I$7,$G325=$G$8,I$8,$G325=$G$9,I$9,$G325=$G$10,I$10,$G325=$G$11,I$11,$G325=$G$13,I$13,$G325=$G$15,I$15,$G325=$G$16,I$16,$G325=$G$33,I$33,$G325=$G$34,I$34,$G325=$G$248,I$248,$G325=$G$250,I$250)</f>
        <v>2.1812779999999998</v>
      </c>
      <c r="J325" s="29" cm="1">
        <f t="array" ref="J325">_xlfn.IFS($G325=$G$5,J$5,$G325=$G$6,J$6,$G325=$G$7,J$7,$G325=$G$8,J$8,$G325=$G$9,J$9,$G325=$G$10,J$10,$G325=$G$11,J$11,$G325=$G$13,J$13,$G325=$G$15,J$15,$G325=$G$16,J$16,$G325=$G$33,J$33,$G325=$G$34,J$34,$G325=$G$248,J$248,$G325=$G$250,J$250)</f>
        <v>47</v>
      </c>
      <c r="K325" s="29" t="str" cm="1">
        <f t="array" ref="K325">_xlfn.IFS($G325=$G$5,K$5,$G325=$G$6,K$6,$G325=$G$7,K$7,$G325=$G$8,K$8,$G325=$G$9,K$9,$G325=$G$10,K$10,$G325=$G$11,K$11,$G325=$G$13,K$13,$G325=$G$15,K$15,$G325=$G$16,K$16,$G325=$G$33,K$33,$G325=$G$34,K$34,$G325=$G$248,K$248,$G325=$G$250,K$250)</f>
        <v>BG sentinel + BG lure7</v>
      </c>
      <c r="L325" s="29" t="str" cm="1">
        <f t="array" ref="L325">_xlfn.IFS($G325=$G$5,L$5,$G325=$G$6,L$6,$G325=$G$7,L$7,$G325=$G$8,L$8,$G325=$G$9,L$9,$G325=$G$10,L$10,$G325=$G$11,L$11,$G325=$G$13,L$13,$G325=$G$15,L$15,$G325=$G$16,L$16,$G325=$G$33,L$33,$G325=$G$34,L$34,$G325=$G$248,L$248,$G325=$G$250,L$250)</f>
        <v>Urban habitat</v>
      </c>
      <c r="O325" s="32" t="str">
        <f t="shared" si="16"/>
        <v>A_SP_BCN_3_201118</v>
      </c>
      <c r="P325" s="33">
        <v>44153</v>
      </c>
      <c r="Q325" s="34">
        <v>0.77083333333333337</v>
      </c>
      <c r="R325" s="35"/>
      <c r="S325" s="36">
        <v>44160</v>
      </c>
      <c r="T325" s="37">
        <v>0.75</v>
      </c>
      <c r="U325" s="38"/>
      <c r="V325" s="39" t="s">
        <v>66</v>
      </c>
      <c r="X325" s="29">
        <f t="shared" si="17"/>
        <v>7</v>
      </c>
      <c r="Y325" s="38"/>
      <c r="Z325" s="29" t="s">
        <v>68</v>
      </c>
      <c r="AA325" s="29">
        <f t="shared" si="14"/>
        <v>1</v>
      </c>
      <c r="AB325" s="29" t="s">
        <v>69</v>
      </c>
      <c r="AC325" s="29">
        <v>1</v>
      </c>
      <c r="AD325" s="29">
        <v>0</v>
      </c>
      <c r="AE325" s="29" t="s">
        <v>70</v>
      </c>
      <c r="AF325">
        <v>4</v>
      </c>
    </row>
    <row r="326" spans="1:32" x14ac:dyDescent="0.25">
      <c r="A326" s="28">
        <v>324</v>
      </c>
      <c r="B326" s="29" t="s">
        <v>60</v>
      </c>
      <c r="C326" s="29" t="s">
        <v>61</v>
      </c>
      <c r="D326" s="29" t="s">
        <v>62</v>
      </c>
      <c r="E326" s="29" t="s">
        <v>62</v>
      </c>
      <c r="F326" s="30" cm="1">
        <f t="array" ref="F326">_xlfn.IFS($G326=$G$5,F$5,$G326=$G$6,F$6,$G326=$G$7,F$7,$G326=$G$8,F$8,$G326=$G$9,F$9,$G326=$G$10,F$10,$G326=$G$11,F$11,$G326=$G$13,F$13,$G326=$G$15,F$15,$G326=$G$16,F$16,$G326=$G$33,F$33,$G326=$G$34,F$34,$G326=$G$248,F$248,$G326=$G$250,F$250)</f>
        <v>8016</v>
      </c>
      <c r="G326" s="29" t="s">
        <v>72</v>
      </c>
      <c r="H326" s="31" cm="1">
        <f t="array" ref="H326">_xlfn.IFS($G326=$G$5,H$5,$G326=$G$6,H$6,$G326=$G$7,H$7,$G326=$G$8,H$8,$G326=$G$9,H$9,$G326=$G$10,H$10,$G326=$G$11,H$11,$G326=$G$13,H$13,$G326=$G$15,H$15,$G326=$G$16,H$16,$G326=$G$33,H$33,$G326=$G$34,H$34,$G326=$G$248,H$248,$G326=$G$250,H$250)</f>
        <v>41.437435000000001</v>
      </c>
      <c r="I326" s="31" cm="1">
        <f t="array" ref="I326">_xlfn.IFS($G326=$G$5,I$5,$G326=$G$6,I$6,$G326=$G$7,I$7,$G326=$G$8,I$8,$G326=$G$9,I$9,$G326=$G$10,I$10,$G326=$G$11,I$11,$G326=$G$13,I$13,$G326=$G$15,I$15,$G326=$G$16,I$16,$G326=$G$33,I$33,$G326=$G$34,I$34,$G326=$G$248,I$248,$G326=$G$250,I$250)</f>
        <v>2.1812779999999998</v>
      </c>
      <c r="J326" s="29" cm="1">
        <f t="array" ref="J326">_xlfn.IFS($G326=$G$5,J$5,$G326=$G$6,J$6,$G326=$G$7,J$7,$G326=$G$8,J$8,$G326=$G$9,J$9,$G326=$G$10,J$10,$G326=$G$11,J$11,$G326=$G$13,J$13,$G326=$G$15,J$15,$G326=$G$16,J$16,$G326=$G$33,J$33,$G326=$G$34,J$34,$G326=$G$248,J$248,$G326=$G$250,J$250)</f>
        <v>47</v>
      </c>
      <c r="K326" s="29" t="str" cm="1">
        <f t="array" ref="K326">_xlfn.IFS($G326=$G$5,K$5,$G326=$G$6,K$6,$G326=$G$7,K$7,$G326=$G$8,K$8,$G326=$G$9,K$9,$G326=$G$10,K$10,$G326=$G$11,K$11,$G326=$G$13,K$13,$G326=$G$15,K$15,$G326=$G$16,K$16,$G326=$G$33,K$33,$G326=$G$34,K$34,$G326=$G$248,K$248,$G326=$G$250,K$250)</f>
        <v>BG sentinel + BG lure7</v>
      </c>
      <c r="L326" s="29" t="str" cm="1">
        <f t="array" ref="L326">_xlfn.IFS($G326=$G$5,L$5,$G326=$G$6,L$6,$G326=$G$7,L$7,$G326=$G$8,L$8,$G326=$G$9,L$9,$G326=$G$10,L$10,$G326=$G$11,L$11,$G326=$G$13,L$13,$G326=$G$15,L$15,$G326=$G$16,L$16,$G326=$G$33,L$33,$G326=$G$34,L$34,$G326=$G$248,L$248,$G326=$G$250,L$250)</f>
        <v>Urban habitat</v>
      </c>
      <c r="O326" s="32" t="str">
        <f t="shared" si="16"/>
        <v>A_SP_BCN_3_201118</v>
      </c>
      <c r="P326" s="33">
        <v>44153</v>
      </c>
      <c r="Q326" s="34">
        <v>0.77083333333333337</v>
      </c>
      <c r="R326" s="35"/>
      <c r="S326" s="36">
        <v>44160</v>
      </c>
      <c r="T326" s="37">
        <v>0.75</v>
      </c>
      <c r="U326" s="38"/>
      <c r="V326" s="39" t="s">
        <v>66</v>
      </c>
      <c r="X326" s="29">
        <f t="shared" si="17"/>
        <v>7</v>
      </c>
      <c r="Y326" s="38"/>
      <c r="Z326" s="29" t="s">
        <v>75</v>
      </c>
      <c r="AA326" s="29">
        <f t="shared" si="14"/>
        <v>7</v>
      </c>
      <c r="AB326" s="29" t="s">
        <v>69</v>
      </c>
      <c r="AC326" s="29">
        <v>6</v>
      </c>
      <c r="AD326" s="29">
        <v>1</v>
      </c>
      <c r="AE326" s="29" t="s">
        <v>70</v>
      </c>
      <c r="AF326">
        <v>4</v>
      </c>
    </row>
    <row r="327" spans="1:32" x14ac:dyDescent="0.25">
      <c r="A327" s="28">
        <v>325</v>
      </c>
      <c r="B327" s="29" t="s">
        <v>60</v>
      </c>
      <c r="C327" s="29" t="s">
        <v>61</v>
      </c>
      <c r="D327" s="29" t="s">
        <v>62</v>
      </c>
      <c r="E327" s="29" t="s">
        <v>62</v>
      </c>
      <c r="F327" s="30" cm="1">
        <f t="array" ref="F327">_xlfn.IFS($G327=$G$5,F$5,$G327=$G$6,F$6,$G327=$G$7,F$7,$G327=$G$8,F$8,$G327=$G$9,F$9,$G327=$G$10,F$10,$G327=$G$11,F$11,$G327=$G$13,F$13,$G327=$G$15,F$15,$G327=$G$16,F$16,$G327=$G$33,F$33,$G327=$G$34,F$34,$G327=$G$248,F$248,$G327=$G$250,F$250)</f>
        <v>8016</v>
      </c>
      <c r="G327" s="29" t="s">
        <v>72</v>
      </c>
      <c r="H327" s="31" cm="1">
        <f t="array" ref="H327">_xlfn.IFS($G327=$G$5,H$5,$G327=$G$6,H$6,$G327=$G$7,H$7,$G327=$G$8,H$8,$G327=$G$9,H$9,$G327=$G$10,H$10,$G327=$G$11,H$11,$G327=$G$13,H$13,$G327=$G$15,H$15,$G327=$G$16,H$16,$G327=$G$33,H$33,$G327=$G$34,H$34,$G327=$G$248,H$248,$G327=$G$250,H$250)</f>
        <v>41.437435000000001</v>
      </c>
      <c r="I327" s="31" cm="1">
        <f t="array" ref="I327">_xlfn.IFS($G327=$G$5,I$5,$G327=$G$6,I$6,$G327=$G$7,I$7,$G327=$G$8,I$8,$G327=$G$9,I$9,$G327=$G$10,I$10,$G327=$G$11,I$11,$G327=$G$13,I$13,$G327=$G$15,I$15,$G327=$G$16,I$16,$G327=$G$33,I$33,$G327=$G$34,I$34,$G327=$G$248,I$248,$G327=$G$250,I$250)</f>
        <v>2.1812779999999998</v>
      </c>
      <c r="J327" s="29" cm="1">
        <f t="array" ref="J327">_xlfn.IFS($G327=$G$5,J$5,$G327=$G$6,J$6,$G327=$G$7,J$7,$G327=$G$8,J$8,$G327=$G$9,J$9,$G327=$G$10,J$10,$G327=$G$11,J$11,$G327=$G$13,J$13,$G327=$G$15,J$15,$G327=$G$16,J$16,$G327=$G$33,J$33,$G327=$G$34,J$34,$G327=$G$248,J$248,$G327=$G$250,J$250)</f>
        <v>47</v>
      </c>
      <c r="K327" s="29" t="str" cm="1">
        <f t="array" ref="K327">_xlfn.IFS($G327=$G$5,K$5,$G327=$G$6,K$6,$G327=$G$7,K$7,$G327=$G$8,K$8,$G327=$G$9,K$9,$G327=$G$10,K$10,$G327=$G$11,K$11,$G327=$G$13,K$13,$G327=$G$15,K$15,$G327=$G$16,K$16,$G327=$G$33,K$33,$G327=$G$34,K$34,$G327=$G$248,K$248,$G327=$G$250,K$250)</f>
        <v>BG sentinel + BG lure7</v>
      </c>
      <c r="L327" s="29" t="str" cm="1">
        <f t="array" ref="L327">_xlfn.IFS($G327=$G$5,L$5,$G327=$G$6,L$6,$G327=$G$7,L$7,$G327=$G$8,L$8,$G327=$G$9,L$9,$G327=$G$10,L$10,$G327=$G$11,L$11,$G327=$G$13,L$13,$G327=$G$15,L$15,$G327=$G$16,L$16,$G327=$G$33,L$33,$G327=$G$34,L$34,$G327=$G$248,L$248,$G327=$G$250,L$250)</f>
        <v>Urban habitat</v>
      </c>
      <c r="O327" s="32" t="str">
        <f t="shared" si="16"/>
        <v>A_SP_BCN_3_201118</v>
      </c>
      <c r="P327" s="33">
        <v>44153</v>
      </c>
      <c r="Q327" s="34">
        <v>0.77083333333333337</v>
      </c>
      <c r="R327" s="35"/>
      <c r="S327" s="36">
        <v>44160</v>
      </c>
      <c r="T327" s="37">
        <v>0.75</v>
      </c>
      <c r="U327" s="38"/>
      <c r="V327" s="39" t="s">
        <v>66</v>
      </c>
      <c r="X327" s="29">
        <f t="shared" si="17"/>
        <v>7</v>
      </c>
      <c r="Y327" s="38"/>
      <c r="Z327" s="29" t="s">
        <v>84</v>
      </c>
      <c r="AA327" s="29">
        <f t="shared" si="14"/>
        <v>1</v>
      </c>
      <c r="AB327" s="29" t="s">
        <v>69</v>
      </c>
      <c r="AC327" s="29">
        <v>1</v>
      </c>
      <c r="AD327" s="29">
        <v>0</v>
      </c>
      <c r="AE327" s="29" t="s">
        <v>70</v>
      </c>
      <c r="AF327">
        <v>4</v>
      </c>
    </row>
    <row r="328" spans="1:32" x14ac:dyDescent="0.25">
      <c r="A328" s="28">
        <v>326</v>
      </c>
      <c r="B328" s="29" t="s">
        <v>60</v>
      </c>
      <c r="C328" s="29" t="s">
        <v>61</v>
      </c>
      <c r="D328" s="29" t="s">
        <v>62</v>
      </c>
      <c r="E328" s="29" t="s">
        <v>62</v>
      </c>
      <c r="F328" s="30" cm="1">
        <f t="array" ref="F328">_xlfn.IFS($G328=$G$5,F$5,$G328=$G$6,F$6,$G328=$G$7,F$7,$G328=$G$8,F$8,$G328=$G$9,F$9,$G328=$G$10,F$10,$G328=$G$11,F$11,$G328=$G$13,F$13,$G328=$G$15,F$15,$G328=$G$16,F$16,$G328=$G$33,F$33,$G328=$G$34,F$34,$G328=$G$248,F$248,$G328=$G$250,F$250)</f>
        <v>8018</v>
      </c>
      <c r="G328" s="29" t="s">
        <v>73</v>
      </c>
      <c r="H328" s="31" cm="1">
        <f t="array" ref="H328">_xlfn.IFS($G328=$G$5,H$5,$G328=$G$6,H$6,$G328=$G$7,H$7,$G328=$G$8,H$8,$G328=$G$9,H$9,$G328=$G$10,H$10,$G328=$G$11,H$11,$G328=$G$13,H$13,$G328=$G$15,H$15,$G328=$G$16,H$16,$G328=$G$33,H$33,$G328=$G$34,H$34,$G328=$G$248,H$248,$G328=$G$250,H$250)</f>
        <v>41.404924999999999</v>
      </c>
      <c r="I328" s="31" cm="1">
        <f t="array" ref="I328">_xlfn.IFS($G328=$G$5,I$5,$G328=$G$6,I$6,$G328=$G$7,I$7,$G328=$G$8,I$8,$G328=$G$9,I$9,$G328=$G$10,I$10,$G328=$G$11,I$11,$G328=$G$13,I$13,$G328=$G$15,I$15,$G328=$G$16,I$16,$G328=$G$33,I$33,$G328=$G$34,I$34,$G328=$G$248,I$248,$G328=$G$250,I$250)</f>
        <v>2.1987909999999999</v>
      </c>
      <c r="J328" s="29" cm="1">
        <f t="array" ref="J328">_xlfn.IFS($G328=$G$5,J$5,$G328=$G$6,J$6,$G328=$G$7,J$7,$G328=$G$8,J$8,$G328=$G$9,J$9,$G328=$G$10,J$10,$G328=$G$11,J$11,$G328=$G$13,J$13,$G328=$G$15,J$15,$G328=$G$16,J$16,$G328=$G$33,J$33,$G328=$G$34,J$34,$G328=$G$248,J$248,$G328=$G$250,J$250)</f>
        <v>4</v>
      </c>
      <c r="K328" s="29" t="str" cm="1">
        <f t="array" ref="K328">_xlfn.IFS($G328=$G$5,K$5,$G328=$G$6,K$6,$G328=$G$7,K$7,$G328=$G$8,K$8,$G328=$G$9,K$9,$G328=$G$10,K$10,$G328=$G$11,K$11,$G328=$G$13,K$13,$G328=$G$15,K$15,$G328=$G$16,K$16,$G328=$G$33,K$33,$G328=$G$34,K$34,$G328=$G$248,K$248,$G328=$G$250,K$250)</f>
        <v>BG sentinel + BG lure7</v>
      </c>
      <c r="L328" s="29" t="str" cm="1">
        <f t="array" ref="L328">_xlfn.IFS($G328=$G$5,L$5,$G328=$G$6,L$6,$G328=$G$7,L$7,$G328=$G$8,L$8,$G328=$G$9,L$9,$G328=$G$10,L$10,$G328=$G$11,L$11,$G328=$G$13,L$13,$G328=$G$15,L$15,$G328=$G$16,L$16,$G328=$G$33,L$33,$G328=$G$34,L$34,$G328=$G$248,L$248,$G328=$G$250,L$250)</f>
        <v>Urban habitat</v>
      </c>
      <c r="O328" s="32" t="str">
        <f t="shared" si="16"/>
        <v>A_SP_BCN_4_201118</v>
      </c>
      <c r="P328" s="33">
        <v>44153</v>
      </c>
      <c r="Q328" s="34">
        <v>0.59722222222222221</v>
      </c>
      <c r="R328" s="35"/>
      <c r="S328" s="36">
        <v>44160</v>
      </c>
      <c r="T328" s="37">
        <v>0.70138888888888884</v>
      </c>
      <c r="U328" s="38"/>
      <c r="V328" s="39" t="s">
        <v>66</v>
      </c>
      <c r="X328" s="29">
        <f t="shared" si="17"/>
        <v>7</v>
      </c>
      <c r="Y328" s="38"/>
      <c r="AA328" s="29">
        <f t="shared" si="14"/>
        <v>0</v>
      </c>
      <c r="AF328">
        <v>4</v>
      </c>
    </row>
    <row r="329" spans="1:32" x14ac:dyDescent="0.25">
      <c r="A329" s="28">
        <v>327</v>
      </c>
      <c r="B329" s="29" t="s">
        <v>60</v>
      </c>
      <c r="C329" s="29" t="s">
        <v>61</v>
      </c>
      <c r="D329" s="29" t="s">
        <v>62</v>
      </c>
      <c r="E329" s="29" t="s">
        <v>62</v>
      </c>
      <c r="F329" s="30" cm="1">
        <f t="array" ref="F329">_xlfn.IFS($G329=$G$5,F$5,$G329=$G$6,F$6,$G329=$G$7,F$7,$G329=$G$8,F$8,$G329=$G$9,F$9,$G329=$G$10,F$10,$G329=$G$11,F$11,$G329=$G$13,F$13,$G329=$G$15,F$15,$G329=$G$16,F$16,$G329=$G$33,F$33,$G329=$G$34,F$34,$G329=$G$248,F$248,$G329=$G$250,F$250)</f>
        <v>8019</v>
      </c>
      <c r="G329" s="29" t="s">
        <v>74</v>
      </c>
      <c r="H329" s="31" cm="1">
        <f t="array" ref="H329">_xlfn.IFS($G329=$G$5,H$5,$G329=$G$6,H$6,$G329=$G$7,H$7,$G329=$G$8,H$8,$G329=$G$9,H$9,$G329=$G$10,H$10,$G329=$G$11,H$11,$G329=$G$13,H$13,$G329=$G$15,H$15,$G329=$G$16,H$16,$G329=$G$33,H$33,$G329=$G$34,H$34,$G329=$G$248,H$248,$G329=$G$250,H$250)</f>
        <v>41.410684000000003</v>
      </c>
      <c r="I329" s="31" cm="1">
        <f t="array" ref="I329">_xlfn.IFS($G329=$G$5,I$5,$G329=$G$6,I$6,$G329=$G$7,I$7,$G329=$G$8,I$8,$G329=$G$9,I$9,$G329=$G$10,I$10,$G329=$G$11,I$11,$G329=$G$13,I$13,$G329=$G$15,I$15,$G329=$G$16,I$16,$G329=$G$33,I$33,$G329=$G$34,I$34,$G329=$G$248,I$248,$G329=$G$250,I$250)</f>
        <v>2.2208019999999999</v>
      </c>
      <c r="J329" s="29" cm="1">
        <f t="array" ref="J329">_xlfn.IFS($G329=$G$5,J$5,$G329=$G$6,J$6,$G329=$G$7,J$7,$G329=$G$8,J$8,$G329=$G$9,J$9,$G329=$G$10,J$10,$G329=$G$11,J$11,$G329=$G$13,J$13,$G329=$G$15,J$15,$G329=$G$16,J$16,$G329=$G$33,J$33,$G329=$G$34,J$34,$G329=$G$248,J$248,$G329=$G$250,J$250)</f>
        <v>18</v>
      </c>
      <c r="K329" s="29" t="str" cm="1">
        <f t="array" ref="K329">_xlfn.IFS($G329=$G$5,K$5,$G329=$G$6,K$6,$G329=$G$7,K$7,$G329=$G$8,K$8,$G329=$G$9,K$9,$G329=$G$10,K$10,$G329=$G$11,K$11,$G329=$G$13,K$13,$G329=$G$15,K$15,$G329=$G$16,K$16,$G329=$G$33,K$33,$G329=$G$34,K$34,$G329=$G$248,K$248,$G329=$G$250,K$250)</f>
        <v>BG sentinel + BG lure7</v>
      </c>
      <c r="L329" s="29" t="str" cm="1">
        <f t="array" ref="L329">_xlfn.IFS($G329=$G$5,L$5,$G329=$G$6,L$6,$G329=$G$7,L$7,$G329=$G$8,L$8,$G329=$G$9,L$9,$G329=$G$10,L$10,$G329=$G$11,L$11,$G329=$G$13,L$13,$G329=$G$15,L$15,$G329=$G$16,L$16,$G329=$G$33,L$33,$G329=$G$34,L$34,$G329=$G$248,L$248,$G329=$G$250,L$250)</f>
        <v>Urban habitat</v>
      </c>
      <c r="O329" s="32" t="str">
        <f t="shared" si="16"/>
        <v>A_SP_BCN_5_201118</v>
      </c>
      <c r="P329" s="33">
        <v>44153</v>
      </c>
      <c r="Q329" s="34">
        <v>0.62152777777777779</v>
      </c>
      <c r="R329" s="35"/>
      <c r="S329" s="36">
        <v>44160</v>
      </c>
      <c r="T329" s="37">
        <v>0.71875</v>
      </c>
      <c r="U329" s="38"/>
      <c r="V329" s="39" t="s">
        <v>66</v>
      </c>
      <c r="X329" s="29">
        <f t="shared" si="17"/>
        <v>7</v>
      </c>
      <c r="Y329" s="38"/>
      <c r="Z329" s="29" t="s">
        <v>75</v>
      </c>
      <c r="AA329" s="29">
        <f t="shared" ref="AA329:AA353" si="18">SUM(AC329:AD329)</f>
        <v>1</v>
      </c>
      <c r="AB329" s="29" t="s">
        <v>69</v>
      </c>
      <c r="AC329" s="29">
        <v>1</v>
      </c>
      <c r="AD329" s="29">
        <v>0</v>
      </c>
      <c r="AE329" s="29" t="s">
        <v>70</v>
      </c>
      <c r="AF329">
        <v>4</v>
      </c>
    </row>
    <row r="330" spans="1:32" x14ac:dyDescent="0.25">
      <c r="A330" s="28">
        <v>328</v>
      </c>
      <c r="B330" s="29" t="s">
        <v>60</v>
      </c>
      <c r="C330" s="29" t="s">
        <v>61</v>
      </c>
      <c r="D330" s="29" t="s">
        <v>62</v>
      </c>
      <c r="E330" s="29" t="s">
        <v>62</v>
      </c>
      <c r="F330" s="30" cm="1">
        <f t="array" ref="F330">_xlfn.IFS($G330=$G$5,F$5,$G330=$G$6,F$6,$G330=$G$7,F$7,$G330=$G$8,F$8,$G330=$G$9,F$9,$G330=$G$10,F$10,$G330=$G$11,F$11,$G330=$G$13,F$13,$G330=$G$15,F$15,$G330=$G$16,F$16,$G330=$G$33,F$33,$G330=$G$34,F$34,$G330=$G$248,F$248,$G330=$G$250,F$250)</f>
        <v>8002</v>
      </c>
      <c r="G330" s="29" t="s">
        <v>76</v>
      </c>
      <c r="H330" s="31" cm="1">
        <f t="array" ref="H330">_xlfn.IFS($G330=$G$5,H$5,$G330=$G$6,H$6,$G330=$G$7,H$7,$G330=$G$8,H$8,$G330=$G$9,H$9,$G330=$G$10,H$10,$G330=$G$11,H$11,$G330=$G$13,H$13,$G330=$G$15,H$15,$G330=$G$16,H$16,$G330=$G$33,H$33,$G330=$G$34,H$34,$G330=$G$248,H$248,$G330=$G$250,H$250)</f>
        <v>41.382339999999999</v>
      </c>
      <c r="I330" s="31" cm="1">
        <f t="array" ref="I330">_xlfn.IFS($G330=$G$5,I$5,$G330=$G$6,I$6,$G330=$G$7,I$7,$G330=$G$8,I$8,$G330=$G$9,I$9,$G330=$G$10,I$10,$G330=$G$11,I$11,$G330=$G$13,I$13,$G330=$G$15,I$15,$G330=$G$16,I$16,$G330=$G$33,I$33,$G330=$G$34,I$34,$G330=$G$248,I$248,$G330=$G$250,I$250)</f>
        <v>2.1714790000000002</v>
      </c>
      <c r="J330" s="29" cm="1">
        <f t="array" ref="J330">_xlfn.IFS($G330=$G$5,J$5,$G330=$G$6,J$6,$G330=$G$7,J$7,$G330=$G$8,J$8,$G330=$G$9,J$9,$G330=$G$10,J$10,$G330=$G$11,J$11,$G330=$G$13,J$13,$G330=$G$15,J$15,$G330=$G$16,J$16,$G330=$G$33,J$33,$G330=$G$34,J$34,$G330=$G$248,J$248,$G330=$G$250,J$250)</f>
        <v>19</v>
      </c>
      <c r="K330" s="29" t="str" cm="1">
        <f t="array" ref="K330">_xlfn.IFS($G330=$G$5,K$5,$G330=$G$6,K$6,$G330=$G$7,K$7,$G330=$G$8,K$8,$G330=$G$9,K$9,$G330=$G$10,K$10,$G330=$G$11,K$11,$G330=$G$13,K$13,$G330=$G$15,K$15,$G330=$G$16,K$16,$G330=$G$33,K$33,$G330=$G$34,K$34,$G330=$G$248,K$248,$G330=$G$250,K$250)</f>
        <v>BG sentinel + BG lure7</v>
      </c>
      <c r="L330" s="29" t="str" cm="1">
        <f t="array" ref="L330">_xlfn.IFS($G330=$G$5,L$5,$G330=$G$6,L$6,$G330=$G$7,L$7,$G330=$G$8,L$8,$G330=$G$9,L$9,$G330=$G$10,L$10,$G330=$G$11,L$11,$G330=$G$13,L$13,$G330=$G$15,L$15,$G330=$G$16,L$16,$G330=$G$33,L$33,$G330=$G$34,L$34,$G330=$G$248,L$248,$G330=$G$250,L$250)</f>
        <v>Urban habitat</v>
      </c>
      <c r="O330" s="32" t="str">
        <f t="shared" si="16"/>
        <v>A_SP_BCN_6_201118</v>
      </c>
      <c r="P330" s="33">
        <v>44153</v>
      </c>
      <c r="Q330" s="34">
        <v>0.56944444444444442</v>
      </c>
      <c r="R330" s="35"/>
      <c r="S330" s="36">
        <v>44160</v>
      </c>
      <c r="T330" s="37">
        <v>0.63541666666666663</v>
      </c>
      <c r="U330" s="38"/>
      <c r="V330" s="39" t="s">
        <v>66</v>
      </c>
      <c r="X330" s="29">
        <f t="shared" si="17"/>
        <v>7</v>
      </c>
      <c r="Y330" s="38"/>
      <c r="Z330" s="29" t="s">
        <v>68</v>
      </c>
      <c r="AA330" s="29">
        <f t="shared" si="18"/>
        <v>2</v>
      </c>
      <c r="AB330" s="29" t="s">
        <v>69</v>
      </c>
      <c r="AC330" s="29">
        <v>2</v>
      </c>
      <c r="AD330" s="29">
        <v>0</v>
      </c>
      <c r="AE330" s="29" t="s">
        <v>70</v>
      </c>
      <c r="AF330">
        <v>4</v>
      </c>
    </row>
    <row r="331" spans="1:32" x14ac:dyDescent="0.25">
      <c r="A331" s="28">
        <v>329</v>
      </c>
      <c r="B331" s="29" t="s">
        <v>60</v>
      </c>
      <c r="C331" s="29" t="s">
        <v>61</v>
      </c>
      <c r="D331" s="29" t="s">
        <v>62</v>
      </c>
      <c r="E331" s="29" t="s">
        <v>62</v>
      </c>
      <c r="F331" s="30" cm="1">
        <f t="array" ref="F331">_xlfn.IFS($G331=$G$5,F$5,$G331=$G$6,F$6,$G331=$G$7,F$7,$G331=$G$8,F$8,$G331=$G$9,F$9,$G331=$G$10,F$10,$G331=$G$11,F$11,$G331=$G$13,F$13,$G331=$G$15,F$15,$G331=$G$16,F$16,$G331=$G$33,F$33,$G331=$G$34,F$34,$G331=$G$248,F$248,$G331=$G$250,F$250)</f>
        <v>8002</v>
      </c>
      <c r="G331" s="29" t="s">
        <v>76</v>
      </c>
      <c r="H331" s="31" cm="1">
        <f t="array" ref="H331">_xlfn.IFS($G331=$G$5,H$5,$G331=$G$6,H$6,$G331=$G$7,H$7,$G331=$G$8,H$8,$G331=$G$9,H$9,$G331=$G$10,H$10,$G331=$G$11,H$11,$G331=$G$13,H$13,$G331=$G$15,H$15,$G331=$G$16,H$16,$G331=$G$33,H$33,$G331=$G$34,H$34,$G331=$G$248,H$248,$G331=$G$250,H$250)</f>
        <v>41.382339999999999</v>
      </c>
      <c r="I331" s="31" cm="1">
        <f t="array" ref="I331">_xlfn.IFS($G331=$G$5,I$5,$G331=$G$6,I$6,$G331=$G$7,I$7,$G331=$G$8,I$8,$G331=$G$9,I$9,$G331=$G$10,I$10,$G331=$G$11,I$11,$G331=$G$13,I$13,$G331=$G$15,I$15,$G331=$G$16,I$16,$G331=$G$33,I$33,$G331=$G$34,I$34,$G331=$G$248,I$248,$G331=$G$250,I$250)</f>
        <v>2.1714790000000002</v>
      </c>
      <c r="J331" s="29" cm="1">
        <f t="array" ref="J331">_xlfn.IFS($G331=$G$5,J$5,$G331=$G$6,J$6,$G331=$G$7,J$7,$G331=$G$8,J$8,$G331=$G$9,J$9,$G331=$G$10,J$10,$G331=$G$11,J$11,$G331=$G$13,J$13,$G331=$G$15,J$15,$G331=$G$16,J$16,$G331=$G$33,J$33,$G331=$G$34,J$34,$G331=$G$248,J$248,$G331=$G$250,J$250)</f>
        <v>19</v>
      </c>
      <c r="K331" s="29" t="str" cm="1">
        <f t="array" ref="K331">_xlfn.IFS($G331=$G$5,K$5,$G331=$G$6,K$6,$G331=$G$7,K$7,$G331=$G$8,K$8,$G331=$G$9,K$9,$G331=$G$10,K$10,$G331=$G$11,K$11,$G331=$G$13,K$13,$G331=$G$15,K$15,$G331=$G$16,K$16,$G331=$G$33,K$33,$G331=$G$34,K$34,$G331=$G$248,K$248,$G331=$G$250,K$250)</f>
        <v>BG sentinel + BG lure7</v>
      </c>
      <c r="L331" s="29" t="str" cm="1">
        <f t="array" ref="L331">_xlfn.IFS($G331=$G$5,L$5,$G331=$G$6,L$6,$G331=$G$7,L$7,$G331=$G$8,L$8,$G331=$G$9,L$9,$G331=$G$10,L$10,$G331=$G$11,L$11,$G331=$G$13,L$13,$G331=$G$15,L$15,$G331=$G$16,L$16,$G331=$G$33,L$33,$G331=$G$34,L$34,$G331=$G$248,L$248,$G331=$G$250,L$250)</f>
        <v>Urban habitat</v>
      </c>
      <c r="O331" s="32" t="str">
        <f t="shared" si="16"/>
        <v>A_SP_BCN_6_201118</v>
      </c>
      <c r="P331" s="33">
        <v>44153</v>
      </c>
      <c r="Q331" s="34">
        <v>0.56944444444444442</v>
      </c>
      <c r="R331" s="35"/>
      <c r="S331" s="36">
        <v>44160</v>
      </c>
      <c r="T331" s="37">
        <v>0.63541666666666663</v>
      </c>
      <c r="U331" s="38"/>
      <c r="V331" s="39" t="s">
        <v>66</v>
      </c>
      <c r="X331" s="29">
        <f t="shared" si="17"/>
        <v>7</v>
      </c>
      <c r="Y331" s="38"/>
      <c r="Z331" s="29" t="s">
        <v>84</v>
      </c>
      <c r="AA331" s="29">
        <f t="shared" si="18"/>
        <v>2</v>
      </c>
      <c r="AB331" s="29" t="s">
        <v>69</v>
      </c>
      <c r="AC331" s="29">
        <v>0</v>
      </c>
      <c r="AD331" s="29">
        <v>2</v>
      </c>
      <c r="AE331" s="29" t="s">
        <v>70</v>
      </c>
      <c r="AF331">
        <v>4</v>
      </c>
    </row>
    <row r="332" spans="1:32" x14ac:dyDescent="0.25">
      <c r="A332" s="28">
        <v>330</v>
      </c>
      <c r="B332" s="29" t="s">
        <v>60</v>
      </c>
      <c r="C332" s="29" t="s">
        <v>61</v>
      </c>
      <c r="D332" s="29" t="s">
        <v>62</v>
      </c>
      <c r="E332" s="29" t="s">
        <v>62</v>
      </c>
      <c r="F332" s="30" cm="1">
        <f t="array" ref="F332">_xlfn.IFS($G332=$G$5,F$5,$G332=$G$6,F$6,$G332=$G$7,F$7,$G332=$G$8,F$8,$G332=$G$9,F$9,$G332=$G$10,F$10,$G332=$G$11,F$11,$G332=$G$13,F$13,$G332=$G$15,F$15,$G332=$G$16,F$16,$G332=$G$33,F$33,$G332=$G$34,F$34,$G332=$G$248,F$248,$G332=$G$250,F$250)</f>
        <v>8038</v>
      </c>
      <c r="G332" s="29" t="s">
        <v>77</v>
      </c>
      <c r="H332" s="31" cm="1">
        <f t="array" ref="H332">_xlfn.IFS($G332=$G$5,H$5,$G332=$G$6,H$6,$G332=$G$7,H$7,$G332=$G$8,H$8,$G332=$G$9,H$9,$G332=$G$10,H$10,$G332=$G$11,H$11,$G332=$G$13,H$13,$G332=$G$15,H$15,$G332=$G$16,H$16,$G332=$G$33,H$33,$G332=$G$34,H$34,$G332=$G$248,H$248,$G332=$G$250,H$250)</f>
        <v>41.371864000000002</v>
      </c>
      <c r="I332" s="31" cm="1">
        <f t="array" ref="I332">_xlfn.IFS($G332=$G$5,I$5,$G332=$G$6,I$6,$G332=$G$7,I$7,$G332=$G$8,I$8,$G332=$G$9,I$9,$G332=$G$10,I$10,$G332=$G$11,I$11,$G332=$G$13,I$13,$G332=$G$15,I$15,$G332=$G$16,I$16,$G332=$G$33,I$33,$G332=$G$34,I$34,$G332=$G$248,I$248,$G332=$G$250,I$250)</f>
        <v>2.173899</v>
      </c>
      <c r="J332" s="29" cm="1">
        <f t="array" ref="J332">_xlfn.IFS($G332=$G$5,J$5,$G332=$G$6,J$6,$G332=$G$7,J$7,$G332=$G$8,J$8,$G332=$G$9,J$9,$G332=$G$10,J$10,$G332=$G$11,J$11,$G332=$G$13,J$13,$G332=$G$15,J$15,$G332=$G$16,J$16,$G332=$G$33,J$33,$G332=$G$34,J$34,$G332=$G$248,J$248,$G332=$G$250,J$250)</f>
        <v>5</v>
      </c>
      <c r="K332" s="29" t="str" cm="1">
        <f t="array" ref="K332">_xlfn.IFS($G332=$G$5,K$5,$G332=$G$6,K$6,$G332=$G$7,K$7,$G332=$G$8,K$8,$G332=$G$9,K$9,$G332=$G$10,K$10,$G332=$G$11,K$11,$G332=$G$13,K$13,$G332=$G$15,K$15,$G332=$G$16,K$16,$G332=$G$33,K$33,$G332=$G$34,K$34,$G332=$G$248,K$248,$G332=$G$250,K$250)</f>
        <v>BG sentinel + BG lure7</v>
      </c>
      <c r="L332" s="29" t="str" cm="1">
        <f t="array" ref="L332">_xlfn.IFS($G332=$G$5,L$5,$G332=$G$6,L$6,$G332=$G$7,L$7,$G332=$G$8,L$8,$G332=$G$9,L$9,$G332=$G$10,L$10,$G332=$G$11,L$11,$G332=$G$13,L$13,$G332=$G$15,L$15,$G332=$G$16,L$16,$G332=$G$33,L$33,$G332=$G$34,L$34,$G332=$G$248,L$248,$G332=$G$250,L$250)</f>
        <v>Urban habitat</v>
      </c>
      <c r="O332" s="32" t="str">
        <f t="shared" si="16"/>
        <v>A_SP_BCN_7_201118</v>
      </c>
      <c r="P332" s="33">
        <v>44153</v>
      </c>
      <c r="Q332" s="34">
        <v>0.51041666666666663</v>
      </c>
      <c r="R332" s="35"/>
      <c r="S332" s="36">
        <v>44160</v>
      </c>
      <c r="T332" s="37">
        <v>0.58680555555555558</v>
      </c>
      <c r="U332" s="38"/>
      <c r="V332" s="39" t="s">
        <v>66</v>
      </c>
      <c r="X332" s="29">
        <f t="shared" si="17"/>
        <v>7</v>
      </c>
      <c r="Y332" s="38"/>
      <c r="AA332" s="29">
        <f t="shared" si="18"/>
        <v>0</v>
      </c>
      <c r="AF332">
        <v>4</v>
      </c>
    </row>
    <row r="333" spans="1:32" x14ac:dyDescent="0.25">
      <c r="A333" s="28">
        <v>331</v>
      </c>
      <c r="B333" s="29" t="s">
        <v>60</v>
      </c>
      <c r="C333" s="29" t="s">
        <v>61</v>
      </c>
      <c r="D333" s="29" t="s">
        <v>62</v>
      </c>
      <c r="E333" s="29" t="s">
        <v>62</v>
      </c>
      <c r="F333" s="30" cm="1">
        <f t="array" ref="F333">_xlfn.IFS($G333=$G$5,F$5,$G333=$G$6,F$6,$G333=$G$7,F$7,$G333=$G$8,F$8,$G333=$G$9,F$9,$G333=$G$10,F$10,$G333=$G$11,F$11,$G333=$G$13,F$13,$G333=$G$15,F$15,$G333=$G$16,F$16,$G333=$G$33,F$33,$G333=$G$34,F$34,$G333=$G$248,F$248,$G333=$G$250,F$250)</f>
        <v>8038</v>
      </c>
      <c r="G333" s="29" t="s">
        <v>78</v>
      </c>
      <c r="H333" s="31" cm="1">
        <f t="array" ref="H333">_xlfn.IFS($G333=$G$5,H$5,$G333=$G$6,H$6,$G333=$G$7,H$7,$G333=$G$8,H$8,$G333=$G$9,H$9,$G333=$G$10,H$10,$G333=$G$11,H$11,$G333=$G$13,H$13,$G333=$G$15,H$15,$G333=$G$16,H$16,$G333=$G$33,H$33,$G333=$G$34,H$34,$G333=$G$248,H$248,$G333=$G$250,H$250)</f>
        <v>41.368589</v>
      </c>
      <c r="I333" s="31" cm="1">
        <f t="array" ref="I333">_xlfn.IFS($G333=$G$5,I$5,$G333=$G$6,I$6,$G333=$G$7,I$7,$G333=$G$8,I$8,$G333=$G$9,I$9,$G333=$G$10,I$10,$G333=$G$11,I$11,$G333=$G$13,I$13,$G333=$G$15,I$15,$G333=$G$16,I$16,$G333=$G$33,I$33,$G333=$G$34,I$34,$G333=$G$248,I$248,$G333=$G$250,I$250)</f>
        <v>2.1620900000000001</v>
      </c>
      <c r="J333" s="29" cm="1">
        <f t="array" ref="J333">_xlfn.IFS($G333=$G$5,J$5,$G333=$G$6,J$6,$G333=$G$7,J$7,$G333=$G$8,J$8,$G333=$G$9,J$9,$G333=$G$10,J$10,$G333=$G$11,J$11,$G333=$G$13,J$13,$G333=$G$15,J$15,$G333=$G$16,J$16,$G333=$G$33,J$33,$G333=$G$34,J$34,$G333=$G$248,J$248,$G333=$G$250,J$250)</f>
        <v>95</v>
      </c>
      <c r="K333" s="29" t="str" cm="1">
        <f t="array" ref="K333">_xlfn.IFS($G333=$G$5,K$5,$G333=$G$6,K$6,$G333=$G$7,K$7,$G333=$G$8,K$8,$G333=$G$9,K$9,$G333=$G$10,K$10,$G333=$G$11,K$11,$G333=$G$13,K$13,$G333=$G$15,K$15,$G333=$G$16,K$16,$G333=$G$33,K$33,$G333=$G$34,K$34,$G333=$G$248,K$248,$G333=$G$250,K$250)</f>
        <v>BG sentinel + BG lure7</v>
      </c>
      <c r="L333" s="29" t="str" cm="1">
        <f t="array" ref="L333">_xlfn.IFS($G333=$G$5,L$5,$G333=$G$6,L$6,$G333=$G$7,L$7,$G333=$G$8,L$8,$G333=$G$9,L$9,$G333=$G$10,L$10,$G333=$G$11,L$11,$G333=$G$13,L$13,$G333=$G$15,L$15,$G333=$G$16,L$16,$G333=$G$33,L$33,$G333=$G$34,L$34,$G333=$G$248,L$248,$G333=$G$250,L$250)</f>
        <v>Other</v>
      </c>
      <c r="O333" s="32" t="str">
        <f t="shared" si="16"/>
        <v>A_SP_BCN_8_201118</v>
      </c>
      <c r="P333" s="33">
        <v>44153</v>
      </c>
      <c r="Q333" s="34">
        <v>0.52777777777777779</v>
      </c>
      <c r="R333" s="35"/>
      <c r="S333" s="36">
        <v>44160</v>
      </c>
      <c r="T333" s="37">
        <v>0.59722222222222221</v>
      </c>
      <c r="U333" s="38"/>
      <c r="V333" s="39" t="s">
        <v>66</v>
      </c>
      <c r="X333" s="29">
        <f t="shared" si="17"/>
        <v>7</v>
      </c>
      <c r="Y333" s="38"/>
      <c r="Z333" s="29" t="s">
        <v>68</v>
      </c>
      <c r="AA333" s="29">
        <f t="shared" si="18"/>
        <v>2</v>
      </c>
      <c r="AB333" s="29" t="s">
        <v>69</v>
      </c>
      <c r="AC333" s="29">
        <v>2</v>
      </c>
      <c r="AD333" s="29">
        <v>0</v>
      </c>
      <c r="AE333" s="29" t="s">
        <v>70</v>
      </c>
      <c r="AF333">
        <v>4</v>
      </c>
    </row>
    <row r="334" spans="1:32" x14ac:dyDescent="0.25">
      <c r="A334" s="28">
        <v>332</v>
      </c>
      <c r="B334" s="29" t="s">
        <v>60</v>
      </c>
      <c r="C334" s="29" t="s">
        <v>61</v>
      </c>
      <c r="D334" s="29" t="s">
        <v>62</v>
      </c>
      <c r="E334" s="29" t="s">
        <v>62</v>
      </c>
      <c r="F334" s="30" cm="1">
        <f t="array" ref="F334">_xlfn.IFS($G334=$G$5,F$5,$G334=$G$6,F$6,$G334=$G$7,F$7,$G334=$G$8,F$8,$G334=$G$9,F$9,$G334=$G$10,F$10,$G334=$G$11,F$11,$G334=$G$13,F$13,$G334=$G$15,F$15,$G334=$G$16,F$16,$G334=$G$33,F$33,$G334=$G$34,F$34,$G334=$G$248,F$248,$G334=$G$250,F$250)</f>
        <v>8038</v>
      </c>
      <c r="G334" s="29" t="s">
        <v>78</v>
      </c>
      <c r="H334" s="31" cm="1">
        <f t="array" ref="H334">_xlfn.IFS($G334=$G$5,H$5,$G334=$G$6,H$6,$G334=$G$7,H$7,$G334=$G$8,H$8,$G334=$G$9,H$9,$G334=$G$10,H$10,$G334=$G$11,H$11,$G334=$G$13,H$13,$G334=$G$15,H$15,$G334=$G$16,H$16,$G334=$G$33,H$33,$G334=$G$34,H$34,$G334=$G$248,H$248,$G334=$G$250,H$250)</f>
        <v>41.368589</v>
      </c>
      <c r="I334" s="31" cm="1">
        <f t="array" ref="I334">_xlfn.IFS($G334=$G$5,I$5,$G334=$G$6,I$6,$G334=$G$7,I$7,$G334=$G$8,I$8,$G334=$G$9,I$9,$G334=$G$10,I$10,$G334=$G$11,I$11,$G334=$G$13,I$13,$G334=$G$15,I$15,$G334=$G$16,I$16,$G334=$G$33,I$33,$G334=$G$34,I$34,$G334=$G$248,I$248,$G334=$G$250,I$250)</f>
        <v>2.1620900000000001</v>
      </c>
      <c r="J334" s="29" cm="1">
        <f t="array" ref="J334">_xlfn.IFS($G334=$G$5,J$5,$G334=$G$6,J$6,$G334=$G$7,J$7,$G334=$G$8,J$8,$G334=$G$9,J$9,$G334=$G$10,J$10,$G334=$G$11,J$11,$G334=$G$13,J$13,$G334=$G$15,J$15,$G334=$G$16,J$16,$G334=$G$33,J$33,$G334=$G$34,J$34,$G334=$G$248,J$248,$G334=$G$250,J$250)</f>
        <v>95</v>
      </c>
      <c r="K334" s="29" t="str" cm="1">
        <f t="array" ref="K334">_xlfn.IFS($G334=$G$5,K$5,$G334=$G$6,K$6,$G334=$G$7,K$7,$G334=$G$8,K$8,$G334=$G$9,K$9,$G334=$G$10,K$10,$G334=$G$11,K$11,$G334=$G$13,K$13,$G334=$G$15,K$15,$G334=$G$16,K$16,$G334=$G$33,K$33,$G334=$G$34,K$34,$G334=$G$248,K$248,$G334=$G$250,K$250)</f>
        <v>BG sentinel + BG lure7</v>
      </c>
      <c r="L334" s="29" t="str" cm="1">
        <f t="array" ref="L334">_xlfn.IFS($G334=$G$5,L$5,$G334=$G$6,L$6,$G334=$G$7,L$7,$G334=$G$8,L$8,$G334=$G$9,L$9,$G334=$G$10,L$10,$G334=$G$11,L$11,$G334=$G$13,L$13,$G334=$G$15,L$15,$G334=$G$16,L$16,$G334=$G$33,L$33,$G334=$G$34,L$34,$G334=$G$248,L$248,$G334=$G$250,L$250)</f>
        <v>Other</v>
      </c>
      <c r="O334" s="32" t="str">
        <f t="shared" si="16"/>
        <v>A_SP_BCN_8_201118</v>
      </c>
      <c r="P334" s="33">
        <v>44153</v>
      </c>
      <c r="Q334" s="34">
        <v>0.52777777777777779</v>
      </c>
      <c r="R334" s="35"/>
      <c r="S334" s="36">
        <v>44160</v>
      </c>
      <c r="T334" s="37">
        <v>0.59722222222222221</v>
      </c>
      <c r="U334" s="38"/>
      <c r="V334" s="39" t="s">
        <v>66</v>
      </c>
      <c r="X334" s="29">
        <f t="shared" si="17"/>
        <v>7</v>
      </c>
      <c r="Y334" s="38"/>
      <c r="Z334" s="29" t="s">
        <v>84</v>
      </c>
      <c r="AA334" s="29">
        <f t="shared" si="18"/>
        <v>3</v>
      </c>
      <c r="AB334" s="29" t="s">
        <v>69</v>
      </c>
      <c r="AC334" s="29">
        <v>2</v>
      </c>
      <c r="AD334" s="29">
        <v>1</v>
      </c>
      <c r="AE334" s="29" t="s">
        <v>70</v>
      </c>
      <c r="AF334">
        <v>4</v>
      </c>
    </row>
    <row r="335" spans="1:32" x14ac:dyDescent="0.25">
      <c r="A335" s="28">
        <v>333</v>
      </c>
      <c r="B335" s="29" t="s">
        <v>60</v>
      </c>
      <c r="C335" s="29" t="s">
        <v>61</v>
      </c>
      <c r="D335" s="29" t="s">
        <v>62</v>
      </c>
      <c r="E335" s="29" t="s">
        <v>62</v>
      </c>
      <c r="F335" s="30" cm="1">
        <f t="array" ref="F335">_xlfn.IFS($G335=$G$5,F$5,$G335=$G$6,F$6,$G335=$G$7,F$7,$G335=$G$8,F$8,$G335=$G$9,F$9,$G335=$G$10,F$10,$G335=$G$11,F$11,$G335=$G$13,F$13,$G335=$G$15,F$15,$G335=$G$16,F$16,$G335=$G$33,F$33,$G335=$G$34,F$34,$G335=$G$248,F$248,$G335=$G$250,F$250)</f>
        <v>8034</v>
      </c>
      <c r="G335" s="29" t="s">
        <v>81</v>
      </c>
      <c r="H335" s="31" cm="1">
        <f t="array" ref="H335">_xlfn.IFS($G335=$G$5,H$5,$G335=$G$6,H$6,$G335=$G$7,H$7,$G335=$G$8,H$8,$G335=$G$9,H$9,$G335=$G$10,H$10,$G335=$G$11,H$11,$G335=$G$13,H$13,$G335=$G$15,H$15,$G335=$G$16,H$16,$G335=$G$33,H$33,$G335=$G$34,H$34,$G335=$G$248,H$248,$G335=$G$250,H$250)</f>
        <v>41.393644999999999</v>
      </c>
      <c r="I335" s="31" cm="1">
        <f t="array" ref="I335">_xlfn.IFS($G335=$G$5,I$5,$G335=$G$6,I$6,$G335=$G$7,I$7,$G335=$G$8,I$8,$G335=$G$9,I$9,$G335=$G$10,I$10,$G335=$G$11,I$11,$G335=$G$13,I$13,$G335=$G$15,I$15,$G335=$G$16,I$16,$G335=$G$33,I$33,$G335=$G$34,I$34,$G335=$G$248,I$248,$G335=$G$250,I$250)</f>
        <v>2.1216780000000002</v>
      </c>
      <c r="J335" s="29" cm="1">
        <f t="array" ref="J335">_xlfn.IFS($G335=$G$5,J$5,$G335=$G$6,J$6,$G335=$G$7,J$7,$G335=$G$8,J$8,$G335=$G$9,J$9,$G335=$G$10,J$10,$G335=$G$11,J$11,$G335=$G$13,J$13,$G335=$G$15,J$15,$G335=$G$16,J$16,$G335=$G$33,J$33,$G335=$G$34,J$34,$G335=$G$248,J$248,$G335=$G$250,J$250)</f>
        <v>98</v>
      </c>
      <c r="K335" s="29" t="str" cm="1">
        <f t="array" ref="K335">_xlfn.IFS($G335=$G$5,K$5,$G335=$G$6,K$6,$G335=$G$7,K$7,$G335=$G$8,K$8,$G335=$G$9,K$9,$G335=$G$10,K$10,$G335=$G$11,K$11,$G335=$G$13,K$13,$G335=$G$15,K$15,$G335=$G$16,K$16,$G335=$G$33,K$33,$G335=$G$34,K$34,$G335=$G$248,K$248,$G335=$G$250,K$250)</f>
        <v>BG sentinel + BG lure7</v>
      </c>
      <c r="L335" s="29" t="str" cm="1">
        <f t="array" ref="L335">_xlfn.IFS($G335=$G$5,L$5,$G335=$G$6,L$6,$G335=$G$7,L$7,$G335=$G$8,L$8,$G335=$G$9,L$9,$G335=$G$10,L$10,$G335=$G$11,L$11,$G335=$G$13,L$13,$G335=$G$15,L$15,$G335=$G$16,L$16,$G335=$G$33,L$33,$G335=$G$34,L$34,$G335=$G$248,L$248,$G335=$G$250,L$250)</f>
        <v>Other</v>
      </c>
      <c r="O335" s="32" t="str">
        <f t="shared" si="16"/>
        <v>A_SP_BCN_9_201118</v>
      </c>
      <c r="P335" s="33">
        <v>44153</v>
      </c>
      <c r="Q335" s="34">
        <v>0.70138888888888884</v>
      </c>
      <c r="R335" s="35"/>
      <c r="S335" s="36">
        <v>44160</v>
      </c>
      <c r="T335" s="37">
        <v>0.79861111111111116</v>
      </c>
      <c r="U335" s="38"/>
      <c r="V335" s="39" t="s">
        <v>66</v>
      </c>
      <c r="X335" s="29">
        <f t="shared" si="17"/>
        <v>7</v>
      </c>
      <c r="Y335" s="38"/>
      <c r="AA335" s="29">
        <f t="shared" si="18"/>
        <v>0</v>
      </c>
      <c r="AF335">
        <v>4</v>
      </c>
    </row>
    <row r="336" spans="1:32" x14ac:dyDescent="0.25">
      <c r="A336" s="28">
        <v>334</v>
      </c>
      <c r="B336" s="29" t="s">
        <v>60</v>
      </c>
      <c r="C336" s="29" t="s">
        <v>61</v>
      </c>
      <c r="D336" s="29" t="s">
        <v>62</v>
      </c>
      <c r="E336" s="29" t="s">
        <v>62</v>
      </c>
      <c r="F336" s="30" cm="1">
        <f t="array" ref="F336">_xlfn.IFS($G336=$G$5,F$5,$G336=$G$6,F$6,$G336=$G$7,F$7,$G336=$G$8,F$8,$G336=$G$9,F$9,$G336=$G$10,F$10,$G336=$G$11,F$11,$G336=$G$13,F$13,$G336=$G$15,F$15,$G336=$G$16,F$16,$G336=$G$33,F$33,$G336=$G$34,F$34,$G336=$G$248,F$248,$G336=$G$250,F$250)</f>
        <v>8040</v>
      </c>
      <c r="G336" s="29" t="s">
        <v>83</v>
      </c>
      <c r="H336" s="31" cm="1">
        <f t="array" ref="H336">_xlfn.IFS($G336=$G$5,H$5,$G336=$G$6,H$6,$G336=$G$7,H$7,$G336=$G$8,H$8,$G336=$G$9,H$9,$G336=$G$10,H$10,$G336=$G$11,H$11,$G336=$G$13,H$13,$G336=$G$15,H$15,$G336=$G$16,H$16,$G336=$G$33,H$33,$G336=$G$34,H$34,$G336=$G$248,H$248,$G336=$G$250,H$250)</f>
        <v>41.343685000000001</v>
      </c>
      <c r="I336" s="31" cm="1">
        <f t="array" ref="I336">_xlfn.IFS($G336=$G$5,I$5,$G336=$G$6,I$6,$G336=$G$7,I$7,$G336=$G$8,I$8,$G336=$G$9,I$9,$G336=$G$10,I$10,$G336=$G$11,I$11,$G336=$G$13,I$13,$G336=$G$15,I$15,$G336=$G$16,I$16,$G336=$G$33,I$33,$G336=$G$34,I$34,$G336=$G$248,I$248,$G336=$G$250,I$250)</f>
        <v>2.1441490000000001</v>
      </c>
      <c r="J336" s="29" cm="1">
        <f t="array" ref="J336">_xlfn.IFS($G336=$G$5,J$5,$G336=$G$6,J$6,$G336=$G$7,J$7,$G336=$G$8,J$8,$G336=$G$9,J$9,$G336=$G$10,J$10,$G336=$G$11,J$11,$G336=$G$13,J$13,$G336=$G$15,J$15,$G336=$G$16,J$16,$G336=$G$33,J$33,$G336=$G$34,J$34,$G336=$G$248,J$248,$G336=$G$250,J$250)</f>
        <v>4</v>
      </c>
      <c r="K336" s="29" t="str" cm="1">
        <f t="array" ref="K336">_xlfn.IFS($G336=$G$5,K$5,$G336=$G$6,K$6,$G336=$G$7,K$7,$G336=$G$8,K$8,$G336=$G$9,K$9,$G336=$G$10,K$10,$G336=$G$11,K$11,$G336=$G$13,K$13,$G336=$G$15,K$15,$G336=$G$16,K$16,$G336=$G$33,K$33,$G336=$G$34,K$34,$G336=$G$248,K$248,$G336=$G$250,K$250)</f>
        <v>BG sentinel + BG lure7</v>
      </c>
      <c r="L336" s="29" t="str" cm="1">
        <f t="array" ref="L336">_xlfn.IFS($G336=$G$5,L$5,$G336=$G$6,L$6,$G336=$G$7,L$7,$G336=$G$8,L$8,$G336=$G$9,L$9,$G336=$G$10,L$10,$G336=$G$11,L$11,$G336=$G$13,L$13,$G336=$G$15,L$15,$G336=$G$16,L$16,$G336=$G$33,L$33,$G336=$G$34,L$34,$G336=$G$248,L$248,$G336=$G$250,L$250)</f>
        <v>Urban habitat</v>
      </c>
      <c r="O336" s="32" t="str">
        <f t="shared" si="16"/>
        <v>A_SP_BCN_10_201118</v>
      </c>
      <c r="P336" s="33">
        <v>44153</v>
      </c>
      <c r="Q336" s="34">
        <v>0.5</v>
      </c>
      <c r="R336" s="35"/>
      <c r="S336" s="36">
        <v>44160</v>
      </c>
      <c r="T336" s="37">
        <v>0.57638888888888895</v>
      </c>
      <c r="U336" s="38"/>
      <c r="V336" s="39" t="s">
        <v>66</v>
      </c>
      <c r="X336" s="29">
        <f t="shared" si="17"/>
        <v>7</v>
      </c>
      <c r="Y336" s="38"/>
      <c r="AA336" s="29">
        <f t="shared" si="18"/>
        <v>0</v>
      </c>
      <c r="AF336">
        <v>4</v>
      </c>
    </row>
    <row r="337" spans="1:32" x14ac:dyDescent="0.25">
      <c r="A337" s="28">
        <v>336</v>
      </c>
      <c r="B337" s="29" t="s">
        <v>60</v>
      </c>
      <c r="C337" s="29" t="s">
        <v>61</v>
      </c>
      <c r="D337" s="29" t="s">
        <v>62</v>
      </c>
      <c r="E337" s="29" t="s">
        <v>62</v>
      </c>
      <c r="F337" s="30" cm="1">
        <f t="array" ref="F337">_xlfn.IFS($G337=$G$5,F$5,$G337=$G$6,F$6,$G337=$G$7,F$7,$G337=$G$8,F$8,$G337=$G$9,F$9,$G337=$G$10,F$10,$G337=$G$11,F$11,$G337=$G$13,F$13,$G337=$G$15,F$15,$G337=$G$16,F$16,$G337=$G$33,F$33,$G337=$G$34,F$34,$G337=$G$248,F$248,$G337=$G$250,F$250)</f>
        <v>8038</v>
      </c>
      <c r="G337" s="29" t="s">
        <v>85</v>
      </c>
      <c r="H337" s="31" cm="1">
        <f t="array" ref="H337">_xlfn.IFS($G337=$G$5,H$5,$G337=$G$6,H$6,$G337=$G$7,H$7,$G337=$G$8,H$8,$G337=$G$9,H$9,$G337=$G$10,H$10,$G337=$G$11,H$11,$G337=$G$13,H$13,$G337=$G$15,H$15,$G337=$G$16,H$16,$G337=$G$33,H$33,$G337=$G$34,H$34,$G337=$G$248,H$248,$G337=$G$250,H$250)</f>
        <v>41.367429999999999</v>
      </c>
      <c r="I337" s="31" cm="1">
        <f t="array" ref="I337">_xlfn.IFS($G337=$G$5,I$5,$G337=$G$6,I$6,$G337=$G$7,I$7,$G337=$G$8,I$8,$G337=$G$9,I$9,$G337=$G$10,I$10,$G337=$G$11,I$11,$G337=$G$13,I$13,$G337=$G$15,I$15,$G337=$G$16,I$16,$G337=$G$33,I$33,$G337=$G$34,I$34,$G337=$G$248,I$248,$G337=$G$250,I$250)</f>
        <v>2.1569609999999999</v>
      </c>
      <c r="J337" s="29" cm="1">
        <f t="array" ref="J337">_xlfn.IFS($G337=$G$5,J$5,$G337=$G$6,J$6,$G337=$G$7,J$7,$G337=$G$8,J$8,$G337=$G$9,J$9,$G337=$G$10,J$10,$G337=$G$11,J$11,$G337=$G$13,J$13,$G337=$G$15,J$15,$G337=$G$16,J$16,$G337=$G$33,J$33,$G337=$G$34,J$34,$G337=$G$248,J$248,$G337=$G$250,J$250)</f>
        <v>91</v>
      </c>
      <c r="K337" s="29" t="str" cm="1">
        <f t="array" ref="K337">_xlfn.IFS($G337=$G$5,K$5,$G337=$G$6,K$6,$G337=$G$7,K$7,$G337=$G$8,K$8,$G337=$G$9,K$9,$G337=$G$10,K$10,$G337=$G$11,K$11,$G337=$G$13,K$13,$G337=$G$15,K$15,$G337=$G$16,K$16,$G337=$G$33,K$33,$G337=$G$34,K$34,$G337=$G$248,K$248,$G337=$G$250,K$250)</f>
        <v>BG sentinel + BG lure7</v>
      </c>
      <c r="L337" s="29" t="str" cm="1">
        <f t="array" ref="L337">_xlfn.IFS($G337=$G$5,L$5,$G337=$G$6,L$6,$G337=$G$7,L$7,$G337=$G$8,L$8,$G337=$G$9,L$9,$G337=$G$10,L$10,$G337=$G$11,L$11,$G337=$G$13,L$13,$G337=$G$15,L$15,$G337=$G$16,L$16,$G337=$G$33,L$33,$G337=$G$34,L$34,$G337=$G$248,L$248,$G337=$G$250,L$250)</f>
        <v>Other</v>
      </c>
      <c r="O337" s="32" t="str">
        <f t="shared" si="16"/>
        <v>A_SP_BCN_11_201118</v>
      </c>
      <c r="P337" s="33">
        <v>44153</v>
      </c>
      <c r="Q337" s="34">
        <v>0.52083333333333337</v>
      </c>
      <c r="R337" s="35"/>
      <c r="S337" s="36">
        <v>44160</v>
      </c>
      <c r="T337" s="37">
        <v>0.59375</v>
      </c>
      <c r="U337" s="38"/>
      <c r="V337" s="39" t="s">
        <v>66</v>
      </c>
      <c r="X337" s="29">
        <f t="shared" si="17"/>
        <v>7</v>
      </c>
      <c r="Y337" s="38"/>
      <c r="Z337" s="29" t="s">
        <v>75</v>
      </c>
      <c r="AA337" s="29">
        <f t="shared" si="18"/>
        <v>1</v>
      </c>
      <c r="AB337" s="29" t="s">
        <v>69</v>
      </c>
      <c r="AC337" s="29">
        <v>1</v>
      </c>
      <c r="AD337" s="29">
        <v>0</v>
      </c>
      <c r="AE337" s="29" t="s">
        <v>70</v>
      </c>
      <c r="AF337">
        <v>4</v>
      </c>
    </row>
    <row r="338" spans="1:32" x14ac:dyDescent="0.25">
      <c r="A338" s="28">
        <v>337</v>
      </c>
      <c r="B338" s="29" t="s">
        <v>60</v>
      </c>
      <c r="C338" s="29" t="s">
        <v>61</v>
      </c>
      <c r="D338" s="29" t="s">
        <v>62</v>
      </c>
      <c r="E338" s="29" t="s">
        <v>62</v>
      </c>
      <c r="F338" s="30" cm="1">
        <f t="array" ref="F338">_xlfn.IFS($G338=$G$5,F$5,$G338=$G$6,F$6,$G338=$G$7,F$7,$G338=$G$8,F$8,$G338=$G$9,F$9,$G338=$G$10,F$10,$G338=$G$11,F$11,$G338=$G$13,F$13,$G338=$G$15,F$15,$G338=$G$16,F$16,$G338=$G$33,F$33,$G338=$G$34,F$34,$G338=$G$248,F$248,$G338=$G$250,F$250)</f>
        <v>8038</v>
      </c>
      <c r="G338" s="29" t="s">
        <v>86</v>
      </c>
      <c r="H338" s="31" cm="1">
        <f t="array" ref="H338">_xlfn.IFS($G338=$G$5,H$5,$G338=$G$6,H$6,$G338=$G$7,H$7,$G338=$G$8,H$8,$G338=$G$9,H$9,$G338=$G$10,H$10,$G338=$G$11,H$11,$G338=$G$13,H$13,$G338=$G$15,H$15,$G338=$G$16,H$16,$G338=$G$33,H$33,$G338=$G$34,H$34,$G338=$G$248,H$248,$G338=$G$250,H$250)</f>
        <v>41.363377999999997</v>
      </c>
      <c r="I338" s="31" cm="1">
        <f t="array" ref="I338">_xlfn.IFS($G338=$G$5,I$5,$G338=$G$6,I$6,$G338=$G$7,I$7,$G338=$G$8,I$8,$G338=$G$9,I$9,$G338=$G$10,I$10,$G338=$G$11,I$11,$G338=$G$13,I$13,$G338=$G$15,I$15,$G338=$G$16,I$16,$G338=$G$33,I$33,$G338=$G$34,I$34,$G338=$G$248,I$248,$G338=$G$250,I$250)</f>
        <v>2.164879</v>
      </c>
      <c r="J338" s="29" cm="1">
        <f t="array" ref="J338">_xlfn.IFS($G338=$G$5,J$5,$G338=$G$6,J$6,$G338=$G$7,J$7,$G338=$G$8,J$8,$G338=$G$9,J$9,$G338=$G$10,J$10,$G338=$G$11,J$11,$G338=$G$13,J$13,$G338=$G$15,J$15,$G338=$G$16,J$16,$G338=$G$33,J$33,$G338=$G$34,J$34,$G338=$G$248,J$248,$G338=$G$250,J$250)</f>
        <v>185</v>
      </c>
      <c r="K338" s="29" t="str" cm="1">
        <f t="array" ref="K338">_xlfn.IFS($G338=$G$5,K$5,$G338=$G$6,K$6,$G338=$G$7,K$7,$G338=$G$8,K$8,$G338=$G$9,K$9,$G338=$G$10,K$10,$G338=$G$11,K$11,$G338=$G$13,K$13,$G338=$G$15,K$15,$G338=$G$16,K$16,$G338=$G$33,K$33,$G338=$G$34,K$34,$G338=$G$248,K$248,$G338=$G$250,K$250)</f>
        <v>BG sentinel + BG lure7</v>
      </c>
      <c r="L338" s="29" t="str" cm="1">
        <f t="array" ref="L338">_xlfn.IFS($G338=$G$5,L$5,$G338=$G$6,L$6,$G338=$G$7,L$7,$G338=$G$8,L$8,$G338=$G$9,L$9,$G338=$G$10,L$10,$G338=$G$11,L$11,$G338=$G$13,L$13,$G338=$G$15,L$15,$G338=$G$16,L$16,$G338=$G$33,L$33,$G338=$G$34,L$34,$G338=$G$248,L$248,$G338=$G$250,L$250)</f>
        <v>Other</v>
      </c>
      <c r="O338" s="32" t="str">
        <f t="shared" ref="O338:O398" si="19">G338&amp;"_"&amp;TEXT(P338,"AAMMDD")</f>
        <v>A_SP_BCN_12_201118</v>
      </c>
      <c r="P338" s="33">
        <v>44153</v>
      </c>
      <c r="Q338" s="34">
        <v>0.54861111111111105</v>
      </c>
      <c r="R338" s="35"/>
      <c r="S338" s="36">
        <v>44160</v>
      </c>
      <c r="T338" s="37">
        <v>0.61458333333333337</v>
      </c>
      <c r="U338" s="38"/>
      <c r="V338" s="39" t="s">
        <v>66</v>
      </c>
      <c r="X338" s="29">
        <f t="shared" si="17"/>
        <v>7</v>
      </c>
      <c r="Y338" s="38"/>
      <c r="Z338" s="29" t="s">
        <v>75</v>
      </c>
      <c r="AA338" s="29">
        <f t="shared" si="18"/>
        <v>8</v>
      </c>
      <c r="AB338" s="29" t="s">
        <v>69</v>
      </c>
      <c r="AC338" s="29">
        <v>8</v>
      </c>
      <c r="AD338" s="29">
        <v>0</v>
      </c>
      <c r="AE338" s="29" t="s">
        <v>70</v>
      </c>
      <c r="AF338">
        <v>4</v>
      </c>
    </row>
    <row r="339" spans="1:32" x14ac:dyDescent="0.25">
      <c r="A339" s="28">
        <v>338</v>
      </c>
      <c r="B339" s="29" t="s">
        <v>60</v>
      </c>
      <c r="C339" s="29" t="s">
        <v>61</v>
      </c>
      <c r="D339" s="29" t="s">
        <v>62</v>
      </c>
      <c r="E339" s="29" t="s">
        <v>62</v>
      </c>
      <c r="F339" s="30" cm="1">
        <f t="array" ref="F339">_xlfn.IFS($G339=$G$5,F$5,$G339=$G$6,F$6,$G339=$G$7,F$7,$G339=$G$8,F$8,$G339=$G$9,F$9,$G339=$G$10,F$10,$G339=$G$11,F$11,$G339=$G$13,F$13,$G339=$G$15,F$15,$G339=$G$16,F$16,$G339=$G$33,F$33,$G339=$G$34,F$34,$G339=$G$248,F$248,$G339=$G$250,F$250)</f>
        <v>8024</v>
      </c>
      <c r="G339" s="29" t="s">
        <v>63</v>
      </c>
      <c r="H339" s="31" cm="1">
        <f t="array" ref="H339">_xlfn.IFS($G339=$G$5,H$5,$G339=$G$6,H$6,$G339=$G$7,H$7,$G339=$G$8,H$8,$G339=$G$9,H$9,$G339=$G$10,H$10,$G339=$G$11,H$11,$G339=$G$13,H$13,$G339=$G$15,H$15,$G339=$G$16,H$16,$G339=$G$33,H$33,$G339=$G$34,H$34,$G339=$G$248,H$248,$G339=$G$250,H$250)</f>
        <v>41.413573999999997</v>
      </c>
      <c r="I339" s="31" cm="1">
        <f t="array" ref="I339">_xlfn.IFS($G339=$G$5,I$5,$G339=$G$6,I$6,$G339=$G$7,I$7,$G339=$G$8,I$8,$G339=$G$9,I$9,$G339=$G$10,I$10,$G339=$G$11,I$11,$G339=$G$13,I$13,$G339=$G$15,I$15,$G339=$G$16,I$16,$G339=$G$33,I$33,$G339=$G$34,I$34,$G339=$G$248,I$248,$G339=$G$250,I$250)</f>
        <v>2.1520730000000001</v>
      </c>
      <c r="J339" s="29" cm="1">
        <f t="array" ref="J339">_xlfn.IFS($G339=$G$5,J$5,$G339=$G$6,J$6,$G339=$G$7,J$7,$G339=$G$8,J$8,$G339=$G$9,J$9,$G339=$G$10,J$10,$G339=$G$11,J$11,$G339=$G$13,J$13,$G339=$G$15,J$15,$G339=$G$16,J$16,$G339=$G$33,J$33,$G339=$G$34,J$34,$G339=$G$248,J$248,$G339=$G$250,J$250)</f>
        <v>141</v>
      </c>
      <c r="K339" s="29" t="str" cm="1">
        <f t="array" ref="K339">_xlfn.IFS($G339=$G$5,K$5,$G339=$G$6,K$6,$G339=$G$7,K$7,$G339=$G$8,K$8,$G339=$G$9,K$9,$G339=$G$10,K$10,$G339=$G$11,K$11,$G339=$G$13,K$13,$G339=$G$15,K$15,$G339=$G$16,K$16,$G339=$G$33,K$33,$G339=$G$34,K$34,$G339=$G$248,K$248,$G339=$G$250,K$250)</f>
        <v>BG sentinel + BG lure7</v>
      </c>
      <c r="L339" s="29" t="str" cm="1">
        <f t="array" ref="L339">_xlfn.IFS($G339=$G$5,L$5,$G339=$G$6,L$6,$G339=$G$7,L$7,$G339=$G$8,L$8,$G339=$G$9,L$9,$G339=$G$10,L$10,$G339=$G$11,L$11,$G339=$G$13,L$13,$G339=$G$15,L$15,$G339=$G$16,L$16,$G339=$G$33,L$33,$G339=$G$34,L$34,$G339=$G$248,L$248,$G339=$G$250,L$250)</f>
        <v>Urban habitat</v>
      </c>
      <c r="O339" s="32" t="str">
        <f t="shared" si="19"/>
        <v>A_SP_BCN_1_201125</v>
      </c>
      <c r="P339" s="33">
        <v>44160</v>
      </c>
      <c r="Q339" s="34">
        <v>0.67361111111111116</v>
      </c>
      <c r="R339" s="35"/>
      <c r="S339" s="36">
        <v>44167</v>
      </c>
      <c r="T339" s="37">
        <v>0.67361111111111116</v>
      </c>
      <c r="U339" s="38"/>
      <c r="V339" s="39" t="s">
        <v>66</v>
      </c>
      <c r="X339" s="29">
        <f t="shared" si="17"/>
        <v>7</v>
      </c>
      <c r="Y339" s="38"/>
      <c r="AA339" s="29">
        <f t="shared" si="18"/>
        <v>0</v>
      </c>
      <c r="AF339">
        <v>4</v>
      </c>
    </row>
    <row r="340" spans="1:32" x14ac:dyDescent="0.25">
      <c r="A340" s="28">
        <v>339</v>
      </c>
      <c r="B340" s="29" t="s">
        <v>60</v>
      </c>
      <c r="C340" s="29" t="s">
        <v>61</v>
      </c>
      <c r="D340" s="29" t="s">
        <v>62</v>
      </c>
      <c r="E340" s="29" t="s">
        <v>62</v>
      </c>
      <c r="F340" s="30" cm="1">
        <f t="array" ref="F340">_xlfn.IFS($G340=$G$5,F$5,$G340=$G$6,F$6,$G340=$G$7,F$7,$G340=$G$8,F$8,$G340=$G$9,F$9,$G340=$G$10,F$10,$G340=$G$11,F$11,$G340=$G$13,F$13,$G340=$G$15,F$15,$G340=$G$16,F$16,$G340=$G$33,F$33,$G340=$G$34,F$34,$G340=$G$248,F$248,$G340=$G$250,F$250)</f>
        <v>8035</v>
      </c>
      <c r="G340" s="29" t="s">
        <v>71</v>
      </c>
      <c r="H340" s="31" cm="1">
        <f t="array" ref="H340">_xlfn.IFS($G340=$G$5,H$5,$G340=$G$6,H$6,$G340=$G$7,H$7,$G340=$G$8,H$8,$G340=$G$9,H$9,$G340=$G$10,H$10,$G340=$G$11,H$11,$G340=$G$13,H$13,$G340=$G$15,H$15,$G340=$G$16,H$16,$G340=$G$33,H$33,$G340=$G$34,H$34,$G340=$G$248,H$248,$G340=$G$250,H$250)</f>
        <v>41.424387000000003</v>
      </c>
      <c r="I340" s="31" cm="1">
        <f t="array" ref="I340">_xlfn.IFS($G340=$G$5,I$5,$G340=$G$6,I$6,$G340=$G$7,I$7,$G340=$G$8,I$8,$G340=$G$9,I$9,$G340=$G$10,I$10,$G340=$G$11,I$11,$G340=$G$13,I$13,$G340=$G$15,I$15,$G340=$G$16,I$16,$G340=$G$33,I$33,$G340=$G$34,I$34,$G340=$G$248,I$248,$G340=$G$250,I$250)</f>
        <v>2.1431439999999999</v>
      </c>
      <c r="J340" s="29" cm="1">
        <f t="array" ref="J340">_xlfn.IFS($G340=$G$5,J$5,$G340=$G$6,J$6,$G340=$G$7,J$7,$G340=$G$8,J$8,$G340=$G$9,J$9,$G340=$G$10,J$10,$G340=$G$11,J$11,$G340=$G$13,J$13,$G340=$G$15,J$15,$G340=$G$16,J$16,$G340=$G$33,J$33,$G340=$G$34,J$34,$G340=$G$248,J$248,$G340=$G$250,J$250)</f>
        <v>160</v>
      </c>
      <c r="K340" s="29" t="str" cm="1">
        <f t="array" ref="K340">_xlfn.IFS($G340=$G$5,K$5,$G340=$G$6,K$6,$G340=$G$7,K$7,$G340=$G$8,K$8,$G340=$G$9,K$9,$G340=$G$10,K$10,$G340=$G$11,K$11,$G340=$G$13,K$13,$G340=$G$15,K$15,$G340=$G$16,K$16,$G340=$G$33,K$33,$G340=$G$34,K$34,$G340=$G$248,K$248,$G340=$G$250,K$250)</f>
        <v>BG sentinel + BG lure7</v>
      </c>
      <c r="L340" s="29" t="str" cm="1">
        <f t="array" ref="L340">_xlfn.IFS($G340=$G$5,L$5,$G340=$G$6,L$6,$G340=$G$7,L$7,$G340=$G$8,L$8,$G340=$G$9,L$9,$G340=$G$10,L$10,$G340=$G$11,L$11,$G340=$G$13,L$13,$G340=$G$15,L$15,$G340=$G$16,L$16,$G340=$G$33,L$33,$G340=$G$34,L$34,$G340=$G$248,L$248,$G340=$G$250,L$250)</f>
        <v>Urban habitat</v>
      </c>
      <c r="O340" s="32" t="str">
        <f t="shared" si="19"/>
        <v>A_SP_BCN_2_201125</v>
      </c>
      <c r="P340" s="33">
        <v>44160</v>
      </c>
      <c r="Q340" s="34">
        <v>0.77777777777777779</v>
      </c>
      <c r="R340" s="35"/>
      <c r="S340" s="36">
        <v>44167</v>
      </c>
      <c r="T340" s="37">
        <v>0.78125</v>
      </c>
      <c r="U340" s="38"/>
      <c r="V340" s="39" t="s">
        <v>107</v>
      </c>
      <c r="X340" s="29">
        <f t="shared" si="17"/>
        <v>7</v>
      </c>
      <c r="Y340" s="38"/>
      <c r="AA340" s="29">
        <f t="shared" si="18"/>
        <v>0</v>
      </c>
      <c r="AF340">
        <v>2</v>
      </c>
    </row>
    <row r="341" spans="1:32" x14ac:dyDescent="0.25">
      <c r="A341" s="28">
        <v>340</v>
      </c>
      <c r="B341" s="29" t="s">
        <v>60</v>
      </c>
      <c r="C341" s="29" t="s">
        <v>61</v>
      </c>
      <c r="D341" s="29" t="s">
        <v>62</v>
      </c>
      <c r="E341" s="29" t="s">
        <v>62</v>
      </c>
      <c r="F341" s="30" cm="1">
        <f t="array" ref="F341">_xlfn.IFS($G341=$G$5,F$5,$G341=$G$6,F$6,$G341=$G$7,F$7,$G341=$G$8,F$8,$G341=$G$9,F$9,$G341=$G$10,F$10,$G341=$G$11,F$11,$G341=$G$13,F$13,$G341=$G$15,F$15,$G341=$G$16,F$16,$G341=$G$33,F$33,$G341=$G$34,F$34,$G341=$G$248,F$248,$G341=$G$250,F$250)</f>
        <v>8016</v>
      </c>
      <c r="G341" s="29" t="s">
        <v>72</v>
      </c>
      <c r="H341" s="31" cm="1">
        <f t="array" ref="H341">_xlfn.IFS($G341=$G$5,H$5,$G341=$G$6,H$6,$G341=$G$7,H$7,$G341=$G$8,H$8,$G341=$G$9,H$9,$G341=$G$10,H$10,$G341=$G$11,H$11,$G341=$G$13,H$13,$G341=$G$15,H$15,$G341=$G$16,H$16,$G341=$G$33,H$33,$G341=$G$34,H$34,$G341=$G$248,H$248,$G341=$G$250,H$250)</f>
        <v>41.437435000000001</v>
      </c>
      <c r="I341" s="31" cm="1">
        <f t="array" ref="I341">_xlfn.IFS($G341=$G$5,I$5,$G341=$G$6,I$6,$G341=$G$7,I$7,$G341=$G$8,I$8,$G341=$G$9,I$9,$G341=$G$10,I$10,$G341=$G$11,I$11,$G341=$G$13,I$13,$G341=$G$15,I$15,$G341=$G$16,I$16,$G341=$G$33,I$33,$G341=$G$34,I$34,$G341=$G$248,I$248,$G341=$G$250,I$250)</f>
        <v>2.1812779999999998</v>
      </c>
      <c r="J341" s="29" cm="1">
        <f t="array" ref="J341">_xlfn.IFS($G341=$G$5,J$5,$G341=$G$6,J$6,$G341=$G$7,J$7,$G341=$G$8,J$8,$G341=$G$9,J$9,$G341=$G$10,J$10,$G341=$G$11,J$11,$G341=$G$13,J$13,$G341=$G$15,J$15,$G341=$G$16,J$16,$G341=$G$33,J$33,$G341=$G$34,J$34,$G341=$G$248,J$248,$G341=$G$250,J$250)</f>
        <v>47</v>
      </c>
      <c r="K341" s="29" t="str" cm="1">
        <f t="array" ref="K341">_xlfn.IFS($G341=$G$5,K$5,$G341=$G$6,K$6,$G341=$G$7,K$7,$G341=$G$8,K$8,$G341=$G$9,K$9,$G341=$G$10,K$10,$G341=$G$11,K$11,$G341=$G$13,K$13,$G341=$G$15,K$15,$G341=$G$16,K$16,$G341=$G$33,K$33,$G341=$G$34,K$34,$G341=$G$248,K$248,$G341=$G$250,K$250)</f>
        <v>BG sentinel + BG lure7</v>
      </c>
      <c r="L341" s="29" t="str" cm="1">
        <f t="array" ref="L341">_xlfn.IFS($G341=$G$5,L$5,$G341=$G$6,L$6,$G341=$G$7,L$7,$G341=$G$8,L$8,$G341=$G$9,L$9,$G341=$G$10,L$10,$G341=$G$11,L$11,$G341=$G$13,L$13,$G341=$G$15,L$15,$G341=$G$16,L$16,$G341=$G$33,L$33,$G341=$G$34,L$34,$G341=$G$248,L$248,$G341=$G$250,L$250)</f>
        <v>Urban habitat</v>
      </c>
      <c r="O341" s="32" t="str">
        <f t="shared" si="19"/>
        <v>A_SP_BCN_3_201125</v>
      </c>
      <c r="P341" s="33">
        <v>44160</v>
      </c>
      <c r="Q341" s="34">
        <v>0.75</v>
      </c>
      <c r="R341" s="35"/>
      <c r="S341" s="36">
        <v>44167</v>
      </c>
      <c r="T341" s="37">
        <v>0.75694444444444453</v>
      </c>
      <c r="U341" s="38"/>
      <c r="V341" s="39" t="s">
        <v>66</v>
      </c>
      <c r="X341" s="29">
        <f t="shared" si="17"/>
        <v>7</v>
      </c>
      <c r="Y341" s="38"/>
      <c r="Z341" s="29" t="s">
        <v>75</v>
      </c>
      <c r="AA341" s="29">
        <f t="shared" si="18"/>
        <v>3</v>
      </c>
      <c r="AB341" s="29" t="s">
        <v>69</v>
      </c>
      <c r="AC341" s="29">
        <v>3</v>
      </c>
      <c r="AD341" s="29">
        <v>0</v>
      </c>
      <c r="AE341" s="29" t="s">
        <v>70</v>
      </c>
      <c r="AF341">
        <v>4</v>
      </c>
    </row>
    <row r="342" spans="1:32" x14ac:dyDescent="0.25">
      <c r="A342" s="28">
        <v>341</v>
      </c>
      <c r="B342" s="29" t="s">
        <v>60</v>
      </c>
      <c r="C342" s="29" t="s">
        <v>61</v>
      </c>
      <c r="D342" s="29" t="s">
        <v>62</v>
      </c>
      <c r="E342" s="29" t="s">
        <v>62</v>
      </c>
      <c r="F342" s="30" cm="1">
        <f t="array" ref="F342">_xlfn.IFS($G342=$G$5,F$5,$G342=$G$6,F$6,$G342=$G$7,F$7,$G342=$G$8,F$8,$G342=$G$9,F$9,$G342=$G$10,F$10,$G342=$G$11,F$11,$G342=$G$13,F$13,$G342=$G$15,F$15,$G342=$G$16,F$16,$G342=$G$33,F$33,$G342=$G$34,F$34,$G342=$G$248,F$248,$G342=$G$250,F$250)</f>
        <v>8018</v>
      </c>
      <c r="G342" s="29" t="s">
        <v>73</v>
      </c>
      <c r="H342" s="31" cm="1">
        <f t="array" ref="H342">_xlfn.IFS($G342=$G$5,H$5,$G342=$G$6,H$6,$G342=$G$7,H$7,$G342=$G$8,H$8,$G342=$G$9,H$9,$G342=$G$10,H$10,$G342=$G$11,H$11,$G342=$G$13,H$13,$G342=$G$15,H$15,$G342=$G$16,H$16,$G342=$G$33,H$33,$G342=$G$34,H$34,$G342=$G$248,H$248,$G342=$G$250,H$250)</f>
        <v>41.404924999999999</v>
      </c>
      <c r="I342" s="31" cm="1">
        <f t="array" ref="I342">_xlfn.IFS($G342=$G$5,I$5,$G342=$G$6,I$6,$G342=$G$7,I$7,$G342=$G$8,I$8,$G342=$G$9,I$9,$G342=$G$10,I$10,$G342=$G$11,I$11,$G342=$G$13,I$13,$G342=$G$15,I$15,$G342=$G$16,I$16,$G342=$G$33,I$33,$G342=$G$34,I$34,$G342=$G$248,I$248,$G342=$G$250,I$250)</f>
        <v>2.1987909999999999</v>
      </c>
      <c r="J342" s="29" cm="1">
        <f t="array" ref="J342">_xlfn.IFS($G342=$G$5,J$5,$G342=$G$6,J$6,$G342=$G$7,J$7,$G342=$G$8,J$8,$G342=$G$9,J$9,$G342=$G$10,J$10,$G342=$G$11,J$11,$G342=$G$13,J$13,$G342=$G$15,J$15,$G342=$G$16,J$16,$G342=$G$33,J$33,$G342=$G$34,J$34,$G342=$G$248,J$248,$G342=$G$250,J$250)</f>
        <v>4</v>
      </c>
      <c r="K342" s="29" t="str" cm="1">
        <f t="array" ref="K342">_xlfn.IFS($G342=$G$5,K$5,$G342=$G$6,K$6,$G342=$G$7,K$7,$G342=$G$8,K$8,$G342=$G$9,K$9,$G342=$G$10,K$10,$G342=$G$11,K$11,$G342=$G$13,K$13,$G342=$G$15,K$15,$G342=$G$16,K$16,$G342=$G$33,K$33,$G342=$G$34,K$34,$G342=$G$248,K$248,$G342=$G$250,K$250)</f>
        <v>BG sentinel + BG lure7</v>
      </c>
      <c r="L342" s="29" t="str" cm="1">
        <f t="array" ref="L342">_xlfn.IFS($G342=$G$5,L$5,$G342=$G$6,L$6,$G342=$G$7,L$7,$G342=$G$8,L$8,$G342=$G$9,L$9,$G342=$G$10,L$10,$G342=$G$11,L$11,$G342=$G$13,L$13,$G342=$G$15,L$15,$G342=$G$16,L$16,$G342=$G$33,L$33,$G342=$G$34,L$34,$G342=$G$248,L$248,$G342=$G$250,L$250)</f>
        <v>Urban habitat</v>
      </c>
      <c r="O342" s="32" t="str">
        <f t="shared" si="19"/>
        <v>A_SP_BCN_4_201125</v>
      </c>
      <c r="P342" s="33">
        <v>44160</v>
      </c>
      <c r="Q342" s="34">
        <v>0.70138888888888884</v>
      </c>
      <c r="R342" s="35"/>
      <c r="S342" s="36">
        <v>44167</v>
      </c>
      <c r="T342" s="37">
        <v>0.70138888888888884</v>
      </c>
      <c r="U342" s="38"/>
      <c r="V342" s="39" t="s">
        <v>66</v>
      </c>
      <c r="X342" s="29">
        <f t="shared" si="17"/>
        <v>7</v>
      </c>
      <c r="Y342" s="38"/>
      <c r="Z342" s="29" t="s">
        <v>75</v>
      </c>
      <c r="AA342" s="29">
        <f t="shared" si="18"/>
        <v>1</v>
      </c>
      <c r="AB342" s="29" t="s">
        <v>69</v>
      </c>
      <c r="AC342" s="29">
        <v>1</v>
      </c>
      <c r="AD342" s="29">
        <v>0</v>
      </c>
      <c r="AE342" s="29" t="s">
        <v>70</v>
      </c>
      <c r="AF342">
        <v>4</v>
      </c>
    </row>
    <row r="343" spans="1:32" x14ac:dyDescent="0.25">
      <c r="A343" s="28">
        <v>342</v>
      </c>
      <c r="B343" s="29" t="s">
        <v>60</v>
      </c>
      <c r="C343" s="29" t="s">
        <v>61</v>
      </c>
      <c r="D343" s="29" t="s">
        <v>62</v>
      </c>
      <c r="E343" s="29" t="s">
        <v>62</v>
      </c>
      <c r="F343" s="30" cm="1">
        <f t="array" ref="F343">_xlfn.IFS($G343=$G$5,F$5,$G343=$G$6,F$6,$G343=$G$7,F$7,$G343=$G$8,F$8,$G343=$G$9,F$9,$G343=$G$10,F$10,$G343=$G$11,F$11,$G343=$G$13,F$13,$G343=$G$15,F$15,$G343=$G$16,F$16,$G343=$G$33,F$33,$G343=$G$34,F$34,$G343=$G$248,F$248,$G343=$G$250,F$250)</f>
        <v>8019</v>
      </c>
      <c r="G343" s="29" t="s">
        <v>74</v>
      </c>
      <c r="H343" s="31" cm="1">
        <f t="array" ref="H343">_xlfn.IFS($G343=$G$5,H$5,$G343=$G$6,H$6,$G343=$G$7,H$7,$G343=$G$8,H$8,$G343=$G$9,H$9,$G343=$G$10,H$10,$G343=$G$11,H$11,$G343=$G$13,H$13,$G343=$G$15,H$15,$G343=$G$16,H$16,$G343=$G$33,H$33,$G343=$G$34,H$34,$G343=$G$248,H$248,$G343=$G$250,H$250)</f>
        <v>41.410684000000003</v>
      </c>
      <c r="I343" s="31" cm="1">
        <f t="array" ref="I343">_xlfn.IFS($G343=$G$5,I$5,$G343=$G$6,I$6,$G343=$G$7,I$7,$G343=$G$8,I$8,$G343=$G$9,I$9,$G343=$G$10,I$10,$G343=$G$11,I$11,$G343=$G$13,I$13,$G343=$G$15,I$15,$G343=$G$16,I$16,$G343=$G$33,I$33,$G343=$G$34,I$34,$G343=$G$248,I$248,$G343=$G$250,I$250)</f>
        <v>2.2208019999999999</v>
      </c>
      <c r="J343" s="29" cm="1">
        <f t="array" ref="J343">_xlfn.IFS($G343=$G$5,J$5,$G343=$G$6,J$6,$G343=$G$7,J$7,$G343=$G$8,J$8,$G343=$G$9,J$9,$G343=$G$10,J$10,$G343=$G$11,J$11,$G343=$G$13,J$13,$G343=$G$15,J$15,$G343=$G$16,J$16,$G343=$G$33,J$33,$G343=$G$34,J$34,$G343=$G$248,J$248,$G343=$G$250,J$250)</f>
        <v>18</v>
      </c>
      <c r="K343" s="29" t="str" cm="1">
        <f t="array" ref="K343">_xlfn.IFS($G343=$G$5,K$5,$G343=$G$6,K$6,$G343=$G$7,K$7,$G343=$G$8,K$8,$G343=$G$9,K$9,$G343=$G$10,K$10,$G343=$G$11,K$11,$G343=$G$13,K$13,$G343=$G$15,K$15,$G343=$G$16,K$16,$G343=$G$33,K$33,$G343=$G$34,K$34,$G343=$G$248,K$248,$G343=$G$250,K$250)</f>
        <v>BG sentinel + BG lure7</v>
      </c>
      <c r="L343" s="29" t="str" cm="1">
        <f t="array" ref="L343">_xlfn.IFS($G343=$G$5,L$5,$G343=$G$6,L$6,$G343=$G$7,L$7,$G343=$G$8,L$8,$G343=$G$9,L$9,$G343=$G$10,L$10,$G343=$G$11,L$11,$G343=$G$13,L$13,$G343=$G$15,L$15,$G343=$G$16,L$16,$G343=$G$33,L$33,$G343=$G$34,L$34,$G343=$G$248,L$248,$G343=$G$250,L$250)</f>
        <v>Urban habitat</v>
      </c>
      <c r="O343" s="32" t="str">
        <f t="shared" si="19"/>
        <v>A_SP_BCN_5_201125</v>
      </c>
      <c r="P343" s="33">
        <v>44160</v>
      </c>
      <c r="Q343" s="34">
        <v>0.71875</v>
      </c>
      <c r="R343" s="35"/>
      <c r="S343" s="36">
        <v>44167</v>
      </c>
      <c r="T343" s="37">
        <v>0.73611111111111116</v>
      </c>
      <c r="U343" s="38"/>
      <c r="V343" s="39" t="s">
        <v>66</v>
      </c>
      <c r="X343" s="29">
        <f t="shared" si="17"/>
        <v>7</v>
      </c>
      <c r="Y343" s="38"/>
      <c r="Z343" s="29" t="s">
        <v>75</v>
      </c>
      <c r="AA343" s="29">
        <f t="shared" si="18"/>
        <v>3</v>
      </c>
      <c r="AB343" s="29" t="s">
        <v>69</v>
      </c>
      <c r="AC343" s="29">
        <v>3</v>
      </c>
      <c r="AD343" s="29">
        <v>0</v>
      </c>
      <c r="AE343" s="29" t="s">
        <v>70</v>
      </c>
      <c r="AF343">
        <v>4</v>
      </c>
    </row>
    <row r="344" spans="1:32" x14ac:dyDescent="0.25">
      <c r="A344" s="28">
        <v>343</v>
      </c>
      <c r="B344" s="29" t="s">
        <v>60</v>
      </c>
      <c r="C344" s="29" t="s">
        <v>61</v>
      </c>
      <c r="D344" s="29" t="s">
        <v>62</v>
      </c>
      <c r="E344" s="29" t="s">
        <v>62</v>
      </c>
      <c r="F344" s="30" cm="1">
        <f t="array" ref="F344">_xlfn.IFS($G344=$G$5,F$5,$G344=$G$6,F$6,$G344=$G$7,F$7,$G344=$G$8,F$8,$G344=$G$9,F$9,$G344=$G$10,F$10,$G344=$G$11,F$11,$G344=$G$13,F$13,$G344=$G$15,F$15,$G344=$G$16,F$16,$G344=$G$33,F$33,$G344=$G$34,F$34,$G344=$G$248,F$248,$G344=$G$250,F$250)</f>
        <v>8019</v>
      </c>
      <c r="G344" s="29" t="s">
        <v>74</v>
      </c>
      <c r="H344" s="31" cm="1">
        <f t="array" ref="H344">_xlfn.IFS($G344=$G$5,H$5,$G344=$G$6,H$6,$G344=$G$7,H$7,$G344=$G$8,H$8,$G344=$G$9,H$9,$G344=$G$10,H$10,$G344=$G$11,H$11,$G344=$G$13,H$13,$G344=$G$15,H$15,$G344=$G$16,H$16,$G344=$G$33,H$33,$G344=$G$34,H$34,$G344=$G$248,H$248,$G344=$G$250,H$250)</f>
        <v>41.410684000000003</v>
      </c>
      <c r="I344" s="31" cm="1">
        <f t="array" ref="I344">_xlfn.IFS($G344=$G$5,I$5,$G344=$G$6,I$6,$G344=$G$7,I$7,$G344=$G$8,I$8,$G344=$G$9,I$9,$G344=$G$10,I$10,$G344=$G$11,I$11,$G344=$G$13,I$13,$G344=$G$15,I$15,$G344=$G$16,I$16,$G344=$G$33,I$33,$G344=$G$34,I$34,$G344=$G$248,I$248,$G344=$G$250,I$250)</f>
        <v>2.2208019999999999</v>
      </c>
      <c r="J344" s="29" cm="1">
        <f t="array" ref="J344">_xlfn.IFS($G344=$G$5,J$5,$G344=$G$6,J$6,$G344=$G$7,J$7,$G344=$G$8,J$8,$G344=$G$9,J$9,$G344=$G$10,J$10,$G344=$G$11,J$11,$G344=$G$13,J$13,$G344=$G$15,J$15,$G344=$G$16,J$16,$G344=$G$33,J$33,$G344=$G$34,J$34,$G344=$G$248,J$248,$G344=$G$250,J$250)</f>
        <v>18</v>
      </c>
      <c r="K344" s="29" t="str" cm="1">
        <f t="array" ref="K344">_xlfn.IFS($G344=$G$5,K$5,$G344=$G$6,K$6,$G344=$G$7,K$7,$G344=$G$8,K$8,$G344=$G$9,K$9,$G344=$G$10,K$10,$G344=$G$11,K$11,$G344=$G$13,K$13,$G344=$G$15,K$15,$G344=$G$16,K$16,$G344=$G$33,K$33,$G344=$G$34,K$34,$G344=$G$248,K$248,$G344=$G$250,K$250)</f>
        <v>BG sentinel + BG lure7</v>
      </c>
      <c r="L344" s="29" t="str" cm="1">
        <f t="array" ref="L344">_xlfn.IFS($G344=$G$5,L$5,$G344=$G$6,L$6,$G344=$G$7,L$7,$G344=$G$8,L$8,$G344=$G$9,L$9,$G344=$G$10,L$10,$G344=$G$11,L$11,$G344=$G$13,L$13,$G344=$G$15,L$15,$G344=$G$16,L$16,$G344=$G$33,L$33,$G344=$G$34,L$34,$G344=$G$248,L$248,$G344=$G$250,L$250)</f>
        <v>Urban habitat</v>
      </c>
      <c r="O344" s="32" t="str">
        <f t="shared" si="19"/>
        <v>A_SP_BCN_5_201125</v>
      </c>
      <c r="P344" s="33">
        <v>44160</v>
      </c>
      <c r="Q344" s="34">
        <v>0.71875</v>
      </c>
      <c r="R344" s="35"/>
      <c r="S344" s="36">
        <v>44167</v>
      </c>
      <c r="T344" s="37">
        <v>0.73611111111111116</v>
      </c>
      <c r="U344" s="38"/>
      <c r="V344" s="39" t="s">
        <v>66</v>
      </c>
      <c r="X344" s="29">
        <f t="shared" si="17"/>
        <v>7</v>
      </c>
      <c r="Y344" s="38"/>
      <c r="Z344" s="29" t="s">
        <v>84</v>
      </c>
      <c r="AA344" s="29">
        <f t="shared" si="18"/>
        <v>1</v>
      </c>
      <c r="AB344" s="29" t="s">
        <v>69</v>
      </c>
      <c r="AC344" s="29">
        <v>1</v>
      </c>
      <c r="AD344" s="29">
        <v>0</v>
      </c>
      <c r="AE344" s="29" t="s">
        <v>70</v>
      </c>
      <c r="AF344">
        <v>4</v>
      </c>
    </row>
    <row r="345" spans="1:32" x14ac:dyDescent="0.25">
      <c r="A345" s="28">
        <v>344</v>
      </c>
      <c r="B345" s="29" t="s">
        <v>60</v>
      </c>
      <c r="C345" s="29" t="s">
        <v>61</v>
      </c>
      <c r="D345" s="29" t="s">
        <v>62</v>
      </c>
      <c r="E345" s="29" t="s">
        <v>62</v>
      </c>
      <c r="F345" s="30" cm="1">
        <f t="array" ref="F345">_xlfn.IFS($G345=$G$5,F$5,$G345=$G$6,F$6,$G345=$G$7,F$7,$G345=$G$8,F$8,$G345=$G$9,F$9,$G345=$G$10,F$10,$G345=$G$11,F$11,$G345=$G$13,F$13,$G345=$G$15,F$15,$G345=$G$16,F$16,$G345=$G$33,F$33,$G345=$G$34,F$34,$G345=$G$248,F$248,$G345=$G$250,F$250)</f>
        <v>8002</v>
      </c>
      <c r="G345" s="29" t="s">
        <v>76</v>
      </c>
      <c r="H345" s="31" cm="1">
        <f t="array" ref="H345">_xlfn.IFS($G345=$G$5,H$5,$G345=$G$6,H$6,$G345=$G$7,H$7,$G345=$G$8,H$8,$G345=$G$9,H$9,$G345=$G$10,H$10,$G345=$G$11,H$11,$G345=$G$13,H$13,$G345=$G$15,H$15,$G345=$G$16,H$16,$G345=$G$33,H$33,$G345=$G$34,H$34,$G345=$G$248,H$248,$G345=$G$250,H$250)</f>
        <v>41.382339999999999</v>
      </c>
      <c r="I345" s="31" cm="1">
        <f t="array" ref="I345">_xlfn.IFS($G345=$G$5,I$5,$G345=$G$6,I$6,$G345=$G$7,I$7,$G345=$G$8,I$8,$G345=$G$9,I$9,$G345=$G$10,I$10,$G345=$G$11,I$11,$G345=$G$13,I$13,$G345=$G$15,I$15,$G345=$G$16,I$16,$G345=$G$33,I$33,$G345=$G$34,I$34,$G345=$G$248,I$248,$G345=$G$250,I$250)</f>
        <v>2.1714790000000002</v>
      </c>
      <c r="J345" s="29" cm="1">
        <f t="array" ref="J345">_xlfn.IFS($G345=$G$5,J$5,$G345=$G$6,J$6,$G345=$G$7,J$7,$G345=$G$8,J$8,$G345=$G$9,J$9,$G345=$G$10,J$10,$G345=$G$11,J$11,$G345=$G$13,J$13,$G345=$G$15,J$15,$G345=$G$16,J$16,$G345=$G$33,J$33,$G345=$G$34,J$34,$G345=$G$248,J$248,$G345=$G$250,J$250)</f>
        <v>19</v>
      </c>
      <c r="K345" s="29" t="str" cm="1">
        <f t="array" ref="K345">_xlfn.IFS($G345=$G$5,K$5,$G345=$G$6,K$6,$G345=$G$7,K$7,$G345=$G$8,K$8,$G345=$G$9,K$9,$G345=$G$10,K$10,$G345=$G$11,K$11,$G345=$G$13,K$13,$G345=$G$15,K$15,$G345=$G$16,K$16,$G345=$G$33,K$33,$G345=$G$34,K$34,$G345=$G$248,K$248,$G345=$G$250,K$250)</f>
        <v>BG sentinel + BG lure7</v>
      </c>
      <c r="L345" s="29" t="str" cm="1">
        <f t="array" ref="L345">_xlfn.IFS($G345=$G$5,L$5,$G345=$G$6,L$6,$G345=$G$7,L$7,$G345=$G$8,L$8,$G345=$G$9,L$9,$G345=$G$10,L$10,$G345=$G$11,L$11,$G345=$G$13,L$13,$G345=$G$15,L$15,$G345=$G$16,L$16,$G345=$G$33,L$33,$G345=$G$34,L$34,$G345=$G$248,L$248,$G345=$G$250,L$250)</f>
        <v>Urban habitat</v>
      </c>
      <c r="O345" s="32" t="str">
        <f t="shared" si="19"/>
        <v>A_SP_BCN_6_201125</v>
      </c>
      <c r="P345" s="33">
        <v>44160</v>
      </c>
      <c r="Q345" s="34">
        <v>0.63541666666666663</v>
      </c>
      <c r="R345" s="35"/>
      <c r="S345" s="36">
        <v>44167</v>
      </c>
      <c r="T345" s="37">
        <v>0.59375</v>
      </c>
      <c r="U345" s="38"/>
      <c r="V345" s="39" t="s">
        <v>66</v>
      </c>
      <c r="X345" s="29">
        <f t="shared" si="17"/>
        <v>7</v>
      </c>
      <c r="Y345" s="38"/>
      <c r="AA345" s="29">
        <f t="shared" si="18"/>
        <v>0</v>
      </c>
      <c r="AF345">
        <v>4</v>
      </c>
    </row>
    <row r="346" spans="1:32" x14ac:dyDescent="0.25">
      <c r="A346" s="28">
        <v>345</v>
      </c>
      <c r="B346" s="29" t="s">
        <v>60</v>
      </c>
      <c r="C346" s="29" t="s">
        <v>61</v>
      </c>
      <c r="D346" s="29" t="s">
        <v>62</v>
      </c>
      <c r="E346" s="29" t="s">
        <v>62</v>
      </c>
      <c r="F346" s="30" cm="1">
        <f t="array" ref="F346">_xlfn.IFS($G346=$G$5,F$5,$G346=$G$6,F$6,$G346=$G$7,F$7,$G346=$G$8,F$8,$G346=$G$9,F$9,$G346=$G$10,F$10,$G346=$G$11,F$11,$G346=$G$13,F$13,$G346=$G$15,F$15,$G346=$G$16,F$16,$G346=$G$33,F$33,$G346=$G$34,F$34,$G346=$G$248,F$248,$G346=$G$250,F$250)</f>
        <v>8038</v>
      </c>
      <c r="G346" s="29" t="s">
        <v>77</v>
      </c>
      <c r="H346" s="31" cm="1">
        <f t="array" ref="H346">_xlfn.IFS($G346=$G$5,H$5,$G346=$G$6,H$6,$G346=$G$7,H$7,$G346=$G$8,H$8,$G346=$G$9,H$9,$G346=$G$10,H$10,$G346=$G$11,H$11,$G346=$G$13,H$13,$G346=$G$15,H$15,$G346=$G$16,H$16,$G346=$G$33,H$33,$G346=$G$34,H$34,$G346=$G$248,H$248,$G346=$G$250,H$250)</f>
        <v>41.371864000000002</v>
      </c>
      <c r="I346" s="31" cm="1">
        <f t="array" ref="I346">_xlfn.IFS($G346=$G$5,I$5,$G346=$G$6,I$6,$G346=$G$7,I$7,$G346=$G$8,I$8,$G346=$G$9,I$9,$G346=$G$10,I$10,$G346=$G$11,I$11,$G346=$G$13,I$13,$G346=$G$15,I$15,$G346=$G$16,I$16,$G346=$G$33,I$33,$G346=$G$34,I$34,$G346=$G$248,I$248,$G346=$G$250,I$250)</f>
        <v>2.173899</v>
      </c>
      <c r="J346" s="29" cm="1">
        <f t="array" ref="J346">_xlfn.IFS($G346=$G$5,J$5,$G346=$G$6,J$6,$G346=$G$7,J$7,$G346=$G$8,J$8,$G346=$G$9,J$9,$G346=$G$10,J$10,$G346=$G$11,J$11,$G346=$G$13,J$13,$G346=$G$15,J$15,$G346=$G$16,J$16,$G346=$G$33,J$33,$G346=$G$34,J$34,$G346=$G$248,J$248,$G346=$G$250,J$250)</f>
        <v>5</v>
      </c>
      <c r="K346" s="29" t="str" cm="1">
        <f t="array" ref="K346">_xlfn.IFS($G346=$G$5,K$5,$G346=$G$6,K$6,$G346=$G$7,K$7,$G346=$G$8,K$8,$G346=$G$9,K$9,$G346=$G$10,K$10,$G346=$G$11,K$11,$G346=$G$13,K$13,$G346=$G$15,K$15,$G346=$G$16,K$16,$G346=$G$33,K$33,$G346=$G$34,K$34,$G346=$G$248,K$248,$G346=$G$250,K$250)</f>
        <v>BG sentinel + BG lure7</v>
      </c>
      <c r="L346" s="29" t="str" cm="1">
        <f t="array" ref="L346">_xlfn.IFS($G346=$G$5,L$5,$G346=$G$6,L$6,$G346=$G$7,L$7,$G346=$G$8,L$8,$G346=$G$9,L$9,$G346=$G$10,L$10,$G346=$G$11,L$11,$G346=$G$13,L$13,$G346=$G$15,L$15,$G346=$G$16,L$16,$G346=$G$33,L$33,$G346=$G$34,L$34,$G346=$G$248,L$248,$G346=$G$250,L$250)</f>
        <v>Urban habitat</v>
      </c>
      <c r="O346" s="32" t="str">
        <f t="shared" si="19"/>
        <v>A_SP_BCN_7_201125</v>
      </c>
      <c r="P346" s="33">
        <v>44160</v>
      </c>
      <c r="Q346" s="34">
        <v>0.58680555555555558</v>
      </c>
      <c r="R346" s="35"/>
      <c r="S346" s="36">
        <v>44167</v>
      </c>
      <c r="T346" s="37">
        <v>0.51041666666666663</v>
      </c>
      <c r="U346" s="38"/>
      <c r="V346" s="39" t="s">
        <v>66</v>
      </c>
      <c r="X346" s="29">
        <f t="shared" si="17"/>
        <v>7</v>
      </c>
      <c r="Y346" s="38"/>
      <c r="AA346" s="29">
        <f t="shared" si="18"/>
        <v>0</v>
      </c>
      <c r="AF346">
        <v>4</v>
      </c>
    </row>
    <row r="347" spans="1:32" x14ac:dyDescent="0.25">
      <c r="A347" s="28">
        <v>346</v>
      </c>
      <c r="B347" s="29" t="s">
        <v>60</v>
      </c>
      <c r="C347" s="29" t="s">
        <v>61</v>
      </c>
      <c r="D347" s="29" t="s">
        <v>62</v>
      </c>
      <c r="E347" s="29" t="s">
        <v>62</v>
      </c>
      <c r="F347" s="30" cm="1">
        <f t="array" ref="F347">_xlfn.IFS($G347=$G$5,F$5,$G347=$G$6,F$6,$G347=$G$7,F$7,$G347=$G$8,F$8,$G347=$G$9,F$9,$G347=$G$10,F$10,$G347=$G$11,F$11,$G347=$G$13,F$13,$G347=$G$15,F$15,$G347=$G$16,F$16,$G347=$G$33,F$33,$G347=$G$34,F$34,$G347=$G$248,F$248,$G347=$G$250,F$250)</f>
        <v>8038</v>
      </c>
      <c r="G347" s="29" t="s">
        <v>78</v>
      </c>
      <c r="H347" s="31" cm="1">
        <f t="array" ref="H347">_xlfn.IFS($G347=$G$5,H$5,$G347=$G$6,H$6,$G347=$G$7,H$7,$G347=$G$8,H$8,$G347=$G$9,H$9,$G347=$G$10,H$10,$G347=$G$11,H$11,$G347=$G$13,H$13,$G347=$G$15,H$15,$G347=$G$16,H$16,$G347=$G$33,H$33,$G347=$G$34,H$34,$G347=$G$248,H$248,$G347=$G$250,H$250)</f>
        <v>41.368589</v>
      </c>
      <c r="I347" s="31" cm="1">
        <f t="array" ref="I347">_xlfn.IFS($G347=$G$5,I$5,$G347=$G$6,I$6,$G347=$G$7,I$7,$G347=$G$8,I$8,$G347=$G$9,I$9,$G347=$G$10,I$10,$G347=$G$11,I$11,$G347=$G$13,I$13,$G347=$G$15,I$15,$G347=$G$16,I$16,$G347=$G$33,I$33,$G347=$G$34,I$34,$G347=$G$248,I$248,$G347=$G$250,I$250)</f>
        <v>2.1620900000000001</v>
      </c>
      <c r="J347" s="29" cm="1">
        <f t="array" ref="J347">_xlfn.IFS($G347=$G$5,J$5,$G347=$G$6,J$6,$G347=$G$7,J$7,$G347=$G$8,J$8,$G347=$G$9,J$9,$G347=$G$10,J$10,$G347=$G$11,J$11,$G347=$G$13,J$13,$G347=$G$15,J$15,$G347=$G$16,J$16,$G347=$G$33,J$33,$G347=$G$34,J$34,$G347=$G$248,J$248,$G347=$G$250,J$250)</f>
        <v>95</v>
      </c>
      <c r="K347" s="29" t="str" cm="1">
        <f t="array" ref="K347">_xlfn.IFS($G347=$G$5,K$5,$G347=$G$6,K$6,$G347=$G$7,K$7,$G347=$G$8,K$8,$G347=$G$9,K$9,$G347=$G$10,K$10,$G347=$G$11,K$11,$G347=$G$13,K$13,$G347=$G$15,K$15,$G347=$G$16,K$16,$G347=$G$33,K$33,$G347=$G$34,K$34,$G347=$G$248,K$248,$G347=$G$250,K$250)</f>
        <v>BG sentinel + BG lure7</v>
      </c>
      <c r="L347" s="29" t="str" cm="1">
        <f t="array" ref="L347">_xlfn.IFS($G347=$G$5,L$5,$G347=$G$6,L$6,$G347=$G$7,L$7,$G347=$G$8,L$8,$G347=$G$9,L$9,$G347=$G$10,L$10,$G347=$G$11,L$11,$G347=$G$13,L$13,$G347=$G$15,L$15,$G347=$G$16,L$16,$G347=$G$33,L$33,$G347=$G$34,L$34,$G347=$G$248,L$248,$G347=$G$250,L$250)</f>
        <v>Other</v>
      </c>
      <c r="O347" s="32" t="str">
        <f t="shared" si="19"/>
        <v>A_SP_BCN_8_201125</v>
      </c>
      <c r="P347" s="33">
        <v>44160</v>
      </c>
      <c r="Q347" s="34">
        <v>0.59722222222222221</v>
      </c>
      <c r="R347" s="35"/>
      <c r="S347" s="36">
        <v>44167</v>
      </c>
      <c r="T347" s="37">
        <v>0.53472222222222221</v>
      </c>
      <c r="U347" s="38"/>
      <c r="V347" s="39" t="s">
        <v>66</v>
      </c>
      <c r="X347" s="29">
        <f t="shared" si="17"/>
        <v>7</v>
      </c>
      <c r="Y347" s="38"/>
      <c r="Z347" s="29" t="s">
        <v>75</v>
      </c>
      <c r="AA347" s="29">
        <f t="shared" si="18"/>
        <v>2</v>
      </c>
      <c r="AB347" s="29" t="s">
        <v>69</v>
      </c>
      <c r="AC347" s="29">
        <v>2</v>
      </c>
      <c r="AD347" s="29">
        <v>0</v>
      </c>
      <c r="AE347" s="29" t="s">
        <v>70</v>
      </c>
      <c r="AF347">
        <v>4</v>
      </c>
    </row>
    <row r="348" spans="1:32" x14ac:dyDescent="0.25">
      <c r="A348" s="28">
        <v>347</v>
      </c>
      <c r="B348" s="29" t="s">
        <v>60</v>
      </c>
      <c r="C348" s="29" t="s">
        <v>61</v>
      </c>
      <c r="D348" s="29" t="s">
        <v>62</v>
      </c>
      <c r="E348" s="29" t="s">
        <v>62</v>
      </c>
      <c r="F348" s="30" cm="1">
        <f t="array" ref="F348">_xlfn.IFS($G348=$G$5,F$5,$G348=$G$6,F$6,$G348=$G$7,F$7,$G348=$G$8,F$8,$G348=$G$9,F$9,$G348=$G$10,F$10,$G348=$G$11,F$11,$G348=$G$13,F$13,$G348=$G$15,F$15,$G348=$G$16,F$16,$G348=$G$33,F$33,$G348=$G$34,F$34,$G348=$G$248,F$248,$G348=$G$250,F$250)</f>
        <v>8034</v>
      </c>
      <c r="G348" s="29" t="s">
        <v>81</v>
      </c>
      <c r="H348" s="31" cm="1">
        <f t="array" ref="H348">_xlfn.IFS($G348=$G$5,H$5,$G348=$G$6,H$6,$G348=$G$7,H$7,$G348=$G$8,H$8,$G348=$G$9,H$9,$G348=$G$10,H$10,$G348=$G$11,H$11,$G348=$G$13,H$13,$G348=$G$15,H$15,$G348=$G$16,H$16,$G348=$G$33,H$33,$G348=$G$34,H$34,$G348=$G$248,H$248,$G348=$G$250,H$250)</f>
        <v>41.393644999999999</v>
      </c>
      <c r="I348" s="31" cm="1">
        <f t="array" ref="I348">_xlfn.IFS($G348=$G$5,I$5,$G348=$G$6,I$6,$G348=$G$7,I$7,$G348=$G$8,I$8,$G348=$G$9,I$9,$G348=$G$10,I$10,$G348=$G$11,I$11,$G348=$G$13,I$13,$G348=$G$15,I$15,$G348=$G$16,I$16,$G348=$G$33,I$33,$G348=$G$34,I$34,$G348=$G$248,I$248,$G348=$G$250,I$250)</f>
        <v>2.1216780000000002</v>
      </c>
      <c r="J348" s="29" cm="1">
        <f t="array" ref="J348">_xlfn.IFS($G348=$G$5,J$5,$G348=$G$6,J$6,$G348=$G$7,J$7,$G348=$G$8,J$8,$G348=$G$9,J$9,$G348=$G$10,J$10,$G348=$G$11,J$11,$G348=$G$13,J$13,$G348=$G$15,J$15,$G348=$G$16,J$16,$G348=$G$33,J$33,$G348=$G$34,J$34,$G348=$G$248,J$248,$G348=$G$250,J$250)</f>
        <v>98</v>
      </c>
      <c r="K348" s="29" t="str" cm="1">
        <f t="array" ref="K348">_xlfn.IFS($G348=$G$5,K$5,$G348=$G$6,K$6,$G348=$G$7,K$7,$G348=$G$8,K$8,$G348=$G$9,K$9,$G348=$G$10,K$10,$G348=$G$11,K$11,$G348=$G$13,K$13,$G348=$G$15,K$15,$G348=$G$16,K$16,$G348=$G$33,K$33,$G348=$G$34,K$34,$G348=$G$248,K$248,$G348=$G$250,K$250)</f>
        <v>BG sentinel + BG lure7</v>
      </c>
      <c r="L348" s="29" t="str" cm="1">
        <f t="array" ref="L348">_xlfn.IFS($G348=$G$5,L$5,$G348=$G$6,L$6,$G348=$G$7,L$7,$G348=$G$8,L$8,$G348=$G$9,L$9,$G348=$G$10,L$10,$G348=$G$11,L$11,$G348=$G$13,L$13,$G348=$G$15,L$15,$G348=$G$16,L$16,$G348=$G$33,L$33,$G348=$G$34,L$34,$G348=$G$248,L$248,$G348=$G$250,L$250)</f>
        <v>Other</v>
      </c>
      <c r="O348" s="32" t="str">
        <f t="shared" si="19"/>
        <v>A_SP_BCN_9_201125</v>
      </c>
      <c r="P348" s="33">
        <v>44160</v>
      </c>
      <c r="Q348" s="34">
        <v>0.79861111111111116</v>
      </c>
      <c r="R348" s="35"/>
      <c r="S348" s="36">
        <v>44167</v>
      </c>
      <c r="T348" s="37">
        <v>0.80555555555555547</v>
      </c>
      <c r="U348" s="38"/>
      <c r="V348" s="39" t="s">
        <v>66</v>
      </c>
      <c r="X348" s="29">
        <f t="shared" si="17"/>
        <v>7</v>
      </c>
      <c r="Y348" s="38"/>
      <c r="Z348" s="29" t="s">
        <v>84</v>
      </c>
      <c r="AA348" s="29">
        <f t="shared" si="18"/>
        <v>1</v>
      </c>
      <c r="AB348" s="29" t="s">
        <v>69</v>
      </c>
      <c r="AC348" s="29">
        <v>1</v>
      </c>
      <c r="AD348" s="29">
        <v>0</v>
      </c>
      <c r="AE348" s="29" t="s">
        <v>70</v>
      </c>
      <c r="AF348">
        <v>4</v>
      </c>
    </row>
    <row r="349" spans="1:32" x14ac:dyDescent="0.25">
      <c r="A349" s="28">
        <v>348</v>
      </c>
      <c r="B349" s="29" t="s">
        <v>60</v>
      </c>
      <c r="C349" s="29" t="s">
        <v>61</v>
      </c>
      <c r="D349" s="29" t="s">
        <v>62</v>
      </c>
      <c r="E349" s="29" t="s">
        <v>62</v>
      </c>
      <c r="F349" s="30" cm="1">
        <f t="array" ref="F349">_xlfn.IFS($G349=$G$5,F$5,$G349=$G$6,F$6,$G349=$G$7,F$7,$G349=$G$8,F$8,$G349=$G$9,F$9,$G349=$G$10,F$10,$G349=$G$11,F$11,$G349=$G$13,F$13,$G349=$G$15,F$15,$G349=$G$16,F$16,$G349=$G$33,F$33,$G349=$G$34,F$34,$G349=$G$248,F$248,$G349=$G$250,F$250)</f>
        <v>8040</v>
      </c>
      <c r="G349" s="29" t="s">
        <v>83</v>
      </c>
      <c r="H349" s="31" cm="1">
        <f t="array" ref="H349">_xlfn.IFS($G349=$G$5,H$5,$G349=$G$6,H$6,$G349=$G$7,H$7,$G349=$G$8,H$8,$G349=$G$9,H$9,$G349=$G$10,H$10,$G349=$G$11,H$11,$G349=$G$13,H$13,$G349=$G$15,H$15,$G349=$G$16,H$16,$G349=$G$33,H$33,$G349=$G$34,H$34,$G349=$G$248,H$248,$G349=$G$250,H$250)</f>
        <v>41.343685000000001</v>
      </c>
      <c r="I349" s="31" cm="1">
        <f t="array" ref="I349">_xlfn.IFS($G349=$G$5,I$5,$G349=$G$6,I$6,$G349=$G$7,I$7,$G349=$G$8,I$8,$G349=$G$9,I$9,$G349=$G$10,I$10,$G349=$G$11,I$11,$G349=$G$13,I$13,$G349=$G$15,I$15,$G349=$G$16,I$16,$G349=$G$33,I$33,$G349=$G$34,I$34,$G349=$G$248,I$248,$G349=$G$250,I$250)</f>
        <v>2.1441490000000001</v>
      </c>
      <c r="J349" s="29" cm="1">
        <f t="array" ref="J349">_xlfn.IFS($G349=$G$5,J$5,$G349=$G$6,J$6,$G349=$G$7,J$7,$G349=$G$8,J$8,$G349=$G$9,J$9,$G349=$G$10,J$10,$G349=$G$11,J$11,$G349=$G$13,J$13,$G349=$G$15,J$15,$G349=$G$16,J$16,$G349=$G$33,J$33,$G349=$G$34,J$34,$G349=$G$248,J$248,$G349=$G$250,J$250)</f>
        <v>4</v>
      </c>
      <c r="K349" s="29" t="str" cm="1">
        <f t="array" ref="K349">_xlfn.IFS($G349=$G$5,K$5,$G349=$G$6,K$6,$G349=$G$7,K$7,$G349=$G$8,K$8,$G349=$G$9,K$9,$G349=$G$10,K$10,$G349=$G$11,K$11,$G349=$G$13,K$13,$G349=$G$15,K$15,$G349=$G$16,K$16,$G349=$G$33,K$33,$G349=$G$34,K$34,$G349=$G$248,K$248,$G349=$G$250,K$250)</f>
        <v>BG sentinel + BG lure7</v>
      </c>
      <c r="L349" s="29" t="str" cm="1">
        <f t="array" ref="L349">_xlfn.IFS($G349=$G$5,L$5,$G349=$G$6,L$6,$G349=$G$7,L$7,$G349=$G$8,L$8,$G349=$G$9,L$9,$G349=$G$10,L$10,$G349=$G$11,L$11,$G349=$G$13,L$13,$G349=$G$15,L$15,$G349=$G$16,L$16,$G349=$G$33,L$33,$G349=$G$34,L$34,$G349=$G$248,L$248,$G349=$G$250,L$250)</f>
        <v>Urban habitat</v>
      </c>
      <c r="O349" s="32" t="str">
        <f t="shared" si="19"/>
        <v>A_SP_BCN_10_201125</v>
      </c>
      <c r="P349" s="33">
        <v>44160</v>
      </c>
      <c r="Q349" s="34">
        <v>0.57638888888888895</v>
      </c>
      <c r="R349" s="35"/>
      <c r="S349" s="36">
        <v>44167</v>
      </c>
      <c r="T349" s="37">
        <v>0.5</v>
      </c>
      <c r="U349" s="38"/>
      <c r="V349" s="39" t="s">
        <v>66</v>
      </c>
      <c r="X349" s="29">
        <f t="shared" si="17"/>
        <v>7</v>
      </c>
      <c r="Y349" s="38"/>
      <c r="Z349" s="29" t="s">
        <v>75</v>
      </c>
      <c r="AA349" s="29">
        <f t="shared" si="18"/>
        <v>2</v>
      </c>
      <c r="AB349" s="29" t="s">
        <v>69</v>
      </c>
      <c r="AC349" s="29">
        <v>2</v>
      </c>
      <c r="AD349" s="29">
        <v>0</v>
      </c>
      <c r="AE349" s="29" t="s">
        <v>70</v>
      </c>
      <c r="AF349">
        <v>4</v>
      </c>
    </row>
    <row r="350" spans="1:32" x14ac:dyDescent="0.25">
      <c r="A350" s="28">
        <v>349</v>
      </c>
      <c r="B350" s="29" t="s">
        <v>60</v>
      </c>
      <c r="C350" s="29" t="s">
        <v>61</v>
      </c>
      <c r="D350" s="29" t="s">
        <v>62</v>
      </c>
      <c r="E350" s="29" t="s">
        <v>62</v>
      </c>
      <c r="F350" s="30" cm="1">
        <f t="array" ref="F350">_xlfn.IFS($G350=$G$5,F$5,$G350=$G$6,F$6,$G350=$G$7,F$7,$G350=$G$8,F$8,$G350=$G$9,F$9,$G350=$G$10,F$10,$G350=$G$11,F$11,$G350=$G$13,F$13,$G350=$G$15,F$15,$G350=$G$16,F$16,$G350=$G$33,F$33,$G350=$G$34,F$34,$G350=$G$248,F$248,$G350=$G$250,F$250)</f>
        <v>8038</v>
      </c>
      <c r="G350" s="29" t="s">
        <v>85</v>
      </c>
      <c r="H350" s="31" cm="1">
        <f t="array" ref="H350">_xlfn.IFS($G350=$G$5,H$5,$G350=$G$6,H$6,$G350=$G$7,H$7,$G350=$G$8,H$8,$G350=$G$9,H$9,$G350=$G$10,H$10,$G350=$G$11,H$11,$G350=$G$13,H$13,$G350=$G$15,H$15,$G350=$G$16,H$16,$G350=$G$33,H$33,$G350=$G$34,H$34,$G350=$G$248,H$248,$G350=$G$250,H$250)</f>
        <v>41.367429999999999</v>
      </c>
      <c r="I350" s="31" cm="1">
        <f t="array" ref="I350">_xlfn.IFS($G350=$G$5,I$5,$G350=$G$6,I$6,$G350=$G$7,I$7,$G350=$G$8,I$8,$G350=$G$9,I$9,$G350=$G$10,I$10,$G350=$G$11,I$11,$G350=$G$13,I$13,$G350=$G$15,I$15,$G350=$G$16,I$16,$G350=$G$33,I$33,$G350=$G$34,I$34,$G350=$G$248,I$248,$G350=$G$250,I$250)</f>
        <v>2.1569609999999999</v>
      </c>
      <c r="J350" s="29" cm="1">
        <f t="array" ref="J350">_xlfn.IFS($G350=$G$5,J$5,$G350=$G$6,J$6,$G350=$G$7,J$7,$G350=$G$8,J$8,$G350=$G$9,J$9,$G350=$G$10,J$10,$G350=$G$11,J$11,$G350=$G$13,J$13,$G350=$G$15,J$15,$G350=$G$16,J$16,$G350=$G$33,J$33,$G350=$G$34,J$34,$G350=$G$248,J$248,$G350=$G$250,J$250)</f>
        <v>91</v>
      </c>
      <c r="K350" s="29" t="str" cm="1">
        <f t="array" ref="K350">_xlfn.IFS($G350=$G$5,K$5,$G350=$G$6,K$6,$G350=$G$7,K$7,$G350=$G$8,K$8,$G350=$G$9,K$9,$G350=$G$10,K$10,$G350=$G$11,K$11,$G350=$G$13,K$13,$G350=$G$15,K$15,$G350=$G$16,K$16,$G350=$G$33,K$33,$G350=$G$34,K$34,$G350=$G$248,K$248,$G350=$G$250,K$250)</f>
        <v>BG sentinel + BG lure7</v>
      </c>
      <c r="L350" s="29" t="str" cm="1">
        <f t="array" ref="L350">_xlfn.IFS($G350=$G$5,L$5,$G350=$G$6,L$6,$G350=$G$7,L$7,$G350=$G$8,L$8,$G350=$G$9,L$9,$G350=$G$10,L$10,$G350=$G$11,L$11,$G350=$G$13,L$13,$G350=$G$15,L$15,$G350=$G$16,L$16,$G350=$G$33,L$33,$G350=$G$34,L$34,$G350=$G$248,L$248,$G350=$G$250,L$250)</f>
        <v>Other</v>
      </c>
      <c r="O350" s="32" t="str">
        <f t="shared" si="19"/>
        <v>A_SP_BCN_11_201125</v>
      </c>
      <c r="P350" s="33">
        <v>44160</v>
      </c>
      <c r="Q350" s="34">
        <v>0.59375</v>
      </c>
      <c r="R350" s="35"/>
      <c r="S350" s="36">
        <v>44167</v>
      </c>
      <c r="T350" s="37">
        <v>0.52083333333333337</v>
      </c>
      <c r="U350" s="38"/>
      <c r="V350" s="39" t="s">
        <v>66</v>
      </c>
      <c r="X350" s="29">
        <f t="shared" si="17"/>
        <v>7</v>
      </c>
      <c r="Y350" s="38"/>
      <c r="AA350" s="29">
        <f t="shared" si="18"/>
        <v>0</v>
      </c>
      <c r="AF350">
        <v>4</v>
      </c>
    </row>
    <row r="351" spans="1:32" x14ac:dyDescent="0.25">
      <c r="A351" s="28">
        <v>350</v>
      </c>
      <c r="B351" s="29" t="s">
        <v>60</v>
      </c>
      <c r="C351" s="29" t="s">
        <v>61</v>
      </c>
      <c r="D351" s="29" t="s">
        <v>62</v>
      </c>
      <c r="E351" s="29" t="s">
        <v>62</v>
      </c>
      <c r="F351" s="30" cm="1">
        <f t="array" ref="F351">_xlfn.IFS($G351=$G$5,F$5,$G351=$G$6,F$6,$G351=$G$7,F$7,$G351=$G$8,F$8,$G351=$G$9,F$9,$G351=$G$10,F$10,$G351=$G$11,F$11,$G351=$G$13,F$13,$G351=$G$15,F$15,$G351=$G$16,F$16,$G351=$G$33,F$33,$G351=$G$34,F$34,$G351=$G$248,F$248,$G351=$G$250,F$250)</f>
        <v>8038</v>
      </c>
      <c r="G351" s="29" t="s">
        <v>86</v>
      </c>
      <c r="H351" s="31" cm="1">
        <f t="array" ref="H351">_xlfn.IFS($G351=$G$5,H$5,$G351=$G$6,H$6,$G351=$G$7,H$7,$G351=$G$8,H$8,$G351=$G$9,H$9,$G351=$G$10,H$10,$G351=$G$11,H$11,$G351=$G$13,H$13,$G351=$G$15,H$15,$G351=$G$16,H$16,$G351=$G$33,H$33,$G351=$G$34,H$34,$G351=$G$248,H$248,$G351=$G$250,H$250)</f>
        <v>41.363377999999997</v>
      </c>
      <c r="I351" s="31" cm="1">
        <f t="array" ref="I351">_xlfn.IFS($G351=$G$5,I$5,$G351=$G$6,I$6,$G351=$G$7,I$7,$G351=$G$8,I$8,$G351=$G$9,I$9,$G351=$G$10,I$10,$G351=$G$11,I$11,$G351=$G$13,I$13,$G351=$G$15,I$15,$G351=$G$16,I$16,$G351=$G$33,I$33,$G351=$G$34,I$34,$G351=$G$248,I$248,$G351=$G$250,I$250)</f>
        <v>2.164879</v>
      </c>
      <c r="J351" s="29" cm="1">
        <f t="array" ref="J351">_xlfn.IFS($G351=$G$5,J$5,$G351=$G$6,J$6,$G351=$G$7,J$7,$G351=$G$8,J$8,$G351=$G$9,J$9,$G351=$G$10,J$10,$G351=$G$11,J$11,$G351=$G$13,J$13,$G351=$G$15,J$15,$G351=$G$16,J$16,$G351=$G$33,J$33,$G351=$G$34,J$34,$G351=$G$248,J$248,$G351=$G$250,J$250)</f>
        <v>185</v>
      </c>
      <c r="K351" s="29" t="str" cm="1">
        <f t="array" ref="K351">_xlfn.IFS($G351=$G$5,K$5,$G351=$G$6,K$6,$G351=$G$7,K$7,$G351=$G$8,K$8,$G351=$G$9,K$9,$G351=$G$10,K$10,$G351=$G$11,K$11,$G351=$G$13,K$13,$G351=$G$15,K$15,$G351=$G$16,K$16,$G351=$G$33,K$33,$G351=$G$34,K$34,$G351=$G$248,K$248,$G351=$G$250,K$250)</f>
        <v>BG sentinel + BG lure7</v>
      </c>
      <c r="L351" s="29" t="str" cm="1">
        <f t="array" ref="L351">_xlfn.IFS($G351=$G$5,L$5,$G351=$G$6,L$6,$G351=$G$7,L$7,$G351=$G$8,L$8,$G351=$G$9,L$9,$G351=$G$10,L$10,$G351=$G$11,L$11,$G351=$G$13,L$13,$G351=$G$15,L$15,$G351=$G$16,L$16,$G351=$G$33,L$33,$G351=$G$34,L$34,$G351=$G$248,L$248,$G351=$G$250,L$250)</f>
        <v>Other</v>
      </c>
      <c r="O351" s="32" t="str">
        <f t="shared" si="19"/>
        <v>A_SP_BCN_12_201125</v>
      </c>
      <c r="P351" s="33">
        <v>44160</v>
      </c>
      <c r="Q351" s="34">
        <v>0.61458333333333337</v>
      </c>
      <c r="R351" s="35"/>
      <c r="S351" s="36">
        <v>44167</v>
      </c>
      <c r="T351" s="37">
        <v>0.56597222222222221</v>
      </c>
      <c r="U351" s="38"/>
      <c r="V351" s="39" t="s">
        <v>66</v>
      </c>
      <c r="X351" s="29">
        <f t="shared" si="17"/>
        <v>7</v>
      </c>
      <c r="Y351" s="38"/>
      <c r="Z351" s="29" t="s">
        <v>75</v>
      </c>
      <c r="AA351" s="29">
        <f t="shared" si="18"/>
        <v>15</v>
      </c>
      <c r="AB351" s="29" t="s">
        <v>69</v>
      </c>
      <c r="AC351" s="29">
        <v>15</v>
      </c>
      <c r="AD351" s="29">
        <v>0</v>
      </c>
      <c r="AE351" s="29" t="s">
        <v>70</v>
      </c>
      <c r="AF351">
        <v>4</v>
      </c>
    </row>
    <row r="352" spans="1:32" x14ac:dyDescent="0.25">
      <c r="A352" s="28">
        <v>351</v>
      </c>
      <c r="B352" s="29" t="s">
        <v>60</v>
      </c>
      <c r="C352" s="29" t="s">
        <v>61</v>
      </c>
      <c r="D352" s="29" t="s">
        <v>62</v>
      </c>
      <c r="E352" s="29" t="s">
        <v>62</v>
      </c>
      <c r="F352" s="30" cm="1">
        <f t="array" ref="F352">_xlfn.IFS($G352=$G$5,F$5,$G352=$G$6,F$6,$G352=$G$7,F$7,$G352=$G$8,F$8,$G352=$G$9,F$9,$G352=$G$10,F$10,$G352=$G$11,F$11,$G352=$G$13,F$13,$G352=$G$15,F$15,$G352=$G$16,F$16,$G352=$G$33,F$33,$G352=$G$34,F$34,$G352=$G$248,F$248,$G352=$G$250,F$250)</f>
        <v>8038</v>
      </c>
      <c r="G352" s="29" t="s">
        <v>86</v>
      </c>
      <c r="H352" s="31" cm="1">
        <f t="array" ref="H352">_xlfn.IFS($G352=$G$5,H$5,$G352=$G$6,H$6,$G352=$G$7,H$7,$G352=$G$8,H$8,$G352=$G$9,H$9,$G352=$G$10,H$10,$G352=$G$11,H$11,$G352=$G$13,H$13,$G352=$G$15,H$15,$G352=$G$16,H$16,$G352=$G$33,H$33,$G352=$G$34,H$34,$G352=$G$248,H$248,$G352=$G$250,H$250)</f>
        <v>41.363377999999997</v>
      </c>
      <c r="I352" s="31" cm="1">
        <f t="array" ref="I352">_xlfn.IFS($G352=$G$5,I$5,$G352=$G$6,I$6,$G352=$G$7,I$7,$G352=$G$8,I$8,$G352=$G$9,I$9,$G352=$G$10,I$10,$G352=$G$11,I$11,$G352=$G$13,I$13,$G352=$G$15,I$15,$G352=$G$16,I$16,$G352=$G$33,I$33,$G352=$G$34,I$34,$G352=$G$248,I$248,$G352=$G$250,I$250)</f>
        <v>2.164879</v>
      </c>
      <c r="J352" s="29" cm="1">
        <f t="array" ref="J352">_xlfn.IFS($G352=$G$5,J$5,$G352=$G$6,J$6,$G352=$G$7,J$7,$G352=$G$8,J$8,$G352=$G$9,J$9,$G352=$G$10,J$10,$G352=$G$11,J$11,$G352=$G$13,J$13,$G352=$G$15,J$15,$G352=$G$16,J$16,$G352=$G$33,J$33,$G352=$G$34,J$34,$G352=$G$248,J$248,$G352=$G$250,J$250)</f>
        <v>185</v>
      </c>
      <c r="K352" s="29" t="str" cm="1">
        <f t="array" ref="K352">_xlfn.IFS($G352=$G$5,K$5,$G352=$G$6,K$6,$G352=$G$7,K$7,$G352=$G$8,K$8,$G352=$G$9,K$9,$G352=$G$10,K$10,$G352=$G$11,K$11,$G352=$G$13,K$13,$G352=$G$15,K$15,$G352=$G$16,K$16,$G352=$G$33,K$33,$G352=$G$34,K$34,$G352=$G$248,K$248,$G352=$G$250,K$250)</f>
        <v>BG sentinel + BG lure7</v>
      </c>
      <c r="L352" s="29" t="str" cm="1">
        <f t="array" ref="L352">_xlfn.IFS($G352=$G$5,L$5,$G352=$G$6,L$6,$G352=$G$7,L$7,$G352=$G$8,L$8,$G352=$G$9,L$9,$G352=$G$10,L$10,$G352=$G$11,L$11,$G352=$G$13,L$13,$G352=$G$15,L$15,$G352=$G$16,L$16,$G352=$G$33,L$33,$G352=$G$34,L$34,$G352=$G$248,L$248,$G352=$G$250,L$250)</f>
        <v>Other</v>
      </c>
      <c r="O352" s="32" t="str">
        <f t="shared" si="19"/>
        <v>A_SP_BCN_12_201125</v>
      </c>
      <c r="P352" s="33">
        <v>44160</v>
      </c>
      <c r="Q352" s="34">
        <v>0.61458333333333337</v>
      </c>
      <c r="R352" s="35"/>
      <c r="S352" s="36">
        <v>44167</v>
      </c>
      <c r="T352" s="37">
        <v>0.56597222222222221</v>
      </c>
      <c r="U352" s="38"/>
      <c r="V352" s="39" t="s">
        <v>66</v>
      </c>
      <c r="X352" s="29">
        <f t="shared" si="17"/>
        <v>7</v>
      </c>
      <c r="Y352" s="38"/>
      <c r="Z352" s="29" t="s">
        <v>84</v>
      </c>
      <c r="AA352" s="29">
        <f t="shared" si="18"/>
        <v>1</v>
      </c>
      <c r="AB352" s="29" t="s">
        <v>69</v>
      </c>
      <c r="AC352" s="29">
        <v>1</v>
      </c>
      <c r="AD352" s="29">
        <v>0</v>
      </c>
      <c r="AE352" s="29" t="s">
        <v>70</v>
      </c>
      <c r="AF352">
        <v>4</v>
      </c>
    </row>
  </sheetData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2020_BG_BarcelonaCity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</dc:creator>
  <cp:lastModifiedBy>Isis</cp:lastModifiedBy>
  <dcterms:created xsi:type="dcterms:W3CDTF">2023-02-11T20:52:36Z</dcterms:created>
  <dcterms:modified xsi:type="dcterms:W3CDTF">2023-02-11T20:56:59Z</dcterms:modified>
</cp:coreProperties>
</file>