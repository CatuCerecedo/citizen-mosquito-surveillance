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Volumes/RERITJA03/Datos_BG/"/>
    </mc:Choice>
  </mc:AlternateContent>
  <xr:revisionPtr revIDLastSave="0" documentId="13_ncr:1_{576C0A6A-90FD-884A-A6F2-FA9573805B2C}" xr6:coauthVersionLast="36" xr6:coauthVersionMax="47" xr10:uidLastSave="{00000000-0000-0000-0000-000000000000}"/>
  <bookViews>
    <workbookView xWindow="0" yWindow="460" windowWidth="28800" windowHeight="15840" tabRatio="500" xr2:uid="{00000000-000D-0000-FFFF-FFFF00000000}"/>
  </bookViews>
  <sheets>
    <sheet name="Hoja de datos CCC-Rened" sheetId="1" r:id="rId1"/>
  </sheets>
  <definedNames>
    <definedName name="_xlnm._FilterDatabase" localSheetId="0" hidden="1">'Hoja de datos CCC-Rened'!$A$4:$AP$34</definedName>
  </definedNames>
  <calcPr calcId="181029"/>
</workbook>
</file>

<file path=xl/calcChain.xml><?xml version="1.0" encoding="utf-8"?>
<calcChain xmlns="http://schemas.openxmlformats.org/spreadsheetml/2006/main">
  <c r="X23" i="1" l="1"/>
  <c r="O23" i="1"/>
  <c r="X27" i="1"/>
  <c r="O27" i="1"/>
  <c r="X11" i="1"/>
  <c r="O11" i="1"/>
  <c r="X12" i="1"/>
  <c r="O12" i="1"/>
  <c r="O13" i="1"/>
  <c r="O14" i="1"/>
  <c r="O15" i="1"/>
  <c r="O16" i="1"/>
  <c r="O17" i="1"/>
  <c r="O18" i="1"/>
  <c r="O19" i="1"/>
  <c r="O20" i="1"/>
  <c r="O21" i="1"/>
  <c r="O22" i="1"/>
  <c r="O24" i="1"/>
  <c r="O25" i="1"/>
  <c r="O26" i="1"/>
  <c r="O28" i="1"/>
  <c r="O29" i="1"/>
  <c r="O30" i="1"/>
  <c r="O31" i="1"/>
  <c r="O32" i="1"/>
  <c r="O33" i="1"/>
  <c r="O34" i="1"/>
  <c r="O10" i="1"/>
  <c r="X13" i="1"/>
  <c r="X14" i="1"/>
  <c r="X15" i="1"/>
  <c r="X16" i="1"/>
  <c r="X17" i="1"/>
  <c r="X18" i="1"/>
  <c r="X19" i="1"/>
  <c r="X20" i="1"/>
  <c r="X21" i="1"/>
  <c r="X22" i="1"/>
  <c r="X24" i="1"/>
  <c r="X25" i="1"/>
  <c r="X26" i="1"/>
  <c r="X28" i="1"/>
  <c r="X29" i="1"/>
  <c r="X30" i="1"/>
  <c r="X31" i="1"/>
  <c r="X32" i="1"/>
  <c r="X33" i="1"/>
  <c r="X34" i="1"/>
  <c r="X10" i="1"/>
  <c r="X6" i="1"/>
  <c r="O6" i="1"/>
  <c r="X5" i="1"/>
  <c r="O5" i="1"/>
  <c r="X8" i="1"/>
  <c r="X9" i="1"/>
  <c r="O9" i="1"/>
  <c r="X7" i="1"/>
  <c r="O8" i="1"/>
  <c r="O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tc={51629AF2-E42C-42FF-B355-522B6E928EC7}</author>
    <author>Daniel Bravo</author>
    <author>tc={73033558-55F1-4F13-805C-EADFF5080EDE}</author>
    <author>tc={3EEB891A-4908-417C-BDC8-1A83C7EE335A}</author>
  </authors>
  <commentList>
    <comment ref="AC5" authorId="0" shapeId="0" xr:uid="{51629AF2-E42C-42FF-B355-522B6E928EC7}">
      <text>
        <r>
          <rPr>
            <sz val="11"/>
            <color theme="1"/>
            <rFont val="Calibri"/>
            <family val="2"/>
            <charset val="238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two gravids</t>
        </r>
      </text>
    </comment>
    <comment ref="AC13" authorId="1" shapeId="0" xr:uid="{61078E6C-956C-43DE-9CA1-B0CC535B2A07}">
      <text>
        <r>
          <rPr>
            <b/>
            <sz val="9"/>
            <color indexed="81"/>
            <rFont val="Tahoma"/>
            <family val="2"/>
          </rPr>
          <t>Daniel Bravo:</t>
        </r>
        <r>
          <rPr>
            <sz val="9"/>
            <color indexed="81"/>
            <rFont val="Tahoma"/>
            <family val="2"/>
          </rPr>
          <t xml:space="preserve">
with eggs</t>
        </r>
      </text>
    </comment>
    <comment ref="AC14" authorId="1" shapeId="0" xr:uid="{2FDC06EE-7D3C-49CA-9D45-F9C7EB1AFE87}">
      <text>
        <r>
          <rPr>
            <b/>
            <sz val="9"/>
            <color indexed="81"/>
            <rFont val="Tahoma"/>
            <family val="2"/>
          </rPr>
          <t>Daniel Bravo:</t>
        </r>
        <r>
          <rPr>
            <sz val="9"/>
            <color indexed="81"/>
            <rFont val="Tahoma"/>
            <family val="2"/>
          </rPr>
          <t xml:space="preserve">
6EX. Blood
7EX Blood remains</t>
        </r>
      </text>
    </comment>
    <comment ref="AC16" authorId="1" shapeId="0" xr:uid="{3DA85DA8-FF48-42D8-993B-806D4C684ABE}">
      <text>
        <r>
          <rPr>
            <b/>
            <sz val="9"/>
            <color indexed="81"/>
            <rFont val="Tahoma"/>
            <family val="2"/>
          </rPr>
          <t>Daniel Bravo:</t>
        </r>
        <r>
          <rPr>
            <sz val="9"/>
            <color indexed="81"/>
            <rFont val="Tahoma"/>
            <family val="2"/>
          </rPr>
          <t xml:space="preserve">
1 sample: 2EX. Boold </t>
        </r>
      </text>
    </comment>
    <comment ref="AC21" authorId="1" shapeId="0" xr:uid="{AFAD688F-4CEF-4C57-AB81-8B1AD4675CEF}">
      <text>
        <r>
          <rPr>
            <b/>
            <sz val="9"/>
            <color indexed="81"/>
            <rFont val="Tahoma"/>
            <family val="2"/>
          </rPr>
          <t>Daniel Bravo:</t>
        </r>
        <r>
          <rPr>
            <sz val="9"/>
            <color indexed="81"/>
            <rFont val="Tahoma"/>
            <family val="2"/>
          </rPr>
          <t xml:space="preserve">
5EX: bood sample</t>
        </r>
      </text>
    </comment>
    <comment ref="AC23" authorId="2" shapeId="0" xr:uid="{73033558-55F1-4F13-805C-EADFF5080EDE}">
      <text>
        <r>
          <rPr>
            <sz val="11"/>
            <color theme="1"/>
            <rFont val="Calibri"/>
            <family val="2"/>
            <charset val="238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gravid</t>
        </r>
      </text>
    </comment>
    <comment ref="AC24" authorId="1" shapeId="0" xr:uid="{C6972F48-F746-4BF7-8E74-21CE79559A25}">
      <text>
        <r>
          <rPr>
            <b/>
            <sz val="9"/>
            <color indexed="81"/>
            <rFont val="Tahoma"/>
            <family val="2"/>
          </rPr>
          <t>Daniel Bravo:</t>
        </r>
        <r>
          <rPr>
            <sz val="9"/>
            <color indexed="81"/>
            <rFont val="Tahoma"/>
            <family val="2"/>
          </rPr>
          <t xml:space="preserve">
One sample with blood (4EX)</t>
        </r>
      </text>
    </comment>
    <comment ref="AC27" authorId="1" shapeId="0" xr:uid="{10E6CFB9-DD5D-4D97-AE7F-DB8EE317D80D}">
      <text>
        <r>
          <rPr>
            <b/>
            <sz val="9"/>
            <color indexed="81"/>
            <rFont val="Tahoma"/>
            <family val="2"/>
          </rPr>
          <t>Daniel Bravo:</t>
        </r>
        <r>
          <rPr>
            <sz val="9"/>
            <color indexed="81"/>
            <rFont val="Tahoma"/>
            <family val="2"/>
          </rPr>
          <t xml:space="preserve">
Boold_ Sample 3EX</t>
        </r>
      </text>
    </comment>
    <comment ref="AC28" authorId="1" shapeId="0" xr:uid="{1BA9E4CE-5548-46D4-8616-C4593515343C}">
      <text>
        <r>
          <rPr>
            <b/>
            <sz val="9"/>
            <color indexed="81"/>
            <rFont val="Tahoma"/>
            <family val="2"/>
          </rPr>
          <t>Daniel Bravo:</t>
        </r>
        <r>
          <rPr>
            <sz val="9"/>
            <color indexed="81"/>
            <rFont val="Tahoma"/>
            <family val="2"/>
          </rPr>
          <t xml:space="preserve">
Gravid</t>
        </r>
      </text>
    </comment>
    <comment ref="AC29" authorId="1" shapeId="0" xr:uid="{E80204A1-385A-4302-BE87-D52F75AA84C2}">
      <text>
        <r>
          <rPr>
            <b/>
            <sz val="9"/>
            <color indexed="81"/>
            <rFont val="Tahoma"/>
            <family val="2"/>
          </rPr>
          <t>Daniel Bravo:</t>
        </r>
        <r>
          <rPr>
            <sz val="9"/>
            <color indexed="81"/>
            <rFont val="Tahoma"/>
            <family val="2"/>
          </rPr>
          <t xml:space="preserve">
Boold_ Sample 1EX</t>
        </r>
      </text>
    </comment>
    <comment ref="AC31" authorId="3" shapeId="0" xr:uid="{3EEB891A-4908-417C-BDC8-1A83C7EE335A}">
      <text>
        <r>
          <rPr>
            <sz val="11"/>
            <color theme="1"/>
            <rFont val="Calibri"/>
            <family val="2"/>
            <charset val="238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with eggs both</t>
        </r>
      </text>
    </comment>
  </commentList>
</comments>
</file>

<file path=xl/sharedStrings.xml><?xml version="1.0" encoding="utf-8"?>
<sst xmlns="http://schemas.openxmlformats.org/spreadsheetml/2006/main" count="401" uniqueCount="79">
  <si>
    <t>Latitude</t>
  </si>
  <si>
    <t>Longitude</t>
  </si>
  <si>
    <t>Altitude</t>
  </si>
  <si>
    <t>Adult</t>
  </si>
  <si>
    <t>Place (e.g. town, village)</t>
  </si>
  <si>
    <t>End date</t>
  </si>
  <si>
    <t>Start date</t>
  </si>
  <si>
    <t>Admin. unit (e.g. District NUTS3)</t>
  </si>
  <si>
    <t>Country</t>
  </si>
  <si>
    <t>Mosquito species</t>
  </si>
  <si>
    <t>Total number of  eggs on tongue depressor</t>
  </si>
  <si>
    <t>TO BE COMPLEATED IN THE FIELD</t>
  </si>
  <si>
    <t>Start time</t>
  </si>
  <si>
    <t>End time</t>
  </si>
  <si>
    <t>Average temperature start date (only for BGS+CO2) [°C]</t>
  </si>
  <si>
    <t>Average temperature end date (only for BGS+CO2) [°C]</t>
  </si>
  <si>
    <t>Trapping effort</t>
  </si>
  <si>
    <t>Number per species  [EGGS: Total no. E x No. specimens hatched-analysed (subsample) / total no. hatched-analysed individuals]</t>
  </si>
  <si>
    <t>Morphological</t>
  </si>
  <si>
    <t>Location Name</t>
  </si>
  <si>
    <t>postal code</t>
  </si>
  <si>
    <t>Number females (optional)</t>
  </si>
  <si>
    <t>number of males (optional)</t>
  </si>
  <si>
    <t>Comment trap</t>
  </si>
  <si>
    <t>Comment sample</t>
  </si>
  <si>
    <t>trap ID [E (ovitraps) or A (BGS traps)  + location name + numbering]</t>
  </si>
  <si>
    <t>Sample name [trapID + startdatesample (YYMMDD)]</t>
  </si>
  <si>
    <t>Life_Stage identified (options= Adult, Larva or Egg)</t>
  </si>
  <si>
    <t>Identification method (options= Morphological, Maldi-TOF or PCR)</t>
  </si>
  <si>
    <t>if Other, specify land use:</t>
  </si>
  <si>
    <t>Trap type (options= 'Ovitrap', 'BG sentinel + BG lure7' or 'BG sentinel + BG lure7 + CO2')</t>
  </si>
  <si>
    <t>Land use (options= 'Urban habitat', 'Suburban habitat' or 'Other')</t>
  </si>
  <si>
    <t>trap status (e.g. 'Good', 'Battery out', 'Oviposition support missing', 'Trap broken', 'Trap missing', 'No water in the trap')</t>
  </si>
  <si>
    <t>Example</t>
  </si>
  <si>
    <t>EVERY FIELD TRIP - information about the sample</t>
  </si>
  <si>
    <t>THE FIRST FIELD TRIP - information about the trap</t>
  </si>
  <si>
    <t>TO BE COMPLETED BEFORE THE FIELD TRIP - information about the location</t>
  </si>
  <si>
    <t>Urban habitat</t>
  </si>
  <si>
    <t>TO BE COMPLETED IN THE LAB</t>
  </si>
  <si>
    <t>Good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</si>
  <si>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</si>
  <si>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</si>
  <si>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</si>
  <si>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</si>
  <si>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</si>
  <si>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</si>
  <si>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</si>
  <si>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</si>
  <si>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</si>
  <si>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</si>
  <si>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</si>
  <si>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</si>
  <si>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</si>
  <si>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</si>
  <si>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</si>
  <si>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</si>
  <si>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</si>
  <si>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</si>
  <si>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</si>
  <si>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</si>
  <si>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</si>
  <si>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</si>
  <si>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Data validity (1- Invalidates data; 2 - Reduces data quality; 3 - Add info or interesting observations to interprete results; 4 - no comment)</t>
  </si>
  <si>
    <t>Data validity</t>
  </si>
  <si>
    <t>Spain</t>
  </si>
  <si>
    <t>BG sentinel + BG lure7</t>
  </si>
  <si>
    <t>Culex pipiens</t>
  </si>
  <si>
    <t>Anopheles maculipennis s.l.</t>
  </si>
  <si>
    <t>SP_Ex</t>
  </si>
  <si>
    <t>Cáceres</t>
  </si>
  <si>
    <t>A_SP_Ex_1_Valhondo</t>
  </si>
  <si>
    <t>A_SP_Ex_2_EEAA</t>
  </si>
  <si>
    <t>Phebotomus</t>
  </si>
  <si>
    <t>negative</t>
  </si>
  <si>
    <t>negative/Phebotomus</t>
  </si>
  <si>
    <t>Culex sp</t>
  </si>
  <si>
    <t>Culiseta longioreolata</t>
  </si>
  <si>
    <t>Garden area in a caravan park</t>
  </si>
  <si>
    <t>Bus station next to an urban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</si>
</sst>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241A]dd/mm/yyyy;@"/>
    <numFmt numFmtId="165" formatCode="yyyy\-mm\-dd;@"/>
    <numFmt numFmtId="166" formatCode="00000"/>
    <numFmt numFmtId="167" formatCode="hh:mm"/>
    <numFmt numFmtId="168" formatCode="#,##0.000000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0" borderId="0"/>
    <xf numFmtId="0" fontId="2" fillId="2" borderId="1" applyNumberFormat="0" applyAlignment="0" applyProtection="0"/>
  </cellStyleXfs>
  <cellXfs count="41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Protection="1"/>
    <xf numFmtId="0" fontId="4" fillId="0" borderId="4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wrapText="1"/>
    </xf>
    <xf numFmtId="168" fontId="1" fillId="0" borderId="0" xfId="0" applyNumberFormat="1" applyFont="1" applyFill="1" applyAlignment="1" applyProtection="1">
      <alignment vertical="center"/>
    </xf>
    <xf numFmtId="0" fontId="1" fillId="0" borderId="11" xfId="0" applyFont="1" applyFill="1" applyBorder="1" applyAlignment="1" applyProtection="1">
      <alignment wrapText="1"/>
    </xf>
    <xf numFmtId="0" fontId="1" fillId="0" borderId="11" xfId="0" applyFont="1" applyFill="1" applyBorder="1" applyAlignment="1" applyProtection="1">
      <alignment horizontal="right" wrapText="1"/>
    </xf>
    <xf numFmtId="0" fontId="1" fillId="0" borderId="11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166" fontId="1" fillId="0" borderId="0" xfId="0" applyNumberFormat="1" applyFont="1" applyFill="1" applyAlignment="1" applyProtection="1">
      <alignment horizontal="center" vertical="center"/>
    </xf>
    <xf numFmtId="165" fontId="1" fillId="0" borderId="0" xfId="0" applyNumberFormat="1" applyFont="1" applyFill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165" fontId="4" fillId="0" borderId="2" xfId="1" applyNumberFormat="1" applyFont="1" applyFill="1" applyBorder="1" applyAlignment="1" applyProtection="1">
      <alignment horizontal="center" vertical="center" wrapText="1"/>
    </xf>
    <xf numFmtId="164" fontId="4" fillId="0" borderId="2" xfId="1" applyNumberFormat="1" applyFont="1" applyFill="1" applyBorder="1" applyAlignment="1" applyProtection="1">
      <alignment horizontal="center" vertical="center" wrapText="1"/>
    </xf>
    <xf numFmtId="0" fontId="4" fillId="0" borderId="2" xfId="2" applyFont="1" applyFill="1" applyBorder="1" applyAlignment="1" applyProtection="1">
      <alignment horizontal="center" vertical="center" wrapText="1"/>
    </xf>
    <xf numFmtId="0" fontId="4" fillId="0" borderId="0" xfId="0" applyFont="1" applyFill="1" applyProtection="1"/>
    <xf numFmtId="0" fontId="1" fillId="0" borderId="0" xfId="0" quotePrefix="1" applyFont="1" applyFill="1" applyAlignment="1" applyProtection="1">
      <alignment horizontal="center" vertical="center"/>
    </xf>
    <xf numFmtId="165" fontId="1" fillId="0" borderId="0" xfId="0" applyNumberFormat="1" applyFont="1" applyFill="1" applyAlignment="1" applyProtection="1">
      <alignment horizontal="center"/>
    </xf>
    <xf numFmtId="167" fontId="1" fillId="0" borderId="0" xfId="0" applyNumberFormat="1" applyFont="1" applyFill="1" applyAlignment="1" applyProtection="1">
      <alignment horizontal="center"/>
    </xf>
    <xf numFmtId="20" fontId="1" fillId="0" borderId="0" xfId="0" applyNumberFormat="1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5" fillId="0" borderId="0" xfId="0" applyFont="1" applyFill="1" applyAlignment="1" applyProtection="1">
      <alignment horizontal="center" vertical="center"/>
    </xf>
    <xf numFmtId="165" fontId="1" fillId="3" borderId="0" xfId="0" applyNumberFormat="1" applyFont="1" applyFill="1" applyAlignment="1" applyProtection="1">
      <alignment horizontal="center"/>
    </xf>
    <xf numFmtId="0" fontId="4" fillId="0" borderId="0" xfId="0" applyFont="1" applyFill="1" applyBorder="1" applyAlignment="1" applyProtection="1">
      <alignment vertical="center" wrapText="1"/>
    </xf>
    <xf numFmtId="0" fontId="4" fillId="0" borderId="4" xfId="0" applyFont="1" applyFill="1" applyBorder="1" applyAlignment="1" applyProtection="1">
      <alignment vertical="center" wrapText="1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vertical="center"/>
    </xf>
    <xf numFmtId="0" fontId="4" fillId="0" borderId="9" xfId="0" applyFont="1" applyFill="1" applyBorder="1" applyAlignment="1" applyProtection="1">
      <alignment vertical="center"/>
    </xf>
    <xf numFmtId="0" fontId="4" fillId="0" borderId="10" xfId="0" applyFont="1" applyFill="1" applyBorder="1" applyAlignment="1" applyProtection="1">
      <alignment vertical="center"/>
    </xf>
    <xf numFmtId="0" fontId="4" fillId="0" borderId="6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</xf>
  </cellXfs>
  <cellStyles count="4">
    <cellStyle name="Celda de comprobación" xfId="1" builtinId="23"/>
    <cellStyle name="Celda de comprobación 2" xfId="3" xr:uid="{B4B0CA4C-365E-4CA2-8685-F877241752B8}"/>
    <cellStyle name="Normal" xfId="0" builtinId="0"/>
    <cellStyle name="Normal 2" xfId="2" xr:uid="{095D6084-92E8-43E2-AAE6-81BB8BA28CAD}"/>
  </cellStyles>
  <dxfs count="0"/>
  <tableStyles count="0" defaultTableStyle="TableStyleMedium9" defaultPivotStyle="PivotStyleMedium7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 BRAVO BARRIGA" id="{39191284-9135-46E7-98DD-9F4FADA6F8F4}" userId="S::dbravoparasit@unex.es::27ae49e8-026a-445b-8615-16d3fdf0a4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5" dT="2023-02-01T09:43:08.11" personId="{39191284-9135-46E7-98DD-9F4FADA6F8F4}" id="{51629AF2-E42C-42FF-B355-522B6E928EC7}">
    <text>two gravids</text>
  </threadedComment>
  <threadedComment ref="AC23" dT="2023-02-01T10:21:00.12" personId="{39191284-9135-46E7-98DD-9F4FADA6F8F4}" id="{73033558-55F1-4F13-805C-EADFF5080EDE}">
    <text>gravid</text>
  </threadedComment>
  <threadedComment ref="AC31" dT="2023-02-01T10:18:10.16" personId="{39191284-9135-46E7-98DD-9F4FADA6F8F4}" id="{3EEB891A-4908-417C-BDC8-1A83C7EE335A}">
    <text>with eggs both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5"/>
  <sheetViews>
    <sheetView tabSelected="1" topLeftCell="L1" zoomScaleNormal="100" workbookViewId="0">
      <selection activeCell="Q13" sqref="Q13"/>
    </sheetView>
  </sheetViews>
  <sheetFormatPr baseColWidth="10" defaultColWidth="8.83203125" defaultRowHeight="15" x14ac:dyDescent="0.2"/>
  <cols>
    <col min="1" max="1" width="8.83203125" style="2" customWidth="1"/>
    <col min="2" max="2" width="14.33203125" style="2" customWidth="1"/>
    <col min="3" max="3" width="8.1640625" style="10" customWidth="1"/>
    <col min="4" max="5" width="11.6640625" style="10" customWidth="1"/>
    <col min="6" max="6" width="11.6640625" style="11" customWidth="1"/>
    <col min="7" max="7" width="21.6640625" style="10" customWidth="1"/>
    <col min="8" max="8" width="17.5" style="10" customWidth="1"/>
    <col min="9" max="9" width="19" style="10" customWidth="1"/>
    <col min="10" max="10" width="13.5" style="10" customWidth="1"/>
    <col min="11" max="11" width="20.5" style="10" customWidth="1"/>
    <col min="12" max="12" width="14.6640625" style="10" customWidth="1"/>
    <col min="13" max="13" width="31.33203125" style="10" customWidth="1"/>
    <col min="14" max="14" width="22.5" style="10" customWidth="1"/>
    <col min="15" max="15" width="35.5" style="10" customWidth="1"/>
    <col min="16" max="16" width="14.5" style="12" customWidth="1"/>
    <col min="17" max="17" width="10.33203125" style="10" customWidth="1"/>
    <col min="18" max="18" width="13.5" style="10" customWidth="1"/>
    <col min="19" max="19" width="13.5" style="12" customWidth="1"/>
    <col min="20" max="20" width="10.5" style="10" customWidth="1"/>
    <col min="21" max="21" width="14.33203125" style="10" customWidth="1"/>
    <col min="22" max="22" width="18.1640625" style="10" customWidth="1"/>
    <col min="23" max="23" width="18.6640625" style="10" customWidth="1"/>
    <col min="24" max="24" width="12.33203125" style="10" customWidth="1"/>
    <col min="25" max="25" width="14.33203125" style="10" customWidth="1"/>
    <col min="26" max="26" width="32" style="10" customWidth="1"/>
    <col min="27" max="27" width="27.1640625" style="10" customWidth="1"/>
    <col min="28" max="29" width="11.1640625" style="10" customWidth="1"/>
    <col min="30" max="30" width="10.83203125" style="10" customWidth="1"/>
    <col min="31" max="31" width="13.5" style="10" customWidth="1"/>
    <col min="32" max="32" width="27.33203125" style="2" customWidth="1"/>
    <col min="33" max="34" width="8.83203125" style="2"/>
    <col min="35" max="35" width="20.5" style="2" customWidth="1"/>
    <col min="36" max="36" width="8.83203125" style="2"/>
    <col min="37" max="37" width="14.33203125" style="2" customWidth="1"/>
    <col min="38" max="38" width="13.6640625" style="2" customWidth="1"/>
    <col min="39" max="39" width="14.5" style="2" customWidth="1"/>
    <col min="40" max="40" width="11.83203125" style="2" customWidth="1"/>
    <col min="41" max="16384" width="8.83203125" style="2"/>
  </cols>
  <sheetData>
    <row r="1" spans="1:42" ht="14.5" customHeight="1" x14ac:dyDescent="0.2">
      <c r="A1" s="27" t="s">
        <v>36</v>
      </c>
      <c r="B1" s="27"/>
      <c r="C1" s="27"/>
      <c r="D1" s="27"/>
      <c r="E1" s="27"/>
      <c r="F1" s="27"/>
      <c r="G1" s="29" t="s">
        <v>11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1"/>
      <c r="Y1" s="35" t="s">
        <v>38</v>
      </c>
      <c r="Z1" s="36"/>
      <c r="AA1" s="36"/>
      <c r="AB1" s="36"/>
      <c r="AC1" s="36"/>
      <c r="AD1" s="36"/>
      <c r="AE1" s="36"/>
      <c r="AF1" s="37"/>
    </row>
    <row r="2" spans="1:42" ht="24" customHeight="1" x14ac:dyDescent="0.2">
      <c r="A2" s="28"/>
      <c r="B2" s="28"/>
      <c r="C2" s="28"/>
      <c r="D2" s="28"/>
      <c r="E2" s="28"/>
      <c r="F2" s="28"/>
      <c r="G2" s="32" t="s">
        <v>35</v>
      </c>
      <c r="H2" s="33"/>
      <c r="I2" s="33"/>
      <c r="J2" s="33"/>
      <c r="K2" s="33"/>
      <c r="L2" s="33"/>
      <c r="M2" s="33"/>
      <c r="N2" s="34"/>
      <c r="O2" s="29" t="s">
        <v>34</v>
      </c>
      <c r="P2" s="30"/>
      <c r="Q2" s="30"/>
      <c r="R2" s="30"/>
      <c r="S2" s="30"/>
      <c r="T2" s="30"/>
      <c r="U2" s="30"/>
      <c r="V2" s="30"/>
      <c r="W2" s="31"/>
      <c r="X2" s="3"/>
      <c r="Y2" s="38"/>
      <c r="Z2" s="39"/>
      <c r="AA2" s="39"/>
      <c r="AB2" s="39"/>
      <c r="AC2" s="39"/>
      <c r="AD2" s="39"/>
      <c r="AE2" s="39"/>
      <c r="AF2" s="40"/>
    </row>
    <row r="3" spans="1:42" ht="153.75" customHeight="1" thickBot="1" x14ac:dyDescent="0.25">
      <c r="A3" s="4" t="s">
        <v>33</v>
      </c>
      <c r="B3" s="13" t="s">
        <v>19</v>
      </c>
      <c r="C3" s="4" t="s">
        <v>8</v>
      </c>
      <c r="D3" s="13" t="s">
        <v>7</v>
      </c>
      <c r="E3" s="13" t="s">
        <v>4</v>
      </c>
      <c r="F3" s="14" t="s">
        <v>20</v>
      </c>
      <c r="G3" s="14" t="s">
        <v>25</v>
      </c>
      <c r="H3" s="15" t="s">
        <v>0</v>
      </c>
      <c r="I3" s="15" t="s">
        <v>1</v>
      </c>
      <c r="J3" s="13" t="s">
        <v>2</v>
      </c>
      <c r="K3" s="14" t="s">
        <v>30</v>
      </c>
      <c r="L3" s="13" t="s">
        <v>31</v>
      </c>
      <c r="M3" s="14" t="s">
        <v>29</v>
      </c>
      <c r="N3" s="13" t="s">
        <v>23</v>
      </c>
      <c r="O3" s="14" t="s">
        <v>26</v>
      </c>
      <c r="P3" s="16" t="s">
        <v>6</v>
      </c>
      <c r="Q3" s="17" t="s">
        <v>12</v>
      </c>
      <c r="R3" s="17" t="s">
        <v>14</v>
      </c>
      <c r="S3" s="16" t="s">
        <v>5</v>
      </c>
      <c r="T3" s="17" t="s">
        <v>13</v>
      </c>
      <c r="U3" s="17" t="s">
        <v>15</v>
      </c>
      <c r="V3" s="17" t="s">
        <v>32</v>
      </c>
      <c r="W3" s="17" t="s">
        <v>24</v>
      </c>
      <c r="X3" s="17" t="s">
        <v>16</v>
      </c>
      <c r="Y3" s="14" t="s">
        <v>10</v>
      </c>
      <c r="Z3" s="13" t="s">
        <v>9</v>
      </c>
      <c r="AA3" s="14" t="s">
        <v>17</v>
      </c>
      <c r="AB3" s="14" t="s">
        <v>27</v>
      </c>
      <c r="AC3" s="14" t="s">
        <v>21</v>
      </c>
      <c r="AD3" s="14" t="s">
        <v>22</v>
      </c>
      <c r="AE3" s="14" t="s">
        <v>28</v>
      </c>
      <c r="AF3" s="18" t="s">
        <v>62</v>
      </c>
    </row>
    <row r="4" spans="1:42" ht="17" thickBot="1" x14ac:dyDescent="0.25">
      <c r="A4" s="4"/>
      <c r="B4" s="13" t="s">
        <v>40</v>
      </c>
      <c r="C4" s="4" t="s">
        <v>41</v>
      </c>
      <c r="D4" s="13" t="s">
        <v>42</v>
      </c>
      <c r="E4" s="13" t="s">
        <v>43</v>
      </c>
      <c r="F4" s="14" t="s">
        <v>20</v>
      </c>
      <c r="G4" s="14" t="s">
        <v>44</v>
      </c>
      <c r="H4" s="14" t="s">
        <v>0</v>
      </c>
      <c r="I4" s="14" t="s">
        <v>1</v>
      </c>
      <c r="J4" s="13" t="s">
        <v>2</v>
      </c>
      <c r="K4" s="14" t="s">
        <v>45</v>
      </c>
      <c r="L4" s="13" t="s">
        <v>46</v>
      </c>
      <c r="M4" s="14" t="s">
        <v>47</v>
      </c>
      <c r="N4" s="13" t="s">
        <v>48</v>
      </c>
      <c r="O4" s="14" t="s">
        <v>49</v>
      </c>
      <c r="P4" s="16" t="s">
        <v>6</v>
      </c>
      <c r="Q4" s="17" t="s">
        <v>12</v>
      </c>
      <c r="R4" s="17" t="s">
        <v>50</v>
      </c>
      <c r="S4" s="16" t="s">
        <v>5</v>
      </c>
      <c r="T4" s="17" t="s">
        <v>13</v>
      </c>
      <c r="U4" s="17" t="s">
        <v>51</v>
      </c>
      <c r="V4" s="17" t="s">
        <v>52</v>
      </c>
      <c r="W4" s="17" t="s">
        <v>53</v>
      </c>
      <c r="X4" s="17" t="s">
        <v>54</v>
      </c>
      <c r="Y4" s="14" t="s">
        <v>55</v>
      </c>
      <c r="Z4" s="13" t="s">
        <v>56</v>
      </c>
      <c r="AA4" s="14" t="s">
        <v>57</v>
      </c>
      <c r="AB4" s="14" t="s">
        <v>58</v>
      </c>
      <c r="AC4" s="14" t="s">
        <v>59</v>
      </c>
      <c r="AD4" s="14" t="s">
        <v>60</v>
      </c>
      <c r="AE4" s="14" t="s">
        <v>61</v>
      </c>
      <c r="AF4" s="14" t="s">
        <v>63</v>
      </c>
      <c r="AI4" s="5"/>
      <c r="AJ4" s="5"/>
      <c r="AK4" s="5"/>
      <c r="AL4" s="5"/>
      <c r="AM4" s="5"/>
      <c r="AN4" s="5"/>
      <c r="AO4" s="5"/>
      <c r="AP4" s="5"/>
    </row>
    <row r="5" spans="1:42" ht="16" thickBot="1" x14ac:dyDescent="0.25">
      <c r="A5" s="10">
        <v>1</v>
      </c>
      <c r="B5" s="10" t="s">
        <v>68</v>
      </c>
      <c r="C5" s="10" t="s">
        <v>64</v>
      </c>
      <c r="D5" s="10" t="s">
        <v>69</v>
      </c>
      <c r="E5" s="10" t="s">
        <v>69</v>
      </c>
      <c r="F5" s="11">
        <v>10004</v>
      </c>
      <c r="G5" s="10" t="s">
        <v>70</v>
      </c>
      <c r="H5" s="6">
        <v>39.480525</v>
      </c>
      <c r="I5" s="6">
        <v>-6.3673010000000003</v>
      </c>
      <c r="J5" s="19">
        <v>401</v>
      </c>
      <c r="K5" s="10" t="s">
        <v>65</v>
      </c>
      <c r="L5" s="10" t="s">
        <v>37</v>
      </c>
      <c r="M5" t="s">
        <v>77</v>
      </c>
      <c r="O5" s="20" t="str">
        <f t="shared" ref="O5:O10" si="0">G5&amp;"_"&amp;TEXT(P5,"AAMMDD")</f>
        <v>A_SP_Ex_1_Valhondo_220810</v>
      </c>
      <c r="P5" s="26">
        <v>44783</v>
      </c>
      <c r="Q5" s="22">
        <v>0.54166666666666663</v>
      </c>
      <c r="R5" s="20"/>
      <c r="S5" s="21">
        <v>44791</v>
      </c>
      <c r="T5" s="23">
        <v>0.57638888888888895</v>
      </c>
      <c r="V5" s="10" t="s">
        <v>39</v>
      </c>
      <c r="W5" s="24" t="s">
        <v>72</v>
      </c>
      <c r="X5" s="10">
        <f t="shared" ref="X5:X10" si="1">S5-P5</f>
        <v>8</v>
      </c>
      <c r="Z5" s="25" t="s">
        <v>66</v>
      </c>
      <c r="AA5" s="10">
        <v>2</v>
      </c>
      <c r="AB5" s="10" t="s">
        <v>3</v>
      </c>
      <c r="AC5" s="10">
        <v>2</v>
      </c>
      <c r="AE5" s="10" t="s">
        <v>18</v>
      </c>
      <c r="AF5" s="2">
        <v>3</v>
      </c>
      <c r="AI5" s="7"/>
      <c r="AJ5" s="7"/>
      <c r="AK5" s="7"/>
      <c r="AL5" s="7"/>
      <c r="AM5" s="7"/>
      <c r="AN5" s="7"/>
      <c r="AO5" s="7"/>
      <c r="AP5" s="8"/>
    </row>
    <row r="6" spans="1:42" ht="16" thickBot="1" x14ac:dyDescent="0.25">
      <c r="A6" s="10">
        <v>2</v>
      </c>
      <c r="B6" s="10" t="s">
        <v>68</v>
      </c>
      <c r="C6" s="10" t="s">
        <v>64</v>
      </c>
      <c r="D6" s="10" t="s">
        <v>69</v>
      </c>
      <c r="E6" s="10" t="s">
        <v>69</v>
      </c>
      <c r="F6" s="11">
        <v>10002</v>
      </c>
      <c r="G6" s="10" t="s">
        <v>71</v>
      </c>
      <c r="H6" s="6">
        <v>39.460068</v>
      </c>
      <c r="I6" s="6">
        <v>-6.3815759999999999</v>
      </c>
      <c r="J6" s="19">
        <v>446</v>
      </c>
      <c r="K6" s="10" t="s">
        <v>65</v>
      </c>
      <c r="L6" s="10" t="s">
        <v>37</v>
      </c>
      <c r="M6" s="10" t="s">
        <v>78</v>
      </c>
      <c r="O6" s="20" t="str">
        <f t="shared" si="0"/>
        <v>A_SP_Ex_2_EEAA_220810</v>
      </c>
      <c r="P6" s="26">
        <v>44783</v>
      </c>
      <c r="Q6" s="22">
        <v>0.55555555555555558</v>
      </c>
      <c r="R6" s="20"/>
      <c r="S6" s="21">
        <v>44791</v>
      </c>
      <c r="T6" s="22">
        <v>0.55555555555555558</v>
      </c>
      <c r="V6" s="10" t="s">
        <v>39</v>
      </c>
      <c r="W6" s="24" t="s">
        <v>72</v>
      </c>
      <c r="X6" s="10">
        <f t="shared" si="1"/>
        <v>8</v>
      </c>
      <c r="AA6" s="10">
        <v>0</v>
      </c>
      <c r="AF6" s="2">
        <v>4</v>
      </c>
      <c r="AI6" s="7"/>
      <c r="AJ6" s="7"/>
      <c r="AK6" s="7"/>
      <c r="AL6" s="7"/>
      <c r="AM6" s="9"/>
      <c r="AN6" s="7"/>
      <c r="AO6" s="7"/>
      <c r="AP6" s="8"/>
    </row>
    <row r="7" spans="1:42" ht="16" thickBot="1" x14ac:dyDescent="0.25">
      <c r="A7" s="10">
        <v>3</v>
      </c>
      <c r="B7" s="10" t="s">
        <v>68</v>
      </c>
      <c r="C7" s="10" t="s">
        <v>64</v>
      </c>
      <c r="D7" s="10" t="s">
        <v>69</v>
      </c>
      <c r="E7" s="10" t="s">
        <v>69</v>
      </c>
      <c r="F7" s="11">
        <v>10004</v>
      </c>
      <c r="G7" s="10" t="s">
        <v>70</v>
      </c>
      <c r="H7" s="6">
        <v>39.480525</v>
      </c>
      <c r="I7" s="6">
        <v>-6.3673010000000003</v>
      </c>
      <c r="J7" s="19">
        <v>401</v>
      </c>
      <c r="K7" s="10" t="s">
        <v>65</v>
      </c>
      <c r="L7" s="10" t="s">
        <v>37</v>
      </c>
      <c r="M7" t="s">
        <v>77</v>
      </c>
      <c r="O7" s="20" t="str">
        <f t="shared" si="0"/>
        <v>A_SP_Ex_1_Valhondo_220818</v>
      </c>
      <c r="P7" s="26">
        <v>44791</v>
      </c>
      <c r="Q7" s="23">
        <v>0.57638888888888895</v>
      </c>
      <c r="R7" s="20"/>
      <c r="S7" s="21">
        <v>44797</v>
      </c>
      <c r="T7" s="23">
        <v>0.50694444444444442</v>
      </c>
      <c r="V7" s="10" t="s">
        <v>39</v>
      </c>
      <c r="W7" s="24" t="s">
        <v>74</v>
      </c>
      <c r="X7" s="10">
        <f t="shared" si="1"/>
        <v>6</v>
      </c>
      <c r="AA7" s="10">
        <v>0</v>
      </c>
      <c r="AF7" s="2">
        <v>4</v>
      </c>
      <c r="AI7" s="7"/>
      <c r="AJ7" s="7"/>
      <c r="AK7" s="7"/>
      <c r="AL7" s="7"/>
      <c r="AM7" s="9"/>
      <c r="AN7" s="7"/>
      <c r="AO7" s="7"/>
      <c r="AP7" s="8"/>
    </row>
    <row r="8" spans="1:42" ht="16" thickBot="1" x14ac:dyDescent="0.25">
      <c r="A8" s="10">
        <v>4</v>
      </c>
      <c r="B8" s="10" t="s">
        <v>68</v>
      </c>
      <c r="C8" s="10" t="s">
        <v>64</v>
      </c>
      <c r="D8" s="10" t="s">
        <v>69</v>
      </c>
      <c r="E8" s="10" t="s">
        <v>69</v>
      </c>
      <c r="F8" s="11">
        <v>10002</v>
      </c>
      <c r="G8" s="10" t="s">
        <v>71</v>
      </c>
      <c r="H8" s="6">
        <v>39.460068</v>
      </c>
      <c r="I8" s="6">
        <v>-6.3815759999999999</v>
      </c>
      <c r="J8" s="19">
        <v>446</v>
      </c>
      <c r="K8" s="10" t="s">
        <v>65</v>
      </c>
      <c r="L8" s="10" t="s">
        <v>37</v>
      </c>
      <c r="M8" s="10" t="s">
        <v>78</v>
      </c>
      <c r="O8" s="20" t="str">
        <f t="shared" si="0"/>
        <v>A_SP_Ex_2_EEAA_220818</v>
      </c>
      <c r="P8" s="26">
        <v>44791</v>
      </c>
      <c r="Q8" s="22">
        <v>0.55555555555555558</v>
      </c>
      <c r="R8" s="20"/>
      <c r="S8" s="21">
        <v>44797</v>
      </c>
      <c r="T8" s="23">
        <v>0.52083333333333337</v>
      </c>
      <c r="V8" s="10" t="s">
        <v>39</v>
      </c>
      <c r="W8" s="24" t="s">
        <v>74</v>
      </c>
      <c r="X8" s="10">
        <f t="shared" si="1"/>
        <v>6</v>
      </c>
      <c r="AA8" s="10">
        <v>0</v>
      </c>
      <c r="AF8" s="2">
        <v>4</v>
      </c>
      <c r="AI8" s="7"/>
      <c r="AJ8" s="7"/>
      <c r="AK8" s="7"/>
      <c r="AL8" s="7"/>
      <c r="AM8" s="9"/>
      <c r="AN8" s="7"/>
      <c r="AO8" s="7"/>
      <c r="AP8" s="8"/>
    </row>
    <row r="9" spans="1:42" ht="16" thickBot="1" x14ac:dyDescent="0.25">
      <c r="A9" s="10">
        <v>5</v>
      </c>
      <c r="B9" s="10" t="s">
        <v>68</v>
      </c>
      <c r="C9" s="10" t="s">
        <v>64</v>
      </c>
      <c r="D9" s="10" t="s">
        <v>69</v>
      </c>
      <c r="E9" s="10" t="s">
        <v>69</v>
      </c>
      <c r="F9" s="11">
        <v>10004</v>
      </c>
      <c r="G9" s="10" t="s">
        <v>70</v>
      </c>
      <c r="H9" s="6">
        <v>39.480525</v>
      </c>
      <c r="I9" s="6">
        <v>-6.3673010000000003</v>
      </c>
      <c r="J9" s="19">
        <v>401</v>
      </c>
      <c r="K9" s="10" t="s">
        <v>65</v>
      </c>
      <c r="L9" s="10" t="s">
        <v>37</v>
      </c>
      <c r="M9" t="s">
        <v>77</v>
      </c>
      <c r="O9" s="20" t="str">
        <f t="shared" si="0"/>
        <v>A_SP_Ex_1_Valhondo_220824</v>
      </c>
      <c r="P9" s="26">
        <v>44797</v>
      </c>
      <c r="Q9" s="23">
        <v>0.50694444444444442</v>
      </c>
      <c r="R9" s="20"/>
      <c r="S9" s="21">
        <v>44805</v>
      </c>
      <c r="T9" s="23">
        <v>0.54513888888888895</v>
      </c>
      <c r="V9" s="10" t="s">
        <v>39</v>
      </c>
      <c r="W9" s="24" t="s">
        <v>74</v>
      </c>
      <c r="X9" s="10">
        <f t="shared" si="1"/>
        <v>8</v>
      </c>
      <c r="AA9" s="10">
        <v>0</v>
      </c>
      <c r="AF9" s="2">
        <v>4</v>
      </c>
      <c r="AI9" s="9"/>
      <c r="AJ9" s="7"/>
      <c r="AK9" s="7"/>
      <c r="AL9" s="7"/>
      <c r="AM9" s="9"/>
      <c r="AN9" s="7"/>
      <c r="AO9" s="7"/>
      <c r="AP9" s="7"/>
    </row>
    <row r="10" spans="1:42" ht="16" thickBot="1" x14ac:dyDescent="0.25">
      <c r="A10" s="10">
        <v>6</v>
      </c>
      <c r="B10" s="10" t="s">
        <v>68</v>
      </c>
      <c r="C10" s="10" t="s">
        <v>64</v>
      </c>
      <c r="D10" s="10" t="s">
        <v>69</v>
      </c>
      <c r="E10" s="10" t="s">
        <v>69</v>
      </c>
      <c r="F10" s="11">
        <v>10002</v>
      </c>
      <c r="G10" s="10" t="s">
        <v>71</v>
      </c>
      <c r="H10" s="6">
        <v>39.460068</v>
      </c>
      <c r="I10" s="6">
        <v>-6.3815759999999999</v>
      </c>
      <c r="J10" s="19">
        <v>446</v>
      </c>
      <c r="K10" s="10" t="s">
        <v>65</v>
      </c>
      <c r="L10" s="10" t="s">
        <v>37</v>
      </c>
      <c r="M10" s="10" t="s">
        <v>78</v>
      </c>
      <c r="O10" s="20" t="str">
        <f t="shared" si="0"/>
        <v>A_SP_Ex_2_EEAA_220824</v>
      </c>
      <c r="P10" s="26">
        <v>44797</v>
      </c>
      <c r="Q10" s="23">
        <v>0.52083333333333337</v>
      </c>
      <c r="R10" s="20"/>
      <c r="S10" s="21">
        <v>44805</v>
      </c>
      <c r="T10" s="23">
        <v>0.56597222222222221</v>
      </c>
      <c r="V10" s="10" t="s">
        <v>39</v>
      </c>
      <c r="W10" s="24" t="s">
        <v>74</v>
      </c>
      <c r="X10" s="10">
        <f t="shared" si="1"/>
        <v>8</v>
      </c>
      <c r="AA10" s="10">
        <v>0</v>
      </c>
      <c r="AF10" s="2">
        <v>4</v>
      </c>
      <c r="AI10" s="7"/>
      <c r="AJ10" s="7"/>
      <c r="AK10" s="7"/>
      <c r="AL10" s="7"/>
      <c r="AM10" s="9"/>
      <c r="AN10" s="7"/>
      <c r="AO10" s="7"/>
      <c r="AP10" s="7"/>
    </row>
    <row r="11" spans="1:42" ht="16" thickBot="1" x14ac:dyDescent="0.25">
      <c r="A11" s="10">
        <v>7</v>
      </c>
      <c r="B11" s="10" t="s">
        <v>68</v>
      </c>
      <c r="C11" s="10" t="s">
        <v>64</v>
      </c>
      <c r="D11" s="10" t="s">
        <v>69</v>
      </c>
      <c r="E11" s="10" t="s">
        <v>69</v>
      </c>
      <c r="F11" s="11">
        <v>10004</v>
      </c>
      <c r="G11" s="10" t="s">
        <v>70</v>
      </c>
      <c r="H11" s="6">
        <v>39.480525</v>
      </c>
      <c r="I11" s="6">
        <v>-6.3673010000000003</v>
      </c>
      <c r="J11" s="19">
        <v>401</v>
      </c>
      <c r="K11" s="10" t="s">
        <v>65</v>
      </c>
      <c r="L11" s="10" t="s">
        <v>37</v>
      </c>
      <c r="M11" t="s">
        <v>77</v>
      </c>
      <c r="O11" s="20" t="str">
        <f t="shared" ref="O11" si="2">G11&amp;"_"&amp;TEXT(P11,"AAMMDD")</f>
        <v>A_SP_Ex_1_Valhondo_220901</v>
      </c>
      <c r="P11" s="26">
        <v>44805</v>
      </c>
      <c r="Q11" s="23">
        <v>0.54513888888888895</v>
      </c>
      <c r="R11" s="20"/>
      <c r="S11" s="21">
        <v>44813</v>
      </c>
      <c r="T11" s="23">
        <v>0.56944444444444442</v>
      </c>
      <c r="V11" s="10" t="s">
        <v>39</v>
      </c>
      <c r="W11" s="24"/>
      <c r="X11" s="10">
        <f t="shared" ref="X11" si="3">S11-P11</f>
        <v>8</v>
      </c>
      <c r="Z11" s="10" t="s">
        <v>67</v>
      </c>
      <c r="AA11" s="10">
        <v>1</v>
      </c>
      <c r="AB11" s="10" t="s">
        <v>3</v>
      </c>
      <c r="AC11" s="10">
        <v>1</v>
      </c>
      <c r="AE11" s="10" t="s">
        <v>18</v>
      </c>
      <c r="AF11" s="2">
        <v>4</v>
      </c>
      <c r="AI11" s="7"/>
      <c r="AJ11" s="7"/>
      <c r="AK11" s="7"/>
      <c r="AL11" s="7"/>
      <c r="AM11" s="9"/>
      <c r="AN11" s="7"/>
      <c r="AO11" s="7"/>
      <c r="AP11" s="7"/>
    </row>
    <row r="12" spans="1:42" ht="16" thickBot="1" x14ac:dyDescent="0.25">
      <c r="A12" s="10">
        <v>7</v>
      </c>
      <c r="B12" s="10" t="s">
        <v>68</v>
      </c>
      <c r="C12" s="10" t="s">
        <v>64</v>
      </c>
      <c r="D12" s="10" t="s">
        <v>69</v>
      </c>
      <c r="E12" s="10" t="s">
        <v>69</v>
      </c>
      <c r="F12" s="11">
        <v>10004</v>
      </c>
      <c r="G12" s="10" t="s">
        <v>70</v>
      </c>
      <c r="H12" s="6">
        <v>39.480525</v>
      </c>
      <c r="I12" s="6">
        <v>-6.3673010000000003</v>
      </c>
      <c r="J12" s="19">
        <v>401</v>
      </c>
      <c r="K12" s="10" t="s">
        <v>65</v>
      </c>
      <c r="L12" s="10" t="s">
        <v>37</v>
      </c>
      <c r="M12" t="s">
        <v>77</v>
      </c>
      <c r="O12" s="20" t="str">
        <f t="shared" ref="O12" si="4">G12&amp;"_"&amp;TEXT(P12,"AAMMDD")</f>
        <v>A_SP_Ex_1_Valhondo_220901</v>
      </c>
      <c r="P12" s="26">
        <v>44805</v>
      </c>
      <c r="Q12" s="23">
        <v>0.54513888888888895</v>
      </c>
      <c r="R12" s="20"/>
      <c r="S12" s="21">
        <v>44813</v>
      </c>
      <c r="T12" s="23">
        <v>0.56944444444444442</v>
      </c>
      <c r="V12" s="10" t="s">
        <v>39</v>
      </c>
      <c r="W12" s="24"/>
      <c r="X12" s="10">
        <f t="shared" ref="X12" si="5">S12-P12</f>
        <v>8</v>
      </c>
      <c r="Z12" s="10" t="s">
        <v>75</v>
      </c>
      <c r="AA12" s="10">
        <v>1</v>
      </c>
      <c r="AB12" s="10" t="s">
        <v>3</v>
      </c>
      <c r="AC12" s="10">
        <v>1</v>
      </c>
      <c r="AE12" s="10" t="s">
        <v>18</v>
      </c>
      <c r="AF12" s="2">
        <v>4</v>
      </c>
      <c r="AI12" s="9"/>
      <c r="AJ12" s="7"/>
      <c r="AK12" s="7"/>
      <c r="AL12" s="7"/>
      <c r="AM12" s="9"/>
      <c r="AN12" s="7"/>
      <c r="AO12" s="7"/>
      <c r="AP12" s="7"/>
    </row>
    <row r="13" spans="1:42" ht="16" thickBot="1" x14ac:dyDescent="0.25">
      <c r="A13" s="10">
        <v>7</v>
      </c>
      <c r="B13" s="10" t="s">
        <v>68</v>
      </c>
      <c r="C13" s="10" t="s">
        <v>64</v>
      </c>
      <c r="D13" s="10" t="s">
        <v>69</v>
      </c>
      <c r="E13" s="10" t="s">
        <v>69</v>
      </c>
      <c r="F13" s="11">
        <v>10004</v>
      </c>
      <c r="G13" s="10" t="s">
        <v>70</v>
      </c>
      <c r="H13" s="6">
        <v>39.480525</v>
      </c>
      <c r="I13" s="6">
        <v>-6.3673010000000003</v>
      </c>
      <c r="J13" s="19">
        <v>401</v>
      </c>
      <c r="K13" s="10" t="s">
        <v>65</v>
      </c>
      <c r="L13" s="10" t="s">
        <v>37</v>
      </c>
      <c r="M13" t="s">
        <v>77</v>
      </c>
      <c r="O13" s="20" t="str">
        <f t="shared" ref="O13:O34" si="6">G13&amp;"_"&amp;TEXT(P13,"AAMMDD")</f>
        <v>A_SP_Ex_1_Valhondo_220901</v>
      </c>
      <c r="P13" s="26">
        <v>44805</v>
      </c>
      <c r="Q13" s="23">
        <v>0.54513888888888895</v>
      </c>
      <c r="R13" s="20"/>
      <c r="S13" s="21">
        <v>44813</v>
      </c>
      <c r="T13" s="23">
        <v>0.56944444444444442</v>
      </c>
      <c r="V13" s="10" t="s">
        <v>39</v>
      </c>
      <c r="W13" s="24"/>
      <c r="X13" s="10">
        <f t="shared" ref="X13:X34" si="7">S13-P13</f>
        <v>8</v>
      </c>
      <c r="Z13" s="10" t="s">
        <v>76</v>
      </c>
      <c r="AA13" s="10">
        <v>1</v>
      </c>
      <c r="AB13" s="10" t="s">
        <v>3</v>
      </c>
      <c r="AC13" s="10">
        <v>1</v>
      </c>
      <c r="AD13" s="10">
        <v>1</v>
      </c>
      <c r="AE13" s="10" t="s">
        <v>18</v>
      </c>
      <c r="AF13" s="2">
        <v>3</v>
      </c>
      <c r="AI13" s="7"/>
      <c r="AJ13" s="7"/>
      <c r="AK13" s="7"/>
      <c r="AL13" s="7"/>
      <c r="AM13" s="9"/>
      <c r="AN13" s="7"/>
      <c r="AO13" s="7"/>
      <c r="AP13" s="7"/>
    </row>
    <row r="14" spans="1:42" ht="16" thickBot="1" x14ac:dyDescent="0.25">
      <c r="A14" s="10">
        <v>8</v>
      </c>
      <c r="B14" s="10" t="s">
        <v>68</v>
      </c>
      <c r="C14" s="10" t="s">
        <v>64</v>
      </c>
      <c r="D14" s="10" t="s">
        <v>69</v>
      </c>
      <c r="E14" s="10" t="s">
        <v>69</v>
      </c>
      <c r="F14" s="11">
        <v>10002</v>
      </c>
      <c r="G14" s="10" t="s">
        <v>71</v>
      </c>
      <c r="H14" s="6">
        <v>39.460068</v>
      </c>
      <c r="I14" s="6">
        <v>-6.3815759999999999</v>
      </c>
      <c r="J14" s="19">
        <v>446</v>
      </c>
      <c r="K14" s="10" t="s">
        <v>65</v>
      </c>
      <c r="L14" s="10" t="s">
        <v>37</v>
      </c>
      <c r="M14" s="10" t="s">
        <v>78</v>
      </c>
      <c r="O14" s="20" t="str">
        <f t="shared" si="6"/>
        <v>A_SP_Ex_2_EEAA_220901</v>
      </c>
      <c r="P14" s="26">
        <v>44805</v>
      </c>
      <c r="Q14" s="23">
        <v>0.56597222222222221</v>
      </c>
      <c r="R14" s="20"/>
      <c r="S14" s="21">
        <v>44813</v>
      </c>
      <c r="T14" s="23">
        <v>0.58680555555555558</v>
      </c>
      <c r="V14" s="10" t="s">
        <v>39</v>
      </c>
      <c r="W14" s="24"/>
      <c r="X14" s="10">
        <f t="shared" si="7"/>
        <v>8</v>
      </c>
      <c r="Z14" s="10" t="s">
        <v>66</v>
      </c>
      <c r="AA14" s="10">
        <v>7</v>
      </c>
      <c r="AB14" s="10" t="s">
        <v>3</v>
      </c>
      <c r="AC14" s="10">
        <v>2</v>
      </c>
      <c r="AD14" s="10">
        <v>5</v>
      </c>
      <c r="AE14" s="10" t="s">
        <v>18</v>
      </c>
      <c r="AF14" s="2">
        <v>3</v>
      </c>
      <c r="AI14" s="7"/>
      <c r="AJ14" s="7"/>
      <c r="AK14" s="7"/>
      <c r="AL14" s="7"/>
      <c r="AM14" s="9"/>
      <c r="AN14" s="7"/>
      <c r="AO14" s="7"/>
      <c r="AP14" s="7"/>
    </row>
    <row r="15" spans="1:42" ht="16" thickBot="1" x14ac:dyDescent="0.25">
      <c r="A15" s="10">
        <v>9</v>
      </c>
      <c r="B15" s="10" t="s">
        <v>68</v>
      </c>
      <c r="C15" s="10" t="s">
        <v>64</v>
      </c>
      <c r="D15" s="10" t="s">
        <v>69</v>
      </c>
      <c r="E15" s="10" t="s">
        <v>69</v>
      </c>
      <c r="F15" s="11">
        <v>10004</v>
      </c>
      <c r="G15" s="10" t="s">
        <v>70</v>
      </c>
      <c r="H15" s="6">
        <v>39.480525</v>
      </c>
      <c r="I15" s="6">
        <v>-6.3673010000000003</v>
      </c>
      <c r="J15" s="19">
        <v>401</v>
      </c>
      <c r="K15" s="10" t="s">
        <v>65</v>
      </c>
      <c r="L15" s="10" t="s">
        <v>37</v>
      </c>
      <c r="M15" t="s">
        <v>77</v>
      </c>
      <c r="O15" s="20" t="str">
        <f t="shared" si="6"/>
        <v>A_SP_Ex_1_Valhondo_220909</v>
      </c>
      <c r="P15" s="26">
        <v>44813</v>
      </c>
      <c r="Q15" s="23">
        <v>0.56944444444444442</v>
      </c>
      <c r="R15" s="20"/>
      <c r="S15" s="21">
        <v>44820</v>
      </c>
      <c r="T15" s="23">
        <v>0.54166666666666663</v>
      </c>
      <c r="V15" s="10" t="s">
        <v>39</v>
      </c>
      <c r="W15" s="24" t="s">
        <v>74</v>
      </c>
      <c r="X15" s="10">
        <f t="shared" si="7"/>
        <v>7</v>
      </c>
      <c r="AA15" s="10">
        <v>0</v>
      </c>
      <c r="AF15" s="2">
        <v>4</v>
      </c>
      <c r="AI15" s="7"/>
      <c r="AJ15" s="7"/>
      <c r="AK15" s="7"/>
      <c r="AL15" s="7"/>
      <c r="AM15" s="9"/>
      <c r="AN15" s="7"/>
      <c r="AO15" s="7"/>
      <c r="AP15" s="7"/>
    </row>
    <row r="16" spans="1:42" ht="16" thickBot="1" x14ac:dyDescent="0.25">
      <c r="A16" s="10">
        <v>10</v>
      </c>
      <c r="B16" s="10" t="s">
        <v>68</v>
      </c>
      <c r="C16" s="10" t="s">
        <v>64</v>
      </c>
      <c r="D16" s="10" t="s">
        <v>69</v>
      </c>
      <c r="E16" s="10" t="s">
        <v>69</v>
      </c>
      <c r="F16" s="11">
        <v>10002</v>
      </c>
      <c r="G16" s="10" t="s">
        <v>71</v>
      </c>
      <c r="H16" s="6">
        <v>39.460068</v>
      </c>
      <c r="I16" s="6">
        <v>-6.3815759999999999</v>
      </c>
      <c r="J16" s="19">
        <v>446</v>
      </c>
      <c r="K16" s="10" t="s">
        <v>65</v>
      </c>
      <c r="L16" s="10" t="s">
        <v>37</v>
      </c>
      <c r="M16" s="10" t="s">
        <v>78</v>
      </c>
      <c r="O16" s="20" t="str">
        <f t="shared" si="6"/>
        <v>A_SP_Ex_2_EEAA_220909</v>
      </c>
      <c r="P16" s="26">
        <v>44813</v>
      </c>
      <c r="Q16" s="23">
        <v>0.58680555555555558</v>
      </c>
      <c r="R16" s="20"/>
      <c r="S16" s="21">
        <v>44820</v>
      </c>
      <c r="T16" s="23">
        <v>0.5625</v>
      </c>
      <c r="V16" s="10" t="s">
        <v>39</v>
      </c>
      <c r="W16" s="24" t="s">
        <v>72</v>
      </c>
      <c r="X16" s="10">
        <f t="shared" si="7"/>
        <v>7</v>
      </c>
      <c r="Z16" s="10" t="s">
        <v>66</v>
      </c>
      <c r="AA16" s="10">
        <v>2</v>
      </c>
      <c r="AB16" s="10" t="s">
        <v>3</v>
      </c>
      <c r="AC16" s="10">
        <v>2</v>
      </c>
      <c r="AE16" s="10" t="s">
        <v>18</v>
      </c>
      <c r="AF16" s="2">
        <v>3</v>
      </c>
      <c r="AI16" s="9"/>
      <c r="AJ16" s="7"/>
      <c r="AK16" s="7"/>
      <c r="AL16" s="7"/>
      <c r="AM16" s="9"/>
      <c r="AN16" s="7"/>
      <c r="AO16" s="7"/>
      <c r="AP16" s="7"/>
    </row>
    <row r="17" spans="1:42" ht="16" thickBot="1" x14ac:dyDescent="0.25">
      <c r="A17" s="10">
        <v>11</v>
      </c>
      <c r="B17" s="10" t="s">
        <v>68</v>
      </c>
      <c r="C17" s="10" t="s">
        <v>64</v>
      </c>
      <c r="D17" s="10" t="s">
        <v>69</v>
      </c>
      <c r="E17" s="10" t="s">
        <v>69</v>
      </c>
      <c r="F17" s="11">
        <v>10004</v>
      </c>
      <c r="G17" s="10" t="s">
        <v>70</v>
      </c>
      <c r="H17" s="6">
        <v>39.480525</v>
      </c>
      <c r="I17" s="6">
        <v>-6.3673010000000003</v>
      </c>
      <c r="J17" s="19">
        <v>401</v>
      </c>
      <c r="K17" s="10" t="s">
        <v>65</v>
      </c>
      <c r="L17" s="10" t="s">
        <v>37</v>
      </c>
      <c r="M17" t="s">
        <v>77</v>
      </c>
      <c r="O17" s="20" t="str">
        <f t="shared" si="6"/>
        <v>A_SP_Ex_1_Valhondo_220916</v>
      </c>
      <c r="P17" s="26">
        <v>44820</v>
      </c>
      <c r="Q17" s="23">
        <v>0.54166666666666663</v>
      </c>
      <c r="R17" s="20"/>
      <c r="S17" s="21">
        <v>44827</v>
      </c>
      <c r="T17" s="23">
        <v>0.50347222222222221</v>
      </c>
      <c r="V17" s="10" t="s">
        <v>39</v>
      </c>
      <c r="W17" s="24"/>
      <c r="X17" s="10">
        <f t="shared" si="7"/>
        <v>7</v>
      </c>
      <c r="Z17" s="10" t="s">
        <v>66</v>
      </c>
      <c r="AA17" s="10">
        <v>1</v>
      </c>
      <c r="AB17" s="10" t="s">
        <v>3</v>
      </c>
      <c r="AC17" s="10">
        <v>1</v>
      </c>
      <c r="AE17" s="10" t="s">
        <v>18</v>
      </c>
      <c r="AF17" s="2">
        <v>4</v>
      </c>
      <c r="AI17" s="7"/>
      <c r="AJ17" s="7"/>
      <c r="AK17" s="7"/>
      <c r="AL17" s="7"/>
      <c r="AM17" s="9"/>
      <c r="AN17" s="7"/>
      <c r="AO17" s="7"/>
      <c r="AP17" s="7"/>
    </row>
    <row r="18" spans="1:42" ht="16" thickBot="1" x14ac:dyDescent="0.25">
      <c r="A18" s="10">
        <v>12</v>
      </c>
      <c r="B18" s="10" t="s">
        <v>68</v>
      </c>
      <c r="C18" s="10" t="s">
        <v>64</v>
      </c>
      <c r="D18" s="10" t="s">
        <v>69</v>
      </c>
      <c r="E18" s="10" t="s">
        <v>69</v>
      </c>
      <c r="F18" s="11">
        <v>10002</v>
      </c>
      <c r="G18" s="10" t="s">
        <v>71</v>
      </c>
      <c r="H18" s="6">
        <v>39.460068</v>
      </c>
      <c r="I18" s="6">
        <v>-6.3815759999999999</v>
      </c>
      <c r="J18" s="19">
        <v>446</v>
      </c>
      <c r="K18" s="10" t="s">
        <v>65</v>
      </c>
      <c r="L18" s="10" t="s">
        <v>37</v>
      </c>
      <c r="M18" s="10" t="s">
        <v>78</v>
      </c>
      <c r="O18" s="20" t="str">
        <f t="shared" si="6"/>
        <v>A_SP_Ex_2_EEAA_220916</v>
      </c>
      <c r="P18" s="26">
        <v>44820</v>
      </c>
      <c r="Q18" s="23">
        <v>0.5625</v>
      </c>
      <c r="R18" s="20"/>
      <c r="S18" s="21">
        <v>44827</v>
      </c>
      <c r="T18" s="23">
        <v>0.52777777777777779</v>
      </c>
      <c r="V18" s="10" t="s">
        <v>39</v>
      </c>
      <c r="W18" s="24" t="s">
        <v>73</v>
      </c>
      <c r="X18" s="10">
        <f t="shared" si="7"/>
        <v>7</v>
      </c>
      <c r="AA18" s="10">
        <v>0</v>
      </c>
      <c r="AF18" s="2">
        <v>4</v>
      </c>
      <c r="AI18" s="7"/>
      <c r="AJ18" s="7"/>
      <c r="AK18" s="7"/>
      <c r="AL18" s="7"/>
      <c r="AM18" s="9"/>
      <c r="AN18" s="7"/>
      <c r="AO18" s="7"/>
      <c r="AP18" s="7"/>
    </row>
    <row r="19" spans="1:42" ht="16" thickBot="1" x14ac:dyDescent="0.25">
      <c r="A19" s="10">
        <v>13</v>
      </c>
      <c r="B19" s="10" t="s">
        <v>68</v>
      </c>
      <c r="C19" s="10" t="s">
        <v>64</v>
      </c>
      <c r="D19" s="10" t="s">
        <v>69</v>
      </c>
      <c r="E19" s="10" t="s">
        <v>69</v>
      </c>
      <c r="F19" s="11">
        <v>10004</v>
      </c>
      <c r="G19" s="10" t="s">
        <v>70</v>
      </c>
      <c r="H19" s="6">
        <v>39.480525</v>
      </c>
      <c r="I19" s="6">
        <v>-6.3673010000000003</v>
      </c>
      <c r="J19" s="19">
        <v>401</v>
      </c>
      <c r="K19" s="10" t="s">
        <v>65</v>
      </c>
      <c r="L19" s="10" t="s">
        <v>37</v>
      </c>
      <c r="M19" t="s">
        <v>77</v>
      </c>
      <c r="O19" s="20" t="str">
        <f t="shared" si="6"/>
        <v>A_SP_Ex_1_Valhondo_220923</v>
      </c>
      <c r="P19" s="26">
        <v>44827</v>
      </c>
      <c r="Q19" s="23">
        <v>0.50347222222222221</v>
      </c>
      <c r="R19" s="20"/>
      <c r="S19" s="21">
        <v>44834</v>
      </c>
      <c r="T19" s="23">
        <v>0.54861111111111105</v>
      </c>
      <c r="V19" s="10" t="s">
        <v>39</v>
      </c>
      <c r="W19" s="24" t="s">
        <v>73</v>
      </c>
      <c r="X19" s="10">
        <f t="shared" si="7"/>
        <v>7</v>
      </c>
      <c r="AA19" s="10">
        <v>0</v>
      </c>
      <c r="AF19" s="2">
        <v>4</v>
      </c>
      <c r="AI19" s="7"/>
      <c r="AJ19" s="7"/>
      <c r="AK19" s="7"/>
      <c r="AL19" s="7"/>
      <c r="AM19" s="9"/>
      <c r="AN19" s="7"/>
      <c r="AO19" s="7"/>
      <c r="AP19" s="7"/>
    </row>
    <row r="20" spans="1:42" ht="16" thickBot="1" x14ac:dyDescent="0.25">
      <c r="A20" s="10">
        <v>14</v>
      </c>
      <c r="B20" s="10" t="s">
        <v>68</v>
      </c>
      <c r="C20" s="10" t="s">
        <v>64</v>
      </c>
      <c r="D20" s="10" t="s">
        <v>69</v>
      </c>
      <c r="E20" s="10" t="s">
        <v>69</v>
      </c>
      <c r="F20" s="11">
        <v>10002</v>
      </c>
      <c r="G20" s="10" t="s">
        <v>71</v>
      </c>
      <c r="H20" s="6">
        <v>39.460068</v>
      </c>
      <c r="I20" s="6">
        <v>-6.3815759999999999</v>
      </c>
      <c r="J20" s="19">
        <v>446</v>
      </c>
      <c r="K20" s="10" t="s">
        <v>65</v>
      </c>
      <c r="L20" s="10" t="s">
        <v>37</v>
      </c>
      <c r="M20" s="10" t="s">
        <v>78</v>
      </c>
      <c r="O20" s="20" t="str">
        <f t="shared" si="6"/>
        <v>A_SP_Ex_2_EEAA_220923</v>
      </c>
      <c r="P20" s="26">
        <v>44827</v>
      </c>
      <c r="Q20" s="23">
        <v>0.52777777777777779</v>
      </c>
      <c r="R20" s="20"/>
      <c r="S20" s="21">
        <v>44834</v>
      </c>
      <c r="T20" s="23">
        <v>0.57291666666666663</v>
      </c>
      <c r="V20" s="10" t="s">
        <v>39</v>
      </c>
      <c r="W20" s="24" t="s">
        <v>73</v>
      </c>
      <c r="X20" s="10">
        <f t="shared" si="7"/>
        <v>7</v>
      </c>
      <c r="AA20" s="10">
        <v>0</v>
      </c>
      <c r="AF20" s="2">
        <v>4</v>
      </c>
      <c r="AI20" s="7"/>
      <c r="AJ20" s="7"/>
      <c r="AK20" s="7"/>
      <c r="AL20" s="7"/>
      <c r="AM20" s="9"/>
      <c r="AN20" s="7"/>
      <c r="AO20" s="7"/>
      <c r="AP20" s="7"/>
    </row>
    <row r="21" spans="1:42" ht="16" thickBot="1" x14ac:dyDescent="0.25">
      <c r="A21" s="10">
        <v>15</v>
      </c>
      <c r="B21" s="10" t="s">
        <v>68</v>
      </c>
      <c r="C21" s="10" t="s">
        <v>64</v>
      </c>
      <c r="D21" s="10" t="s">
        <v>69</v>
      </c>
      <c r="E21" s="10" t="s">
        <v>69</v>
      </c>
      <c r="F21" s="11">
        <v>10004</v>
      </c>
      <c r="G21" s="10" t="s">
        <v>70</v>
      </c>
      <c r="H21" s="6">
        <v>39.480525</v>
      </c>
      <c r="I21" s="6">
        <v>-6.3673010000000003</v>
      </c>
      <c r="J21" s="19">
        <v>401</v>
      </c>
      <c r="K21" s="10" t="s">
        <v>65</v>
      </c>
      <c r="L21" s="10" t="s">
        <v>37</v>
      </c>
      <c r="M21" t="s">
        <v>77</v>
      </c>
      <c r="O21" s="20" t="str">
        <f t="shared" si="6"/>
        <v>A_SP_Ex_1_Valhondo_220930</v>
      </c>
      <c r="P21" s="26">
        <v>44834</v>
      </c>
      <c r="Q21" s="23">
        <v>0.54861111111111105</v>
      </c>
      <c r="R21" s="20"/>
      <c r="S21" s="21">
        <v>44844</v>
      </c>
      <c r="T21" s="23">
        <v>0.50347222222222221</v>
      </c>
      <c r="V21" s="10" t="s">
        <v>39</v>
      </c>
      <c r="W21" s="24"/>
      <c r="X21" s="10">
        <f t="shared" si="7"/>
        <v>10</v>
      </c>
      <c r="Z21" s="10" t="s">
        <v>76</v>
      </c>
      <c r="AA21" s="10">
        <v>1</v>
      </c>
      <c r="AB21" s="10" t="s">
        <v>3</v>
      </c>
      <c r="AC21" s="10">
        <v>1</v>
      </c>
      <c r="AE21" s="10" t="s">
        <v>18</v>
      </c>
      <c r="AF21" s="2">
        <v>3</v>
      </c>
      <c r="AI21" s="7"/>
      <c r="AJ21" s="7"/>
      <c r="AK21" s="7"/>
      <c r="AL21" s="7"/>
      <c r="AM21" s="9"/>
      <c r="AN21" s="7"/>
      <c r="AO21" s="7"/>
      <c r="AP21" s="7"/>
    </row>
    <row r="22" spans="1:42" ht="16" thickBot="1" x14ac:dyDescent="0.25">
      <c r="A22" s="10">
        <v>16</v>
      </c>
      <c r="B22" s="10" t="s">
        <v>68</v>
      </c>
      <c r="C22" s="10" t="s">
        <v>64</v>
      </c>
      <c r="D22" s="10" t="s">
        <v>69</v>
      </c>
      <c r="E22" s="10" t="s">
        <v>69</v>
      </c>
      <c r="F22" s="11">
        <v>10002</v>
      </c>
      <c r="G22" s="10" t="s">
        <v>71</v>
      </c>
      <c r="H22" s="6">
        <v>39.460068</v>
      </c>
      <c r="I22" s="6">
        <v>-6.3815759999999999</v>
      </c>
      <c r="J22" s="19">
        <v>446</v>
      </c>
      <c r="K22" s="10" t="s">
        <v>65</v>
      </c>
      <c r="L22" s="10" t="s">
        <v>37</v>
      </c>
      <c r="M22" s="10" t="s">
        <v>78</v>
      </c>
      <c r="O22" s="20" t="str">
        <f t="shared" si="6"/>
        <v>A_SP_Ex_2_EEAA_220930</v>
      </c>
      <c r="P22" s="26">
        <v>44834</v>
      </c>
      <c r="Q22" s="23">
        <v>0.57291666666666663</v>
      </c>
      <c r="R22" s="20"/>
      <c r="S22" s="21">
        <v>44844</v>
      </c>
      <c r="T22" s="23">
        <v>0.53125</v>
      </c>
      <c r="V22" s="10" t="s">
        <v>39</v>
      </c>
      <c r="W22" s="24" t="s">
        <v>73</v>
      </c>
      <c r="X22" s="10">
        <f t="shared" si="7"/>
        <v>10</v>
      </c>
      <c r="AA22" s="10">
        <v>0</v>
      </c>
      <c r="AF22" s="2">
        <v>4</v>
      </c>
      <c r="AI22" s="7"/>
      <c r="AJ22" s="7"/>
      <c r="AK22" s="7"/>
      <c r="AL22" s="7"/>
      <c r="AM22" s="9"/>
      <c r="AN22" s="7"/>
      <c r="AO22" s="7"/>
      <c r="AP22" s="7"/>
    </row>
    <row r="23" spans="1:42" ht="16" thickBot="1" x14ac:dyDescent="0.25">
      <c r="A23" s="10">
        <v>17</v>
      </c>
      <c r="B23" s="10" t="s">
        <v>68</v>
      </c>
      <c r="C23" s="10" t="s">
        <v>64</v>
      </c>
      <c r="D23" s="10" t="s">
        <v>69</v>
      </c>
      <c r="E23" s="10" t="s">
        <v>69</v>
      </c>
      <c r="F23" s="11">
        <v>10004</v>
      </c>
      <c r="G23" s="10" t="s">
        <v>70</v>
      </c>
      <c r="H23" s="6">
        <v>39.480525</v>
      </c>
      <c r="I23" s="6">
        <v>-6.3673010000000003</v>
      </c>
      <c r="J23" s="19">
        <v>401</v>
      </c>
      <c r="K23" s="10" t="s">
        <v>65</v>
      </c>
      <c r="L23" s="10" t="s">
        <v>37</v>
      </c>
      <c r="M23" t="s">
        <v>77</v>
      </c>
      <c r="O23" s="20" t="str">
        <f t="shared" ref="O23" si="8">G23&amp;"_"&amp;TEXT(P23,"AAMMDD")</f>
        <v>A_SP_Ex_1_Valhondo_221010</v>
      </c>
      <c r="P23" s="26">
        <v>44844</v>
      </c>
      <c r="Q23" s="23">
        <v>0.50347222222222221</v>
      </c>
      <c r="R23" s="20"/>
      <c r="S23" s="21">
        <v>44852</v>
      </c>
      <c r="T23" s="23">
        <v>0.55555555555555558</v>
      </c>
      <c r="V23" s="10" t="s">
        <v>39</v>
      </c>
      <c r="W23" s="24"/>
      <c r="X23" s="10">
        <f t="shared" ref="X23" si="9">S23-P23</f>
        <v>8</v>
      </c>
      <c r="Z23" s="10" t="s">
        <v>66</v>
      </c>
      <c r="AA23" s="10">
        <v>1</v>
      </c>
      <c r="AB23" s="10" t="s">
        <v>3</v>
      </c>
      <c r="AC23" s="10">
        <v>1</v>
      </c>
      <c r="AF23" s="2">
        <v>3</v>
      </c>
      <c r="AI23" s="7"/>
      <c r="AJ23" s="7"/>
      <c r="AK23" s="7"/>
      <c r="AL23" s="7"/>
      <c r="AM23" s="9"/>
      <c r="AN23" s="7"/>
      <c r="AO23" s="7"/>
      <c r="AP23" s="7"/>
    </row>
    <row r="24" spans="1:42" ht="16" thickBot="1" x14ac:dyDescent="0.25">
      <c r="A24" s="10">
        <v>17</v>
      </c>
      <c r="B24" s="10" t="s">
        <v>68</v>
      </c>
      <c r="C24" s="10" t="s">
        <v>64</v>
      </c>
      <c r="D24" s="10" t="s">
        <v>69</v>
      </c>
      <c r="E24" s="10" t="s">
        <v>69</v>
      </c>
      <c r="F24" s="11">
        <v>10004</v>
      </c>
      <c r="G24" s="10" t="s">
        <v>70</v>
      </c>
      <c r="H24" s="6">
        <v>39.480525</v>
      </c>
      <c r="I24" s="6">
        <v>-6.3673010000000003</v>
      </c>
      <c r="J24" s="19">
        <v>401</v>
      </c>
      <c r="K24" s="10" t="s">
        <v>65</v>
      </c>
      <c r="L24" s="10" t="s">
        <v>37</v>
      </c>
      <c r="M24" t="s">
        <v>77</v>
      </c>
      <c r="O24" s="20" t="str">
        <f t="shared" si="6"/>
        <v>A_SP_Ex_1_Valhondo_221010</v>
      </c>
      <c r="P24" s="26">
        <v>44844</v>
      </c>
      <c r="Q24" s="23">
        <v>0.50347222222222221</v>
      </c>
      <c r="R24" s="20"/>
      <c r="S24" s="21">
        <v>44852</v>
      </c>
      <c r="T24" s="23">
        <v>0.55555555555555558</v>
      </c>
      <c r="V24" s="10" t="s">
        <v>39</v>
      </c>
      <c r="W24" s="24"/>
      <c r="X24" s="10">
        <f t="shared" si="7"/>
        <v>8</v>
      </c>
      <c r="Z24" s="10" t="s">
        <v>76</v>
      </c>
      <c r="AA24" s="10">
        <v>7</v>
      </c>
      <c r="AB24" s="10" t="s">
        <v>3</v>
      </c>
      <c r="AC24" s="10">
        <v>4</v>
      </c>
      <c r="AD24" s="10">
        <v>3</v>
      </c>
      <c r="AE24" s="10" t="s">
        <v>18</v>
      </c>
      <c r="AF24" s="2">
        <v>3</v>
      </c>
      <c r="AI24" s="7"/>
      <c r="AJ24" s="7"/>
      <c r="AK24" s="7"/>
      <c r="AL24" s="7"/>
      <c r="AM24" s="9"/>
      <c r="AN24" s="7"/>
      <c r="AO24" s="7"/>
      <c r="AP24" s="7"/>
    </row>
    <row r="25" spans="1:42" ht="16" thickBot="1" x14ac:dyDescent="0.25">
      <c r="A25" s="10">
        <v>18</v>
      </c>
      <c r="B25" s="10" t="s">
        <v>68</v>
      </c>
      <c r="C25" s="10" t="s">
        <v>64</v>
      </c>
      <c r="D25" s="10" t="s">
        <v>69</v>
      </c>
      <c r="E25" s="10" t="s">
        <v>69</v>
      </c>
      <c r="F25" s="11">
        <v>10002</v>
      </c>
      <c r="G25" s="10" t="s">
        <v>71</v>
      </c>
      <c r="H25" s="6">
        <v>39.460068</v>
      </c>
      <c r="I25" s="6">
        <v>-6.3815759999999999</v>
      </c>
      <c r="J25" s="19">
        <v>446</v>
      </c>
      <c r="K25" s="10" t="s">
        <v>65</v>
      </c>
      <c r="L25" s="10" t="s">
        <v>37</v>
      </c>
      <c r="M25" s="10" t="s">
        <v>78</v>
      </c>
      <c r="O25" s="20" t="str">
        <f t="shared" si="6"/>
        <v>A_SP_Ex_2_EEAA_221010</v>
      </c>
      <c r="P25" s="26">
        <v>44844</v>
      </c>
      <c r="Q25" s="23">
        <v>0.53125</v>
      </c>
      <c r="R25" s="20"/>
      <c r="S25" s="21">
        <v>44852</v>
      </c>
      <c r="T25" s="23">
        <v>0.58333333333333337</v>
      </c>
      <c r="V25" s="10" t="s">
        <v>39</v>
      </c>
      <c r="W25" s="24" t="s">
        <v>73</v>
      </c>
      <c r="X25" s="10">
        <f t="shared" si="7"/>
        <v>8</v>
      </c>
      <c r="AA25" s="10">
        <v>0</v>
      </c>
      <c r="AF25" s="2">
        <v>4</v>
      </c>
      <c r="AI25" s="7"/>
      <c r="AJ25" s="7"/>
      <c r="AK25" s="7"/>
      <c r="AL25" s="7"/>
      <c r="AM25" s="9"/>
      <c r="AN25" s="7"/>
      <c r="AO25" s="7"/>
      <c r="AP25" s="7"/>
    </row>
    <row r="26" spans="1:42" ht="16" thickBot="1" x14ac:dyDescent="0.25">
      <c r="A26" s="10">
        <v>19</v>
      </c>
      <c r="B26" s="10" t="s">
        <v>68</v>
      </c>
      <c r="C26" s="10" t="s">
        <v>64</v>
      </c>
      <c r="D26" s="10" t="s">
        <v>69</v>
      </c>
      <c r="E26" s="10" t="s">
        <v>69</v>
      </c>
      <c r="F26" s="11">
        <v>10004</v>
      </c>
      <c r="G26" s="10" t="s">
        <v>70</v>
      </c>
      <c r="H26" s="6">
        <v>39.480525</v>
      </c>
      <c r="I26" s="6">
        <v>-6.3673010000000003</v>
      </c>
      <c r="J26" s="19">
        <v>401</v>
      </c>
      <c r="K26" s="10" t="s">
        <v>65</v>
      </c>
      <c r="L26" s="10" t="s">
        <v>37</v>
      </c>
      <c r="M26" t="s">
        <v>77</v>
      </c>
      <c r="O26" s="20" t="str">
        <f t="shared" si="6"/>
        <v>A_SP_Ex_1_Valhondo_221018</v>
      </c>
      <c r="P26" s="26">
        <v>44852</v>
      </c>
      <c r="Q26" s="23">
        <v>0.55555555555555558</v>
      </c>
      <c r="R26" s="20"/>
      <c r="S26" s="21">
        <v>44858</v>
      </c>
      <c r="T26" s="23">
        <v>0.50694444444444442</v>
      </c>
      <c r="V26" s="10" t="s">
        <v>39</v>
      </c>
      <c r="W26" s="24"/>
      <c r="X26" s="10">
        <f t="shared" si="7"/>
        <v>6</v>
      </c>
      <c r="Z26" s="10" t="s">
        <v>66</v>
      </c>
      <c r="AA26" s="10">
        <v>1</v>
      </c>
      <c r="AB26" s="10" t="s">
        <v>3</v>
      </c>
      <c r="AD26" s="10">
        <v>1</v>
      </c>
      <c r="AE26" s="10" t="s">
        <v>18</v>
      </c>
      <c r="AF26" s="2">
        <v>4</v>
      </c>
      <c r="AI26" s="7"/>
      <c r="AJ26" s="7"/>
      <c r="AK26" s="7"/>
      <c r="AL26" s="7"/>
      <c r="AM26" s="9"/>
      <c r="AN26" s="7"/>
      <c r="AO26" s="7"/>
      <c r="AP26" s="7"/>
    </row>
    <row r="27" spans="1:42" ht="16" thickBot="1" x14ac:dyDescent="0.25">
      <c r="A27" s="10">
        <v>19</v>
      </c>
      <c r="B27" s="10" t="s">
        <v>68</v>
      </c>
      <c r="C27" s="10" t="s">
        <v>64</v>
      </c>
      <c r="D27" s="10" t="s">
        <v>69</v>
      </c>
      <c r="E27" s="10" t="s">
        <v>69</v>
      </c>
      <c r="F27" s="11">
        <v>10004</v>
      </c>
      <c r="G27" s="10" t="s">
        <v>70</v>
      </c>
      <c r="H27" s="6">
        <v>39.480525</v>
      </c>
      <c r="I27" s="6">
        <v>-6.3673010000000003</v>
      </c>
      <c r="J27" s="19">
        <v>401</v>
      </c>
      <c r="K27" s="10" t="s">
        <v>65</v>
      </c>
      <c r="L27" s="10" t="s">
        <v>37</v>
      </c>
      <c r="M27" t="s">
        <v>77</v>
      </c>
      <c r="O27" s="20" t="str">
        <f t="shared" ref="O27" si="10">G27&amp;"_"&amp;TEXT(P27,"AAMMDD")</f>
        <v>A_SP_Ex_1_Valhondo_221018</v>
      </c>
      <c r="P27" s="26">
        <v>44852</v>
      </c>
      <c r="Q27" s="23">
        <v>0.55555555555555558</v>
      </c>
      <c r="R27" s="20"/>
      <c r="S27" s="21">
        <v>44858</v>
      </c>
      <c r="T27" s="23">
        <v>0.50694444444444442</v>
      </c>
      <c r="V27" s="10" t="s">
        <v>39</v>
      </c>
      <c r="W27" s="24"/>
      <c r="X27" s="10">
        <f t="shared" ref="X27" si="11">S27-P27</f>
        <v>6</v>
      </c>
      <c r="Z27" s="10" t="s">
        <v>76</v>
      </c>
      <c r="AA27" s="10">
        <v>1</v>
      </c>
      <c r="AB27" s="10" t="s">
        <v>3</v>
      </c>
      <c r="AC27" s="10">
        <v>1</v>
      </c>
      <c r="AE27" s="10" t="s">
        <v>18</v>
      </c>
      <c r="AF27" s="2">
        <v>3</v>
      </c>
      <c r="AI27" s="7"/>
      <c r="AJ27" s="7"/>
      <c r="AK27" s="7"/>
      <c r="AL27" s="7"/>
      <c r="AM27" s="9"/>
      <c r="AN27" s="7"/>
      <c r="AO27" s="7"/>
      <c r="AP27" s="7"/>
    </row>
    <row r="28" spans="1:42" ht="16" thickBot="1" x14ac:dyDescent="0.25">
      <c r="A28" s="10">
        <v>20</v>
      </c>
      <c r="B28" s="10" t="s">
        <v>68</v>
      </c>
      <c r="C28" s="10" t="s">
        <v>64</v>
      </c>
      <c r="D28" s="10" t="s">
        <v>69</v>
      </c>
      <c r="E28" s="10" t="s">
        <v>69</v>
      </c>
      <c r="F28" s="11">
        <v>10002</v>
      </c>
      <c r="G28" s="10" t="s">
        <v>71</v>
      </c>
      <c r="H28" s="6">
        <v>39.460068</v>
      </c>
      <c r="I28" s="6">
        <v>-6.3815759999999999</v>
      </c>
      <c r="J28" s="19">
        <v>446</v>
      </c>
      <c r="K28" s="10" t="s">
        <v>65</v>
      </c>
      <c r="L28" s="10" t="s">
        <v>37</v>
      </c>
      <c r="M28" s="10" t="s">
        <v>78</v>
      </c>
      <c r="O28" s="20" t="str">
        <f t="shared" si="6"/>
        <v>A_SP_Ex_2_EEAA_221018</v>
      </c>
      <c r="P28" s="26">
        <v>44852</v>
      </c>
      <c r="Q28" s="23">
        <v>0.58333333333333337</v>
      </c>
      <c r="R28" s="20"/>
      <c r="S28" s="21">
        <v>44858</v>
      </c>
      <c r="T28" s="23">
        <v>0.54166666666666663</v>
      </c>
      <c r="V28" s="10" t="s">
        <v>39</v>
      </c>
      <c r="W28" s="24"/>
      <c r="X28" s="10">
        <f t="shared" si="7"/>
        <v>6</v>
      </c>
      <c r="Z28" s="10" t="s">
        <v>66</v>
      </c>
      <c r="AA28" s="10">
        <v>1</v>
      </c>
      <c r="AB28" s="10" t="s">
        <v>3</v>
      </c>
      <c r="AC28" s="10">
        <v>1</v>
      </c>
      <c r="AE28" s="10" t="s">
        <v>18</v>
      </c>
      <c r="AF28" s="2">
        <v>3</v>
      </c>
      <c r="AI28" s="9"/>
      <c r="AJ28" s="7"/>
      <c r="AK28" s="7"/>
      <c r="AL28" s="7"/>
      <c r="AM28" s="9"/>
      <c r="AN28" s="7"/>
      <c r="AO28" s="7"/>
      <c r="AP28" s="7"/>
    </row>
    <row r="29" spans="1:42" ht="16" thickBot="1" x14ac:dyDescent="0.25">
      <c r="A29" s="10">
        <v>21</v>
      </c>
      <c r="B29" s="10" t="s">
        <v>68</v>
      </c>
      <c r="C29" s="10" t="s">
        <v>64</v>
      </c>
      <c r="D29" s="10" t="s">
        <v>69</v>
      </c>
      <c r="E29" s="10" t="s">
        <v>69</v>
      </c>
      <c r="F29" s="11">
        <v>10004</v>
      </c>
      <c r="G29" s="10" t="s">
        <v>70</v>
      </c>
      <c r="H29" s="6">
        <v>39.480525</v>
      </c>
      <c r="I29" s="6">
        <v>-6.3673010000000003</v>
      </c>
      <c r="J29" s="19">
        <v>401</v>
      </c>
      <c r="K29" s="10" t="s">
        <v>65</v>
      </c>
      <c r="L29" s="10" t="s">
        <v>37</v>
      </c>
      <c r="M29" t="s">
        <v>77</v>
      </c>
      <c r="O29" s="20" t="str">
        <f t="shared" si="6"/>
        <v>A_SP_Ex_1_Valhondo_221024</v>
      </c>
      <c r="P29" s="26">
        <v>44858</v>
      </c>
      <c r="Q29" s="23">
        <v>0.50694444444444442</v>
      </c>
      <c r="R29" s="20"/>
      <c r="S29" s="21">
        <v>44865</v>
      </c>
      <c r="T29" s="23">
        <v>0.47222222222222227</v>
      </c>
      <c r="V29" s="10" t="s">
        <v>39</v>
      </c>
      <c r="W29" s="24"/>
      <c r="X29" s="10">
        <f t="shared" si="7"/>
        <v>7</v>
      </c>
      <c r="Z29" s="10" t="s">
        <v>66</v>
      </c>
      <c r="AA29" s="10">
        <v>1</v>
      </c>
      <c r="AB29" s="10" t="s">
        <v>3</v>
      </c>
      <c r="AC29" s="10">
        <v>1</v>
      </c>
      <c r="AE29" s="10" t="s">
        <v>18</v>
      </c>
      <c r="AF29" s="2">
        <v>3</v>
      </c>
      <c r="AI29" s="7"/>
      <c r="AJ29" s="7"/>
      <c r="AK29" s="7"/>
      <c r="AL29" s="7"/>
      <c r="AM29" s="9"/>
      <c r="AN29" s="7"/>
      <c r="AO29" s="7"/>
      <c r="AP29" s="7"/>
    </row>
    <row r="30" spans="1:42" ht="16" thickBot="1" x14ac:dyDescent="0.25">
      <c r="A30" s="10">
        <v>22</v>
      </c>
      <c r="B30" s="10" t="s">
        <v>68</v>
      </c>
      <c r="C30" s="10" t="s">
        <v>64</v>
      </c>
      <c r="D30" s="10" t="s">
        <v>69</v>
      </c>
      <c r="E30" s="10" t="s">
        <v>69</v>
      </c>
      <c r="F30" s="11">
        <v>10002</v>
      </c>
      <c r="G30" s="10" t="s">
        <v>71</v>
      </c>
      <c r="H30" s="6">
        <v>39.460068</v>
      </c>
      <c r="I30" s="6">
        <v>-6.3815759999999999</v>
      </c>
      <c r="J30" s="19">
        <v>446</v>
      </c>
      <c r="K30" s="10" t="s">
        <v>65</v>
      </c>
      <c r="L30" s="10" t="s">
        <v>37</v>
      </c>
      <c r="M30" s="10" t="s">
        <v>78</v>
      </c>
      <c r="O30" s="20" t="str">
        <f t="shared" si="6"/>
        <v>A_SP_Ex_2_EEAA_221024</v>
      </c>
      <c r="P30" s="26">
        <v>44858</v>
      </c>
      <c r="Q30" s="23">
        <v>0.54166666666666663</v>
      </c>
      <c r="R30" s="20"/>
      <c r="S30" s="21">
        <v>44865</v>
      </c>
      <c r="T30" s="23">
        <v>0.50694444444444442</v>
      </c>
      <c r="V30" s="10" t="s">
        <v>39</v>
      </c>
      <c r="W30" s="24" t="s">
        <v>73</v>
      </c>
      <c r="X30" s="10">
        <f t="shared" si="7"/>
        <v>7</v>
      </c>
      <c r="AA30" s="10">
        <v>0</v>
      </c>
      <c r="AF30" s="2">
        <v>4</v>
      </c>
      <c r="AI30" s="9"/>
      <c r="AJ30" s="7"/>
      <c r="AK30" s="7"/>
      <c r="AL30" s="7"/>
      <c r="AM30" s="9"/>
      <c r="AN30" s="7"/>
      <c r="AO30" s="7"/>
      <c r="AP30" s="7"/>
    </row>
    <row r="31" spans="1:42" ht="16" thickBot="1" x14ac:dyDescent="0.25">
      <c r="A31" s="10">
        <v>23</v>
      </c>
      <c r="B31" s="10" t="s">
        <v>68</v>
      </c>
      <c r="C31" s="10" t="s">
        <v>64</v>
      </c>
      <c r="D31" s="10" t="s">
        <v>69</v>
      </c>
      <c r="E31" s="10" t="s">
        <v>69</v>
      </c>
      <c r="F31" s="11">
        <v>10004</v>
      </c>
      <c r="G31" s="10" t="s">
        <v>70</v>
      </c>
      <c r="H31" s="6">
        <v>39.480525</v>
      </c>
      <c r="I31" s="6">
        <v>-6.3673010000000003</v>
      </c>
      <c r="J31" s="19">
        <v>401</v>
      </c>
      <c r="K31" s="10" t="s">
        <v>65</v>
      </c>
      <c r="L31" s="10" t="s">
        <v>37</v>
      </c>
      <c r="M31" t="s">
        <v>77</v>
      </c>
      <c r="O31" s="20" t="str">
        <f t="shared" si="6"/>
        <v>A_SP_Ex_1_Valhondo_221031</v>
      </c>
      <c r="P31" s="26">
        <v>44865</v>
      </c>
      <c r="Q31" s="23">
        <v>0.47222222222222227</v>
      </c>
      <c r="R31" s="20"/>
      <c r="S31" s="21">
        <v>44873</v>
      </c>
      <c r="T31" s="23">
        <v>0.55208333333333337</v>
      </c>
      <c r="V31" s="10" t="s">
        <v>39</v>
      </c>
      <c r="W31" s="24"/>
      <c r="X31" s="10">
        <f t="shared" si="7"/>
        <v>8</v>
      </c>
      <c r="Z31" s="10" t="s">
        <v>76</v>
      </c>
      <c r="AA31" s="10">
        <v>5</v>
      </c>
      <c r="AB31" s="10" t="s">
        <v>3</v>
      </c>
      <c r="AC31" s="10">
        <v>2</v>
      </c>
      <c r="AD31" s="10">
        <v>3</v>
      </c>
      <c r="AE31" s="10" t="s">
        <v>18</v>
      </c>
      <c r="AF31" s="2">
        <v>3</v>
      </c>
      <c r="AI31" s="7"/>
      <c r="AJ31" s="7"/>
      <c r="AK31" s="7"/>
      <c r="AL31" s="7"/>
      <c r="AM31" s="9"/>
      <c r="AN31" s="7"/>
      <c r="AO31" s="7"/>
      <c r="AP31" s="7"/>
    </row>
    <row r="32" spans="1:42" ht="16" thickBot="1" x14ac:dyDescent="0.25">
      <c r="A32" s="10">
        <v>24</v>
      </c>
      <c r="B32" s="10" t="s">
        <v>68</v>
      </c>
      <c r="C32" s="10" t="s">
        <v>64</v>
      </c>
      <c r="D32" s="10" t="s">
        <v>69</v>
      </c>
      <c r="E32" s="10" t="s">
        <v>69</v>
      </c>
      <c r="F32" s="11">
        <v>10002</v>
      </c>
      <c r="G32" s="10" t="s">
        <v>71</v>
      </c>
      <c r="H32" s="6">
        <v>39.460068</v>
      </c>
      <c r="I32" s="6">
        <v>-6.3815759999999999</v>
      </c>
      <c r="J32" s="19">
        <v>446</v>
      </c>
      <c r="K32" s="10" t="s">
        <v>65</v>
      </c>
      <c r="L32" s="10" t="s">
        <v>37</v>
      </c>
      <c r="M32" s="10" t="s">
        <v>78</v>
      </c>
      <c r="O32" s="20" t="str">
        <f t="shared" si="6"/>
        <v>A_SP_Ex_2_EEAA_221031</v>
      </c>
      <c r="P32" s="26">
        <v>44865</v>
      </c>
      <c r="Q32" s="23">
        <v>0.50694444444444442</v>
      </c>
      <c r="R32" s="20"/>
      <c r="S32" s="21">
        <v>44873</v>
      </c>
      <c r="T32" s="23">
        <v>0.57638888888888895</v>
      </c>
      <c r="V32" s="10" t="s">
        <v>39</v>
      </c>
      <c r="W32" s="24" t="s">
        <v>73</v>
      </c>
      <c r="X32" s="10">
        <f t="shared" si="7"/>
        <v>8</v>
      </c>
      <c r="AA32" s="10">
        <v>0</v>
      </c>
      <c r="AF32" s="2">
        <v>4</v>
      </c>
      <c r="AI32" s="9"/>
      <c r="AJ32" s="7"/>
      <c r="AK32" s="7"/>
      <c r="AL32" s="7"/>
      <c r="AM32" s="9"/>
      <c r="AN32" s="7"/>
      <c r="AO32" s="7"/>
      <c r="AP32" s="7"/>
    </row>
    <row r="33" spans="1:42" ht="16" thickBot="1" x14ac:dyDescent="0.25">
      <c r="A33" s="10">
        <v>25</v>
      </c>
      <c r="B33" s="10" t="s">
        <v>68</v>
      </c>
      <c r="C33" s="10" t="s">
        <v>64</v>
      </c>
      <c r="D33" s="10" t="s">
        <v>69</v>
      </c>
      <c r="E33" s="10" t="s">
        <v>69</v>
      </c>
      <c r="F33" s="11">
        <v>10004</v>
      </c>
      <c r="G33" s="10" t="s">
        <v>70</v>
      </c>
      <c r="H33" s="6">
        <v>39.480525</v>
      </c>
      <c r="I33" s="6">
        <v>-6.3673010000000003</v>
      </c>
      <c r="J33" s="19">
        <v>401</v>
      </c>
      <c r="K33" s="10" t="s">
        <v>65</v>
      </c>
      <c r="L33" s="10" t="s">
        <v>37</v>
      </c>
      <c r="M33" t="s">
        <v>77</v>
      </c>
      <c r="O33" s="20" t="str">
        <f t="shared" si="6"/>
        <v>A_SP_Ex_1_Valhondo_221108</v>
      </c>
      <c r="P33" s="26">
        <v>44873</v>
      </c>
      <c r="Q33" s="23">
        <v>0.55208333333333337</v>
      </c>
      <c r="R33" s="20"/>
      <c r="S33" s="21">
        <v>44880</v>
      </c>
      <c r="T33" s="23">
        <v>0.59027777777777779</v>
      </c>
      <c r="V33" s="10" t="s">
        <v>39</v>
      </c>
      <c r="W33" s="24" t="s">
        <v>73</v>
      </c>
      <c r="X33" s="10">
        <f t="shared" si="7"/>
        <v>7</v>
      </c>
      <c r="AA33" s="10">
        <v>0</v>
      </c>
      <c r="AF33" s="2">
        <v>4</v>
      </c>
      <c r="AI33" s="7"/>
      <c r="AJ33" s="7"/>
      <c r="AK33" s="7"/>
      <c r="AL33" s="7"/>
      <c r="AM33" s="9"/>
      <c r="AN33" s="7"/>
      <c r="AO33" s="7"/>
      <c r="AP33" s="7"/>
    </row>
    <row r="34" spans="1:42" ht="16" thickBot="1" x14ac:dyDescent="0.25">
      <c r="A34" s="10">
        <v>26</v>
      </c>
      <c r="B34" s="10" t="s">
        <v>68</v>
      </c>
      <c r="C34" s="10" t="s">
        <v>64</v>
      </c>
      <c r="D34" s="10" t="s">
        <v>69</v>
      </c>
      <c r="E34" s="10" t="s">
        <v>69</v>
      </c>
      <c r="F34" s="11">
        <v>10002</v>
      </c>
      <c r="G34" s="10" t="s">
        <v>71</v>
      </c>
      <c r="H34" s="6">
        <v>39.460068</v>
      </c>
      <c r="I34" s="6">
        <v>-6.3815759999999999</v>
      </c>
      <c r="J34" s="19">
        <v>446</v>
      </c>
      <c r="K34" s="10" t="s">
        <v>65</v>
      </c>
      <c r="L34" s="10" t="s">
        <v>37</v>
      </c>
      <c r="M34" s="10" t="s">
        <v>78</v>
      </c>
      <c r="O34" s="20" t="str">
        <f t="shared" si="6"/>
        <v>A_SP_Ex_2_EEAA_221108</v>
      </c>
      <c r="P34" s="26">
        <v>44873</v>
      </c>
      <c r="Q34" s="23">
        <v>0.57638888888888895</v>
      </c>
      <c r="R34" s="20"/>
      <c r="S34" s="21">
        <v>44880</v>
      </c>
      <c r="T34" s="23">
        <v>0.61111111111111105</v>
      </c>
      <c r="V34" s="10" t="s">
        <v>39</v>
      </c>
      <c r="W34" s="24"/>
      <c r="X34" s="10">
        <f t="shared" si="7"/>
        <v>7</v>
      </c>
      <c r="Z34" s="25" t="s">
        <v>66</v>
      </c>
      <c r="AA34" s="10">
        <v>4</v>
      </c>
      <c r="AB34" s="10" t="s">
        <v>3</v>
      </c>
      <c r="AC34" s="10">
        <v>1</v>
      </c>
      <c r="AD34" s="10">
        <v>3</v>
      </c>
      <c r="AE34" s="10" t="s">
        <v>18</v>
      </c>
      <c r="AF34" s="2">
        <v>4</v>
      </c>
      <c r="AI34" s="7"/>
      <c r="AJ34" s="7"/>
      <c r="AK34" s="7"/>
      <c r="AL34" s="7"/>
      <c r="AM34" s="9"/>
      <c r="AN34" s="7"/>
      <c r="AO34" s="7"/>
      <c r="AP34" s="7"/>
    </row>
    <row r="35" spans="1:42" ht="16" thickBot="1" x14ac:dyDescent="0.25">
      <c r="AI35" s="7"/>
      <c r="AJ35" s="7"/>
      <c r="AK35" s="7"/>
      <c r="AL35" s="7"/>
      <c r="AM35" s="9"/>
      <c r="AN35" s="7"/>
      <c r="AO35" s="7"/>
      <c r="AP35" s="7"/>
    </row>
    <row r="36" spans="1:42" ht="16" thickBot="1" x14ac:dyDescent="0.25">
      <c r="AI36" s="9"/>
      <c r="AJ36" s="7"/>
      <c r="AK36" s="7"/>
      <c r="AL36" s="7"/>
      <c r="AM36" s="9"/>
      <c r="AN36" s="7"/>
      <c r="AO36" s="7"/>
      <c r="AP36" s="7"/>
    </row>
    <row r="37" spans="1:42" ht="16" thickBot="1" x14ac:dyDescent="0.25">
      <c r="AI37" s="9"/>
      <c r="AJ37" s="7"/>
      <c r="AK37" s="7"/>
      <c r="AL37" s="7"/>
      <c r="AM37" s="9"/>
      <c r="AN37" s="7"/>
      <c r="AO37" s="7"/>
      <c r="AP37" s="7"/>
    </row>
    <row r="38" spans="1:42" ht="16" thickBot="1" x14ac:dyDescent="0.25">
      <c r="AI38" s="9"/>
      <c r="AJ38" s="7"/>
      <c r="AK38" s="7"/>
      <c r="AL38" s="7"/>
      <c r="AM38" s="9"/>
      <c r="AN38" s="7"/>
      <c r="AO38" s="7"/>
      <c r="AP38" s="7"/>
    </row>
    <row r="39" spans="1:42" ht="16" thickBot="1" x14ac:dyDescent="0.25">
      <c r="AI39" s="7"/>
      <c r="AJ39" s="7"/>
      <c r="AK39" s="7"/>
      <c r="AL39" s="7"/>
      <c r="AM39" s="9"/>
      <c r="AN39" s="7"/>
      <c r="AO39" s="7"/>
      <c r="AP39" s="7"/>
    </row>
    <row r="40" spans="1:42" ht="16" thickBot="1" x14ac:dyDescent="0.25">
      <c r="AI40" s="7"/>
      <c r="AJ40" s="7"/>
      <c r="AK40" s="7"/>
      <c r="AL40" s="7"/>
      <c r="AM40" s="9"/>
      <c r="AN40" s="7"/>
      <c r="AO40" s="7"/>
      <c r="AP40" s="7"/>
    </row>
    <row r="41" spans="1:42" ht="16" thickBot="1" x14ac:dyDescent="0.25">
      <c r="AI41" s="7"/>
      <c r="AJ41" s="7"/>
      <c r="AK41" s="7"/>
      <c r="AL41" s="7"/>
      <c r="AM41" s="9"/>
      <c r="AN41" s="7"/>
      <c r="AO41" s="7"/>
      <c r="AP41" s="7"/>
    </row>
    <row r="42" spans="1:42" ht="16" thickBot="1" x14ac:dyDescent="0.25">
      <c r="AI42" s="7"/>
      <c r="AJ42" s="7"/>
      <c r="AK42" s="7"/>
      <c r="AL42" s="7"/>
      <c r="AM42" s="9"/>
      <c r="AN42" s="7"/>
      <c r="AO42" s="7"/>
      <c r="AP42" s="7"/>
    </row>
    <row r="43" spans="1:42" ht="16" thickBot="1" x14ac:dyDescent="0.25">
      <c r="AI43" s="7"/>
      <c r="AJ43" s="7"/>
      <c r="AK43" s="7"/>
      <c r="AL43" s="7"/>
      <c r="AM43" s="9"/>
      <c r="AN43" s="7"/>
      <c r="AO43" s="7"/>
      <c r="AP43" s="7"/>
    </row>
    <row r="44" spans="1:42" ht="16" thickBot="1" x14ac:dyDescent="0.25">
      <c r="AI44" s="9"/>
      <c r="AJ44" s="7"/>
      <c r="AK44" s="7"/>
      <c r="AL44" s="7"/>
      <c r="AM44" s="9"/>
      <c r="AN44" s="7"/>
      <c r="AO44" s="7"/>
      <c r="AP44" s="7"/>
    </row>
    <row r="45" spans="1:42" ht="16" thickBot="1" x14ac:dyDescent="0.25">
      <c r="AI45" s="7"/>
      <c r="AJ45" s="7"/>
      <c r="AK45" s="7"/>
      <c r="AL45" s="7"/>
      <c r="AM45" s="9"/>
      <c r="AN45" s="7"/>
      <c r="AO45" s="7"/>
      <c r="AP45" s="7"/>
    </row>
    <row r="46" spans="1:42" ht="16" thickBot="1" x14ac:dyDescent="0.25">
      <c r="AI46" s="7"/>
      <c r="AJ46" s="7"/>
      <c r="AK46" s="7"/>
      <c r="AL46" s="7"/>
      <c r="AM46" s="9"/>
      <c r="AN46" s="7"/>
      <c r="AO46" s="7"/>
      <c r="AP46" s="7"/>
    </row>
    <row r="47" spans="1:42" ht="16" thickBot="1" x14ac:dyDescent="0.25">
      <c r="AI47" s="7"/>
      <c r="AJ47" s="7"/>
      <c r="AK47" s="7"/>
      <c r="AL47" s="7"/>
      <c r="AM47" s="9"/>
      <c r="AN47" s="7"/>
      <c r="AO47" s="7"/>
      <c r="AP47" s="7"/>
    </row>
    <row r="48" spans="1:42" ht="16" thickBot="1" x14ac:dyDescent="0.25">
      <c r="AI48" s="7"/>
      <c r="AJ48" s="7"/>
      <c r="AK48" s="7"/>
      <c r="AL48" s="7"/>
      <c r="AM48" s="9"/>
      <c r="AN48" s="7"/>
      <c r="AO48" s="7"/>
      <c r="AP48" s="7"/>
    </row>
    <row r="49" spans="35:42" ht="16" thickBot="1" x14ac:dyDescent="0.25">
      <c r="AI49" s="7"/>
      <c r="AJ49" s="7"/>
      <c r="AK49" s="7"/>
      <c r="AL49" s="7"/>
      <c r="AM49" s="9"/>
      <c r="AN49" s="7"/>
      <c r="AO49" s="7"/>
      <c r="AP49" s="7"/>
    </row>
    <row r="50" spans="35:42" ht="16" thickBot="1" x14ac:dyDescent="0.25">
      <c r="AI50" s="9"/>
      <c r="AJ50" s="7"/>
      <c r="AK50" s="7"/>
      <c r="AL50" s="7"/>
      <c r="AM50" s="9"/>
      <c r="AN50" s="7"/>
      <c r="AO50" s="7"/>
      <c r="AP50" s="7"/>
    </row>
    <row r="51" spans="35:42" ht="16" thickBot="1" x14ac:dyDescent="0.25">
      <c r="AI51" s="7"/>
      <c r="AJ51" s="7"/>
      <c r="AK51" s="7"/>
      <c r="AL51" s="7"/>
      <c r="AM51" s="9"/>
      <c r="AN51" s="7"/>
      <c r="AO51" s="7"/>
      <c r="AP51" s="7"/>
    </row>
    <row r="52" spans="35:42" ht="16" thickBot="1" x14ac:dyDescent="0.25">
      <c r="AI52" s="7"/>
      <c r="AJ52" s="7"/>
      <c r="AK52" s="7"/>
      <c r="AL52" s="7"/>
      <c r="AM52" s="9"/>
      <c r="AN52" s="7"/>
      <c r="AO52" s="7"/>
      <c r="AP52" s="7"/>
    </row>
    <row r="53" spans="35:42" ht="16" thickBot="1" x14ac:dyDescent="0.25">
      <c r="AI53" s="9"/>
      <c r="AJ53" s="7"/>
      <c r="AK53" s="7"/>
      <c r="AL53" s="7"/>
      <c r="AM53" s="9"/>
      <c r="AN53" s="7"/>
      <c r="AO53" s="7"/>
      <c r="AP53" s="7"/>
    </row>
    <row r="54" spans="35:42" ht="16" thickBot="1" x14ac:dyDescent="0.25">
      <c r="AI54" s="9"/>
      <c r="AJ54" s="7"/>
      <c r="AK54" s="7"/>
      <c r="AL54" s="7"/>
      <c r="AM54" s="9"/>
      <c r="AN54" s="7"/>
      <c r="AO54" s="7"/>
      <c r="AP54" s="7"/>
    </row>
    <row r="55" spans="35:42" ht="16" thickBot="1" x14ac:dyDescent="0.25">
      <c r="AI55" s="7"/>
      <c r="AJ55" s="7"/>
      <c r="AK55" s="7"/>
      <c r="AL55" s="7"/>
      <c r="AM55" s="9"/>
      <c r="AN55" s="7"/>
      <c r="AO55" s="7"/>
      <c r="AP55" s="7"/>
    </row>
    <row r="56" spans="35:42" ht="16" thickBot="1" x14ac:dyDescent="0.25">
      <c r="AI56" s="7"/>
      <c r="AJ56" s="7"/>
      <c r="AK56" s="7"/>
      <c r="AL56" s="7"/>
      <c r="AM56" s="9"/>
      <c r="AN56" s="7"/>
      <c r="AO56" s="7"/>
      <c r="AP56" s="7"/>
    </row>
    <row r="57" spans="35:42" ht="16" thickBot="1" x14ac:dyDescent="0.25">
      <c r="AI57" s="7"/>
      <c r="AJ57" s="7"/>
      <c r="AK57" s="7"/>
      <c r="AL57" s="7"/>
      <c r="AM57" s="9"/>
      <c r="AN57" s="7"/>
      <c r="AO57" s="7"/>
      <c r="AP57" s="7"/>
    </row>
    <row r="58" spans="35:42" ht="16" thickBot="1" x14ac:dyDescent="0.25">
      <c r="AI58" s="7"/>
      <c r="AJ58" s="7"/>
      <c r="AK58" s="7"/>
      <c r="AL58" s="7"/>
      <c r="AM58" s="9"/>
      <c r="AN58" s="7"/>
      <c r="AO58" s="7"/>
      <c r="AP58" s="7"/>
    </row>
    <row r="59" spans="35:42" ht="16" thickBot="1" x14ac:dyDescent="0.25">
      <c r="AI59" s="7"/>
      <c r="AJ59" s="7"/>
      <c r="AK59" s="7"/>
      <c r="AL59" s="7"/>
      <c r="AM59" s="9"/>
      <c r="AN59" s="7"/>
      <c r="AO59" s="7"/>
      <c r="AP59" s="7"/>
    </row>
    <row r="60" spans="35:42" ht="16" thickBot="1" x14ac:dyDescent="0.25">
      <c r="AI60" s="7"/>
      <c r="AJ60" s="7"/>
      <c r="AK60" s="7"/>
      <c r="AL60" s="7"/>
      <c r="AM60" s="9"/>
      <c r="AN60" s="7"/>
      <c r="AO60" s="7"/>
      <c r="AP60" s="7"/>
    </row>
    <row r="61" spans="35:42" ht="16" thickBot="1" x14ac:dyDescent="0.25">
      <c r="AI61" s="7"/>
      <c r="AJ61" s="7"/>
      <c r="AK61" s="7"/>
      <c r="AL61" s="7"/>
      <c r="AM61" s="9"/>
      <c r="AN61" s="7"/>
      <c r="AO61" s="7"/>
      <c r="AP61" s="7"/>
    </row>
    <row r="62" spans="35:42" ht="16" thickBot="1" x14ac:dyDescent="0.25">
      <c r="AI62" s="7"/>
      <c r="AJ62" s="7"/>
      <c r="AK62" s="7"/>
      <c r="AL62" s="7"/>
      <c r="AM62" s="9"/>
      <c r="AN62" s="7"/>
      <c r="AO62" s="7"/>
      <c r="AP62" s="7"/>
    </row>
    <row r="63" spans="35:42" ht="16" thickBot="1" x14ac:dyDescent="0.25">
      <c r="AI63" s="7"/>
      <c r="AJ63" s="7"/>
      <c r="AK63" s="7"/>
      <c r="AL63" s="7"/>
      <c r="AM63" s="9"/>
      <c r="AN63" s="7"/>
      <c r="AO63" s="7"/>
      <c r="AP63" s="7"/>
    </row>
    <row r="64" spans="35:42" ht="16" thickBot="1" x14ac:dyDescent="0.25">
      <c r="AI64" s="7"/>
      <c r="AJ64" s="7"/>
      <c r="AK64" s="7"/>
      <c r="AL64" s="7"/>
      <c r="AM64" s="9"/>
      <c r="AN64" s="7"/>
      <c r="AO64" s="7"/>
      <c r="AP64" s="7"/>
    </row>
    <row r="65" spans="35:42" ht="16" thickBot="1" x14ac:dyDescent="0.25">
      <c r="AI65" s="7"/>
      <c r="AJ65" s="7"/>
      <c r="AK65" s="7"/>
      <c r="AL65" s="7"/>
      <c r="AM65" s="9"/>
      <c r="AN65" s="7"/>
      <c r="AO65" s="7"/>
      <c r="AP65" s="7"/>
    </row>
    <row r="66" spans="35:42" ht="16" thickBot="1" x14ac:dyDescent="0.25">
      <c r="AI66" s="7"/>
      <c r="AJ66" s="7"/>
      <c r="AK66" s="7"/>
      <c r="AL66" s="7"/>
      <c r="AM66" s="9"/>
      <c r="AN66" s="7"/>
      <c r="AO66" s="7"/>
      <c r="AP66" s="7"/>
    </row>
    <row r="67" spans="35:42" ht="16" thickBot="1" x14ac:dyDescent="0.25">
      <c r="AI67" s="7"/>
      <c r="AJ67" s="7"/>
      <c r="AK67" s="7"/>
      <c r="AL67" s="7"/>
      <c r="AM67" s="9"/>
      <c r="AN67" s="7"/>
      <c r="AO67" s="7"/>
      <c r="AP67" s="7"/>
    </row>
    <row r="68" spans="35:42" ht="16" thickBot="1" x14ac:dyDescent="0.25">
      <c r="AI68" s="7"/>
      <c r="AJ68" s="7"/>
      <c r="AK68" s="7"/>
      <c r="AL68" s="7"/>
      <c r="AM68" s="9"/>
      <c r="AN68" s="7"/>
      <c r="AO68" s="7"/>
      <c r="AP68" s="7"/>
    </row>
    <row r="69" spans="35:42" ht="16" thickBot="1" x14ac:dyDescent="0.25">
      <c r="AI69" s="7"/>
      <c r="AJ69" s="7"/>
      <c r="AK69" s="7"/>
      <c r="AL69" s="7"/>
      <c r="AM69" s="9"/>
      <c r="AN69" s="7"/>
      <c r="AO69" s="7"/>
      <c r="AP69" s="7"/>
    </row>
    <row r="70" spans="35:42" ht="16" thickBot="1" x14ac:dyDescent="0.25">
      <c r="AI70" s="7"/>
      <c r="AJ70" s="7"/>
      <c r="AK70" s="7"/>
      <c r="AL70" s="7"/>
      <c r="AM70" s="9"/>
      <c r="AN70" s="7"/>
      <c r="AO70" s="7"/>
      <c r="AP70" s="7"/>
    </row>
    <row r="71" spans="35:42" ht="16" thickBot="1" x14ac:dyDescent="0.25">
      <c r="AI71" s="7"/>
      <c r="AJ71" s="7"/>
      <c r="AK71" s="7"/>
      <c r="AL71" s="7"/>
      <c r="AM71" s="9"/>
      <c r="AN71" s="7"/>
      <c r="AO71" s="7"/>
      <c r="AP71" s="7"/>
    </row>
    <row r="72" spans="35:42" ht="16" thickBot="1" x14ac:dyDescent="0.25">
      <c r="AI72" s="7"/>
      <c r="AJ72" s="7"/>
      <c r="AK72" s="7"/>
      <c r="AL72" s="7"/>
      <c r="AM72" s="9"/>
      <c r="AN72" s="7"/>
      <c r="AO72" s="7"/>
      <c r="AP72" s="7"/>
    </row>
    <row r="73" spans="35:42" ht="16" thickBot="1" x14ac:dyDescent="0.25">
      <c r="AI73" s="7"/>
      <c r="AJ73" s="7"/>
      <c r="AK73" s="7"/>
      <c r="AL73" s="7"/>
      <c r="AM73" s="9"/>
      <c r="AN73" s="7"/>
      <c r="AO73" s="7"/>
      <c r="AP73" s="7"/>
    </row>
    <row r="74" spans="35:42" ht="16" thickBot="1" x14ac:dyDescent="0.25">
      <c r="AI74" s="7"/>
      <c r="AJ74" s="7"/>
      <c r="AK74" s="7"/>
      <c r="AL74" s="7"/>
      <c r="AM74" s="9"/>
      <c r="AN74" s="7"/>
      <c r="AO74" s="7"/>
      <c r="AP74" s="7"/>
    </row>
    <row r="75" spans="35:42" ht="16" thickBot="1" x14ac:dyDescent="0.25">
      <c r="AI75" s="7"/>
      <c r="AJ75" s="7"/>
      <c r="AK75" s="7"/>
      <c r="AL75" s="7"/>
      <c r="AM75" s="9"/>
      <c r="AN75" s="7"/>
      <c r="AO75" s="7"/>
      <c r="AP75" s="7"/>
    </row>
    <row r="76" spans="35:42" ht="16" thickBot="1" x14ac:dyDescent="0.25">
      <c r="AI76" s="7"/>
      <c r="AJ76" s="7"/>
      <c r="AK76" s="7"/>
      <c r="AL76" s="7"/>
      <c r="AM76" s="9"/>
      <c r="AN76" s="7"/>
      <c r="AO76" s="7"/>
      <c r="AP76" s="7"/>
    </row>
    <row r="77" spans="35:42" ht="16" thickBot="1" x14ac:dyDescent="0.25">
      <c r="AI77" s="7"/>
      <c r="AJ77" s="7"/>
      <c r="AK77" s="7"/>
      <c r="AL77" s="7"/>
      <c r="AM77" s="9"/>
      <c r="AN77" s="7"/>
      <c r="AO77" s="7"/>
      <c r="AP77" s="7"/>
    </row>
    <row r="78" spans="35:42" ht="16" thickBot="1" x14ac:dyDescent="0.25">
      <c r="AI78" s="7"/>
      <c r="AJ78" s="7"/>
      <c r="AK78" s="7"/>
      <c r="AL78" s="7"/>
      <c r="AM78" s="9"/>
      <c r="AN78" s="7"/>
      <c r="AO78" s="7"/>
      <c r="AP78" s="7"/>
    </row>
    <row r="79" spans="35:42" ht="16" thickBot="1" x14ac:dyDescent="0.25">
      <c r="AI79" s="7"/>
      <c r="AJ79" s="7"/>
      <c r="AK79" s="7"/>
      <c r="AL79" s="7"/>
      <c r="AM79" s="9"/>
      <c r="AN79" s="7"/>
      <c r="AO79" s="7"/>
      <c r="AP79" s="7"/>
    </row>
    <row r="80" spans="35:42" ht="16" thickBot="1" x14ac:dyDescent="0.25">
      <c r="AI80" s="7"/>
      <c r="AJ80" s="7"/>
      <c r="AK80" s="7"/>
      <c r="AL80" s="7"/>
      <c r="AM80" s="9"/>
      <c r="AN80" s="7"/>
      <c r="AO80" s="7"/>
      <c r="AP80" s="7"/>
    </row>
    <row r="81" spans="35:42" ht="16" thickBot="1" x14ac:dyDescent="0.25">
      <c r="AI81" s="7"/>
      <c r="AJ81" s="7"/>
      <c r="AK81" s="7"/>
      <c r="AL81" s="7"/>
      <c r="AM81" s="9"/>
      <c r="AN81" s="7"/>
      <c r="AO81" s="7"/>
      <c r="AP81" s="7"/>
    </row>
    <row r="82" spans="35:42" ht="16" thickBot="1" x14ac:dyDescent="0.25">
      <c r="AI82" s="7"/>
      <c r="AJ82" s="7"/>
      <c r="AK82" s="7"/>
      <c r="AL82" s="7"/>
      <c r="AM82" s="9"/>
      <c r="AN82" s="7"/>
      <c r="AO82" s="7"/>
      <c r="AP82" s="7"/>
    </row>
    <row r="83" spans="35:42" ht="16" thickBot="1" x14ac:dyDescent="0.25">
      <c r="AI83" s="7"/>
      <c r="AJ83" s="7"/>
      <c r="AK83" s="7"/>
      <c r="AL83" s="7"/>
      <c r="AM83" s="9"/>
      <c r="AN83" s="7"/>
      <c r="AO83" s="7"/>
      <c r="AP83" s="7"/>
    </row>
    <row r="84" spans="35:42" ht="16" thickBot="1" x14ac:dyDescent="0.25">
      <c r="AI84" s="7"/>
      <c r="AJ84" s="7"/>
      <c r="AK84" s="7"/>
      <c r="AL84" s="7"/>
      <c r="AM84" s="9"/>
      <c r="AN84" s="7"/>
      <c r="AO84" s="7"/>
      <c r="AP84" s="7"/>
    </row>
    <row r="85" spans="35:42" ht="16" thickBot="1" x14ac:dyDescent="0.25">
      <c r="AI85" s="7"/>
      <c r="AJ85" s="7"/>
      <c r="AK85" s="7"/>
      <c r="AL85" s="7"/>
      <c r="AM85" s="9"/>
      <c r="AN85" s="7"/>
      <c r="AO85" s="7"/>
      <c r="AP85" s="7"/>
    </row>
    <row r="86" spans="35:42" ht="16" thickBot="1" x14ac:dyDescent="0.25">
      <c r="AI86" s="7"/>
      <c r="AJ86" s="7"/>
      <c r="AK86" s="7"/>
      <c r="AL86" s="7"/>
      <c r="AM86" s="9"/>
      <c r="AN86" s="7"/>
      <c r="AO86" s="7"/>
      <c r="AP86" s="7"/>
    </row>
    <row r="87" spans="35:42" ht="16" thickBot="1" x14ac:dyDescent="0.25">
      <c r="AI87" s="7"/>
      <c r="AJ87" s="7"/>
      <c r="AK87" s="7"/>
      <c r="AL87" s="7"/>
      <c r="AM87" s="9"/>
      <c r="AN87" s="7"/>
      <c r="AO87" s="7"/>
      <c r="AP87" s="7"/>
    </row>
    <row r="88" spans="35:42" ht="16" thickBot="1" x14ac:dyDescent="0.25">
      <c r="AI88" s="7"/>
      <c r="AJ88" s="7"/>
      <c r="AK88" s="7"/>
      <c r="AL88" s="7"/>
      <c r="AM88" s="9"/>
      <c r="AN88" s="7"/>
      <c r="AO88" s="7"/>
      <c r="AP88" s="7"/>
    </row>
    <row r="89" spans="35:42" ht="16" thickBot="1" x14ac:dyDescent="0.25">
      <c r="AI89" s="7"/>
      <c r="AJ89" s="7"/>
      <c r="AK89" s="7"/>
      <c r="AL89" s="7"/>
      <c r="AM89" s="9"/>
      <c r="AN89" s="7"/>
      <c r="AO89" s="7"/>
      <c r="AP89" s="7"/>
    </row>
    <row r="90" spans="35:42" ht="16" thickBot="1" x14ac:dyDescent="0.25">
      <c r="AI90" s="7"/>
      <c r="AJ90" s="7"/>
      <c r="AK90" s="7"/>
      <c r="AL90" s="7"/>
      <c r="AM90" s="9"/>
      <c r="AN90" s="7"/>
      <c r="AO90" s="7"/>
      <c r="AP90" s="7"/>
    </row>
    <row r="91" spans="35:42" ht="16" thickBot="1" x14ac:dyDescent="0.25">
      <c r="AI91" s="7"/>
      <c r="AJ91" s="7"/>
      <c r="AK91" s="7"/>
      <c r="AL91" s="7"/>
      <c r="AM91" s="9"/>
      <c r="AN91" s="7"/>
      <c r="AO91" s="7"/>
      <c r="AP91" s="7"/>
    </row>
    <row r="92" spans="35:42" ht="16" thickBot="1" x14ac:dyDescent="0.25">
      <c r="AI92" s="7"/>
      <c r="AJ92" s="7"/>
      <c r="AK92" s="7"/>
      <c r="AL92" s="7"/>
      <c r="AM92" s="9"/>
      <c r="AN92" s="7"/>
      <c r="AO92" s="7"/>
      <c r="AP92" s="7"/>
    </row>
    <row r="93" spans="35:42" ht="16" thickBot="1" x14ac:dyDescent="0.25">
      <c r="AI93" s="7"/>
      <c r="AJ93" s="7"/>
      <c r="AK93" s="7"/>
      <c r="AL93" s="7"/>
      <c r="AM93" s="9"/>
      <c r="AN93" s="7"/>
      <c r="AO93" s="7"/>
      <c r="AP93" s="7"/>
    </row>
    <row r="94" spans="35:42" ht="16" thickBot="1" x14ac:dyDescent="0.25">
      <c r="AI94" s="7"/>
      <c r="AJ94" s="7"/>
      <c r="AK94" s="7"/>
      <c r="AL94" s="7"/>
      <c r="AM94" s="9"/>
      <c r="AN94" s="7"/>
      <c r="AO94" s="7"/>
      <c r="AP94" s="7"/>
    </row>
    <row r="95" spans="35:42" ht="16" thickBot="1" x14ac:dyDescent="0.25">
      <c r="AI95" s="7"/>
      <c r="AJ95" s="7"/>
      <c r="AK95" s="7"/>
      <c r="AL95" s="7"/>
      <c r="AM95" s="9"/>
      <c r="AN95" s="7"/>
      <c r="AO95" s="7"/>
      <c r="AP95" s="7"/>
    </row>
    <row r="96" spans="35:42" ht="16" thickBot="1" x14ac:dyDescent="0.25">
      <c r="AI96" s="7"/>
      <c r="AJ96" s="7"/>
      <c r="AK96" s="7"/>
      <c r="AL96" s="7"/>
      <c r="AM96" s="9"/>
      <c r="AN96" s="7"/>
      <c r="AO96" s="7"/>
      <c r="AP96" s="7"/>
    </row>
    <row r="97" spans="35:42" ht="16" thickBot="1" x14ac:dyDescent="0.25">
      <c r="AI97" s="7"/>
      <c r="AJ97" s="7"/>
      <c r="AK97" s="7"/>
      <c r="AL97" s="7"/>
      <c r="AM97" s="9"/>
      <c r="AN97" s="7"/>
      <c r="AO97" s="7"/>
      <c r="AP97" s="7"/>
    </row>
    <row r="98" spans="35:42" ht="16" thickBot="1" x14ac:dyDescent="0.25">
      <c r="AI98" s="7"/>
      <c r="AJ98" s="7"/>
      <c r="AK98" s="7"/>
      <c r="AL98" s="7"/>
      <c r="AM98" s="9"/>
      <c r="AN98" s="7"/>
      <c r="AO98" s="7"/>
      <c r="AP98" s="7"/>
    </row>
    <row r="99" spans="35:42" ht="16" thickBot="1" x14ac:dyDescent="0.25">
      <c r="AI99" s="7"/>
      <c r="AJ99" s="7"/>
      <c r="AK99" s="7"/>
      <c r="AL99" s="7"/>
      <c r="AM99" s="9"/>
      <c r="AN99" s="7"/>
      <c r="AO99" s="7"/>
      <c r="AP99" s="7"/>
    </row>
    <row r="100" spans="35:42" ht="16" thickBot="1" x14ac:dyDescent="0.25">
      <c r="AI100" s="7"/>
      <c r="AJ100" s="7"/>
      <c r="AK100" s="7"/>
      <c r="AL100" s="7"/>
      <c r="AM100" s="9"/>
      <c r="AN100" s="7"/>
      <c r="AO100" s="7"/>
      <c r="AP100" s="7"/>
    </row>
    <row r="101" spans="35:42" ht="16" thickBot="1" x14ac:dyDescent="0.25">
      <c r="AI101" s="7"/>
      <c r="AJ101" s="7"/>
      <c r="AK101" s="7"/>
      <c r="AL101" s="7"/>
      <c r="AM101" s="9"/>
      <c r="AN101" s="7"/>
      <c r="AO101" s="7"/>
      <c r="AP101" s="7"/>
    </row>
    <row r="102" spans="35:42" ht="16" thickBot="1" x14ac:dyDescent="0.25">
      <c r="AI102" s="7"/>
      <c r="AJ102" s="7"/>
      <c r="AK102" s="7"/>
      <c r="AL102" s="7"/>
      <c r="AM102" s="7"/>
      <c r="AN102" s="7"/>
      <c r="AO102" s="7"/>
      <c r="AP102" s="7"/>
    </row>
    <row r="103" spans="35:42" ht="16" thickBot="1" x14ac:dyDescent="0.25">
      <c r="AI103" s="7"/>
      <c r="AJ103" s="7"/>
      <c r="AK103" s="7"/>
      <c r="AL103" s="7"/>
      <c r="AM103" s="9"/>
      <c r="AN103" s="7"/>
      <c r="AO103" s="7"/>
      <c r="AP103" s="7"/>
    </row>
    <row r="104" spans="35:42" ht="16" thickBot="1" x14ac:dyDescent="0.25">
      <c r="AI104" s="7"/>
      <c r="AJ104" s="7"/>
      <c r="AK104" s="7"/>
      <c r="AL104" s="7"/>
      <c r="AM104" s="9"/>
      <c r="AN104" s="7"/>
      <c r="AO104" s="7"/>
      <c r="AP104" s="7"/>
    </row>
    <row r="105" spans="35:42" ht="16" thickBot="1" x14ac:dyDescent="0.25">
      <c r="AI105" s="7"/>
      <c r="AJ105" s="7"/>
      <c r="AK105" s="7"/>
      <c r="AL105" s="7"/>
      <c r="AM105" s="7"/>
      <c r="AN105" s="9"/>
      <c r="AO105" s="7"/>
      <c r="AP105" s="7"/>
    </row>
  </sheetData>
  <autoFilter ref="A4:AP34" xr:uid="{555C1FFD-11AC-0C4B-BFE4-AB5D536A62D2}"/>
  <mergeCells count="5">
    <mergeCell ref="A1:F2"/>
    <mergeCell ref="G1:W1"/>
    <mergeCell ref="O2:W2"/>
    <mergeCell ref="G2:N2"/>
    <mergeCell ref="Y1:AF2"/>
  </mergeCells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 CCC-Rened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Salasan</dc:creator>
  <cp:lastModifiedBy>Roger Eritja</cp:lastModifiedBy>
  <cp:lastPrinted>2019-07-01T05:18:14Z</cp:lastPrinted>
  <dcterms:created xsi:type="dcterms:W3CDTF">2017-07-05T08:25:30Z</dcterms:created>
  <dcterms:modified xsi:type="dcterms:W3CDTF">2023-03-28T16:24:56Z</dcterms:modified>
</cp:coreProperties>
</file>