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Volumes/RERITJA03/Datos_BG/"/>
    </mc:Choice>
  </mc:AlternateContent>
  <xr:revisionPtr revIDLastSave="0" documentId="13_ncr:1_{CC2823F4-5D91-9941-BCFB-7C7C25CA679C}" xr6:coauthVersionLast="36" xr6:coauthVersionMax="47" xr10:uidLastSave="{00000000-0000-0000-0000-000000000000}"/>
  <bookViews>
    <workbookView xWindow="0" yWindow="460" windowWidth="28800" windowHeight="15720" tabRatio="500" xr2:uid="{00000000-000D-0000-FFFF-FFFF00000000}"/>
  </bookViews>
  <sheets>
    <sheet name="Hoja de datos CCC-Re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4" i="1" l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O44" i="1"/>
  <c r="O43" i="1"/>
  <c r="O40" i="1"/>
  <c r="O39" i="1"/>
  <c r="O35" i="1"/>
  <c r="O33" i="1"/>
  <c r="O31" i="1"/>
  <c r="O30" i="1"/>
  <c r="O28" i="1"/>
  <c r="O26" i="1"/>
  <c r="O24" i="1"/>
  <c r="X21" i="1"/>
  <c r="O21" i="1"/>
  <c r="O17" i="1"/>
  <c r="O16" i="1"/>
  <c r="O15" i="1"/>
  <c r="O14" i="1"/>
  <c r="O5" i="1"/>
  <c r="AA12" i="1"/>
  <c r="AA8" i="1"/>
  <c r="X11" i="1"/>
  <c r="X12" i="1"/>
  <c r="X13" i="1"/>
  <c r="O13" i="1"/>
  <c r="O12" i="1"/>
  <c r="O11" i="1"/>
  <c r="O10" i="1"/>
  <c r="O9" i="1"/>
  <c r="O8" i="1"/>
  <c r="X7" i="1"/>
  <c r="O7" i="1"/>
  <c r="X6" i="1"/>
  <c r="O6" i="1"/>
  <c r="X14" i="1"/>
  <c r="X15" i="1"/>
  <c r="X16" i="1"/>
  <c r="AA16" i="1"/>
  <c r="X17" i="1"/>
  <c r="AA17" i="1"/>
  <c r="O18" i="1"/>
  <c r="X18" i="1"/>
  <c r="O19" i="1"/>
  <c r="X19" i="1"/>
  <c r="O20" i="1"/>
  <c r="X20" i="1"/>
  <c r="O22" i="1"/>
  <c r="X22" i="1"/>
  <c r="O23" i="1"/>
  <c r="X23" i="1"/>
  <c r="O25" i="1"/>
  <c r="O27" i="1"/>
  <c r="O29" i="1"/>
  <c r="O32" i="1"/>
  <c r="O34" i="1"/>
  <c r="O36" i="1"/>
  <c r="O37" i="1"/>
  <c r="O38" i="1"/>
  <c r="O41" i="1"/>
  <c r="O42" i="1"/>
  <c r="O45" i="1"/>
  <c r="AA45" i="1"/>
  <c r="X5" i="1"/>
</calcChain>
</file>

<file path=xl/sharedStrings.xml><?xml version="1.0" encoding="utf-8"?>
<sst xmlns="http://schemas.openxmlformats.org/spreadsheetml/2006/main" count="519" uniqueCount="73">
  <si>
    <t>Latitude</t>
  </si>
  <si>
    <t>Longitude</t>
  </si>
  <si>
    <t>Altitude</t>
  </si>
  <si>
    <t>Adult</t>
  </si>
  <si>
    <t>Place (e.g. town, village)</t>
  </si>
  <si>
    <t>End date</t>
  </si>
  <si>
    <t>Start date</t>
  </si>
  <si>
    <t>Admin. unit (e.g. District NUTS3)</t>
  </si>
  <si>
    <t>Country</t>
  </si>
  <si>
    <t>Mosquito species</t>
  </si>
  <si>
    <t>Aedes albopictus</t>
  </si>
  <si>
    <t>Total number of  eggs on tongue depressor</t>
  </si>
  <si>
    <t>TO BE COMPLEATED IN THE FIELD</t>
  </si>
  <si>
    <t>Start time</t>
  </si>
  <si>
    <t>End time</t>
  </si>
  <si>
    <t>Average temperature start date (only for BGS+CO2) [°C]</t>
  </si>
  <si>
    <t>Average temperature end date (only for BGS+CO2) [°C]</t>
  </si>
  <si>
    <t>Trapping effort</t>
  </si>
  <si>
    <t>Number per species  [EGGS: Total no. E x No. specimens hatched-analysed (subsample) / total no. hatched-analysed individuals]</t>
  </si>
  <si>
    <t>Morphological</t>
  </si>
  <si>
    <t>Location Name</t>
  </si>
  <si>
    <t>postal code</t>
  </si>
  <si>
    <t>Number females (optional)</t>
  </si>
  <si>
    <t>number of males (optional)</t>
  </si>
  <si>
    <t>Comment trap</t>
  </si>
  <si>
    <t>Comment sample</t>
  </si>
  <si>
    <t>trap ID [E (ovitraps) or A (BGS traps)  + location name + numbering]</t>
  </si>
  <si>
    <t>Sample name [trapID + startdatesample (YYMMDD)]</t>
  </si>
  <si>
    <t>Life_Stage identified (options= Adult, Larva or Egg)</t>
  </si>
  <si>
    <t>Identification method (options= Morphological, Maldi-TOF or PCR)</t>
  </si>
  <si>
    <t>if Other, specify land use:</t>
  </si>
  <si>
    <t>Trap type (options= 'Ovitrap', 'BG sentinel + BG lure7' or 'BG sentinel + BG lure7 + CO2')</t>
  </si>
  <si>
    <t>Land use (options= 'Urban habitat', 'Suburban habitat' or 'Other')</t>
  </si>
  <si>
    <t>trap status (e.g. 'Good', 'Battery out', 'Oviposition support missing', 'Trap broken', 'Trap missing', 'No water in the trap')</t>
  </si>
  <si>
    <t>Example</t>
  </si>
  <si>
    <t>EVERY FIELD TRIP - information about the sample</t>
  </si>
  <si>
    <t>THE FIRST FIELD TRIP - information about the trap</t>
  </si>
  <si>
    <t>TO BE COMPLETED BEFORE THE FIELD TRIP - information about the location</t>
  </si>
  <si>
    <t>Urban habitat</t>
  </si>
  <si>
    <t>TO BE COMPLETED IN THE LAB</t>
  </si>
  <si>
    <t>Good</t>
  </si>
  <si>
    <t>Location name</t>
  </si>
  <si>
    <t>country</t>
  </si>
  <si>
    <t>province</t>
  </si>
  <si>
    <t>city</t>
  </si>
  <si>
    <t>trap name</t>
  </si>
  <si>
    <t>Trap type</t>
  </si>
  <si>
    <t>Land use</t>
  </si>
  <si>
    <t>land use specify</t>
  </si>
  <si>
    <t>comment trap</t>
  </si>
  <si>
    <t>sampling name</t>
  </si>
  <si>
    <t>AvgTstart</t>
  </si>
  <si>
    <t>AvgTend</t>
  </si>
  <si>
    <t>trap status</t>
  </si>
  <si>
    <t>comment sampling</t>
  </si>
  <si>
    <t>trapping effort</t>
  </si>
  <si>
    <t>totaleggs</t>
  </si>
  <si>
    <t>species</t>
  </si>
  <si>
    <t>nrperspecies</t>
  </si>
  <si>
    <t>lifestage</t>
  </si>
  <si>
    <t>Females</t>
  </si>
  <si>
    <t>Males</t>
  </si>
  <si>
    <t>Idmethod</t>
  </si>
  <si>
    <t>Data validity (1- Invalidates data; 2 - Reduces data quality; 3 - Add info or interesting observations to interprete results; 4 - no comment)</t>
  </si>
  <si>
    <t>Data validity</t>
  </si>
  <si>
    <t>Spain</t>
  </si>
  <si>
    <t>BG sentinel + BG lure7</t>
  </si>
  <si>
    <t>Culex pipiens</t>
  </si>
  <si>
    <t>Culiseta longiareolata</t>
  </si>
  <si>
    <t>Paterna</t>
  </si>
  <si>
    <t>Valencia</t>
  </si>
  <si>
    <t>A_Pt_VLC_1</t>
  </si>
  <si>
    <t>Pt_VLC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</si>
</sst>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241A]dd/mm/yyyy;@"/>
    <numFmt numFmtId="165" formatCode="0.000000"/>
    <numFmt numFmtId="166" formatCode="yyyy\-mm\-dd;@"/>
    <numFmt numFmtId="167" formatCode="00000"/>
    <numFmt numFmtId="168" formatCode="hh:mm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6" fillId="0" borderId="0"/>
    <xf numFmtId="0" fontId="1" fillId="2" borderId="1" applyNumberFormat="0" applyAlignment="0" applyProtection="0"/>
  </cellStyleXfs>
  <cellXfs count="49">
    <xf numFmtId="0" fontId="0" fillId="0" borderId="0" xfId="0"/>
    <xf numFmtId="0" fontId="2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2" xfId="2" applyFont="1" applyBorder="1" applyAlignment="1">
      <alignment horizontal="center" vertical="center" wrapText="1"/>
    </xf>
    <xf numFmtId="0" fontId="7" fillId="0" borderId="0" xfId="0" quotePrefix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4" borderId="0" xfId="0" quotePrefix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167" fontId="7" fillId="3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 vertical="center"/>
    </xf>
    <xf numFmtId="20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/>
    <xf numFmtId="0" fontId="4" fillId="3" borderId="0" xfId="0" applyFont="1" applyFill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4">
    <cellStyle name="Celda de comprobación" xfId="1" builtinId="23"/>
    <cellStyle name="Celda de comprobación 2" xfId="3" xr:uid="{B4B0CA4C-365E-4CA2-8685-F877241752B8}"/>
    <cellStyle name="Normal" xfId="0" builtinId="0"/>
    <cellStyle name="Normal 2" xfId="2" xr:uid="{095D6084-92E8-43E2-AAE6-81BB8BA28CAD}"/>
  </cellStyles>
  <dxfs count="0"/>
  <tableStyles count="0" defaultTableStyle="TableStyleMedium9" defaultPivotStyle="PivotStyleMedium7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2"/>
  <sheetViews>
    <sheetView tabSelected="1" topLeftCell="N1" zoomScale="125" zoomScaleNormal="125" workbookViewId="0">
      <selection activeCell="U47" sqref="U47"/>
    </sheetView>
  </sheetViews>
  <sheetFormatPr baseColWidth="10" defaultColWidth="8.83203125" defaultRowHeight="15" x14ac:dyDescent="0.2"/>
  <cols>
    <col min="2" max="2" width="14.33203125" bestFit="1" customWidth="1"/>
    <col min="3" max="3" width="8.1640625" style="3" customWidth="1"/>
    <col min="4" max="5" width="11.6640625" style="3" customWidth="1"/>
    <col min="6" max="6" width="11.6640625" style="16" customWidth="1"/>
    <col min="7" max="10" width="13.5" style="3" customWidth="1"/>
    <col min="11" max="11" width="20.5" style="3" customWidth="1"/>
    <col min="12" max="12" width="14.6640625" style="3" customWidth="1"/>
    <col min="13" max="13" width="10" style="3" customWidth="1"/>
    <col min="14" max="14" width="10.5" style="3" customWidth="1"/>
    <col min="15" max="15" width="20.5" style="3" customWidth="1"/>
    <col min="16" max="16" width="14.5" style="11" customWidth="1"/>
    <col min="17" max="17" width="10.33203125" style="3" customWidth="1"/>
    <col min="18" max="18" width="13.5" style="3" customWidth="1"/>
    <col min="19" max="19" width="13.5" style="11" customWidth="1"/>
    <col min="20" max="20" width="10.5" style="3" customWidth="1"/>
    <col min="21" max="21" width="14.33203125" style="3" customWidth="1"/>
    <col min="22" max="22" width="18.1640625" style="3" customWidth="1"/>
    <col min="23" max="24" width="12.33203125" style="3" customWidth="1"/>
    <col min="25" max="25" width="14.33203125" style="3" customWidth="1"/>
    <col min="26" max="26" width="20.1640625" style="3" customWidth="1"/>
    <col min="27" max="27" width="27.1640625" style="3" customWidth="1"/>
    <col min="28" max="29" width="11.1640625" style="3" customWidth="1"/>
    <col min="30" max="30" width="10.83203125" style="3" customWidth="1"/>
    <col min="31" max="31" width="13.5" style="3" customWidth="1"/>
    <col min="32" max="32" width="15.83203125" customWidth="1"/>
  </cols>
  <sheetData>
    <row r="1" spans="1:32" ht="14.5" customHeight="1" x14ac:dyDescent="0.2">
      <c r="A1" s="35" t="s">
        <v>37</v>
      </c>
      <c r="B1" s="35"/>
      <c r="C1" s="35"/>
      <c r="D1" s="35"/>
      <c r="E1" s="35"/>
      <c r="F1" s="35"/>
      <c r="G1" s="37" t="s">
        <v>12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  <c r="X1" s="12"/>
      <c r="Y1" s="43" t="s">
        <v>39</v>
      </c>
      <c r="Z1" s="44"/>
      <c r="AA1" s="44"/>
      <c r="AB1" s="44"/>
      <c r="AC1" s="44"/>
      <c r="AD1" s="44"/>
      <c r="AE1" s="44"/>
      <c r="AF1" s="45"/>
    </row>
    <row r="2" spans="1:32" ht="24" customHeight="1" x14ac:dyDescent="0.2">
      <c r="A2" s="36"/>
      <c r="B2" s="36"/>
      <c r="C2" s="36"/>
      <c r="D2" s="36"/>
      <c r="E2" s="36"/>
      <c r="F2" s="36"/>
      <c r="G2" s="40" t="s">
        <v>36</v>
      </c>
      <c r="H2" s="41"/>
      <c r="I2" s="41"/>
      <c r="J2" s="41"/>
      <c r="K2" s="41"/>
      <c r="L2" s="41"/>
      <c r="M2" s="41"/>
      <c r="N2" s="42"/>
      <c r="O2" s="37" t="s">
        <v>35</v>
      </c>
      <c r="P2" s="38"/>
      <c r="Q2" s="38"/>
      <c r="R2" s="38"/>
      <c r="S2" s="38"/>
      <c r="T2" s="38"/>
      <c r="U2" s="38"/>
      <c r="V2" s="38"/>
      <c r="W2" s="39"/>
      <c r="X2" s="13"/>
      <c r="Y2" s="46"/>
      <c r="Z2" s="47"/>
      <c r="AA2" s="47"/>
      <c r="AB2" s="47"/>
      <c r="AC2" s="47"/>
      <c r="AD2" s="47"/>
      <c r="AE2" s="47"/>
      <c r="AF2" s="48"/>
    </row>
    <row r="3" spans="1:32" ht="153.75" customHeight="1" x14ac:dyDescent="0.2">
      <c r="A3" s="8" t="s">
        <v>34</v>
      </c>
      <c r="B3" s="4" t="s">
        <v>20</v>
      </c>
      <c r="C3" s="8" t="s">
        <v>8</v>
      </c>
      <c r="D3" s="4" t="s">
        <v>7</v>
      </c>
      <c r="E3" s="4" t="s">
        <v>4</v>
      </c>
      <c r="F3" s="9" t="s">
        <v>21</v>
      </c>
      <c r="G3" s="6" t="s">
        <v>26</v>
      </c>
      <c r="H3" s="6" t="s">
        <v>0</v>
      </c>
      <c r="I3" s="6" t="s">
        <v>1</v>
      </c>
      <c r="J3" s="5" t="s">
        <v>2</v>
      </c>
      <c r="K3" s="6" t="s">
        <v>31</v>
      </c>
      <c r="L3" s="5" t="s">
        <v>32</v>
      </c>
      <c r="M3" s="6" t="s">
        <v>30</v>
      </c>
      <c r="N3" s="5" t="s">
        <v>24</v>
      </c>
      <c r="O3" s="6" t="s">
        <v>27</v>
      </c>
      <c r="P3" s="10" t="s">
        <v>6</v>
      </c>
      <c r="Q3" s="7" t="s">
        <v>13</v>
      </c>
      <c r="R3" s="7" t="s">
        <v>15</v>
      </c>
      <c r="S3" s="10" t="s">
        <v>5</v>
      </c>
      <c r="T3" s="7" t="s">
        <v>14</v>
      </c>
      <c r="U3" s="7" t="s">
        <v>16</v>
      </c>
      <c r="V3" s="7" t="s">
        <v>33</v>
      </c>
      <c r="W3" s="7" t="s">
        <v>25</v>
      </c>
      <c r="X3" s="7" t="s">
        <v>17</v>
      </c>
      <c r="Y3" s="2" t="s">
        <v>11</v>
      </c>
      <c r="Z3" s="1" t="s">
        <v>9</v>
      </c>
      <c r="AA3" s="2" t="s">
        <v>18</v>
      </c>
      <c r="AB3" s="2" t="s">
        <v>28</v>
      </c>
      <c r="AC3" s="2" t="s">
        <v>22</v>
      </c>
      <c r="AD3" s="2" t="s">
        <v>23</v>
      </c>
      <c r="AE3" s="2" t="s">
        <v>29</v>
      </c>
      <c r="AF3" s="14" t="s">
        <v>63</v>
      </c>
    </row>
    <row r="4" spans="1:32" ht="32" x14ac:dyDescent="0.2">
      <c r="A4" s="8"/>
      <c r="B4" s="4" t="s">
        <v>41</v>
      </c>
      <c r="C4" s="8" t="s">
        <v>42</v>
      </c>
      <c r="D4" s="4" t="s">
        <v>43</v>
      </c>
      <c r="E4" s="4" t="s">
        <v>44</v>
      </c>
      <c r="F4" s="9" t="s">
        <v>21</v>
      </c>
      <c r="G4" s="6" t="s">
        <v>45</v>
      </c>
      <c r="H4" s="6" t="s">
        <v>0</v>
      </c>
      <c r="I4" s="6" t="s">
        <v>1</v>
      </c>
      <c r="J4" s="5" t="s">
        <v>2</v>
      </c>
      <c r="K4" s="6" t="s">
        <v>46</v>
      </c>
      <c r="L4" s="5" t="s">
        <v>47</v>
      </c>
      <c r="M4" s="6" t="s">
        <v>48</v>
      </c>
      <c r="N4" s="5" t="s">
        <v>49</v>
      </c>
      <c r="O4" s="6" t="s">
        <v>50</v>
      </c>
      <c r="P4" s="10" t="s">
        <v>6</v>
      </c>
      <c r="Q4" s="7" t="s">
        <v>13</v>
      </c>
      <c r="R4" s="7" t="s">
        <v>51</v>
      </c>
      <c r="S4" s="10" t="s">
        <v>5</v>
      </c>
      <c r="T4" s="7" t="s">
        <v>14</v>
      </c>
      <c r="U4" s="7" t="s">
        <v>52</v>
      </c>
      <c r="V4" s="7" t="s">
        <v>53</v>
      </c>
      <c r="W4" s="7" t="s">
        <v>54</v>
      </c>
      <c r="X4" s="7" t="s">
        <v>55</v>
      </c>
      <c r="Y4" s="2" t="s">
        <v>56</v>
      </c>
      <c r="Z4" s="1" t="s">
        <v>57</v>
      </c>
      <c r="AA4" s="2" t="s">
        <v>58</v>
      </c>
      <c r="AB4" s="2" t="s">
        <v>59</v>
      </c>
      <c r="AC4" s="2" t="s">
        <v>60</v>
      </c>
      <c r="AD4" s="2" t="s">
        <v>61</v>
      </c>
      <c r="AE4" s="2" t="s">
        <v>62</v>
      </c>
      <c r="AF4" s="2" t="s">
        <v>64</v>
      </c>
    </row>
    <row r="5" spans="1:32" s="34" customFormat="1" x14ac:dyDescent="0.2">
      <c r="A5" s="25">
        <v>1</v>
      </c>
      <c r="B5" s="25" t="s">
        <v>72</v>
      </c>
      <c r="C5" s="25" t="s">
        <v>65</v>
      </c>
      <c r="D5" s="25" t="s">
        <v>70</v>
      </c>
      <c r="E5" s="25" t="s">
        <v>69</v>
      </c>
      <c r="F5" s="26">
        <v>46980</v>
      </c>
      <c r="G5" s="25" t="s">
        <v>71</v>
      </c>
      <c r="H5" s="27">
        <v>39.505189999999999</v>
      </c>
      <c r="I5" s="27">
        <v>-0.441577</v>
      </c>
      <c r="J5" s="25">
        <v>67</v>
      </c>
      <c r="K5" s="25" t="s">
        <v>66</v>
      </c>
      <c r="L5" s="25" t="s">
        <v>38</v>
      </c>
      <c r="M5" s="25"/>
      <c r="N5" s="25"/>
      <c r="O5" s="28" t="str">
        <f>G5&amp;"_"&amp;TEXT(P5,"AAMMDD")</f>
        <v>A_Pt_VLC_1_220721</v>
      </c>
      <c r="P5" s="29">
        <v>44763</v>
      </c>
      <c r="Q5" s="30">
        <v>0.75</v>
      </c>
      <c r="R5" s="28"/>
      <c r="S5" s="31">
        <v>44770</v>
      </c>
      <c r="T5" s="32">
        <v>0.70833333333333337</v>
      </c>
      <c r="U5" s="25"/>
      <c r="V5" s="25" t="s">
        <v>40</v>
      </c>
      <c r="W5" s="33"/>
      <c r="X5" s="25">
        <f t="shared" ref="X5:X45" si="0">S5-P5</f>
        <v>7</v>
      </c>
      <c r="Y5" s="25"/>
      <c r="Z5" s="25" t="s">
        <v>10</v>
      </c>
      <c r="AA5" s="25">
        <v>87</v>
      </c>
      <c r="AB5" s="25" t="s">
        <v>3</v>
      </c>
      <c r="AC5" s="25">
        <v>57</v>
      </c>
      <c r="AD5" s="25">
        <v>30</v>
      </c>
      <c r="AE5" s="25" t="s">
        <v>19</v>
      </c>
      <c r="AF5" s="34">
        <v>4</v>
      </c>
    </row>
    <row r="6" spans="1:32" s="34" customFormat="1" x14ac:dyDescent="0.2">
      <c r="A6" s="25">
        <v>2</v>
      </c>
      <c r="B6" s="25" t="s">
        <v>72</v>
      </c>
      <c r="C6" s="25" t="s">
        <v>65</v>
      </c>
      <c r="D6" s="25" t="s">
        <v>70</v>
      </c>
      <c r="E6" s="25" t="s">
        <v>69</v>
      </c>
      <c r="F6" s="26">
        <v>46980</v>
      </c>
      <c r="G6" s="25" t="s">
        <v>71</v>
      </c>
      <c r="H6" s="27">
        <v>39.505189999999999</v>
      </c>
      <c r="I6" s="27">
        <v>-0.441577</v>
      </c>
      <c r="J6" s="25">
        <v>67</v>
      </c>
      <c r="K6" s="25" t="s">
        <v>66</v>
      </c>
      <c r="L6" s="25" t="s">
        <v>38</v>
      </c>
      <c r="M6" s="25"/>
      <c r="N6" s="25"/>
      <c r="O6" s="28" t="str">
        <f>G6&amp;"_"&amp;TEXT(P6,"AAMMDD")</f>
        <v>A_Pt_VLC_1_220721</v>
      </c>
      <c r="P6" s="29">
        <v>44763</v>
      </c>
      <c r="Q6" s="30">
        <v>0.75</v>
      </c>
      <c r="R6" s="28"/>
      <c r="S6" s="31">
        <v>44770</v>
      </c>
      <c r="T6" s="32">
        <v>0.70833333333333337</v>
      </c>
      <c r="U6" s="25"/>
      <c r="V6" s="25" t="s">
        <v>40</v>
      </c>
      <c r="W6" s="33"/>
      <c r="X6" s="25">
        <f t="shared" ref="X6:X13" si="1">S6-P6</f>
        <v>7</v>
      </c>
      <c r="Y6" s="25"/>
      <c r="Z6" s="25" t="s">
        <v>68</v>
      </c>
      <c r="AA6" s="25">
        <v>1</v>
      </c>
      <c r="AB6" s="25" t="s">
        <v>3</v>
      </c>
      <c r="AC6" s="25">
        <v>0</v>
      </c>
      <c r="AD6" s="25">
        <v>1</v>
      </c>
      <c r="AE6" s="25" t="s">
        <v>19</v>
      </c>
      <c r="AF6" s="34">
        <v>4</v>
      </c>
    </row>
    <row r="7" spans="1:32" s="34" customFormat="1" x14ac:dyDescent="0.2">
      <c r="A7" s="25">
        <v>3</v>
      </c>
      <c r="B7" s="25" t="s">
        <v>72</v>
      </c>
      <c r="C7" s="25" t="s">
        <v>65</v>
      </c>
      <c r="D7" s="25" t="s">
        <v>70</v>
      </c>
      <c r="E7" s="25" t="s">
        <v>69</v>
      </c>
      <c r="F7" s="26">
        <v>46980</v>
      </c>
      <c r="G7" s="25" t="s">
        <v>71</v>
      </c>
      <c r="H7" s="27">
        <v>39.505189999999999</v>
      </c>
      <c r="I7" s="27">
        <v>-0.441577</v>
      </c>
      <c r="J7" s="25">
        <v>67</v>
      </c>
      <c r="K7" s="25" t="s">
        <v>66</v>
      </c>
      <c r="L7" s="25" t="s">
        <v>38</v>
      </c>
      <c r="M7" s="25"/>
      <c r="N7" s="25"/>
      <c r="O7" s="28" t="str">
        <f>G7&amp;"_"&amp;TEXT(P7,"AAMMDD")</f>
        <v>A_Pt_VLC_1_220721</v>
      </c>
      <c r="P7" s="29">
        <v>44763</v>
      </c>
      <c r="Q7" s="30">
        <v>0.75</v>
      </c>
      <c r="R7" s="28"/>
      <c r="S7" s="31">
        <v>44770</v>
      </c>
      <c r="T7" s="32">
        <v>0.70833333333333337</v>
      </c>
      <c r="U7" s="25"/>
      <c r="V7" s="25" t="s">
        <v>40</v>
      </c>
      <c r="W7" s="33"/>
      <c r="X7" s="25">
        <f t="shared" si="1"/>
        <v>7</v>
      </c>
      <c r="Y7" s="25"/>
      <c r="Z7" s="25" t="s">
        <v>67</v>
      </c>
      <c r="AA7" s="25">
        <v>11</v>
      </c>
      <c r="AB7" s="25" t="s">
        <v>3</v>
      </c>
      <c r="AC7" s="25">
        <v>5</v>
      </c>
      <c r="AD7" s="25">
        <v>6</v>
      </c>
      <c r="AE7" s="25" t="s">
        <v>19</v>
      </c>
      <c r="AF7" s="34">
        <v>4</v>
      </c>
    </row>
    <row r="8" spans="1:32" s="34" customFormat="1" x14ac:dyDescent="0.2">
      <c r="A8" s="25">
        <v>4</v>
      </c>
      <c r="B8" s="25" t="s">
        <v>72</v>
      </c>
      <c r="C8" s="25" t="s">
        <v>65</v>
      </c>
      <c r="D8" s="25" t="s">
        <v>70</v>
      </c>
      <c r="E8" s="25" t="s">
        <v>69</v>
      </c>
      <c r="F8" s="26">
        <v>46980</v>
      </c>
      <c r="G8" s="25" t="s">
        <v>71</v>
      </c>
      <c r="H8" s="27">
        <v>39.505189999999999</v>
      </c>
      <c r="I8" s="27">
        <v>-0.441577</v>
      </c>
      <c r="J8" s="25">
        <v>67</v>
      </c>
      <c r="K8" s="25" t="s">
        <v>66</v>
      </c>
      <c r="L8" s="25" t="s">
        <v>38</v>
      </c>
      <c r="M8" s="25"/>
      <c r="N8" s="25"/>
      <c r="O8" s="28" t="str">
        <f t="shared" ref="O8:O13" si="2">G8&amp;"_"&amp;TEXT(P8,"AAMMDD")</f>
        <v>A_Pt_VLC_1_220728</v>
      </c>
      <c r="P8" s="29">
        <v>44770</v>
      </c>
      <c r="Q8" s="30">
        <v>0.75</v>
      </c>
      <c r="R8" s="28"/>
      <c r="S8" s="31">
        <v>44778</v>
      </c>
      <c r="T8" s="32">
        <v>0.70833333333333337</v>
      </c>
      <c r="U8" s="25"/>
      <c r="V8" s="25" t="s">
        <v>40</v>
      </c>
      <c r="W8" s="33"/>
      <c r="X8" s="25">
        <v>7</v>
      </c>
      <c r="Y8" s="25"/>
      <c r="Z8" s="25" t="s">
        <v>10</v>
      </c>
      <c r="AA8" s="25">
        <f>AC8+AD8</f>
        <v>143</v>
      </c>
      <c r="AB8" s="25" t="s">
        <v>3</v>
      </c>
      <c r="AC8" s="25">
        <v>85</v>
      </c>
      <c r="AD8" s="25">
        <v>58</v>
      </c>
      <c r="AE8" s="25" t="s">
        <v>19</v>
      </c>
      <c r="AF8" s="34">
        <v>4</v>
      </c>
    </row>
    <row r="9" spans="1:32" s="34" customFormat="1" x14ac:dyDescent="0.2">
      <c r="A9" s="25">
        <v>5</v>
      </c>
      <c r="B9" s="25" t="s">
        <v>72</v>
      </c>
      <c r="C9" s="25" t="s">
        <v>65</v>
      </c>
      <c r="D9" s="25" t="s">
        <v>70</v>
      </c>
      <c r="E9" s="25" t="s">
        <v>69</v>
      </c>
      <c r="F9" s="26">
        <v>46980</v>
      </c>
      <c r="G9" s="25" t="s">
        <v>71</v>
      </c>
      <c r="H9" s="27">
        <v>39.505189999999999</v>
      </c>
      <c r="I9" s="27">
        <v>-0.441577</v>
      </c>
      <c r="J9" s="25">
        <v>67</v>
      </c>
      <c r="K9" s="25" t="s">
        <v>66</v>
      </c>
      <c r="L9" s="25" t="s">
        <v>38</v>
      </c>
      <c r="M9" s="25"/>
      <c r="N9" s="25"/>
      <c r="O9" s="28" t="str">
        <f t="shared" si="2"/>
        <v>A_Pt_VLC_1_220728</v>
      </c>
      <c r="P9" s="29">
        <v>44770</v>
      </c>
      <c r="Q9" s="30">
        <v>0.75</v>
      </c>
      <c r="R9" s="28"/>
      <c r="S9" s="31">
        <v>44778</v>
      </c>
      <c r="T9" s="32">
        <v>0.70833333333333337</v>
      </c>
      <c r="U9" s="25"/>
      <c r="V9" s="25" t="s">
        <v>40</v>
      </c>
      <c r="W9" s="33"/>
      <c r="X9" s="25">
        <v>7</v>
      </c>
      <c r="Y9" s="25"/>
      <c r="Z9" s="25" t="s">
        <v>67</v>
      </c>
      <c r="AA9" s="25">
        <v>7</v>
      </c>
      <c r="AB9" s="25" t="s">
        <v>3</v>
      </c>
      <c r="AC9" s="25">
        <v>4</v>
      </c>
      <c r="AD9" s="25">
        <v>3</v>
      </c>
      <c r="AE9" s="25" t="s">
        <v>19</v>
      </c>
      <c r="AF9" s="34">
        <v>4</v>
      </c>
    </row>
    <row r="10" spans="1:32" s="34" customFormat="1" x14ac:dyDescent="0.2">
      <c r="A10" s="25">
        <v>6</v>
      </c>
      <c r="B10" s="25" t="s">
        <v>72</v>
      </c>
      <c r="C10" s="25" t="s">
        <v>65</v>
      </c>
      <c r="D10" s="25" t="s">
        <v>70</v>
      </c>
      <c r="E10" s="25" t="s">
        <v>69</v>
      </c>
      <c r="F10" s="26">
        <v>46980</v>
      </c>
      <c r="G10" s="25" t="s">
        <v>71</v>
      </c>
      <c r="H10" s="27">
        <v>39.505189999999999</v>
      </c>
      <c r="I10" s="27">
        <v>-0.441577</v>
      </c>
      <c r="J10" s="25">
        <v>67</v>
      </c>
      <c r="K10" s="25" t="s">
        <v>66</v>
      </c>
      <c r="L10" s="25" t="s">
        <v>38</v>
      </c>
      <c r="M10" s="25"/>
      <c r="N10" s="25"/>
      <c r="O10" s="28" t="str">
        <f t="shared" si="2"/>
        <v>A_Pt_VLC_1_220728</v>
      </c>
      <c r="P10" s="29">
        <v>44770</v>
      </c>
      <c r="Q10" s="30">
        <v>0.75</v>
      </c>
      <c r="R10" s="28"/>
      <c r="S10" s="31">
        <v>44778</v>
      </c>
      <c r="T10" s="32">
        <v>0.70833333333333337</v>
      </c>
      <c r="U10" s="25"/>
      <c r="V10" s="25" t="s">
        <v>40</v>
      </c>
      <c r="W10" s="33"/>
      <c r="X10" s="25">
        <v>7</v>
      </c>
      <c r="Y10" s="25"/>
      <c r="Z10" s="25" t="s">
        <v>68</v>
      </c>
      <c r="AA10" s="25">
        <v>2</v>
      </c>
      <c r="AB10" s="25" t="s">
        <v>3</v>
      </c>
      <c r="AC10" s="25">
        <v>0</v>
      </c>
      <c r="AD10" s="25">
        <v>2</v>
      </c>
      <c r="AE10" s="25" t="s">
        <v>19</v>
      </c>
      <c r="AF10" s="34">
        <v>4</v>
      </c>
    </row>
    <row r="11" spans="1:32" s="34" customFormat="1" x14ac:dyDescent="0.2">
      <c r="A11" s="25">
        <v>7</v>
      </c>
      <c r="B11" s="25" t="s">
        <v>72</v>
      </c>
      <c r="C11" s="25" t="s">
        <v>65</v>
      </c>
      <c r="D11" s="25" t="s">
        <v>70</v>
      </c>
      <c r="E11" s="25" t="s">
        <v>69</v>
      </c>
      <c r="F11" s="26">
        <v>46980</v>
      </c>
      <c r="G11" s="25" t="s">
        <v>71</v>
      </c>
      <c r="H11" s="27">
        <v>39.505189999999999</v>
      </c>
      <c r="I11" s="27">
        <v>-0.441577</v>
      </c>
      <c r="J11" s="25">
        <v>67</v>
      </c>
      <c r="K11" s="25" t="s">
        <v>66</v>
      </c>
      <c r="L11" s="25" t="s">
        <v>38</v>
      </c>
      <c r="M11" s="25"/>
      <c r="N11" s="25"/>
      <c r="O11" s="28" t="str">
        <f t="shared" si="2"/>
        <v>A_Pt_VLC_1_220714</v>
      </c>
      <c r="P11" s="29">
        <v>44756</v>
      </c>
      <c r="Q11" s="30">
        <v>0.75</v>
      </c>
      <c r="R11" s="28"/>
      <c r="S11" s="31">
        <v>44763</v>
      </c>
      <c r="T11" s="32">
        <v>0.70833333333333337</v>
      </c>
      <c r="U11" s="25"/>
      <c r="V11" s="25" t="s">
        <v>40</v>
      </c>
      <c r="W11" s="33"/>
      <c r="X11" s="25">
        <f t="shared" si="1"/>
        <v>7</v>
      </c>
      <c r="Y11" s="25"/>
      <c r="Z11" s="25" t="s">
        <v>67</v>
      </c>
      <c r="AA11" s="25">
        <v>17</v>
      </c>
      <c r="AB11" s="25" t="s">
        <v>3</v>
      </c>
      <c r="AC11" s="25">
        <v>7</v>
      </c>
      <c r="AD11" s="25">
        <v>10</v>
      </c>
      <c r="AE11" s="25" t="s">
        <v>19</v>
      </c>
      <c r="AF11" s="34">
        <v>4</v>
      </c>
    </row>
    <row r="12" spans="1:32" s="34" customFormat="1" x14ac:dyDescent="0.2">
      <c r="A12" s="25">
        <v>8</v>
      </c>
      <c r="B12" s="25" t="s">
        <v>72</v>
      </c>
      <c r="C12" s="25" t="s">
        <v>65</v>
      </c>
      <c r="D12" s="25" t="s">
        <v>70</v>
      </c>
      <c r="E12" s="25" t="s">
        <v>69</v>
      </c>
      <c r="F12" s="26">
        <v>46980</v>
      </c>
      <c r="G12" s="25" t="s">
        <v>71</v>
      </c>
      <c r="H12" s="27">
        <v>39.505189999999999</v>
      </c>
      <c r="I12" s="27">
        <v>-0.441577</v>
      </c>
      <c r="J12" s="25">
        <v>67</v>
      </c>
      <c r="K12" s="25" t="s">
        <v>66</v>
      </c>
      <c r="L12" s="25" t="s">
        <v>38</v>
      </c>
      <c r="M12" s="25"/>
      <c r="N12" s="25"/>
      <c r="O12" s="28" t="str">
        <f t="shared" si="2"/>
        <v>A_Pt_VLC_1_220714</v>
      </c>
      <c r="P12" s="29">
        <v>44756</v>
      </c>
      <c r="Q12" s="30">
        <v>0.75</v>
      </c>
      <c r="R12" s="28"/>
      <c r="S12" s="31">
        <v>44763</v>
      </c>
      <c r="T12" s="32">
        <v>0.70833333333333337</v>
      </c>
      <c r="U12" s="25"/>
      <c r="V12" s="25" t="s">
        <v>40</v>
      </c>
      <c r="W12" s="33"/>
      <c r="X12" s="25">
        <f t="shared" si="1"/>
        <v>7</v>
      </c>
      <c r="Y12" s="25"/>
      <c r="Z12" s="25" t="s">
        <v>10</v>
      </c>
      <c r="AA12" s="25">
        <f>AC12+AD12</f>
        <v>76</v>
      </c>
      <c r="AB12" s="25" t="s">
        <v>3</v>
      </c>
      <c r="AC12" s="25">
        <v>47</v>
      </c>
      <c r="AD12" s="25">
        <v>29</v>
      </c>
      <c r="AE12" s="25" t="s">
        <v>19</v>
      </c>
      <c r="AF12" s="34">
        <v>4</v>
      </c>
    </row>
    <row r="13" spans="1:32" s="34" customFormat="1" x14ac:dyDescent="0.2">
      <c r="A13" s="25">
        <v>9</v>
      </c>
      <c r="B13" s="25" t="s">
        <v>72</v>
      </c>
      <c r="C13" s="25" t="s">
        <v>65</v>
      </c>
      <c r="D13" s="25" t="s">
        <v>70</v>
      </c>
      <c r="E13" s="25" t="s">
        <v>69</v>
      </c>
      <c r="F13" s="26">
        <v>46980</v>
      </c>
      <c r="G13" s="25" t="s">
        <v>71</v>
      </c>
      <c r="H13" s="27">
        <v>39.505189999999999</v>
      </c>
      <c r="I13" s="27">
        <v>-0.441577</v>
      </c>
      <c r="J13" s="25">
        <v>67</v>
      </c>
      <c r="K13" s="25" t="s">
        <v>66</v>
      </c>
      <c r="L13" s="25" t="s">
        <v>38</v>
      </c>
      <c r="M13" s="25"/>
      <c r="N13" s="25"/>
      <c r="O13" s="28" t="str">
        <f t="shared" si="2"/>
        <v>A_Pt_VLC_1_220714</v>
      </c>
      <c r="P13" s="29">
        <v>44756</v>
      </c>
      <c r="Q13" s="30">
        <v>0.75</v>
      </c>
      <c r="R13" s="28"/>
      <c r="S13" s="31">
        <v>44763</v>
      </c>
      <c r="T13" s="32">
        <v>0.70833333333333337</v>
      </c>
      <c r="U13" s="25"/>
      <c r="V13" s="25" t="s">
        <v>40</v>
      </c>
      <c r="W13" s="33"/>
      <c r="X13" s="25">
        <f t="shared" si="1"/>
        <v>7</v>
      </c>
      <c r="Y13" s="25"/>
      <c r="Z13" s="25" t="s">
        <v>68</v>
      </c>
      <c r="AA13" s="25">
        <v>6</v>
      </c>
      <c r="AB13" s="25" t="s">
        <v>3</v>
      </c>
      <c r="AC13" s="25">
        <v>2</v>
      </c>
      <c r="AD13" s="25">
        <v>4</v>
      </c>
      <c r="AE13" s="25" t="s">
        <v>19</v>
      </c>
      <c r="AF13" s="34">
        <v>4</v>
      </c>
    </row>
    <row r="14" spans="1:32" s="34" customFormat="1" x14ac:dyDescent="0.2">
      <c r="A14" s="25">
        <v>10</v>
      </c>
      <c r="B14" s="25" t="s">
        <v>72</v>
      </c>
      <c r="C14" s="25" t="s">
        <v>65</v>
      </c>
      <c r="D14" s="25" t="s">
        <v>70</v>
      </c>
      <c r="E14" s="25" t="s">
        <v>69</v>
      </c>
      <c r="F14" s="26">
        <v>46980</v>
      </c>
      <c r="G14" s="25" t="s">
        <v>71</v>
      </c>
      <c r="H14" s="27">
        <v>39.505189999999999</v>
      </c>
      <c r="I14" s="27">
        <v>-0.441577</v>
      </c>
      <c r="J14" s="25">
        <v>67</v>
      </c>
      <c r="K14" s="25" t="s">
        <v>66</v>
      </c>
      <c r="L14" s="25" t="s">
        <v>38</v>
      </c>
      <c r="M14" s="25"/>
      <c r="N14" s="25"/>
      <c r="O14" s="28" t="str">
        <f>G14&amp;"_"&amp;TEXT(P14,"AAMMDD")</f>
        <v>A_Pt_VLC_1_220805</v>
      </c>
      <c r="P14" s="29">
        <v>44778</v>
      </c>
      <c r="Q14" s="30">
        <v>0.75</v>
      </c>
      <c r="R14" s="28"/>
      <c r="S14" s="31">
        <v>44785</v>
      </c>
      <c r="T14" s="32">
        <v>0.70833333333333337</v>
      </c>
      <c r="U14" s="25"/>
      <c r="V14" s="25" t="s">
        <v>40</v>
      </c>
      <c r="W14" s="33"/>
      <c r="X14" s="25">
        <f t="shared" si="0"/>
        <v>7</v>
      </c>
      <c r="Y14" s="25"/>
      <c r="Z14" s="25" t="s">
        <v>10</v>
      </c>
      <c r="AA14" s="25">
        <v>44</v>
      </c>
      <c r="AB14" s="25" t="s">
        <v>3</v>
      </c>
      <c r="AC14" s="25">
        <v>31</v>
      </c>
      <c r="AD14" s="25">
        <v>13</v>
      </c>
      <c r="AE14" s="25" t="s">
        <v>19</v>
      </c>
      <c r="AF14" s="34">
        <v>4</v>
      </c>
    </row>
    <row r="15" spans="1:32" s="34" customFormat="1" x14ac:dyDescent="0.2">
      <c r="A15" s="25">
        <v>11</v>
      </c>
      <c r="B15" s="25" t="s">
        <v>72</v>
      </c>
      <c r="C15" s="25" t="s">
        <v>65</v>
      </c>
      <c r="D15" s="25" t="s">
        <v>70</v>
      </c>
      <c r="E15" s="25" t="s">
        <v>69</v>
      </c>
      <c r="F15" s="26">
        <v>46980</v>
      </c>
      <c r="G15" s="25" t="s">
        <v>71</v>
      </c>
      <c r="H15" s="27">
        <v>39.505189999999999</v>
      </c>
      <c r="I15" s="27">
        <v>-0.441577</v>
      </c>
      <c r="J15" s="25">
        <v>67</v>
      </c>
      <c r="K15" s="25" t="s">
        <v>66</v>
      </c>
      <c r="L15" s="25" t="s">
        <v>38</v>
      </c>
      <c r="M15" s="25"/>
      <c r="N15" s="25"/>
      <c r="O15" s="28" t="str">
        <f>G15&amp;"_"&amp;TEXT(P15,"AAMMDD")</f>
        <v>A_Pt_VLC_1_220805</v>
      </c>
      <c r="P15" s="29">
        <v>44778</v>
      </c>
      <c r="Q15" s="30">
        <v>0.75</v>
      </c>
      <c r="R15" s="28"/>
      <c r="S15" s="31">
        <v>44785</v>
      </c>
      <c r="T15" s="32">
        <v>0.70833333333333337</v>
      </c>
      <c r="U15" s="25"/>
      <c r="V15" s="25" t="s">
        <v>40</v>
      </c>
      <c r="W15" s="33"/>
      <c r="X15" s="25">
        <f t="shared" si="0"/>
        <v>7</v>
      </c>
      <c r="Y15" s="25"/>
      <c r="Z15" s="25" t="s">
        <v>67</v>
      </c>
      <c r="AA15" s="25">
        <v>4</v>
      </c>
      <c r="AB15" s="25" t="s">
        <v>3</v>
      </c>
      <c r="AC15" s="25">
        <v>2</v>
      </c>
      <c r="AD15" s="25">
        <v>2</v>
      </c>
      <c r="AE15" s="25" t="s">
        <v>19</v>
      </c>
      <c r="AF15" s="34">
        <v>4</v>
      </c>
    </row>
    <row r="16" spans="1:32" s="34" customFormat="1" x14ac:dyDescent="0.2">
      <c r="A16" s="25">
        <v>12</v>
      </c>
      <c r="B16" s="25" t="s">
        <v>72</v>
      </c>
      <c r="C16" s="25" t="s">
        <v>65</v>
      </c>
      <c r="D16" s="25" t="s">
        <v>70</v>
      </c>
      <c r="E16" s="25" t="s">
        <v>69</v>
      </c>
      <c r="F16" s="26">
        <v>46980</v>
      </c>
      <c r="G16" s="25" t="s">
        <v>71</v>
      </c>
      <c r="H16" s="27">
        <v>39.505189999999999</v>
      </c>
      <c r="I16" s="27">
        <v>-0.441577</v>
      </c>
      <c r="J16" s="25">
        <v>67</v>
      </c>
      <c r="K16" s="25" t="s">
        <v>66</v>
      </c>
      <c r="L16" s="25" t="s">
        <v>38</v>
      </c>
      <c r="M16" s="25"/>
      <c r="N16" s="25"/>
      <c r="O16" s="28" t="str">
        <f>G16&amp;"_"&amp;TEXT(P16,"AAMMDD")</f>
        <v>A_Pt_VLC_1_220812</v>
      </c>
      <c r="P16" s="29">
        <v>44785</v>
      </c>
      <c r="Q16" s="30">
        <v>0.75</v>
      </c>
      <c r="R16" s="28"/>
      <c r="S16" s="31">
        <v>44792</v>
      </c>
      <c r="T16" s="32">
        <v>0.70833333333333337</v>
      </c>
      <c r="U16" s="25"/>
      <c r="V16" s="25" t="s">
        <v>40</v>
      </c>
      <c r="W16" s="33"/>
      <c r="X16" s="25">
        <f t="shared" si="0"/>
        <v>7</v>
      </c>
      <c r="Y16" s="25"/>
      <c r="Z16" s="25" t="s">
        <v>10</v>
      </c>
      <c r="AA16" s="25">
        <f t="shared" ref="AA16:AA45" si="3">SUM(AC16:AD16)</f>
        <v>16</v>
      </c>
      <c r="AB16" s="25" t="s">
        <v>3</v>
      </c>
      <c r="AC16" s="25">
        <v>14</v>
      </c>
      <c r="AD16" s="25">
        <v>2</v>
      </c>
      <c r="AE16" s="25" t="s">
        <v>19</v>
      </c>
      <c r="AF16" s="34">
        <v>4</v>
      </c>
    </row>
    <row r="17" spans="1:32" s="34" customFormat="1" x14ac:dyDescent="0.2">
      <c r="A17" s="25">
        <v>13</v>
      </c>
      <c r="B17" s="25" t="s">
        <v>72</v>
      </c>
      <c r="C17" s="25" t="s">
        <v>65</v>
      </c>
      <c r="D17" s="25" t="s">
        <v>70</v>
      </c>
      <c r="E17" s="25" t="s">
        <v>69</v>
      </c>
      <c r="F17" s="26">
        <v>46980</v>
      </c>
      <c r="G17" s="25" t="s">
        <v>71</v>
      </c>
      <c r="H17" s="27">
        <v>39.505189999999999</v>
      </c>
      <c r="I17" s="27">
        <v>-0.441577</v>
      </c>
      <c r="J17" s="25">
        <v>67</v>
      </c>
      <c r="K17" s="25" t="s">
        <v>66</v>
      </c>
      <c r="L17" s="25" t="s">
        <v>38</v>
      </c>
      <c r="M17" s="25"/>
      <c r="N17" s="25"/>
      <c r="O17" s="28" t="str">
        <f>G17&amp;"_"&amp;TEXT(P17,"AAMMDD")</f>
        <v>A_Pt_VLC_1_220812</v>
      </c>
      <c r="P17" s="29">
        <v>44785</v>
      </c>
      <c r="Q17" s="30">
        <v>0.75</v>
      </c>
      <c r="R17" s="28"/>
      <c r="S17" s="31">
        <v>44792</v>
      </c>
      <c r="T17" s="32">
        <v>0.70833333333333337</v>
      </c>
      <c r="U17" s="25"/>
      <c r="V17" s="25" t="s">
        <v>40</v>
      </c>
      <c r="W17" s="33"/>
      <c r="X17" s="25">
        <f t="shared" si="0"/>
        <v>7</v>
      </c>
      <c r="Y17" s="25"/>
      <c r="Z17" s="25" t="s">
        <v>67</v>
      </c>
      <c r="AA17" s="25">
        <f t="shared" si="3"/>
        <v>1</v>
      </c>
      <c r="AB17" s="25" t="s">
        <v>3</v>
      </c>
      <c r="AC17" s="25">
        <v>1</v>
      </c>
      <c r="AD17" s="25">
        <v>0</v>
      </c>
      <c r="AE17" s="25" t="s">
        <v>19</v>
      </c>
      <c r="AF17" s="34">
        <v>4</v>
      </c>
    </row>
    <row r="18" spans="1:32" s="34" customFormat="1" x14ac:dyDescent="0.2">
      <c r="A18" s="25">
        <v>14</v>
      </c>
      <c r="B18" s="25" t="s">
        <v>72</v>
      </c>
      <c r="C18" s="25" t="s">
        <v>65</v>
      </c>
      <c r="D18" s="25" t="s">
        <v>70</v>
      </c>
      <c r="E18" s="25" t="s">
        <v>69</v>
      </c>
      <c r="F18" s="26">
        <v>46980</v>
      </c>
      <c r="G18" s="25" t="s">
        <v>71</v>
      </c>
      <c r="H18" s="27">
        <v>39.505189999999999</v>
      </c>
      <c r="I18" s="27">
        <v>-0.441577</v>
      </c>
      <c r="J18" s="25">
        <v>67</v>
      </c>
      <c r="K18" s="25" t="s">
        <v>66</v>
      </c>
      <c r="L18" s="25" t="s">
        <v>38</v>
      </c>
      <c r="M18" s="25"/>
      <c r="N18" s="25"/>
      <c r="O18" s="28" t="str">
        <f t="shared" ref="O18:O45" si="4">G18&amp;"_"&amp;TEXT(P18,"AAMMDD")</f>
        <v>A_Pt_VLC_1_220819</v>
      </c>
      <c r="P18" s="29">
        <v>44792</v>
      </c>
      <c r="Q18" s="30">
        <v>0.75</v>
      </c>
      <c r="R18" s="28"/>
      <c r="S18" s="31">
        <v>44799</v>
      </c>
      <c r="T18" s="32">
        <v>0.70833333333333304</v>
      </c>
      <c r="U18" s="25"/>
      <c r="V18" s="25" t="s">
        <v>40</v>
      </c>
      <c r="W18" s="33"/>
      <c r="X18" s="25">
        <f t="shared" si="0"/>
        <v>7</v>
      </c>
      <c r="Y18" s="25"/>
      <c r="Z18" s="25" t="s">
        <v>68</v>
      </c>
      <c r="AA18" s="25">
        <v>1</v>
      </c>
      <c r="AB18" s="25" t="s">
        <v>3</v>
      </c>
      <c r="AC18" s="25">
        <v>0</v>
      </c>
      <c r="AD18" s="25">
        <v>1</v>
      </c>
      <c r="AE18" s="25" t="s">
        <v>19</v>
      </c>
      <c r="AF18" s="34">
        <v>4</v>
      </c>
    </row>
    <row r="19" spans="1:32" s="34" customFormat="1" x14ac:dyDescent="0.2">
      <c r="A19" s="25">
        <v>15</v>
      </c>
      <c r="B19" s="25" t="s">
        <v>72</v>
      </c>
      <c r="C19" s="25" t="s">
        <v>65</v>
      </c>
      <c r="D19" s="25" t="s">
        <v>70</v>
      </c>
      <c r="E19" s="25" t="s">
        <v>69</v>
      </c>
      <c r="F19" s="26">
        <v>46980</v>
      </c>
      <c r="G19" s="25" t="s">
        <v>71</v>
      </c>
      <c r="H19" s="27">
        <v>39.505189999999999</v>
      </c>
      <c r="I19" s="27">
        <v>-0.441577</v>
      </c>
      <c r="J19" s="25">
        <v>67</v>
      </c>
      <c r="K19" s="25" t="s">
        <v>66</v>
      </c>
      <c r="L19" s="25" t="s">
        <v>38</v>
      </c>
      <c r="M19" s="25"/>
      <c r="N19" s="25"/>
      <c r="O19" s="28" t="str">
        <f t="shared" si="4"/>
        <v>A_Pt_VLC_1_220819</v>
      </c>
      <c r="P19" s="29">
        <v>44792</v>
      </c>
      <c r="Q19" s="30">
        <v>0.75</v>
      </c>
      <c r="R19" s="28"/>
      <c r="S19" s="31">
        <v>44799</v>
      </c>
      <c r="T19" s="32">
        <v>0.70833333333333304</v>
      </c>
      <c r="U19" s="25"/>
      <c r="V19" s="25" t="s">
        <v>40</v>
      </c>
      <c r="W19" s="33"/>
      <c r="X19" s="25">
        <f t="shared" si="0"/>
        <v>7</v>
      </c>
      <c r="Y19" s="25"/>
      <c r="Z19" s="25" t="s">
        <v>10</v>
      </c>
      <c r="AA19" s="25">
        <v>48</v>
      </c>
      <c r="AB19" s="25" t="s">
        <v>3</v>
      </c>
      <c r="AC19" s="25">
        <v>37</v>
      </c>
      <c r="AD19" s="25">
        <v>11</v>
      </c>
      <c r="AE19" s="25" t="s">
        <v>19</v>
      </c>
      <c r="AF19" s="34">
        <v>4</v>
      </c>
    </row>
    <row r="20" spans="1:32" s="34" customFormat="1" x14ac:dyDescent="0.2">
      <c r="A20" s="25">
        <v>16</v>
      </c>
      <c r="B20" s="25" t="s">
        <v>72</v>
      </c>
      <c r="C20" s="25" t="s">
        <v>65</v>
      </c>
      <c r="D20" s="25" t="s">
        <v>70</v>
      </c>
      <c r="E20" s="25" t="s">
        <v>69</v>
      </c>
      <c r="F20" s="26">
        <v>46980</v>
      </c>
      <c r="G20" s="25" t="s">
        <v>71</v>
      </c>
      <c r="H20" s="27">
        <v>39.505189999999999</v>
      </c>
      <c r="I20" s="27">
        <v>-0.441577</v>
      </c>
      <c r="J20" s="25">
        <v>67</v>
      </c>
      <c r="K20" s="25" t="s">
        <v>66</v>
      </c>
      <c r="L20" s="25" t="s">
        <v>38</v>
      </c>
      <c r="M20" s="25"/>
      <c r="N20" s="25"/>
      <c r="O20" s="28" t="str">
        <f t="shared" si="4"/>
        <v>A_Pt_VLC_1_220826</v>
      </c>
      <c r="P20" s="29">
        <v>44799</v>
      </c>
      <c r="Q20" s="30">
        <v>0.75</v>
      </c>
      <c r="R20" s="28"/>
      <c r="S20" s="31">
        <v>44806</v>
      </c>
      <c r="T20" s="32">
        <v>0.70833333333333304</v>
      </c>
      <c r="U20" s="25"/>
      <c r="V20" s="25" t="s">
        <v>40</v>
      </c>
      <c r="W20" s="33"/>
      <c r="X20" s="25">
        <f t="shared" si="0"/>
        <v>7</v>
      </c>
      <c r="Y20" s="25"/>
      <c r="Z20" s="25" t="s">
        <v>10</v>
      </c>
      <c r="AA20" s="25">
        <v>101</v>
      </c>
      <c r="AB20" s="25" t="s">
        <v>3</v>
      </c>
      <c r="AC20" s="25">
        <v>72</v>
      </c>
      <c r="AD20" s="25">
        <v>29</v>
      </c>
      <c r="AE20" s="25" t="s">
        <v>19</v>
      </c>
      <c r="AF20" s="34">
        <v>4</v>
      </c>
    </row>
    <row r="21" spans="1:32" s="34" customFormat="1" x14ac:dyDescent="0.2">
      <c r="A21" s="25">
        <v>17</v>
      </c>
      <c r="B21" s="25" t="s">
        <v>72</v>
      </c>
      <c r="C21" s="25" t="s">
        <v>65</v>
      </c>
      <c r="D21" s="25" t="s">
        <v>70</v>
      </c>
      <c r="E21" s="25" t="s">
        <v>69</v>
      </c>
      <c r="F21" s="26">
        <v>46980</v>
      </c>
      <c r="G21" s="25" t="s">
        <v>71</v>
      </c>
      <c r="H21" s="27">
        <v>39.505189999999999</v>
      </c>
      <c r="I21" s="27">
        <v>-0.441577</v>
      </c>
      <c r="J21" s="25">
        <v>67</v>
      </c>
      <c r="K21" s="25" t="s">
        <v>66</v>
      </c>
      <c r="L21" s="25" t="s">
        <v>38</v>
      </c>
      <c r="M21" s="25"/>
      <c r="N21" s="25"/>
      <c r="O21" s="28" t="str">
        <f t="shared" ref="O21" si="5">G21&amp;"_"&amp;TEXT(P21,"AAMMDD")</f>
        <v>A_Pt_VLC_1_220902</v>
      </c>
      <c r="P21" s="29">
        <v>44806</v>
      </c>
      <c r="Q21" s="30">
        <v>0.75</v>
      </c>
      <c r="R21" s="28"/>
      <c r="S21" s="31">
        <v>44813</v>
      </c>
      <c r="T21" s="32">
        <v>0.70833333333333304</v>
      </c>
      <c r="U21" s="25"/>
      <c r="V21" s="25" t="s">
        <v>40</v>
      </c>
      <c r="W21" s="33"/>
      <c r="X21" s="25">
        <f t="shared" ref="X21" si="6">S21-P21</f>
        <v>7</v>
      </c>
      <c r="Y21" s="25"/>
      <c r="Z21" s="25" t="s">
        <v>10</v>
      </c>
      <c r="AA21" s="25">
        <v>92</v>
      </c>
      <c r="AB21" s="25" t="s">
        <v>3</v>
      </c>
      <c r="AC21" s="25">
        <v>5</v>
      </c>
      <c r="AD21" s="25">
        <v>87</v>
      </c>
      <c r="AE21" s="25" t="s">
        <v>19</v>
      </c>
      <c r="AF21" s="34">
        <v>4</v>
      </c>
    </row>
    <row r="22" spans="1:32" s="34" customFormat="1" x14ac:dyDescent="0.2">
      <c r="A22" s="25">
        <v>18</v>
      </c>
      <c r="B22" s="25" t="s">
        <v>72</v>
      </c>
      <c r="C22" s="25" t="s">
        <v>65</v>
      </c>
      <c r="D22" s="25" t="s">
        <v>70</v>
      </c>
      <c r="E22" s="25" t="s">
        <v>69</v>
      </c>
      <c r="F22" s="26">
        <v>46980</v>
      </c>
      <c r="G22" s="25" t="s">
        <v>71</v>
      </c>
      <c r="H22" s="27">
        <v>39.505189999999999</v>
      </c>
      <c r="I22" s="27">
        <v>-0.441577</v>
      </c>
      <c r="J22" s="25">
        <v>67</v>
      </c>
      <c r="K22" s="25" t="s">
        <v>66</v>
      </c>
      <c r="L22" s="25" t="s">
        <v>38</v>
      </c>
      <c r="M22" s="25"/>
      <c r="N22" s="25"/>
      <c r="O22" s="28" t="str">
        <f t="shared" si="4"/>
        <v>A_Pt_VLC_1_220902</v>
      </c>
      <c r="P22" s="29">
        <v>44806</v>
      </c>
      <c r="Q22" s="30">
        <v>0.75</v>
      </c>
      <c r="R22" s="28"/>
      <c r="S22" s="31">
        <v>44813</v>
      </c>
      <c r="T22" s="32">
        <v>0.70833333333333304</v>
      </c>
      <c r="U22" s="25"/>
      <c r="V22" s="25" t="s">
        <v>40</v>
      </c>
      <c r="W22" s="33"/>
      <c r="X22" s="25">
        <f t="shared" si="0"/>
        <v>7</v>
      </c>
      <c r="Y22" s="25"/>
      <c r="Z22" s="25" t="s">
        <v>67</v>
      </c>
      <c r="AA22" s="25">
        <v>3</v>
      </c>
      <c r="AB22" s="25" t="s">
        <v>3</v>
      </c>
      <c r="AC22" s="25">
        <v>2</v>
      </c>
      <c r="AD22" s="25">
        <v>1</v>
      </c>
      <c r="AE22" s="25" t="s">
        <v>19</v>
      </c>
      <c r="AF22" s="34">
        <v>4</v>
      </c>
    </row>
    <row r="23" spans="1:32" s="34" customFormat="1" x14ac:dyDescent="0.2">
      <c r="A23" s="25">
        <v>19</v>
      </c>
      <c r="B23" s="25" t="s">
        <v>72</v>
      </c>
      <c r="C23" s="25" t="s">
        <v>65</v>
      </c>
      <c r="D23" s="25" t="s">
        <v>70</v>
      </c>
      <c r="E23" s="25" t="s">
        <v>69</v>
      </c>
      <c r="F23" s="26">
        <v>46980</v>
      </c>
      <c r="G23" s="25" t="s">
        <v>71</v>
      </c>
      <c r="H23" s="27">
        <v>39.505189999999999</v>
      </c>
      <c r="I23" s="27">
        <v>-0.441577</v>
      </c>
      <c r="J23" s="25">
        <v>67</v>
      </c>
      <c r="K23" s="25" t="s">
        <v>66</v>
      </c>
      <c r="L23" s="25" t="s">
        <v>38</v>
      </c>
      <c r="M23" s="25"/>
      <c r="N23" s="25"/>
      <c r="O23" s="28" t="str">
        <f t="shared" si="4"/>
        <v>A_Pt_VLC_1_220909</v>
      </c>
      <c r="P23" s="29">
        <v>44813</v>
      </c>
      <c r="Q23" s="30">
        <v>0.75</v>
      </c>
      <c r="R23" s="28"/>
      <c r="S23" s="29">
        <v>44820</v>
      </c>
      <c r="T23" s="32">
        <v>0.70833333333333304</v>
      </c>
      <c r="U23" s="25"/>
      <c r="V23" s="25" t="s">
        <v>40</v>
      </c>
      <c r="W23" s="33"/>
      <c r="X23" s="25">
        <f t="shared" si="0"/>
        <v>7</v>
      </c>
      <c r="Y23" s="25"/>
      <c r="Z23" s="25" t="s">
        <v>67</v>
      </c>
      <c r="AA23" s="25">
        <v>4</v>
      </c>
      <c r="AB23" s="25" t="s">
        <v>3</v>
      </c>
      <c r="AC23" s="25">
        <v>2</v>
      </c>
      <c r="AD23" s="25">
        <v>0</v>
      </c>
      <c r="AE23" s="25" t="s">
        <v>19</v>
      </c>
      <c r="AF23" s="34">
        <v>4</v>
      </c>
    </row>
    <row r="24" spans="1:32" s="34" customFormat="1" x14ac:dyDescent="0.2">
      <c r="A24" s="25">
        <v>20</v>
      </c>
      <c r="B24" s="25" t="s">
        <v>72</v>
      </c>
      <c r="C24" s="25" t="s">
        <v>65</v>
      </c>
      <c r="D24" s="25" t="s">
        <v>70</v>
      </c>
      <c r="E24" s="25" t="s">
        <v>69</v>
      </c>
      <c r="F24" s="26">
        <v>46980</v>
      </c>
      <c r="G24" s="25" t="s">
        <v>71</v>
      </c>
      <c r="H24" s="27">
        <v>39.505189999999999</v>
      </c>
      <c r="I24" s="27">
        <v>-0.441577</v>
      </c>
      <c r="J24" s="25">
        <v>67</v>
      </c>
      <c r="K24" s="25" t="s">
        <v>66</v>
      </c>
      <c r="L24" s="25" t="s">
        <v>38</v>
      </c>
      <c r="M24" s="25"/>
      <c r="N24" s="25"/>
      <c r="O24" s="28" t="str">
        <f t="shared" si="4"/>
        <v>A_Pt_VLC_1_220909</v>
      </c>
      <c r="P24" s="29">
        <v>44813</v>
      </c>
      <c r="Q24" s="30">
        <v>0.75</v>
      </c>
      <c r="R24" s="28"/>
      <c r="S24" s="29">
        <v>44820</v>
      </c>
      <c r="T24" s="32">
        <v>0.70833333333333304</v>
      </c>
      <c r="U24" s="25"/>
      <c r="V24" s="25" t="s">
        <v>40</v>
      </c>
      <c r="W24" s="33"/>
      <c r="X24" s="25">
        <f t="shared" si="0"/>
        <v>7</v>
      </c>
      <c r="Y24" s="25"/>
      <c r="Z24" s="25" t="s">
        <v>10</v>
      </c>
      <c r="AA24" s="25">
        <v>82</v>
      </c>
      <c r="AB24" s="25" t="s">
        <v>3</v>
      </c>
      <c r="AC24" s="25">
        <v>33</v>
      </c>
      <c r="AD24" s="25">
        <v>49</v>
      </c>
      <c r="AE24" s="25" t="s">
        <v>19</v>
      </c>
      <c r="AF24" s="34">
        <v>4</v>
      </c>
    </row>
    <row r="25" spans="1:32" s="34" customFormat="1" x14ac:dyDescent="0.2">
      <c r="A25" s="25">
        <v>21</v>
      </c>
      <c r="B25" s="25" t="s">
        <v>72</v>
      </c>
      <c r="C25" s="25" t="s">
        <v>65</v>
      </c>
      <c r="D25" s="25" t="s">
        <v>70</v>
      </c>
      <c r="E25" s="25" t="s">
        <v>69</v>
      </c>
      <c r="F25" s="26">
        <v>46980</v>
      </c>
      <c r="G25" s="25" t="s">
        <v>71</v>
      </c>
      <c r="H25" s="27">
        <v>39.505189999999999</v>
      </c>
      <c r="I25" s="27">
        <v>-0.441577</v>
      </c>
      <c r="J25" s="25">
        <v>67</v>
      </c>
      <c r="K25" s="25" t="s">
        <v>66</v>
      </c>
      <c r="L25" s="25" t="s">
        <v>38</v>
      </c>
      <c r="M25" s="25"/>
      <c r="N25" s="25"/>
      <c r="O25" s="28" t="str">
        <f t="shared" si="4"/>
        <v>A_Pt_VLC_1_220916</v>
      </c>
      <c r="P25" s="29">
        <v>44820</v>
      </c>
      <c r="Q25" s="30">
        <v>0.75</v>
      </c>
      <c r="R25" s="28"/>
      <c r="S25" s="29">
        <v>44827</v>
      </c>
      <c r="T25" s="32">
        <v>0.70833333333333304</v>
      </c>
      <c r="U25" s="25"/>
      <c r="V25" s="25" t="s">
        <v>40</v>
      </c>
      <c r="W25" s="33"/>
      <c r="X25" s="25">
        <f t="shared" si="0"/>
        <v>7</v>
      </c>
      <c r="Y25" s="25"/>
      <c r="Z25" s="25" t="s">
        <v>67</v>
      </c>
      <c r="AA25" s="25">
        <v>3</v>
      </c>
      <c r="AB25" s="25" t="s">
        <v>3</v>
      </c>
      <c r="AC25" s="25">
        <v>3</v>
      </c>
      <c r="AD25" s="25">
        <v>0</v>
      </c>
      <c r="AE25" s="25" t="s">
        <v>19</v>
      </c>
      <c r="AF25" s="34">
        <v>4</v>
      </c>
    </row>
    <row r="26" spans="1:32" s="34" customFormat="1" x14ac:dyDescent="0.2">
      <c r="A26" s="25">
        <v>22</v>
      </c>
      <c r="B26" s="25" t="s">
        <v>72</v>
      </c>
      <c r="C26" s="25" t="s">
        <v>65</v>
      </c>
      <c r="D26" s="25" t="s">
        <v>70</v>
      </c>
      <c r="E26" s="25" t="s">
        <v>69</v>
      </c>
      <c r="F26" s="26">
        <v>46980</v>
      </c>
      <c r="G26" s="25" t="s">
        <v>71</v>
      </c>
      <c r="H26" s="27">
        <v>39.505189999999999</v>
      </c>
      <c r="I26" s="27">
        <v>-0.441577</v>
      </c>
      <c r="J26" s="25">
        <v>67</v>
      </c>
      <c r="K26" s="25" t="s">
        <v>66</v>
      </c>
      <c r="L26" s="25" t="s">
        <v>38</v>
      </c>
      <c r="M26" s="25"/>
      <c r="N26" s="25"/>
      <c r="O26" s="28" t="str">
        <f t="shared" si="4"/>
        <v>A_Pt_VLC_1_220916</v>
      </c>
      <c r="P26" s="29">
        <v>44820</v>
      </c>
      <c r="Q26" s="30">
        <v>0.75</v>
      </c>
      <c r="R26" s="28"/>
      <c r="S26" s="29">
        <v>44827</v>
      </c>
      <c r="T26" s="32">
        <v>0.70833333333333304</v>
      </c>
      <c r="U26" s="25"/>
      <c r="V26" s="25" t="s">
        <v>40</v>
      </c>
      <c r="W26" s="33"/>
      <c r="X26" s="25">
        <f t="shared" si="0"/>
        <v>7</v>
      </c>
      <c r="Y26" s="25"/>
      <c r="Z26" s="25" t="s">
        <v>10</v>
      </c>
      <c r="AA26" s="25">
        <v>310</v>
      </c>
      <c r="AB26" s="25" t="s">
        <v>3</v>
      </c>
      <c r="AC26" s="25">
        <v>53</v>
      </c>
      <c r="AD26" s="25">
        <v>257</v>
      </c>
      <c r="AE26" s="25" t="s">
        <v>19</v>
      </c>
      <c r="AF26" s="34">
        <v>4</v>
      </c>
    </row>
    <row r="27" spans="1:32" s="34" customFormat="1" x14ac:dyDescent="0.2">
      <c r="A27" s="25">
        <v>23</v>
      </c>
      <c r="B27" s="25" t="s">
        <v>72</v>
      </c>
      <c r="C27" s="25" t="s">
        <v>65</v>
      </c>
      <c r="D27" s="25" t="s">
        <v>70</v>
      </c>
      <c r="E27" s="25" t="s">
        <v>69</v>
      </c>
      <c r="F27" s="26">
        <v>46980</v>
      </c>
      <c r="G27" s="25" t="s">
        <v>71</v>
      </c>
      <c r="H27" s="27">
        <v>39.505189999999999</v>
      </c>
      <c r="I27" s="27">
        <v>-0.441577</v>
      </c>
      <c r="J27" s="25">
        <v>67</v>
      </c>
      <c r="K27" s="25" t="s">
        <v>66</v>
      </c>
      <c r="L27" s="25" t="s">
        <v>38</v>
      </c>
      <c r="M27" s="25"/>
      <c r="N27" s="25"/>
      <c r="O27" s="28" t="str">
        <f t="shared" si="4"/>
        <v>A_Pt_VLC_1_220923</v>
      </c>
      <c r="P27" s="29">
        <v>44827</v>
      </c>
      <c r="Q27" s="30">
        <v>0.75</v>
      </c>
      <c r="R27" s="28"/>
      <c r="S27" s="29">
        <v>44834</v>
      </c>
      <c r="T27" s="32">
        <v>0.70833333333333304</v>
      </c>
      <c r="U27" s="25"/>
      <c r="V27" s="25" t="s">
        <v>40</v>
      </c>
      <c r="W27" s="33"/>
      <c r="X27" s="25">
        <f t="shared" si="0"/>
        <v>7</v>
      </c>
      <c r="Y27" s="25"/>
      <c r="Z27" s="25" t="s">
        <v>10</v>
      </c>
      <c r="AA27" s="25">
        <v>145</v>
      </c>
      <c r="AB27" s="25" t="s">
        <v>3</v>
      </c>
      <c r="AC27" s="25">
        <v>30</v>
      </c>
      <c r="AD27" s="25">
        <v>115</v>
      </c>
      <c r="AE27" s="25" t="s">
        <v>19</v>
      </c>
      <c r="AF27" s="34">
        <v>4</v>
      </c>
    </row>
    <row r="28" spans="1:32" s="34" customFormat="1" x14ac:dyDescent="0.2">
      <c r="A28" s="25">
        <v>24</v>
      </c>
      <c r="B28" s="25" t="s">
        <v>72</v>
      </c>
      <c r="C28" s="25" t="s">
        <v>65</v>
      </c>
      <c r="D28" s="25" t="s">
        <v>70</v>
      </c>
      <c r="E28" s="25" t="s">
        <v>69</v>
      </c>
      <c r="F28" s="26">
        <v>46980</v>
      </c>
      <c r="G28" s="25" t="s">
        <v>71</v>
      </c>
      <c r="H28" s="27">
        <v>39.505189999999999</v>
      </c>
      <c r="I28" s="27">
        <v>-0.441577</v>
      </c>
      <c r="J28" s="25">
        <v>67</v>
      </c>
      <c r="K28" s="25" t="s">
        <v>66</v>
      </c>
      <c r="L28" s="25" t="s">
        <v>38</v>
      </c>
      <c r="M28" s="25"/>
      <c r="N28" s="25"/>
      <c r="O28" s="28" t="str">
        <f t="shared" si="4"/>
        <v>A_Pt_VLC_1_220923</v>
      </c>
      <c r="P28" s="29">
        <v>44827</v>
      </c>
      <c r="Q28" s="30">
        <v>0.75</v>
      </c>
      <c r="R28" s="28"/>
      <c r="S28" s="29">
        <v>44834</v>
      </c>
      <c r="T28" s="32">
        <v>0.70833333333333304</v>
      </c>
      <c r="U28" s="25"/>
      <c r="V28" s="25" t="s">
        <v>40</v>
      </c>
      <c r="W28" s="33"/>
      <c r="X28" s="25">
        <f t="shared" si="0"/>
        <v>7</v>
      </c>
      <c r="Y28" s="25"/>
      <c r="Z28" s="25" t="s">
        <v>67</v>
      </c>
      <c r="AA28" s="25">
        <v>18</v>
      </c>
      <c r="AB28" s="25" t="s">
        <v>3</v>
      </c>
      <c r="AC28" s="25">
        <v>8</v>
      </c>
      <c r="AD28" s="25">
        <v>10</v>
      </c>
      <c r="AE28" s="25" t="s">
        <v>19</v>
      </c>
      <c r="AF28" s="34">
        <v>4</v>
      </c>
    </row>
    <row r="29" spans="1:32" s="34" customFormat="1" x14ac:dyDescent="0.2">
      <c r="A29" s="25">
        <v>25</v>
      </c>
      <c r="B29" s="25" t="s">
        <v>72</v>
      </c>
      <c r="C29" s="25" t="s">
        <v>65</v>
      </c>
      <c r="D29" s="25" t="s">
        <v>70</v>
      </c>
      <c r="E29" s="25" t="s">
        <v>69</v>
      </c>
      <c r="F29" s="26">
        <v>46980</v>
      </c>
      <c r="G29" s="25" t="s">
        <v>71</v>
      </c>
      <c r="H29" s="27">
        <v>39.505189999999999</v>
      </c>
      <c r="I29" s="27">
        <v>-0.441577</v>
      </c>
      <c r="J29" s="25">
        <v>67</v>
      </c>
      <c r="K29" s="25" t="s">
        <v>66</v>
      </c>
      <c r="L29" s="25" t="s">
        <v>38</v>
      </c>
      <c r="M29" s="25"/>
      <c r="N29" s="25"/>
      <c r="O29" s="28" t="str">
        <f t="shared" si="4"/>
        <v>A_Pt_VLC_1_220930</v>
      </c>
      <c r="P29" s="29">
        <v>44834</v>
      </c>
      <c r="Q29" s="30">
        <v>0.75</v>
      </c>
      <c r="R29" s="28"/>
      <c r="S29" s="29">
        <v>44841</v>
      </c>
      <c r="T29" s="32">
        <v>0.70833333333333304</v>
      </c>
      <c r="U29" s="25"/>
      <c r="V29" s="25" t="s">
        <v>40</v>
      </c>
      <c r="W29" s="33"/>
      <c r="X29" s="25">
        <f t="shared" si="0"/>
        <v>7</v>
      </c>
      <c r="Y29" s="25"/>
      <c r="Z29" s="25" t="s">
        <v>10</v>
      </c>
      <c r="AA29" s="25">
        <v>111</v>
      </c>
      <c r="AB29" s="25" t="s">
        <v>3</v>
      </c>
      <c r="AC29" s="25">
        <v>33</v>
      </c>
      <c r="AD29" s="25">
        <v>78</v>
      </c>
      <c r="AE29" s="25" t="s">
        <v>19</v>
      </c>
      <c r="AF29" s="34">
        <v>4</v>
      </c>
    </row>
    <row r="30" spans="1:32" s="34" customFormat="1" x14ac:dyDescent="0.2">
      <c r="A30" s="25">
        <v>26</v>
      </c>
      <c r="B30" s="25" t="s">
        <v>72</v>
      </c>
      <c r="C30" s="25" t="s">
        <v>65</v>
      </c>
      <c r="D30" s="25" t="s">
        <v>70</v>
      </c>
      <c r="E30" s="25" t="s">
        <v>69</v>
      </c>
      <c r="F30" s="26">
        <v>46980</v>
      </c>
      <c r="G30" s="25" t="s">
        <v>71</v>
      </c>
      <c r="H30" s="27">
        <v>39.505189999999999</v>
      </c>
      <c r="I30" s="27">
        <v>-0.441577</v>
      </c>
      <c r="J30" s="25">
        <v>67</v>
      </c>
      <c r="K30" s="25" t="s">
        <v>66</v>
      </c>
      <c r="L30" s="25" t="s">
        <v>38</v>
      </c>
      <c r="M30" s="25"/>
      <c r="N30" s="25"/>
      <c r="O30" s="28" t="str">
        <f t="shared" si="4"/>
        <v>A_Pt_VLC_1_220930</v>
      </c>
      <c r="P30" s="29">
        <v>44834</v>
      </c>
      <c r="Q30" s="30">
        <v>0.75</v>
      </c>
      <c r="R30" s="28"/>
      <c r="S30" s="29">
        <v>44841</v>
      </c>
      <c r="T30" s="32">
        <v>0.70833333333333304</v>
      </c>
      <c r="U30" s="25"/>
      <c r="V30" s="25" t="s">
        <v>40</v>
      </c>
      <c r="W30" s="33"/>
      <c r="X30" s="25">
        <f t="shared" si="0"/>
        <v>7</v>
      </c>
      <c r="Y30" s="25"/>
      <c r="Z30" s="25" t="s">
        <v>68</v>
      </c>
      <c r="AA30" s="25">
        <v>1</v>
      </c>
      <c r="AB30" s="25" t="s">
        <v>3</v>
      </c>
      <c r="AC30" s="25">
        <v>1</v>
      </c>
      <c r="AD30" s="25">
        <v>0</v>
      </c>
      <c r="AE30" s="25" t="s">
        <v>19</v>
      </c>
      <c r="AF30" s="34">
        <v>4</v>
      </c>
    </row>
    <row r="31" spans="1:32" s="34" customFormat="1" x14ac:dyDescent="0.2">
      <c r="A31" s="25">
        <v>27</v>
      </c>
      <c r="B31" s="25" t="s">
        <v>72</v>
      </c>
      <c r="C31" s="25" t="s">
        <v>65</v>
      </c>
      <c r="D31" s="25" t="s">
        <v>70</v>
      </c>
      <c r="E31" s="25" t="s">
        <v>69</v>
      </c>
      <c r="F31" s="26">
        <v>46980</v>
      </c>
      <c r="G31" s="25" t="s">
        <v>71</v>
      </c>
      <c r="H31" s="27">
        <v>39.505189999999999</v>
      </c>
      <c r="I31" s="27">
        <v>-0.441577</v>
      </c>
      <c r="J31" s="25">
        <v>67</v>
      </c>
      <c r="K31" s="25" t="s">
        <v>66</v>
      </c>
      <c r="L31" s="25" t="s">
        <v>38</v>
      </c>
      <c r="M31" s="25"/>
      <c r="N31" s="25"/>
      <c r="O31" s="28" t="str">
        <f t="shared" si="4"/>
        <v>A_Pt_VLC_1_220930</v>
      </c>
      <c r="P31" s="29">
        <v>44834</v>
      </c>
      <c r="Q31" s="30">
        <v>0.75</v>
      </c>
      <c r="R31" s="28"/>
      <c r="S31" s="29">
        <v>44841</v>
      </c>
      <c r="T31" s="32">
        <v>0.70833333333333304</v>
      </c>
      <c r="U31" s="25"/>
      <c r="V31" s="25" t="s">
        <v>40</v>
      </c>
      <c r="W31" s="33"/>
      <c r="X31" s="25">
        <f t="shared" si="0"/>
        <v>7</v>
      </c>
      <c r="Y31" s="25"/>
      <c r="Z31" s="25" t="s">
        <v>67</v>
      </c>
      <c r="AA31" s="25">
        <v>2</v>
      </c>
      <c r="AB31" s="25" t="s">
        <v>3</v>
      </c>
      <c r="AC31" s="25">
        <v>1</v>
      </c>
      <c r="AD31" s="25">
        <v>1</v>
      </c>
      <c r="AE31" s="25" t="s">
        <v>19</v>
      </c>
      <c r="AF31" s="34">
        <v>4</v>
      </c>
    </row>
    <row r="32" spans="1:32" s="34" customFormat="1" x14ac:dyDescent="0.2">
      <c r="A32" s="25">
        <v>28</v>
      </c>
      <c r="B32" s="25" t="s">
        <v>72</v>
      </c>
      <c r="C32" s="25" t="s">
        <v>65</v>
      </c>
      <c r="D32" s="25" t="s">
        <v>70</v>
      </c>
      <c r="E32" s="25" t="s">
        <v>69</v>
      </c>
      <c r="F32" s="26">
        <v>46980</v>
      </c>
      <c r="G32" s="25" t="s">
        <v>71</v>
      </c>
      <c r="H32" s="27">
        <v>39.505189999999999</v>
      </c>
      <c r="I32" s="27">
        <v>-0.441577</v>
      </c>
      <c r="J32" s="25">
        <v>67</v>
      </c>
      <c r="K32" s="25" t="s">
        <v>66</v>
      </c>
      <c r="L32" s="25" t="s">
        <v>38</v>
      </c>
      <c r="M32" s="25"/>
      <c r="N32" s="25"/>
      <c r="O32" s="28" t="str">
        <f t="shared" si="4"/>
        <v>A_Pt_VLC_1_221007</v>
      </c>
      <c r="P32" s="29">
        <v>44841</v>
      </c>
      <c r="Q32" s="30">
        <v>0.75</v>
      </c>
      <c r="R32" s="28"/>
      <c r="S32" s="29">
        <v>44848</v>
      </c>
      <c r="T32" s="32">
        <v>0.70833333333333304</v>
      </c>
      <c r="U32" s="25"/>
      <c r="V32" s="25" t="s">
        <v>40</v>
      </c>
      <c r="W32" s="33"/>
      <c r="X32" s="25">
        <f t="shared" si="0"/>
        <v>7</v>
      </c>
      <c r="Y32" s="25"/>
      <c r="Z32" s="25" t="s">
        <v>67</v>
      </c>
      <c r="AA32" s="25">
        <v>1</v>
      </c>
      <c r="AB32" s="25" t="s">
        <v>3</v>
      </c>
      <c r="AC32" s="25">
        <v>1</v>
      </c>
      <c r="AD32" s="25">
        <v>0</v>
      </c>
      <c r="AE32" s="25" t="s">
        <v>19</v>
      </c>
      <c r="AF32" s="34">
        <v>4</v>
      </c>
    </row>
    <row r="33" spans="1:32" s="34" customFormat="1" x14ac:dyDescent="0.2">
      <c r="A33" s="25">
        <v>29</v>
      </c>
      <c r="B33" s="25" t="s">
        <v>72</v>
      </c>
      <c r="C33" s="25" t="s">
        <v>65</v>
      </c>
      <c r="D33" s="25" t="s">
        <v>70</v>
      </c>
      <c r="E33" s="25" t="s">
        <v>69</v>
      </c>
      <c r="F33" s="26">
        <v>46980</v>
      </c>
      <c r="G33" s="25" t="s">
        <v>71</v>
      </c>
      <c r="H33" s="27">
        <v>39.505189999999999</v>
      </c>
      <c r="I33" s="27">
        <v>-0.441577</v>
      </c>
      <c r="J33" s="25">
        <v>67</v>
      </c>
      <c r="K33" s="25" t="s">
        <v>66</v>
      </c>
      <c r="L33" s="25" t="s">
        <v>38</v>
      </c>
      <c r="M33" s="25"/>
      <c r="N33" s="25"/>
      <c r="O33" s="28" t="str">
        <f t="shared" si="4"/>
        <v>A_Pt_VLC_1_221007</v>
      </c>
      <c r="P33" s="29">
        <v>44841</v>
      </c>
      <c r="Q33" s="30">
        <v>0.75</v>
      </c>
      <c r="R33" s="28"/>
      <c r="S33" s="29">
        <v>44848</v>
      </c>
      <c r="T33" s="32">
        <v>0.70833333333333304</v>
      </c>
      <c r="U33" s="25"/>
      <c r="V33" s="25" t="s">
        <v>40</v>
      </c>
      <c r="W33" s="33"/>
      <c r="X33" s="25">
        <f t="shared" si="0"/>
        <v>7</v>
      </c>
      <c r="Y33" s="25"/>
      <c r="Z33" s="25" t="s">
        <v>10</v>
      </c>
      <c r="AA33" s="25">
        <v>81</v>
      </c>
      <c r="AB33" s="25" t="s">
        <v>3</v>
      </c>
      <c r="AC33" s="25">
        <v>32</v>
      </c>
      <c r="AD33" s="25">
        <v>49</v>
      </c>
      <c r="AE33" s="25" t="s">
        <v>19</v>
      </c>
      <c r="AF33" s="34">
        <v>4</v>
      </c>
    </row>
    <row r="34" spans="1:32" s="34" customFormat="1" x14ac:dyDescent="0.2">
      <c r="A34" s="25">
        <v>30</v>
      </c>
      <c r="B34" s="25" t="s">
        <v>72</v>
      </c>
      <c r="C34" s="25" t="s">
        <v>65</v>
      </c>
      <c r="D34" s="25" t="s">
        <v>70</v>
      </c>
      <c r="E34" s="25" t="s">
        <v>69</v>
      </c>
      <c r="F34" s="26">
        <v>46980</v>
      </c>
      <c r="G34" s="25" t="s">
        <v>71</v>
      </c>
      <c r="H34" s="27">
        <v>39.505189999999999</v>
      </c>
      <c r="I34" s="27">
        <v>-0.441577</v>
      </c>
      <c r="J34" s="25">
        <v>67</v>
      </c>
      <c r="K34" s="25" t="s">
        <v>66</v>
      </c>
      <c r="L34" s="25" t="s">
        <v>38</v>
      </c>
      <c r="M34" s="25"/>
      <c r="N34" s="25"/>
      <c r="O34" s="28" t="str">
        <f t="shared" si="4"/>
        <v>A_Pt_VLC_1_221014</v>
      </c>
      <c r="P34" s="29">
        <v>44848</v>
      </c>
      <c r="Q34" s="30">
        <v>0.75</v>
      </c>
      <c r="R34" s="28"/>
      <c r="S34" s="29">
        <v>44855</v>
      </c>
      <c r="T34" s="32">
        <v>0.70833333333333304</v>
      </c>
      <c r="U34" s="25"/>
      <c r="V34" s="25" t="s">
        <v>40</v>
      </c>
      <c r="W34" s="33"/>
      <c r="X34" s="25">
        <f t="shared" si="0"/>
        <v>7</v>
      </c>
      <c r="Y34" s="25"/>
      <c r="Z34" s="25" t="s">
        <v>67</v>
      </c>
      <c r="AA34" s="25">
        <v>2</v>
      </c>
      <c r="AB34" s="25" t="s">
        <v>3</v>
      </c>
      <c r="AC34" s="25">
        <v>2</v>
      </c>
      <c r="AD34" s="25">
        <v>0</v>
      </c>
      <c r="AE34" s="25" t="s">
        <v>19</v>
      </c>
      <c r="AF34" s="34">
        <v>4</v>
      </c>
    </row>
    <row r="35" spans="1:32" s="34" customFormat="1" x14ac:dyDescent="0.2">
      <c r="A35" s="25">
        <v>31</v>
      </c>
      <c r="B35" s="25" t="s">
        <v>72</v>
      </c>
      <c r="C35" s="25" t="s">
        <v>65</v>
      </c>
      <c r="D35" s="25" t="s">
        <v>70</v>
      </c>
      <c r="E35" s="25" t="s">
        <v>69</v>
      </c>
      <c r="F35" s="26">
        <v>46980</v>
      </c>
      <c r="G35" s="25" t="s">
        <v>71</v>
      </c>
      <c r="H35" s="27">
        <v>39.505189999999999</v>
      </c>
      <c r="I35" s="27">
        <v>-0.441577</v>
      </c>
      <c r="J35" s="25">
        <v>67</v>
      </c>
      <c r="K35" s="25" t="s">
        <v>66</v>
      </c>
      <c r="L35" s="25" t="s">
        <v>38</v>
      </c>
      <c r="M35" s="25"/>
      <c r="N35" s="25"/>
      <c r="O35" s="28" t="str">
        <f t="shared" si="4"/>
        <v>A_Pt_VLC_1_221014</v>
      </c>
      <c r="P35" s="29">
        <v>44848</v>
      </c>
      <c r="Q35" s="30">
        <v>0.75</v>
      </c>
      <c r="R35" s="28"/>
      <c r="S35" s="29">
        <v>44855</v>
      </c>
      <c r="T35" s="32">
        <v>0.70833333333333304</v>
      </c>
      <c r="U35" s="25"/>
      <c r="V35" s="25" t="s">
        <v>40</v>
      </c>
      <c r="W35" s="33"/>
      <c r="X35" s="25">
        <f t="shared" si="0"/>
        <v>7</v>
      </c>
      <c r="Y35" s="25"/>
      <c r="Z35" s="25" t="s">
        <v>10</v>
      </c>
      <c r="AA35" s="25">
        <v>34</v>
      </c>
      <c r="AB35" s="25" t="s">
        <v>3</v>
      </c>
      <c r="AC35" s="25">
        <v>21</v>
      </c>
      <c r="AD35" s="25">
        <v>13</v>
      </c>
      <c r="AE35" s="25" t="s">
        <v>19</v>
      </c>
      <c r="AF35" s="34">
        <v>4</v>
      </c>
    </row>
    <row r="36" spans="1:32" s="34" customFormat="1" x14ac:dyDescent="0.2">
      <c r="A36" s="25">
        <v>32</v>
      </c>
      <c r="B36" s="25" t="s">
        <v>72</v>
      </c>
      <c r="C36" s="25" t="s">
        <v>65</v>
      </c>
      <c r="D36" s="25" t="s">
        <v>70</v>
      </c>
      <c r="E36" s="25" t="s">
        <v>69</v>
      </c>
      <c r="F36" s="26">
        <v>46980</v>
      </c>
      <c r="G36" s="25" t="s">
        <v>71</v>
      </c>
      <c r="H36" s="27">
        <v>39.505189999999999</v>
      </c>
      <c r="I36" s="27">
        <v>-0.441577</v>
      </c>
      <c r="J36" s="25">
        <v>67</v>
      </c>
      <c r="K36" s="25" t="s">
        <v>66</v>
      </c>
      <c r="L36" s="25" t="s">
        <v>38</v>
      </c>
      <c r="M36" s="25"/>
      <c r="N36" s="25"/>
      <c r="O36" s="28" t="str">
        <f t="shared" si="4"/>
        <v>A_Pt_VLC_1_221021</v>
      </c>
      <c r="P36" s="29">
        <v>44855</v>
      </c>
      <c r="Q36" s="30">
        <v>0.75</v>
      </c>
      <c r="R36" s="28"/>
      <c r="S36" s="29">
        <v>44862</v>
      </c>
      <c r="T36" s="32">
        <v>0.70833333333333304</v>
      </c>
      <c r="U36" s="25"/>
      <c r="V36" s="25" t="s">
        <v>40</v>
      </c>
      <c r="W36" s="33"/>
      <c r="X36" s="25">
        <f t="shared" si="0"/>
        <v>7</v>
      </c>
      <c r="Y36" s="25"/>
      <c r="Z36" s="25" t="s">
        <v>67</v>
      </c>
      <c r="AA36" s="25">
        <v>49</v>
      </c>
      <c r="AB36" s="25" t="s">
        <v>3</v>
      </c>
      <c r="AC36" s="25">
        <v>41</v>
      </c>
      <c r="AD36" s="25">
        <v>3</v>
      </c>
      <c r="AE36" s="25" t="s">
        <v>19</v>
      </c>
      <c r="AF36" s="34">
        <v>4</v>
      </c>
    </row>
    <row r="37" spans="1:32" s="34" customFormat="1" x14ac:dyDescent="0.2">
      <c r="A37" s="25">
        <v>33</v>
      </c>
      <c r="B37" s="25" t="s">
        <v>72</v>
      </c>
      <c r="C37" s="25" t="s">
        <v>65</v>
      </c>
      <c r="D37" s="25" t="s">
        <v>70</v>
      </c>
      <c r="E37" s="25" t="s">
        <v>69</v>
      </c>
      <c r="F37" s="26">
        <v>46980</v>
      </c>
      <c r="G37" s="25" t="s">
        <v>71</v>
      </c>
      <c r="H37" s="27">
        <v>39.505189999999999</v>
      </c>
      <c r="I37" s="27">
        <v>-0.441577</v>
      </c>
      <c r="J37" s="25">
        <v>67</v>
      </c>
      <c r="K37" s="25" t="s">
        <v>66</v>
      </c>
      <c r="L37" s="25" t="s">
        <v>38</v>
      </c>
      <c r="M37" s="25"/>
      <c r="N37" s="25"/>
      <c r="O37" s="28" t="str">
        <f t="shared" si="4"/>
        <v>A_Pt_VLC_1_221028</v>
      </c>
      <c r="P37" s="29">
        <v>44862</v>
      </c>
      <c r="Q37" s="30">
        <v>0.75</v>
      </c>
      <c r="R37" s="28"/>
      <c r="S37" s="29">
        <v>44869</v>
      </c>
      <c r="T37" s="32">
        <v>0.70833333333333304</v>
      </c>
      <c r="U37" s="25"/>
      <c r="V37" s="25" t="s">
        <v>40</v>
      </c>
      <c r="W37" s="33"/>
      <c r="X37" s="25">
        <f t="shared" si="0"/>
        <v>7</v>
      </c>
      <c r="Y37" s="25"/>
      <c r="Z37" s="25" t="s">
        <v>10</v>
      </c>
      <c r="AA37" s="25">
        <v>23</v>
      </c>
      <c r="AB37" s="25" t="s">
        <v>3</v>
      </c>
      <c r="AC37" s="25">
        <v>20</v>
      </c>
      <c r="AD37" s="25">
        <v>3</v>
      </c>
      <c r="AE37" s="25" t="s">
        <v>19</v>
      </c>
      <c r="AF37" s="34">
        <v>4</v>
      </c>
    </row>
    <row r="38" spans="1:32" s="34" customFormat="1" x14ac:dyDescent="0.2">
      <c r="A38" s="25">
        <v>34</v>
      </c>
      <c r="B38" s="25" t="s">
        <v>72</v>
      </c>
      <c r="C38" s="25" t="s">
        <v>65</v>
      </c>
      <c r="D38" s="25" t="s">
        <v>70</v>
      </c>
      <c r="E38" s="25" t="s">
        <v>69</v>
      </c>
      <c r="F38" s="26">
        <v>46980</v>
      </c>
      <c r="G38" s="25" t="s">
        <v>71</v>
      </c>
      <c r="H38" s="27">
        <v>39.505189999999999</v>
      </c>
      <c r="I38" s="27">
        <v>-0.441577</v>
      </c>
      <c r="J38" s="25">
        <v>67</v>
      </c>
      <c r="K38" s="25" t="s">
        <v>66</v>
      </c>
      <c r="L38" s="25" t="s">
        <v>38</v>
      </c>
      <c r="M38" s="25"/>
      <c r="N38" s="25"/>
      <c r="O38" s="28" t="str">
        <f t="shared" si="4"/>
        <v>A_Pt_VLC_1_221104</v>
      </c>
      <c r="P38" s="29">
        <v>44869</v>
      </c>
      <c r="Q38" s="30">
        <v>0.75</v>
      </c>
      <c r="R38" s="28"/>
      <c r="S38" s="29">
        <v>44876</v>
      </c>
      <c r="T38" s="32">
        <v>0.70833333333333304</v>
      </c>
      <c r="U38" s="25"/>
      <c r="V38" s="25" t="s">
        <v>40</v>
      </c>
      <c r="W38" s="33"/>
      <c r="X38" s="25">
        <f t="shared" si="0"/>
        <v>7</v>
      </c>
      <c r="Y38" s="25"/>
      <c r="Z38" s="25" t="s">
        <v>10</v>
      </c>
      <c r="AA38" s="25">
        <v>10</v>
      </c>
      <c r="AB38" s="25" t="s">
        <v>3</v>
      </c>
      <c r="AC38" s="25">
        <v>10</v>
      </c>
      <c r="AD38" s="25">
        <v>0</v>
      </c>
      <c r="AE38" s="25" t="s">
        <v>19</v>
      </c>
      <c r="AF38" s="34">
        <v>4</v>
      </c>
    </row>
    <row r="39" spans="1:32" s="34" customFormat="1" x14ac:dyDescent="0.2">
      <c r="A39" s="25">
        <v>35</v>
      </c>
      <c r="B39" s="25" t="s">
        <v>72</v>
      </c>
      <c r="C39" s="25" t="s">
        <v>65</v>
      </c>
      <c r="D39" s="25" t="s">
        <v>70</v>
      </c>
      <c r="E39" s="25" t="s">
        <v>69</v>
      </c>
      <c r="F39" s="26">
        <v>46980</v>
      </c>
      <c r="G39" s="25" t="s">
        <v>71</v>
      </c>
      <c r="H39" s="27">
        <v>39.505189999999999</v>
      </c>
      <c r="I39" s="27">
        <v>-0.441577</v>
      </c>
      <c r="J39" s="25">
        <v>67</v>
      </c>
      <c r="K39" s="25" t="s">
        <v>66</v>
      </c>
      <c r="L39" s="25" t="s">
        <v>38</v>
      </c>
      <c r="M39" s="25"/>
      <c r="N39" s="25"/>
      <c r="O39" s="28" t="str">
        <f t="shared" si="4"/>
        <v>A_Pt_VLC_1_221104</v>
      </c>
      <c r="P39" s="29">
        <v>44869</v>
      </c>
      <c r="Q39" s="30">
        <v>0.75</v>
      </c>
      <c r="R39" s="28"/>
      <c r="S39" s="29">
        <v>44876</v>
      </c>
      <c r="T39" s="32">
        <v>0.70833333333333304</v>
      </c>
      <c r="U39" s="25"/>
      <c r="V39" s="25" t="s">
        <v>40</v>
      </c>
      <c r="W39" s="33"/>
      <c r="X39" s="25">
        <f t="shared" si="0"/>
        <v>7</v>
      </c>
      <c r="Y39" s="25"/>
      <c r="Z39" s="25" t="s">
        <v>67</v>
      </c>
      <c r="AA39" s="25">
        <v>1</v>
      </c>
      <c r="AB39" s="25" t="s">
        <v>3</v>
      </c>
      <c r="AC39" s="25">
        <v>1</v>
      </c>
      <c r="AD39" s="25">
        <v>0</v>
      </c>
      <c r="AE39" s="25" t="s">
        <v>19</v>
      </c>
      <c r="AF39" s="34">
        <v>4</v>
      </c>
    </row>
    <row r="40" spans="1:32" s="34" customFormat="1" x14ac:dyDescent="0.2">
      <c r="A40" s="25">
        <v>36</v>
      </c>
      <c r="B40" s="25" t="s">
        <v>72</v>
      </c>
      <c r="C40" s="25" t="s">
        <v>65</v>
      </c>
      <c r="D40" s="25" t="s">
        <v>70</v>
      </c>
      <c r="E40" s="25" t="s">
        <v>69</v>
      </c>
      <c r="F40" s="26">
        <v>46980</v>
      </c>
      <c r="G40" s="25" t="s">
        <v>71</v>
      </c>
      <c r="H40" s="27">
        <v>39.505189999999999</v>
      </c>
      <c r="I40" s="27">
        <v>-0.441577</v>
      </c>
      <c r="J40" s="25">
        <v>67</v>
      </c>
      <c r="K40" s="25" t="s">
        <v>66</v>
      </c>
      <c r="L40" s="25" t="s">
        <v>38</v>
      </c>
      <c r="M40" s="25"/>
      <c r="N40" s="25"/>
      <c r="O40" s="28" t="str">
        <f t="shared" si="4"/>
        <v>A_Pt_VLC_1_221104</v>
      </c>
      <c r="P40" s="29">
        <v>44869</v>
      </c>
      <c r="Q40" s="30">
        <v>0.75</v>
      </c>
      <c r="R40" s="28"/>
      <c r="S40" s="29">
        <v>44876</v>
      </c>
      <c r="T40" s="32">
        <v>0.70833333333333304</v>
      </c>
      <c r="U40" s="25"/>
      <c r="V40" s="25" t="s">
        <v>40</v>
      </c>
      <c r="W40" s="33"/>
      <c r="X40" s="25">
        <f t="shared" si="0"/>
        <v>7</v>
      </c>
      <c r="Y40" s="25"/>
      <c r="Z40" s="25" t="s">
        <v>68</v>
      </c>
      <c r="AA40" s="25">
        <v>1</v>
      </c>
      <c r="AB40" s="25" t="s">
        <v>3</v>
      </c>
      <c r="AC40" s="25">
        <v>0</v>
      </c>
      <c r="AD40" s="25">
        <v>1</v>
      </c>
      <c r="AE40" s="25" t="s">
        <v>19</v>
      </c>
      <c r="AF40" s="34">
        <v>4</v>
      </c>
    </row>
    <row r="41" spans="1:32" s="34" customFormat="1" x14ac:dyDescent="0.2">
      <c r="A41" s="25">
        <v>37</v>
      </c>
      <c r="B41" s="25" t="s">
        <v>72</v>
      </c>
      <c r="C41" s="25" t="s">
        <v>65</v>
      </c>
      <c r="D41" s="25" t="s">
        <v>70</v>
      </c>
      <c r="E41" s="25" t="s">
        <v>69</v>
      </c>
      <c r="F41" s="26">
        <v>46980</v>
      </c>
      <c r="G41" s="25" t="s">
        <v>71</v>
      </c>
      <c r="H41" s="27">
        <v>39.505189999999999</v>
      </c>
      <c r="I41" s="27">
        <v>-0.441577</v>
      </c>
      <c r="J41" s="25">
        <v>67</v>
      </c>
      <c r="K41" s="25" t="s">
        <v>66</v>
      </c>
      <c r="L41" s="25" t="s">
        <v>38</v>
      </c>
      <c r="M41" s="25"/>
      <c r="N41" s="25"/>
      <c r="O41" s="28" t="str">
        <f t="shared" si="4"/>
        <v>A_Pt_VLC_1_221111</v>
      </c>
      <c r="P41" s="29">
        <v>44876</v>
      </c>
      <c r="Q41" s="30">
        <v>0.75</v>
      </c>
      <c r="R41" s="28"/>
      <c r="S41" s="29">
        <v>44883</v>
      </c>
      <c r="T41" s="32">
        <v>0.70833333333333304</v>
      </c>
      <c r="U41" s="25"/>
      <c r="V41" s="25" t="s">
        <v>40</v>
      </c>
      <c r="W41" s="33"/>
      <c r="X41" s="25">
        <f t="shared" si="0"/>
        <v>7</v>
      </c>
      <c r="Y41" s="25"/>
      <c r="Z41" s="25" t="s">
        <v>67</v>
      </c>
      <c r="AA41" s="25">
        <v>19</v>
      </c>
      <c r="AB41" s="25" t="s">
        <v>3</v>
      </c>
      <c r="AC41" s="25">
        <v>19</v>
      </c>
      <c r="AD41" s="25">
        <v>0</v>
      </c>
      <c r="AE41" s="25" t="s">
        <v>19</v>
      </c>
      <c r="AF41" s="34">
        <v>4</v>
      </c>
    </row>
    <row r="42" spans="1:32" s="34" customFormat="1" x14ac:dyDescent="0.2">
      <c r="A42" s="25">
        <v>38</v>
      </c>
      <c r="B42" s="25" t="s">
        <v>72</v>
      </c>
      <c r="C42" s="25" t="s">
        <v>65</v>
      </c>
      <c r="D42" s="25" t="s">
        <v>70</v>
      </c>
      <c r="E42" s="25" t="s">
        <v>69</v>
      </c>
      <c r="F42" s="26">
        <v>46980</v>
      </c>
      <c r="G42" s="25" t="s">
        <v>71</v>
      </c>
      <c r="H42" s="27">
        <v>39.505189999999999</v>
      </c>
      <c r="I42" s="27">
        <v>-0.441577</v>
      </c>
      <c r="J42" s="25">
        <v>67</v>
      </c>
      <c r="K42" s="25" t="s">
        <v>66</v>
      </c>
      <c r="L42" s="25" t="s">
        <v>38</v>
      </c>
      <c r="M42" s="25"/>
      <c r="N42" s="25"/>
      <c r="O42" s="28" t="str">
        <f>G42&amp;"_"&amp;TEXT(P43,"AAMMDD")</f>
        <v>A_Pt_VLC_1_221118</v>
      </c>
      <c r="P42" s="29">
        <v>44883</v>
      </c>
      <c r="Q42" s="30">
        <v>0.75</v>
      </c>
      <c r="R42" s="28"/>
      <c r="S42" s="29">
        <v>44890</v>
      </c>
      <c r="T42" s="32">
        <v>0.70833333333333304</v>
      </c>
      <c r="U42" s="25"/>
      <c r="V42" s="25" t="s">
        <v>40</v>
      </c>
      <c r="W42" s="33"/>
      <c r="X42" s="25">
        <f t="shared" si="0"/>
        <v>7</v>
      </c>
      <c r="Y42" s="25"/>
      <c r="Z42" s="25" t="s">
        <v>68</v>
      </c>
      <c r="AA42" s="25">
        <v>2</v>
      </c>
      <c r="AB42" s="25" t="s">
        <v>3</v>
      </c>
      <c r="AC42" s="25">
        <v>2</v>
      </c>
      <c r="AD42" s="25">
        <v>0</v>
      </c>
      <c r="AE42" s="25" t="s">
        <v>19</v>
      </c>
      <c r="AF42" s="34">
        <v>4</v>
      </c>
    </row>
    <row r="43" spans="1:32" s="34" customFormat="1" x14ac:dyDescent="0.2">
      <c r="A43" s="25">
        <v>39</v>
      </c>
      <c r="B43" s="25" t="s">
        <v>72</v>
      </c>
      <c r="C43" s="25" t="s">
        <v>65</v>
      </c>
      <c r="D43" s="25" t="s">
        <v>70</v>
      </c>
      <c r="E43" s="25" t="s">
        <v>69</v>
      </c>
      <c r="F43" s="26">
        <v>46980</v>
      </c>
      <c r="G43" s="25" t="s">
        <v>71</v>
      </c>
      <c r="H43" s="27">
        <v>39.505189999999999</v>
      </c>
      <c r="I43" s="27">
        <v>-0.441577</v>
      </c>
      <c r="J43" s="25">
        <v>67</v>
      </c>
      <c r="K43" s="25" t="s">
        <v>66</v>
      </c>
      <c r="L43" s="25" t="s">
        <v>38</v>
      </c>
      <c r="M43" s="25"/>
      <c r="N43" s="25"/>
      <c r="O43" s="28" t="str">
        <f t="shared" ref="O43" si="7">G43&amp;"_"&amp;TEXT(P44,"AAMMDD")</f>
        <v>A_Pt_VLC_1_221118</v>
      </c>
      <c r="P43" s="29">
        <v>44883</v>
      </c>
      <c r="Q43" s="30">
        <v>0.75</v>
      </c>
      <c r="R43" s="28"/>
      <c r="S43" s="29">
        <v>44890</v>
      </c>
      <c r="T43" s="32">
        <v>0.70833333333333304</v>
      </c>
      <c r="U43" s="25"/>
      <c r="V43" s="25" t="s">
        <v>40</v>
      </c>
      <c r="W43" s="33"/>
      <c r="X43" s="25">
        <f t="shared" si="0"/>
        <v>7</v>
      </c>
      <c r="Y43" s="25"/>
      <c r="Z43" s="25" t="s">
        <v>67</v>
      </c>
      <c r="AA43" s="25">
        <v>6</v>
      </c>
      <c r="AB43" s="25" t="s">
        <v>3</v>
      </c>
      <c r="AC43" s="25">
        <v>6</v>
      </c>
      <c r="AD43" s="25">
        <v>0</v>
      </c>
      <c r="AE43" s="25" t="s">
        <v>19</v>
      </c>
      <c r="AF43" s="34">
        <v>4</v>
      </c>
    </row>
    <row r="44" spans="1:32" s="34" customFormat="1" x14ac:dyDescent="0.2">
      <c r="A44" s="25">
        <v>40</v>
      </c>
      <c r="B44" s="25" t="s">
        <v>72</v>
      </c>
      <c r="C44" s="25" t="s">
        <v>65</v>
      </c>
      <c r="D44" s="25" t="s">
        <v>70</v>
      </c>
      <c r="E44" s="25" t="s">
        <v>69</v>
      </c>
      <c r="F44" s="26">
        <v>46980</v>
      </c>
      <c r="G44" s="25" t="s">
        <v>71</v>
      </c>
      <c r="H44" s="27">
        <v>39.505189999999999</v>
      </c>
      <c r="I44" s="27">
        <v>-0.441577</v>
      </c>
      <c r="J44" s="25">
        <v>67</v>
      </c>
      <c r="K44" s="25" t="s">
        <v>66</v>
      </c>
      <c r="L44" s="25" t="s">
        <v>38</v>
      </c>
      <c r="M44" s="25"/>
      <c r="N44" s="25"/>
      <c r="O44" s="28" t="str">
        <f>G44&amp;"_"&amp;TEXT(P45,"AAMMDD")</f>
        <v>A_Pt_VLC_1_221125</v>
      </c>
      <c r="P44" s="29">
        <v>44883</v>
      </c>
      <c r="Q44" s="30">
        <v>0.75</v>
      </c>
      <c r="R44" s="28"/>
      <c r="S44" s="29">
        <v>44890</v>
      </c>
      <c r="T44" s="32">
        <v>0.70833333333333304</v>
      </c>
      <c r="U44" s="25"/>
      <c r="V44" s="25" t="s">
        <v>40</v>
      </c>
      <c r="W44" s="33"/>
      <c r="X44" s="25">
        <f t="shared" si="0"/>
        <v>7</v>
      </c>
      <c r="Y44" s="25"/>
      <c r="Z44" s="25" t="s">
        <v>10</v>
      </c>
      <c r="AA44" s="25">
        <v>4</v>
      </c>
      <c r="AB44" s="25" t="s">
        <v>3</v>
      </c>
      <c r="AC44" s="25">
        <v>4</v>
      </c>
      <c r="AD44" s="25">
        <v>0</v>
      </c>
      <c r="AE44" s="25" t="s">
        <v>19</v>
      </c>
      <c r="AF44" s="34">
        <v>4</v>
      </c>
    </row>
    <row r="45" spans="1:32" s="34" customFormat="1" x14ac:dyDescent="0.2">
      <c r="A45" s="25">
        <v>41</v>
      </c>
      <c r="B45" s="25" t="s">
        <v>72</v>
      </c>
      <c r="C45" s="25" t="s">
        <v>65</v>
      </c>
      <c r="D45" s="25" t="s">
        <v>70</v>
      </c>
      <c r="E45" s="25" t="s">
        <v>69</v>
      </c>
      <c r="F45" s="26">
        <v>46980</v>
      </c>
      <c r="G45" s="25" t="s">
        <v>71</v>
      </c>
      <c r="H45" s="27">
        <v>39.505189999999999</v>
      </c>
      <c r="I45" s="27">
        <v>-0.441577</v>
      </c>
      <c r="J45" s="25">
        <v>67</v>
      </c>
      <c r="K45" s="25" t="s">
        <v>66</v>
      </c>
      <c r="L45" s="25" t="s">
        <v>38</v>
      </c>
      <c r="M45" s="25"/>
      <c r="N45" s="25"/>
      <c r="O45" s="28" t="str">
        <f t="shared" si="4"/>
        <v>A_Pt_VLC_1_221125</v>
      </c>
      <c r="P45" s="29">
        <v>44890</v>
      </c>
      <c r="Q45" s="30">
        <v>0.75</v>
      </c>
      <c r="R45" s="28"/>
      <c r="S45" s="29">
        <v>44897</v>
      </c>
      <c r="T45" s="32">
        <v>0.70833333333333304</v>
      </c>
      <c r="U45" s="25"/>
      <c r="V45" s="25" t="s">
        <v>40</v>
      </c>
      <c r="W45" s="33"/>
      <c r="X45" s="25">
        <f t="shared" si="0"/>
        <v>7</v>
      </c>
      <c r="Y45" s="25"/>
      <c r="Z45" s="25" t="s">
        <v>10</v>
      </c>
      <c r="AA45" s="25">
        <f t="shared" si="3"/>
        <v>2</v>
      </c>
      <c r="AB45" s="25" t="s">
        <v>3</v>
      </c>
      <c r="AC45" s="25">
        <v>2</v>
      </c>
      <c r="AD45" s="25">
        <v>0</v>
      </c>
      <c r="AE45" s="25" t="s">
        <v>19</v>
      </c>
      <c r="AF45" s="34">
        <v>4</v>
      </c>
    </row>
    <row r="46" spans="1:32" x14ac:dyDescent="0.2">
      <c r="A46" s="3"/>
      <c r="B46" s="3"/>
      <c r="H46" s="17"/>
      <c r="I46" s="17"/>
      <c r="O46" s="18"/>
      <c r="P46" s="19"/>
      <c r="Q46" s="20"/>
      <c r="R46" s="21"/>
      <c r="T46" s="22"/>
      <c r="U46" s="23"/>
      <c r="W46" s="24"/>
      <c r="Y46" s="23"/>
    </row>
    <row r="47" spans="1:32" x14ac:dyDescent="0.2">
      <c r="A47" s="3"/>
      <c r="B47" s="3"/>
      <c r="H47" s="17"/>
      <c r="I47" s="17"/>
      <c r="O47" s="18"/>
      <c r="P47" s="19"/>
      <c r="Q47" s="20"/>
      <c r="R47" s="21"/>
      <c r="T47" s="22"/>
      <c r="U47" s="23"/>
      <c r="W47" s="24"/>
      <c r="Y47" s="23"/>
    </row>
    <row r="48" spans="1:32" x14ac:dyDescent="0.2">
      <c r="A48" s="3"/>
      <c r="B48" s="3"/>
      <c r="H48" s="17"/>
      <c r="I48" s="17"/>
      <c r="O48" s="18"/>
      <c r="P48" s="19"/>
      <c r="Q48" s="20"/>
      <c r="R48" s="21"/>
      <c r="T48" s="22"/>
      <c r="U48" s="23"/>
      <c r="W48" s="24"/>
      <c r="Y48" s="23"/>
    </row>
    <row r="49" spans="1:25" x14ac:dyDescent="0.2">
      <c r="A49" s="3"/>
      <c r="B49" s="3"/>
      <c r="H49" s="17"/>
      <c r="I49" s="17"/>
      <c r="O49" s="18"/>
      <c r="P49" s="19"/>
      <c r="Q49" s="20"/>
      <c r="R49" s="21"/>
      <c r="T49" s="22"/>
      <c r="U49" s="23"/>
      <c r="W49" s="24"/>
      <c r="Y49" s="23"/>
    </row>
    <row r="50" spans="1:25" x14ac:dyDescent="0.2">
      <c r="A50" s="3"/>
      <c r="B50" s="3"/>
      <c r="H50" s="17"/>
      <c r="I50" s="17"/>
      <c r="O50" s="18"/>
      <c r="P50" s="19"/>
      <c r="Q50" s="20"/>
      <c r="R50" s="21"/>
      <c r="T50" s="22"/>
      <c r="U50" s="23"/>
      <c r="W50" s="24"/>
      <c r="Y50" s="23"/>
    </row>
    <row r="51" spans="1:25" x14ac:dyDescent="0.2">
      <c r="A51" s="3"/>
      <c r="B51" s="3"/>
      <c r="H51" s="17"/>
      <c r="I51" s="17"/>
      <c r="O51" s="18"/>
      <c r="P51" s="19"/>
      <c r="Q51" s="20"/>
      <c r="R51" s="21"/>
      <c r="T51" s="22"/>
      <c r="U51" s="23"/>
      <c r="W51" s="24"/>
      <c r="Y51" s="23"/>
    </row>
    <row r="52" spans="1:25" x14ac:dyDescent="0.2">
      <c r="A52" s="3"/>
      <c r="B52" s="3"/>
      <c r="H52" s="17"/>
      <c r="I52" s="17"/>
      <c r="O52" s="18"/>
      <c r="P52" s="19"/>
      <c r="Q52" s="20"/>
      <c r="R52" s="21"/>
      <c r="T52" s="22"/>
      <c r="U52" s="23"/>
      <c r="W52" s="24"/>
      <c r="Y52" s="23"/>
    </row>
    <row r="53" spans="1:25" x14ac:dyDescent="0.2">
      <c r="A53" s="3"/>
      <c r="B53" s="3"/>
      <c r="H53" s="17"/>
      <c r="I53" s="17"/>
      <c r="O53" s="18"/>
      <c r="P53" s="19"/>
      <c r="Q53" s="20"/>
      <c r="R53" s="21"/>
      <c r="T53" s="22"/>
      <c r="U53" s="23"/>
      <c r="W53" s="24"/>
      <c r="Y53" s="23"/>
    </row>
    <row r="54" spans="1:25" x14ac:dyDescent="0.2">
      <c r="A54" s="3"/>
      <c r="B54" s="3"/>
      <c r="H54" s="17"/>
      <c r="I54" s="17"/>
      <c r="O54" s="18"/>
      <c r="P54" s="19"/>
      <c r="Q54" s="20"/>
      <c r="R54" s="21"/>
      <c r="T54" s="22"/>
      <c r="U54" s="23"/>
      <c r="W54" s="24"/>
      <c r="Y54" s="23"/>
    </row>
    <row r="55" spans="1:25" x14ac:dyDescent="0.2">
      <c r="A55" s="3"/>
      <c r="B55" s="3"/>
      <c r="H55" s="17"/>
      <c r="I55" s="17"/>
      <c r="O55" s="18"/>
      <c r="P55" s="19"/>
      <c r="Q55" s="20"/>
      <c r="R55" s="21"/>
      <c r="T55" s="22"/>
      <c r="U55" s="23"/>
      <c r="W55" s="24"/>
      <c r="Y55" s="23"/>
    </row>
    <row r="56" spans="1:25" x14ac:dyDescent="0.2">
      <c r="A56" s="3"/>
      <c r="B56" s="3"/>
      <c r="H56" s="17"/>
      <c r="I56" s="17"/>
      <c r="O56" s="18"/>
      <c r="P56" s="19"/>
      <c r="Q56" s="20"/>
      <c r="R56" s="21"/>
      <c r="T56" s="22"/>
      <c r="U56" s="23"/>
      <c r="W56" s="24"/>
      <c r="Y56" s="23"/>
    </row>
    <row r="57" spans="1:25" x14ac:dyDescent="0.2">
      <c r="A57" s="3"/>
      <c r="B57" s="3"/>
      <c r="H57" s="17"/>
      <c r="I57" s="17"/>
      <c r="O57" s="18"/>
      <c r="P57" s="19"/>
      <c r="Q57" s="20"/>
      <c r="R57" s="21"/>
      <c r="T57" s="22"/>
      <c r="U57" s="23"/>
      <c r="W57" s="24"/>
      <c r="Y57" s="23"/>
    </row>
    <row r="58" spans="1:25" x14ac:dyDescent="0.2">
      <c r="A58" s="3"/>
      <c r="B58" s="3"/>
      <c r="H58" s="17"/>
      <c r="I58" s="17"/>
      <c r="O58" s="18"/>
      <c r="P58" s="19"/>
      <c r="Q58" s="20"/>
      <c r="R58" s="21"/>
      <c r="T58" s="22"/>
      <c r="U58" s="23"/>
      <c r="W58" s="24"/>
      <c r="Y58" s="23"/>
    </row>
    <row r="59" spans="1:25" x14ac:dyDescent="0.2">
      <c r="A59" s="3"/>
      <c r="B59" s="3"/>
      <c r="H59" s="17"/>
      <c r="I59" s="17"/>
      <c r="O59" s="18"/>
      <c r="P59" s="19"/>
      <c r="Q59" s="20"/>
      <c r="R59" s="21"/>
      <c r="T59" s="22"/>
      <c r="U59" s="23"/>
      <c r="W59" s="24"/>
      <c r="Y59" s="23"/>
    </row>
    <row r="60" spans="1:25" x14ac:dyDescent="0.2">
      <c r="A60" s="3"/>
      <c r="B60" s="3"/>
      <c r="H60" s="17"/>
      <c r="I60" s="17"/>
      <c r="O60" s="18"/>
      <c r="P60" s="19"/>
      <c r="Q60" s="20"/>
      <c r="R60" s="21"/>
      <c r="T60" s="22"/>
      <c r="U60" s="23"/>
      <c r="W60" s="24"/>
      <c r="Y60" s="23"/>
    </row>
    <row r="61" spans="1:25" x14ac:dyDescent="0.2">
      <c r="A61" s="3"/>
      <c r="B61" s="3"/>
      <c r="H61" s="17"/>
      <c r="I61" s="17"/>
      <c r="O61" s="18"/>
      <c r="P61" s="19"/>
      <c r="Q61" s="20"/>
      <c r="R61" s="21"/>
      <c r="T61" s="22"/>
      <c r="U61" s="23"/>
      <c r="W61" s="24"/>
      <c r="Y61" s="23"/>
    </row>
    <row r="62" spans="1:25" x14ac:dyDescent="0.2">
      <c r="A62" s="3"/>
      <c r="B62" s="3"/>
      <c r="H62" s="17"/>
      <c r="I62" s="17"/>
      <c r="O62" s="18"/>
      <c r="P62" s="19"/>
      <c r="Q62" s="20"/>
      <c r="R62" s="21"/>
      <c r="T62" s="22"/>
      <c r="U62" s="23"/>
      <c r="W62" s="24"/>
      <c r="Y62" s="23"/>
    </row>
    <row r="63" spans="1:25" x14ac:dyDescent="0.2">
      <c r="A63" s="3"/>
      <c r="B63" s="3"/>
      <c r="H63" s="17"/>
      <c r="I63" s="17"/>
      <c r="O63" s="18"/>
      <c r="P63" s="19"/>
      <c r="Q63" s="20"/>
      <c r="R63" s="21"/>
      <c r="T63" s="22"/>
      <c r="U63" s="23"/>
      <c r="W63" s="24"/>
      <c r="Y63" s="23"/>
    </row>
    <row r="64" spans="1:25" x14ac:dyDescent="0.2">
      <c r="A64" s="3"/>
      <c r="B64" s="3"/>
      <c r="H64" s="17"/>
      <c r="I64" s="17"/>
      <c r="O64" s="18"/>
      <c r="P64" s="19"/>
      <c r="Q64" s="20"/>
      <c r="R64" s="21"/>
      <c r="T64" s="22"/>
      <c r="U64" s="23"/>
      <c r="W64" s="24"/>
      <c r="Y64" s="23"/>
    </row>
    <row r="65" spans="1:25" x14ac:dyDescent="0.2">
      <c r="A65" s="3"/>
      <c r="B65" s="3"/>
      <c r="H65" s="17"/>
      <c r="I65" s="17"/>
      <c r="O65" s="18"/>
      <c r="P65" s="19"/>
      <c r="Q65" s="20"/>
      <c r="R65" s="21"/>
      <c r="T65" s="22"/>
      <c r="U65" s="23"/>
      <c r="W65" s="24"/>
      <c r="Y65" s="23"/>
    </row>
    <row r="66" spans="1:25" x14ac:dyDescent="0.2">
      <c r="A66" s="3"/>
      <c r="B66" s="3"/>
      <c r="H66" s="17"/>
      <c r="I66" s="17"/>
      <c r="O66" s="18"/>
      <c r="P66" s="19"/>
      <c r="Q66" s="20"/>
      <c r="R66" s="21"/>
      <c r="T66" s="22"/>
      <c r="U66" s="23"/>
      <c r="W66" s="24"/>
      <c r="Y66" s="23"/>
    </row>
    <row r="67" spans="1:25" x14ac:dyDescent="0.2">
      <c r="A67" s="3"/>
      <c r="B67" s="3"/>
      <c r="H67" s="17"/>
      <c r="I67" s="17"/>
      <c r="O67" s="18"/>
      <c r="P67" s="19"/>
      <c r="Q67" s="20"/>
      <c r="R67" s="21"/>
      <c r="T67" s="22"/>
      <c r="U67" s="23"/>
      <c r="W67" s="24"/>
      <c r="Y67" s="23"/>
    </row>
    <row r="68" spans="1:25" x14ac:dyDescent="0.2">
      <c r="A68" s="3"/>
      <c r="B68" s="3"/>
      <c r="H68" s="17"/>
      <c r="I68" s="17"/>
      <c r="O68" s="18"/>
      <c r="P68" s="19"/>
      <c r="Q68" s="20"/>
      <c r="R68" s="21"/>
      <c r="T68" s="22"/>
      <c r="U68" s="23"/>
      <c r="W68" s="24"/>
      <c r="Y68" s="23"/>
    </row>
    <row r="69" spans="1:25" x14ac:dyDescent="0.2">
      <c r="A69" s="3"/>
      <c r="B69" s="3"/>
      <c r="H69" s="17"/>
      <c r="I69" s="17"/>
      <c r="O69" s="18"/>
      <c r="P69" s="19"/>
      <c r="Q69" s="20"/>
      <c r="R69" s="21"/>
      <c r="T69" s="22"/>
      <c r="U69" s="23"/>
      <c r="W69" s="24"/>
      <c r="Y69" s="23"/>
    </row>
    <row r="70" spans="1:25" x14ac:dyDescent="0.2">
      <c r="A70" s="3"/>
      <c r="B70" s="3"/>
      <c r="H70" s="17"/>
      <c r="I70" s="17"/>
      <c r="O70" s="18"/>
      <c r="P70" s="19"/>
      <c r="Q70" s="20"/>
      <c r="R70" s="21"/>
      <c r="T70" s="22"/>
      <c r="U70" s="23"/>
      <c r="W70" s="24"/>
      <c r="Y70" s="23"/>
    </row>
    <row r="71" spans="1:25" x14ac:dyDescent="0.2">
      <c r="A71" s="3"/>
      <c r="B71" s="3"/>
      <c r="H71" s="17"/>
      <c r="I71" s="17"/>
      <c r="O71" s="18"/>
      <c r="P71" s="19"/>
      <c r="Q71" s="20"/>
      <c r="R71" s="21"/>
      <c r="T71" s="22"/>
      <c r="U71" s="23"/>
      <c r="W71" s="24"/>
      <c r="Y71" s="23"/>
    </row>
    <row r="72" spans="1:25" x14ac:dyDescent="0.2">
      <c r="A72" s="3"/>
      <c r="B72" s="3"/>
      <c r="H72" s="17"/>
      <c r="I72" s="17"/>
      <c r="O72" s="18"/>
      <c r="P72" s="19"/>
      <c r="Q72" s="20"/>
      <c r="R72" s="21"/>
      <c r="T72" s="22"/>
      <c r="U72" s="23"/>
      <c r="W72" s="24"/>
      <c r="Y72" s="23"/>
    </row>
    <row r="73" spans="1:25" x14ac:dyDescent="0.2">
      <c r="A73" s="3"/>
      <c r="B73" s="3"/>
      <c r="H73" s="17"/>
      <c r="I73" s="17"/>
      <c r="O73" s="18"/>
      <c r="P73" s="19"/>
      <c r="Q73" s="20"/>
      <c r="R73" s="21"/>
      <c r="T73" s="22"/>
      <c r="U73" s="23"/>
      <c r="W73" s="24"/>
      <c r="Y73" s="23"/>
    </row>
    <row r="74" spans="1:25" x14ac:dyDescent="0.2">
      <c r="A74" s="3"/>
      <c r="B74" s="3"/>
      <c r="H74" s="17"/>
      <c r="I74" s="17"/>
      <c r="O74" s="18"/>
      <c r="P74" s="19"/>
      <c r="Q74" s="20"/>
      <c r="R74" s="21"/>
      <c r="T74" s="22"/>
      <c r="U74" s="23"/>
      <c r="W74" s="24"/>
      <c r="Y74" s="23"/>
    </row>
    <row r="75" spans="1:25" x14ac:dyDescent="0.2">
      <c r="A75" s="3"/>
      <c r="B75" s="3"/>
      <c r="H75" s="17"/>
      <c r="I75" s="17"/>
      <c r="O75" s="18"/>
      <c r="P75" s="19"/>
      <c r="Q75" s="20"/>
      <c r="R75" s="21"/>
      <c r="T75" s="22"/>
      <c r="U75" s="23"/>
      <c r="W75" s="24"/>
      <c r="Y75" s="23"/>
    </row>
    <row r="76" spans="1:25" x14ac:dyDescent="0.2">
      <c r="A76" s="3"/>
      <c r="B76" s="3"/>
      <c r="H76" s="17"/>
      <c r="I76" s="17"/>
      <c r="O76" s="18"/>
      <c r="P76" s="19"/>
      <c r="Q76" s="20"/>
      <c r="R76" s="21"/>
      <c r="T76" s="22"/>
      <c r="U76" s="23"/>
      <c r="W76" s="24"/>
      <c r="Y76" s="23"/>
    </row>
    <row r="77" spans="1:25" x14ac:dyDescent="0.2">
      <c r="A77" s="3"/>
      <c r="B77" s="3"/>
      <c r="H77" s="17"/>
      <c r="I77" s="17"/>
      <c r="O77" s="18"/>
      <c r="P77" s="19"/>
      <c r="Q77" s="20"/>
      <c r="R77" s="21"/>
      <c r="T77" s="22"/>
      <c r="U77" s="23"/>
      <c r="W77" s="24"/>
      <c r="Y77" s="23"/>
    </row>
    <row r="78" spans="1:25" x14ac:dyDescent="0.2">
      <c r="A78" s="3"/>
      <c r="B78" s="3"/>
      <c r="H78" s="17"/>
      <c r="I78" s="17"/>
      <c r="O78" s="18"/>
      <c r="P78" s="19"/>
      <c r="Q78" s="20"/>
      <c r="R78" s="21"/>
      <c r="T78" s="22"/>
      <c r="U78" s="23"/>
      <c r="W78" s="24"/>
      <c r="Y78" s="23"/>
    </row>
    <row r="79" spans="1:25" x14ac:dyDescent="0.2">
      <c r="A79" s="3"/>
      <c r="B79" s="3"/>
      <c r="H79" s="17"/>
      <c r="I79" s="17"/>
      <c r="O79" s="18"/>
      <c r="P79" s="19"/>
      <c r="Q79" s="20"/>
      <c r="R79" s="21"/>
      <c r="T79" s="22"/>
      <c r="U79" s="23"/>
      <c r="W79" s="24"/>
      <c r="Y79" s="23"/>
    </row>
    <row r="80" spans="1:25" x14ac:dyDescent="0.2">
      <c r="A80" s="3"/>
      <c r="B80" s="3"/>
      <c r="H80" s="17"/>
      <c r="I80" s="17"/>
      <c r="O80" s="18"/>
      <c r="P80" s="19"/>
      <c r="Q80" s="20"/>
      <c r="R80" s="21"/>
      <c r="T80" s="22"/>
      <c r="U80" s="23"/>
      <c r="W80" s="24"/>
      <c r="Y80" s="23"/>
    </row>
    <row r="81" spans="1:25" x14ac:dyDescent="0.2">
      <c r="A81" s="3"/>
      <c r="B81" s="3"/>
      <c r="H81" s="17"/>
      <c r="I81" s="17"/>
      <c r="O81" s="18"/>
      <c r="P81" s="19"/>
      <c r="Q81" s="20"/>
      <c r="R81" s="21"/>
      <c r="T81" s="22"/>
      <c r="U81" s="23"/>
      <c r="W81" s="24"/>
      <c r="Y81" s="23"/>
    </row>
    <row r="82" spans="1:25" x14ac:dyDescent="0.2">
      <c r="A82" s="3"/>
      <c r="B82" s="3"/>
      <c r="H82" s="17"/>
      <c r="I82" s="17"/>
      <c r="O82" s="18"/>
      <c r="P82" s="19"/>
      <c r="Q82" s="20"/>
      <c r="R82" s="21"/>
      <c r="T82" s="22"/>
      <c r="U82" s="23"/>
      <c r="W82" s="24"/>
      <c r="Y82" s="23"/>
    </row>
    <row r="83" spans="1:25" x14ac:dyDescent="0.2">
      <c r="A83" s="3"/>
      <c r="B83" s="3"/>
      <c r="H83" s="17"/>
      <c r="I83" s="17"/>
      <c r="O83" s="18"/>
      <c r="P83" s="19"/>
      <c r="Q83" s="20"/>
      <c r="R83" s="21"/>
      <c r="T83" s="22"/>
      <c r="U83" s="23"/>
      <c r="W83" s="24"/>
      <c r="Y83" s="23"/>
    </row>
    <row r="84" spans="1:25" x14ac:dyDescent="0.2">
      <c r="A84" s="3"/>
      <c r="B84" s="3"/>
      <c r="H84" s="17"/>
      <c r="I84" s="17"/>
      <c r="O84" s="18"/>
      <c r="P84" s="19"/>
      <c r="Q84" s="20"/>
      <c r="R84" s="21"/>
      <c r="T84" s="22"/>
      <c r="U84" s="23"/>
      <c r="W84" s="24"/>
      <c r="Y84" s="23"/>
    </row>
    <row r="85" spans="1:25" x14ac:dyDescent="0.2">
      <c r="A85" s="3"/>
      <c r="B85" s="3"/>
      <c r="H85" s="17"/>
      <c r="I85" s="17"/>
      <c r="O85" s="18"/>
      <c r="P85" s="19"/>
      <c r="Q85" s="20"/>
      <c r="R85" s="21"/>
      <c r="T85" s="22"/>
      <c r="U85" s="23"/>
      <c r="W85" s="24"/>
      <c r="Y85" s="23"/>
    </row>
    <row r="86" spans="1:25" x14ac:dyDescent="0.2">
      <c r="A86" s="3"/>
      <c r="B86" s="3"/>
      <c r="H86" s="17"/>
      <c r="I86" s="17"/>
      <c r="O86" s="18"/>
      <c r="P86" s="19"/>
      <c r="Q86" s="20"/>
      <c r="R86" s="21"/>
      <c r="T86" s="22"/>
      <c r="U86" s="23"/>
      <c r="W86" s="24"/>
      <c r="Y86" s="23"/>
    </row>
    <row r="87" spans="1:25" x14ac:dyDescent="0.2">
      <c r="A87" s="3"/>
      <c r="B87" s="3"/>
      <c r="H87" s="17"/>
      <c r="I87" s="17"/>
      <c r="O87" s="18"/>
      <c r="P87" s="19"/>
      <c r="Q87" s="20"/>
      <c r="R87" s="21"/>
      <c r="T87" s="22"/>
      <c r="U87" s="23"/>
      <c r="W87" s="24"/>
      <c r="Y87" s="23"/>
    </row>
    <row r="88" spans="1:25" x14ac:dyDescent="0.2">
      <c r="A88" s="3"/>
      <c r="B88" s="3"/>
      <c r="H88" s="17"/>
      <c r="I88" s="17"/>
      <c r="O88" s="18"/>
      <c r="P88" s="19"/>
      <c r="Q88" s="20"/>
      <c r="R88" s="21"/>
      <c r="T88" s="22"/>
      <c r="U88" s="23"/>
      <c r="W88" s="24"/>
      <c r="Y88" s="23"/>
    </row>
    <row r="89" spans="1:25" x14ac:dyDescent="0.2">
      <c r="A89" s="3"/>
      <c r="B89" s="3"/>
      <c r="H89" s="17"/>
      <c r="I89" s="17"/>
      <c r="O89" s="18"/>
      <c r="P89" s="19"/>
      <c r="Q89" s="20"/>
      <c r="R89" s="21"/>
      <c r="T89" s="22"/>
      <c r="U89" s="23"/>
      <c r="W89" s="24"/>
      <c r="Y89" s="23"/>
    </row>
    <row r="90" spans="1:25" x14ac:dyDescent="0.2">
      <c r="A90" s="3"/>
      <c r="B90" s="3"/>
      <c r="H90" s="17"/>
      <c r="I90" s="17"/>
      <c r="O90" s="18"/>
      <c r="P90" s="19"/>
      <c r="Q90" s="20"/>
      <c r="R90" s="21"/>
      <c r="T90" s="22"/>
      <c r="U90" s="23"/>
      <c r="W90" s="24"/>
      <c r="Y90" s="23"/>
    </row>
    <row r="91" spans="1:25" x14ac:dyDescent="0.2">
      <c r="A91" s="3"/>
      <c r="B91" s="3"/>
      <c r="H91" s="17"/>
      <c r="I91" s="17"/>
      <c r="O91" s="18"/>
      <c r="P91" s="19"/>
      <c r="Q91" s="20"/>
      <c r="R91" s="21"/>
      <c r="T91" s="22"/>
      <c r="U91" s="23"/>
      <c r="W91" s="24"/>
      <c r="Y91" s="23"/>
    </row>
    <row r="92" spans="1:25" x14ac:dyDescent="0.2">
      <c r="A92" s="3"/>
      <c r="B92" s="3"/>
      <c r="H92" s="17"/>
      <c r="I92" s="17"/>
      <c r="O92" s="18"/>
      <c r="P92" s="19"/>
      <c r="Q92" s="20"/>
      <c r="R92" s="21"/>
      <c r="T92" s="22"/>
      <c r="U92" s="23"/>
      <c r="W92" s="24"/>
      <c r="Y92" s="23"/>
    </row>
    <row r="93" spans="1:25" x14ac:dyDescent="0.2">
      <c r="A93" s="3"/>
      <c r="B93" s="3"/>
      <c r="H93" s="17"/>
      <c r="I93" s="17"/>
      <c r="O93" s="18"/>
      <c r="P93" s="19"/>
      <c r="Q93" s="20"/>
      <c r="R93" s="21"/>
      <c r="T93" s="22"/>
      <c r="U93" s="23"/>
      <c r="W93" s="24"/>
      <c r="Y93" s="23"/>
    </row>
    <row r="94" spans="1:25" x14ac:dyDescent="0.2">
      <c r="A94" s="3"/>
      <c r="B94" s="3"/>
      <c r="H94" s="17"/>
      <c r="I94" s="17"/>
      <c r="O94" s="18"/>
      <c r="P94" s="19"/>
      <c r="Q94" s="20"/>
      <c r="R94" s="21"/>
      <c r="T94" s="22"/>
      <c r="U94" s="23"/>
      <c r="W94" s="24"/>
      <c r="Y94" s="23"/>
    </row>
    <row r="95" spans="1:25" x14ac:dyDescent="0.2">
      <c r="A95" s="3"/>
      <c r="B95" s="3"/>
      <c r="H95" s="17"/>
      <c r="I95" s="17"/>
      <c r="O95" s="18"/>
      <c r="P95" s="19"/>
      <c r="Q95" s="20"/>
      <c r="R95" s="21"/>
      <c r="T95" s="22"/>
      <c r="U95" s="23"/>
      <c r="W95" s="24"/>
      <c r="Y95" s="23"/>
    </row>
    <row r="96" spans="1:25" x14ac:dyDescent="0.2">
      <c r="A96" s="3"/>
      <c r="B96" s="3"/>
      <c r="H96" s="17"/>
      <c r="I96" s="17"/>
      <c r="O96" s="18"/>
      <c r="P96" s="19"/>
      <c r="Q96" s="20"/>
      <c r="R96" s="21"/>
      <c r="T96" s="22"/>
      <c r="U96" s="23"/>
      <c r="W96" s="24"/>
      <c r="Y96" s="23"/>
    </row>
    <row r="97" spans="1:25" x14ac:dyDescent="0.2">
      <c r="A97" s="3"/>
      <c r="B97" s="3"/>
      <c r="H97" s="17"/>
      <c r="I97" s="17"/>
      <c r="O97" s="18"/>
      <c r="P97" s="19"/>
      <c r="Q97" s="20"/>
      <c r="R97" s="21"/>
      <c r="T97" s="22"/>
      <c r="U97" s="23"/>
      <c r="W97" s="24"/>
      <c r="Y97" s="23"/>
    </row>
    <row r="98" spans="1:25" x14ac:dyDescent="0.2">
      <c r="A98" s="3"/>
      <c r="B98" s="3"/>
      <c r="H98" s="17"/>
      <c r="I98" s="17"/>
      <c r="O98" s="18"/>
      <c r="P98" s="19"/>
      <c r="Q98" s="20"/>
      <c r="R98" s="21"/>
      <c r="T98" s="22"/>
      <c r="U98" s="23"/>
      <c r="W98" s="24"/>
      <c r="Y98" s="23"/>
    </row>
    <row r="99" spans="1:25" x14ac:dyDescent="0.2">
      <c r="A99" s="3"/>
      <c r="B99" s="3"/>
      <c r="H99" s="17"/>
      <c r="I99" s="17"/>
      <c r="O99" s="18"/>
      <c r="P99" s="19"/>
      <c r="Q99" s="20"/>
      <c r="R99" s="21"/>
      <c r="T99" s="22"/>
      <c r="U99" s="23"/>
      <c r="W99" s="24"/>
      <c r="Y99" s="23"/>
    </row>
    <row r="100" spans="1:25" x14ac:dyDescent="0.2">
      <c r="A100" s="3"/>
      <c r="B100" s="3"/>
      <c r="H100" s="17"/>
      <c r="I100" s="17"/>
      <c r="O100" s="18"/>
      <c r="P100" s="19"/>
      <c r="Q100" s="20"/>
      <c r="R100" s="21"/>
      <c r="T100" s="22"/>
      <c r="U100" s="23"/>
      <c r="W100" s="24"/>
      <c r="Y100" s="23"/>
    </row>
    <row r="101" spans="1:25" x14ac:dyDescent="0.2">
      <c r="A101" s="3"/>
      <c r="B101" s="3"/>
      <c r="H101" s="17"/>
      <c r="I101" s="17"/>
      <c r="O101" s="18"/>
      <c r="P101" s="19"/>
      <c r="Q101" s="20"/>
      <c r="R101" s="21"/>
      <c r="T101" s="22"/>
      <c r="U101" s="23"/>
      <c r="W101" s="24"/>
      <c r="Y101" s="23"/>
    </row>
    <row r="102" spans="1:25" x14ac:dyDescent="0.2">
      <c r="A102" s="3"/>
      <c r="B102" s="3"/>
      <c r="H102" s="17"/>
      <c r="I102" s="17"/>
      <c r="O102" s="18"/>
      <c r="P102" s="19"/>
      <c r="Q102" s="20"/>
      <c r="R102" s="21"/>
      <c r="T102" s="22"/>
      <c r="U102" s="23"/>
      <c r="W102" s="24"/>
      <c r="Y102" s="23"/>
    </row>
    <row r="103" spans="1:25" x14ac:dyDescent="0.2">
      <c r="A103" s="3"/>
      <c r="B103" s="3"/>
      <c r="H103" s="17"/>
      <c r="I103" s="17"/>
      <c r="O103" s="18"/>
      <c r="P103" s="19"/>
      <c r="Q103" s="20"/>
      <c r="R103" s="21"/>
      <c r="T103" s="22"/>
      <c r="U103" s="23"/>
      <c r="W103" s="24"/>
      <c r="Y103" s="23"/>
    </row>
    <row r="104" spans="1:25" x14ac:dyDescent="0.2">
      <c r="A104" s="3"/>
      <c r="B104" s="3"/>
      <c r="H104" s="17"/>
      <c r="I104" s="17"/>
      <c r="O104" s="18"/>
      <c r="P104" s="19"/>
      <c r="Q104" s="20"/>
      <c r="R104" s="21"/>
      <c r="T104" s="22"/>
      <c r="U104" s="23"/>
      <c r="W104" s="24"/>
      <c r="Y104" s="23"/>
    </row>
    <row r="105" spans="1:25" x14ac:dyDescent="0.2">
      <c r="A105" s="3"/>
      <c r="B105" s="3"/>
      <c r="H105" s="17"/>
      <c r="I105" s="17"/>
      <c r="O105" s="18"/>
      <c r="P105" s="19"/>
      <c r="Q105" s="20"/>
      <c r="R105" s="21"/>
      <c r="T105" s="22"/>
      <c r="U105" s="23"/>
      <c r="W105" s="24"/>
      <c r="Y105" s="23"/>
    </row>
    <row r="106" spans="1:25" x14ac:dyDescent="0.2">
      <c r="A106" s="3"/>
      <c r="B106" s="3"/>
      <c r="H106" s="17"/>
      <c r="I106" s="17"/>
      <c r="O106" s="18"/>
      <c r="P106" s="19"/>
      <c r="Q106" s="20"/>
      <c r="R106" s="21"/>
      <c r="T106" s="22"/>
      <c r="U106" s="23"/>
      <c r="W106" s="24"/>
      <c r="Y106" s="23"/>
    </row>
    <row r="107" spans="1:25" x14ac:dyDescent="0.2">
      <c r="A107" s="3"/>
      <c r="B107" s="3"/>
      <c r="H107" s="17"/>
      <c r="I107" s="17"/>
      <c r="O107" s="18"/>
      <c r="P107" s="19"/>
      <c r="Q107" s="20"/>
      <c r="R107" s="21"/>
      <c r="T107" s="22"/>
      <c r="U107" s="23"/>
      <c r="W107" s="24"/>
      <c r="Y107" s="23"/>
    </row>
    <row r="108" spans="1:25" x14ac:dyDescent="0.2">
      <c r="A108" s="3"/>
      <c r="B108" s="3"/>
      <c r="H108" s="17"/>
      <c r="I108" s="17"/>
      <c r="O108" s="18"/>
      <c r="P108" s="19"/>
      <c r="Q108" s="20"/>
      <c r="R108" s="21"/>
      <c r="T108" s="22"/>
      <c r="U108" s="23"/>
      <c r="W108" s="24"/>
      <c r="Y108" s="23"/>
    </row>
    <row r="109" spans="1:25" x14ac:dyDescent="0.2">
      <c r="A109" s="3"/>
      <c r="B109" s="3"/>
      <c r="H109" s="17"/>
      <c r="I109" s="17"/>
      <c r="O109" s="18"/>
      <c r="P109" s="19"/>
      <c r="Q109" s="20"/>
      <c r="R109" s="21"/>
      <c r="T109" s="22"/>
      <c r="U109" s="23"/>
      <c r="W109" s="24"/>
      <c r="Y109" s="23"/>
    </row>
    <row r="110" spans="1:25" x14ac:dyDescent="0.2">
      <c r="A110" s="3"/>
      <c r="B110" s="3"/>
      <c r="H110" s="17"/>
      <c r="I110" s="17"/>
      <c r="O110" s="18"/>
      <c r="P110" s="19"/>
      <c r="Q110" s="20"/>
      <c r="R110" s="21"/>
      <c r="T110" s="22"/>
      <c r="U110" s="23"/>
      <c r="W110" s="24"/>
      <c r="Y110" s="23"/>
    </row>
    <row r="111" spans="1:25" x14ac:dyDescent="0.2">
      <c r="A111" s="3"/>
      <c r="B111" s="3"/>
      <c r="H111" s="17"/>
      <c r="I111" s="17"/>
      <c r="O111" s="18"/>
      <c r="P111" s="19"/>
      <c r="Q111" s="20"/>
      <c r="R111" s="21"/>
      <c r="T111" s="22"/>
      <c r="U111" s="23"/>
      <c r="W111" s="24"/>
      <c r="Y111" s="23"/>
    </row>
    <row r="112" spans="1:25" x14ac:dyDescent="0.2">
      <c r="A112" s="3"/>
      <c r="B112" s="3"/>
      <c r="H112" s="17"/>
      <c r="I112" s="17"/>
      <c r="O112" s="18"/>
      <c r="P112" s="19"/>
      <c r="Q112" s="20"/>
      <c r="R112" s="21"/>
      <c r="T112" s="22"/>
      <c r="U112" s="23"/>
      <c r="W112" s="24"/>
      <c r="Y112" s="23"/>
    </row>
    <row r="113" spans="1:25" x14ac:dyDescent="0.2">
      <c r="A113" s="3"/>
      <c r="B113" s="3"/>
      <c r="H113" s="17"/>
      <c r="I113" s="17"/>
      <c r="O113" s="18"/>
      <c r="P113" s="19"/>
      <c r="Q113" s="20"/>
      <c r="R113" s="21"/>
      <c r="T113" s="22"/>
      <c r="U113" s="23"/>
      <c r="W113" s="24"/>
      <c r="Y113" s="23"/>
    </row>
    <row r="114" spans="1:25" x14ac:dyDescent="0.2">
      <c r="A114" s="3"/>
      <c r="B114" s="3"/>
      <c r="H114" s="17"/>
      <c r="I114" s="17"/>
      <c r="O114" s="18"/>
      <c r="P114" s="19"/>
      <c r="Q114" s="20"/>
      <c r="R114" s="21"/>
      <c r="T114" s="22"/>
      <c r="U114" s="23"/>
      <c r="W114" s="24"/>
      <c r="Y114" s="23"/>
    </row>
    <row r="115" spans="1:25" x14ac:dyDescent="0.2">
      <c r="A115" s="3"/>
      <c r="B115" s="3"/>
      <c r="H115" s="17"/>
      <c r="I115" s="17"/>
      <c r="O115" s="18"/>
      <c r="P115" s="19"/>
      <c r="Q115" s="20"/>
      <c r="R115" s="21"/>
      <c r="T115" s="22"/>
      <c r="U115" s="23"/>
      <c r="W115" s="24"/>
      <c r="Y115" s="23"/>
    </row>
    <row r="116" spans="1:25" x14ac:dyDescent="0.2">
      <c r="A116" s="3"/>
      <c r="B116" s="3"/>
      <c r="H116" s="17"/>
      <c r="I116" s="17"/>
      <c r="O116" s="18"/>
      <c r="P116" s="19"/>
      <c r="Q116" s="20"/>
      <c r="R116" s="21"/>
      <c r="T116" s="22"/>
      <c r="U116" s="23"/>
      <c r="W116" s="24"/>
      <c r="Y116" s="23"/>
    </row>
    <row r="117" spans="1:25" x14ac:dyDescent="0.2">
      <c r="A117" s="3"/>
      <c r="B117" s="3"/>
      <c r="H117" s="17"/>
      <c r="I117" s="17"/>
      <c r="O117" s="18"/>
      <c r="P117" s="19"/>
      <c r="Q117" s="20"/>
      <c r="R117" s="21"/>
      <c r="T117" s="22"/>
      <c r="U117" s="23"/>
      <c r="W117" s="24"/>
      <c r="Y117" s="23"/>
    </row>
    <row r="118" spans="1:25" x14ac:dyDescent="0.2">
      <c r="A118" s="3"/>
      <c r="B118" s="3"/>
      <c r="H118" s="17"/>
      <c r="I118" s="17"/>
      <c r="O118" s="18"/>
      <c r="P118" s="19"/>
      <c r="Q118" s="20"/>
      <c r="R118" s="21"/>
      <c r="T118" s="22"/>
      <c r="U118" s="23"/>
      <c r="W118" s="24"/>
      <c r="Y118" s="23"/>
    </row>
    <row r="119" spans="1:25" x14ac:dyDescent="0.2">
      <c r="A119" s="3"/>
      <c r="B119" s="3"/>
      <c r="H119" s="17"/>
      <c r="I119" s="17"/>
      <c r="O119" s="18"/>
      <c r="P119" s="19"/>
      <c r="Q119" s="20"/>
      <c r="R119" s="21"/>
      <c r="T119" s="22"/>
      <c r="U119" s="23"/>
      <c r="W119" s="24"/>
      <c r="Y119" s="23"/>
    </row>
    <row r="120" spans="1:25" x14ac:dyDescent="0.2">
      <c r="A120" s="3"/>
      <c r="B120" s="3"/>
      <c r="H120" s="17"/>
      <c r="I120" s="17"/>
      <c r="O120" s="18"/>
      <c r="P120" s="19"/>
      <c r="Q120" s="20"/>
      <c r="R120" s="21"/>
      <c r="T120" s="22"/>
      <c r="U120" s="23"/>
      <c r="W120" s="24"/>
      <c r="Y120" s="23"/>
    </row>
    <row r="121" spans="1:25" x14ac:dyDescent="0.2">
      <c r="A121" s="3"/>
      <c r="B121" s="3"/>
      <c r="H121" s="17"/>
      <c r="I121" s="17"/>
      <c r="O121" s="18"/>
      <c r="P121" s="19"/>
      <c r="Q121" s="20"/>
      <c r="R121" s="21"/>
      <c r="T121" s="22"/>
      <c r="U121" s="23"/>
      <c r="W121" s="24"/>
      <c r="Y121" s="23"/>
    </row>
    <row r="122" spans="1:25" x14ac:dyDescent="0.2">
      <c r="A122" s="3"/>
      <c r="B122" s="3"/>
      <c r="H122" s="17"/>
      <c r="I122" s="17"/>
      <c r="O122" s="18"/>
      <c r="P122" s="19"/>
      <c r="Q122" s="20"/>
      <c r="R122" s="21"/>
      <c r="T122" s="22"/>
      <c r="U122" s="23"/>
      <c r="W122" s="24"/>
      <c r="Y122" s="23"/>
    </row>
    <row r="123" spans="1:25" x14ac:dyDescent="0.2">
      <c r="A123" s="3"/>
      <c r="B123" s="3"/>
      <c r="H123" s="17"/>
      <c r="I123" s="17"/>
      <c r="O123" s="18"/>
      <c r="P123" s="19"/>
      <c r="Q123" s="20"/>
      <c r="R123" s="21"/>
      <c r="T123" s="22"/>
      <c r="U123" s="23"/>
      <c r="W123" s="24"/>
      <c r="Y123" s="23"/>
    </row>
    <row r="124" spans="1:25" x14ac:dyDescent="0.2">
      <c r="A124" s="3"/>
      <c r="B124" s="3"/>
      <c r="H124" s="17"/>
      <c r="I124" s="17"/>
      <c r="O124" s="18"/>
      <c r="P124" s="19"/>
      <c r="Q124" s="20"/>
      <c r="R124" s="21"/>
      <c r="T124" s="22"/>
      <c r="U124" s="23"/>
      <c r="W124" s="24"/>
      <c r="Y124" s="23"/>
    </row>
    <row r="125" spans="1:25" x14ac:dyDescent="0.2">
      <c r="A125" s="3"/>
      <c r="B125" s="3"/>
      <c r="H125" s="17"/>
      <c r="I125" s="17"/>
      <c r="O125" s="18"/>
      <c r="P125" s="19"/>
      <c r="Q125" s="20"/>
      <c r="R125" s="21"/>
      <c r="T125" s="22"/>
      <c r="U125" s="23"/>
      <c r="W125" s="24"/>
      <c r="Y125" s="23"/>
    </row>
    <row r="126" spans="1:25" x14ac:dyDescent="0.2">
      <c r="A126" s="3"/>
      <c r="B126" s="3"/>
      <c r="H126" s="17"/>
      <c r="I126" s="17"/>
      <c r="O126" s="18"/>
      <c r="P126" s="19"/>
      <c r="Q126" s="20"/>
      <c r="R126" s="21"/>
      <c r="T126" s="22"/>
      <c r="U126" s="23"/>
      <c r="W126" s="24"/>
      <c r="Y126" s="23"/>
    </row>
    <row r="127" spans="1:25" x14ac:dyDescent="0.2">
      <c r="A127" s="3"/>
      <c r="B127" s="3"/>
      <c r="H127" s="17"/>
      <c r="I127" s="17"/>
      <c r="O127" s="18"/>
      <c r="P127" s="19"/>
      <c r="Q127" s="20"/>
      <c r="R127" s="21"/>
      <c r="T127" s="22"/>
      <c r="U127" s="23"/>
      <c r="W127" s="24"/>
      <c r="Y127" s="23"/>
    </row>
    <row r="128" spans="1:25" x14ac:dyDescent="0.2">
      <c r="A128" s="3"/>
      <c r="B128" s="3"/>
      <c r="H128" s="17"/>
      <c r="I128" s="17"/>
      <c r="O128" s="18"/>
      <c r="P128" s="19"/>
      <c r="Q128" s="20"/>
      <c r="R128" s="21"/>
      <c r="T128" s="22"/>
      <c r="U128" s="23"/>
      <c r="W128" s="24"/>
      <c r="Y128" s="23"/>
    </row>
    <row r="129" spans="1:25" x14ac:dyDescent="0.2">
      <c r="A129" s="3"/>
      <c r="B129" s="3"/>
      <c r="H129" s="17"/>
      <c r="I129" s="17"/>
      <c r="O129" s="18"/>
      <c r="P129" s="19"/>
      <c r="Q129" s="20"/>
      <c r="R129" s="21"/>
      <c r="T129" s="22"/>
      <c r="U129" s="23"/>
      <c r="W129" s="24"/>
      <c r="Y129" s="23"/>
    </row>
    <row r="130" spans="1:25" x14ac:dyDescent="0.2">
      <c r="A130" s="3"/>
      <c r="B130" s="3"/>
      <c r="H130" s="17"/>
      <c r="I130" s="17"/>
      <c r="O130" s="18"/>
      <c r="P130" s="19"/>
      <c r="Q130" s="20"/>
      <c r="R130" s="21"/>
      <c r="T130" s="22"/>
      <c r="U130" s="23"/>
      <c r="W130" s="24"/>
      <c r="Y130" s="23"/>
    </row>
    <row r="131" spans="1:25" x14ac:dyDescent="0.2">
      <c r="A131" s="3"/>
      <c r="B131" s="3"/>
      <c r="H131" s="17"/>
      <c r="I131" s="17"/>
      <c r="O131" s="18"/>
      <c r="P131" s="19"/>
      <c r="Q131" s="20"/>
      <c r="R131" s="21"/>
      <c r="T131" s="22"/>
      <c r="U131" s="23"/>
      <c r="W131" s="24"/>
      <c r="Y131" s="23"/>
    </row>
    <row r="132" spans="1:25" x14ac:dyDescent="0.2">
      <c r="A132" s="3"/>
      <c r="B132" s="3"/>
      <c r="H132" s="17"/>
      <c r="I132" s="17"/>
      <c r="O132" s="18"/>
      <c r="P132" s="19"/>
      <c r="Q132" s="20"/>
      <c r="R132" s="21"/>
      <c r="T132" s="22"/>
      <c r="U132" s="23"/>
      <c r="W132" s="24"/>
      <c r="Y132" s="23"/>
    </row>
    <row r="133" spans="1:25" x14ac:dyDescent="0.2">
      <c r="A133" s="3"/>
      <c r="B133" s="3"/>
      <c r="H133" s="17"/>
      <c r="I133" s="17"/>
      <c r="O133" s="18"/>
      <c r="P133" s="19"/>
      <c r="Q133" s="20"/>
      <c r="R133" s="21"/>
      <c r="T133" s="22"/>
      <c r="U133" s="23"/>
      <c r="W133" s="24"/>
      <c r="Y133" s="23"/>
    </row>
    <row r="134" spans="1:25" x14ac:dyDescent="0.2">
      <c r="A134" s="3"/>
      <c r="B134" s="3"/>
      <c r="H134" s="17"/>
      <c r="I134" s="17"/>
      <c r="O134" s="18"/>
      <c r="P134" s="19"/>
      <c r="Q134" s="20"/>
      <c r="R134" s="21"/>
      <c r="T134" s="22"/>
      <c r="U134" s="23"/>
      <c r="W134" s="24"/>
      <c r="Y134" s="23"/>
    </row>
    <row r="135" spans="1:25" x14ac:dyDescent="0.2">
      <c r="A135" s="3"/>
      <c r="B135" s="3"/>
      <c r="H135" s="17"/>
      <c r="I135" s="17"/>
      <c r="O135" s="18"/>
      <c r="P135" s="19"/>
      <c r="Q135" s="20"/>
      <c r="R135" s="21"/>
      <c r="T135" s="22"/>
      <c r="U135" s="23"/>
      <c r="W135" s="24"/>
      <c r="Y135" s="23"/>
    </row>
    <row r="136" spans="1:25" x14ac:dyDescent="0.2">
      <c r="A136" s="3"/>
      <c r="B136" s="3"/>
      <c r="H136" s="17"/>
      <c r="I136" s="17"/>
      <c r="O136" s="18"/>
      <c r="P136" s="19"/>
      <c r="Q136" s="20"/>
      <c r="R136" s="21"/>
      <c r="T136" s="22"/>
      <c r="U136" s="23"/>
      <c r="W136" s="24"/>
      <c r="Y136" s="23"/>
    </row>
    <row r="137" spans="1:25" x14ac:dyDescent="0.2">
      <c r="A137" s="3"/>
      <c r="B137" s="3"/>
      <c r="H137" s="17"/>
      <c r="I137" s="17"/>
      <c r="O137" s="18"/>
      <c r="P137" s="19"/>
      <c r="Q137" s="20"/>
      <c r="R137" s="21"/>
      <c r="T137" s="22"/>
      <c r="U137" s="23"/>
      <c r="W137" s="24"/>
      <c r="Y137" s="23"/>
    </row>
    <row r="138" spans="1:25" x14ac:dyDescent="0.2">
      <c r="A138" s="3"/>
      <c r="B138" s="3"/>
      <c r="H138" s="17"/>
      <c r="I138" s="17"/>
      <c r="O138" s="18"/>
      <c r="P138" s="19"/>
      <c r="Q138" s="20"/>
      <c r="R138" s="21"/>
      <c r="T138" s="22"/>
      <c r="U138" s="23"/>
      <c r="W138" s="24"/>
      <c r="Y138" s="23"/>
    </row>
    <row r="139" spans="1:25" x14ac:dyDescent="0.2">
      <c r="A139" s="3"/>
      <c r="B139" s="3"/>
      <c r="H139" s="17"/>
      <c r="I139" s="17"/>
      <c r="O139" s="18"/>
      <c r="P139" s="19"/>
      <c r="Q139" s="20"/>
      <c r="R139" s="21"/>
      <c r="T139" s="22"/>
      <c r="U139" s="23"/>
      <c r="W139" s="24"/>
      <c r="Y139" s="23"/>
    </row>
    <row r="140" spans="1:25" x14ac:dyDescent="0.2">
      <c r="A140" s="3"/>
      <c r="B140" s="3"/>
      <c r="H140" s="17"/>
      <c r="I140" s="17"/>
      <c r="O140" s="18"/>
      <c r="P140" s="19"/>
      <c r="Q140" s="20"/>
      <c r="R140" s="21"/>
      <c r="T140" s="22"/>
      <c r="U140" s="23"/>
      <c r="W140" s="24"/>
      <c r="Y140" s="23"/>
    </row>
    <row r="141" spans="1:25" x14ac:dyDescent="0.2">
      <c r="A141" s="3"/>
      <c r="B141" s="3"/>
      <c r="H141" s="17"/>
      <c r="I141" s="17"/>
      <c r="O141" s="18"/>
      <c r="P141" s="19"/>
      <c r="Q141" s="20"/>
      <c r="R141" s="21"/>
      <c r="T141" s="22"/>
      <c r="U141" s="23"/>
      <c r="W141" s="24"/>
      <c r="Y141" s="23"/>
    </row>
    <row r="142" spans="1:25" x14ac:dyDescent="0.2">
      <c r="A142" s="3"/>
      <c r="B142" s="3"/>
      <c r="H142" s="17"/>
      <c r="I142" s="17"/>
      <c r="O142" s="18"/>
      <c r="P142" s="19"/>
      <c r="Q142" s="20"/>
      <c r="R142" s="21"/>
      <c r="T142" s="22"/>
      <c r="U142" s="23"/>
      <c r="W142" s="24"/>
      <c r="Y142" s="23"/>
    </row>
    <row r="143" spans="1:25" x14ac:dyDescent="0.2">
      <c r="A143" s="3"/>
      <c r="B143" s="3"/>
      <c r="H143" s="17"/>
      <c r="I143" s="17"/>
      <c r="O143" s="18"/>
      <c r="P143" s="19"/>
      <c r="Q143" s="20"/>
      <c r="R143" s="21"/>
      <c r="T143" s="22"/>
      <c r="U143" s="23"/>
      <c r="W143" s="24"/>
      <c r="Y143" s="23"/>
    </row>
    <row r="144" spans="1:25" x14ac:dyDescent="0.2">
      <c r="A144" s="3"/>
      <c r="B144" s="3"/>
      <c r="H144" s="17"/>
      <c r="I144" s="17"/>
      <c r="O144" s="18"/>
      <c r="P144" s="19"/>
      <c r="Q144" s="20"/>
      <c r="R144" s="21"/>
      <c r="T144" s="22"/>
      <c r="U144" s="23"/>
      <c r="W144" s="24"/>
      <c r="Y144" s="23"/>
    </row>
    <row r="145" spans="1:25" x14ac:dyDescent="0.2">
      <c r="A145" s="3"/>
      <c r="B145" s="3"/>
      <c r="H145" s="17"/>
      <c r="I145" s="17"/>
      <c r="O145" s="18"/>
      <c r="P145" s="19"/>
      <c r="Q145" s="20"/>
      <c r="R145" s="21"/>
      <c r="T145" s="22"/>
      <c r="U145" s="23"/>
      <c r="W145" s="24"/>
      <c r="Y145" s="23"/>
    </row>
    <row r="146" spans="1:25" x14ac:dyDescent="0.2">
      <c r="A146" s="3"/>
      <c r="B146" s="3"/>
      <c r="H146" s="17"/>
      <c r="I146" s="17"/>
      <c r="O146" s="18"/>
      <c r="P146" s="19"/>
      <c r="Q146" s="20"/>
      <c r="R146" s="21"/>
      <c r="T146" s="22"/>
      <c r="U146" s="23"/>
      <c r="W146" s="24"/>
      <c r="Y146" s="23"/>
    </row>
    <row r="147" spans="1:25" x14ac:dyDescent="0.2">
      <c r="A147" s="3"/>
      <c r="B147" s="3"/>
      <c r="H147" s="17"/>
      <c r="I147" s="17"/>
      <c r="O147" s="18"/>
      <c r="P147" s="19"/>
      <c r="Q147" s="20"/>
      <c r="R147" s="21"/>
      <c r="T147" s="22"/>
      <c r="U147" s="23"/>
      <c r="W147" s="24"/>
      <c r="Y147" s="23"/>
    </row>
    <row r="148" spans="1:25" x14ac:dyDescent="0.2">
      <c r="A148" s="3"/>
      <c r="B148" s="3"/>
      <c r="H148" s="17"/>
      <c r="I148" s="17"/>
      <c r="O148" s="18"/>
      <c r="P148" s="19"/>
      <c r="Q148" s="20"/>
      <c r="R148" s="21"/>
      <c r="T148" s="22"/>
      <c r="U148" s="23"/>
      <c r="W148" s="24"/>
      <c r="Y148" s="23"/>
    </row>
    <row r="149" spans="1:25" x14ac:dyDescent="0.2">
      <c r="A149" s="3"/>
      <c r="B149" s="3"/>
      <c r="H149" s="17"/>
      <c r="I149" s="17"/>
      <c r="O149" s="18"/>
      <c r="P149" s="19"/>
      <c r="Q149" s="20"/>
      <c r="R149" s="21"/>
      <c r="T149" s="22"/>
      <c r="U149" s="23"/>
      <c r="W149" s="24"/>
      <c r="Y149" s="23"/>
    </row>
    <row r="150" spans="1:25" x14ac:dyDescent="0.2">
      <c r="A150" s="3"/>
      <c r="B150" s="3"/>
      <c r="H150" s="17"/>
      <c r="I150" s="17"/>
      <c r="O150" s="18"/>
      <c r="P150" s="19"/>
      <c r="Q150" s="20"/>
      <c r="R150" s="21"/>
      <c r="T150" s="22"/>
      <c r="U150" s="23"/>
      <c r="W150" s="24"/>
      <c r="Y150" s="23"/>
    </row>
    <row r="151" spans="1:25" x14ac:dyDescent="0.2">
      <c r="A151" s="3"/>
      <c r="B151" s="3"/>
      <c r="H151" s="17"/>
      <c r="I151" s="17"/>
      <c r="O151" s="18"/>
      <c r="P151" s="19"/>
      <c r="Q151" s="20"/>
      <c r="R151" s="21"/>
      <c r="T151" s="22"/>
      <c r="U151" s="23"/>
      <c r="W151" s="24"/>
      <c r="Y151" s="23"/>
    </row>
    <row r="152" spans="1:25" x14ac:dyDescent="0.2">
      <c r="A152" s="3"/>
      <c r="B152" s="3"/>
      <c r="H152" s="17"/>
      <c r="I152" s="17"/>
      <c r="O152" s="18"/>
      <c r="P152" s="19"/>
      <c r="Q152" s="20"/>
      <c r="R152" s="21"/>
      <c r="T152" s="22"/>
      <c r="U152" s="23"/>
      <c r="W152" s="24"/>
      <c r="Y152" s="23"/>
    </row>
    <row r="153" spans="1:25" x14ac:dyDescent="0.2">
      <c r="A153" s="3"/>
      <c r="B153" s="3"/>
      <c r="H153" s="17"/>
      <c r="I153" s="17"/>
      <c r="O153" s="18"/>
      <c r="P153" s="19"/>
      <c r="Q153" s="20"/>
      <c r="R153" s="21"/>
      <c r="T153" s="22"/>
      <c r="U153" s="23"/>
      <c r="W153" s="24"/>
      <c r="Y153" s="23"/>
    </row>
    <row r="154" spans="1:25" x14ac:dyDescent="0.2">
      <c r="A154" s="3"/>
      <c r="B154" s="3"/>
      <c r="H154" s="17"/>
      <c r="I154" s="17"/>
      <c r="O154" s="18"/>
      <c r="P154" s="19"/>
      <c r="Q154" s="20"/>
      <c r="R154" s="21"/>
      <c r="T154" s="22"/>
      <c r="U154" s="23"/>
      <c r="W154" s="24"/>
      <c r="Y154" s="23"/>
    </row>
    <row r="155" spans="1:25" x14ac:dyDescent="0.2">
      <c r="A155" s="3"/>
      <c r="B155" s="3"/>
      <c r="H155" s="17"/>
      <c r="I155" s="17"/>
      <c r="O155" s="18"/>
      <c r="P155" s="19"/>
      <c r="Q155" s="20"/>
      <c r="R155" s="21"/>
      <c r="T155" s="22"/>
      <c r="U155" s="23"/>
      <c r="W155" s="24"/>
      <c r="Y155" s="23"/>
    </row>
    <row r="156" spans="1:25" x14ac:dyDescent="0.2">
      <c r="A156" s="3"/>
      <c r="B156" s="3"/>
      <c r="H156" s="17"/>
      <c r="I156" s="17"/>
      <c r="O156" s="18"/>
      <c r="P156" s="19"/>
      <c r="Q156" s="20"/>
      <c r="R156" s="21"/>
      <c r="T156" s="22"/>
      <c r="U156" s="23"/>
      <c r="W156" s="24"/>
      <c r="Y156" s="23"/>
    </row>
    <row r="157" spans="1:25" x14ac:dyDescent="0.2">
      <c r="A157" s="3"/>
      <c r="B157" s="3"/>
      <c r="H157" s="17"/>
      <c r="I157" s="17"/>
      <c r="O157" s="18"/>
      <c r="P157" s="19"/>
      <c r="Q157" s="20"/>
      <c r="R157" s="21"/>
      <c r="T157" s="22"/>
      <c r="U157" s="23"/>
      <c r="W157" s="24"/>
      <c r="Y157" s="23"/>
    </row>
    <row r="158" spans="1:25" x14ac:dyDescent="0.2">
      <c r="A158" s="3"/>
      <c r="B158" s="3"/>
      <c r="H158" s="17"/>
      <c r="I158" s="17"/>
      <c r="O158" s="18"/>
      <c r="P158" s="19"/>
      <c r="Q158" s="20"/>
      <c r="R158" s="21"/>
      <c r="T158" s="22"/>
      <c r="U158" s="23"/>
      <c r="W158" s="24"/>
      <c r="Y158" s="23"/>
    </row>
    <row r="159" spans="1:25" x14ac:dyDescent="0.2">
      <c r="A159" s="3"/>
      <c r="B159" s="3"/>
      <c r="H159" s="17"/>
      <c r="I159" s="17"/>
      <c r="O159" s="18"/>
      <c r="P159" s="19"/>
      <c r="Q159" s="20"/>
      <c r="R159" s="21"/>
      <c r="T159" s="22"/>
      <c r="U159" s="23"/>
      <c r="W159" s="24"/>
      <c r="Y159" s="23"/>
    </row>
    <row r="160" spans="1:25" x14ac:dyDescent="0.2">
      <c r="A160" s="3"/>
      <c r="B160" s="3"/>
      <c r="H160" s="17"/>
      <c r="I160" s="17"/>
      <c r="O160" s="18"/>
      <c r="P160" s="19"/>
      <c r="Q160" s="20"/>
      <c r="R160" s="21"/>
      <c r="T160" s="22"/>
      <c r="U160" s="23"/>
      <c r="W160" s="24"/>
      <c r="Y160" s="23"/>
    </row>
    <row r="161" spans="1:25" x14ac:dyDescent="0.2">
      <c r="A161" s="3"/>
      <c r="B161" s="3"/>
      <c r="H161" s="17"/>
      <c r="I161" s="17"/>
      <c r="O161" s="18"/>
      <c r="P161" s="19"/>
      <c r="Q161" s="20"/>
      <c r="R161" s="21"/>
      <c r="T161" s="22"/>
      <c r="U161" s="23"/>
      <c r="W161" s="24"/>
      <c r="Y161" s="23"/>
    </row>
    <row r="162" spans="1:25" x14ac:dyDescent="0.2">
      <c r="A162" s="3"/>
      <c r="B162" s="3"/>
      <c r="H162" s="17"/>
      <c r="I162" s="17"/>
      <c r="O162" s="18"/>
      <c r="P162" s="19"/>
      <c r="Q162" s="20"/>
      <c r="R162" s="21"/>
      <c r="T162" s="22"/>
      <c r="U162" s="23"/>
      <c r="W162" s="24"/>
      <c r="Y162" s="23"/>
    </row>
    <row r="163" spans="1:25" x14ac:dyDescent="0.2">
      <c r="A163" s="3"/>
      <c r="B163" s="3"/>
      <c r="H163" s="17"/>
      <c r="I163" s="17"/>
      <c r="O163" s="18"/>
      <c r="P163" s="19"/>
      <c r="Q163" s="20"/>
      <c r="R163" s="21"/>
      <c r="T163" s="22"/>
      <c r="U163" s="23"/>
      <c r="W163" s="24"/>
      <c r="Y163" s="23"/>
    </row>
    <row r="164" spans="1:25" x14ac:dyDescent="0.2">
      <c r="A164" s="3"/>
      <c r="B164" s="3"/>
      <c r="H164" s="17"/>
      <c r="I164" s="17"/>
      <c r="O164" s="18"/>
      <c r="P164" s="19"/>
      <c r="Q164" s="20"/>
      <c r="R164" s="21"/>
      <c r="T164" s="22"/>
      <c r="U164" s="23"/>
      <c r="W164" s="24"/>
      <c r="Y164" s="23"/>
    </row>
    <row r="165" spans="1:25" x14ac:dyDescent="0.2">
      <c r="A165" s="3"/>
      <c r="B165" s="3"/>
      <c r="H165" s="17"/>
      <c r="I165" s="17"/>
      <c r="O165" s="18"/>
      <c r="P165" s="19"/>
      <c r="Q165" s="20"/>
      <c r="R165" s="21"/>
      <c r="T165" s="22"/>
      <c r="U165" s="23"/>
      <c r="W165" s="24"/>
      <c r="Y165" s="23"/>
    </row>
    <row r="166" spans="1:25" x14ac:dyDescent="0.2">
      <c r="A166" s="3"/>
      <c r="B166" s="3"/>
      <c r="H166" s="17"/>
      <c r="I166" s="17"/>
      <c r="O166" s="18"/>
      <c r="P166" s="19"/>
      <c r="Q166" s="20"/>
      <c r="R166" s="21"/>
      <c r="T166" s="22"/>
      <c r="U166" s="23"/>
      <c r="W166" s="24"/>
      <c r="Y166" s="23"/>
    </row>
    <row r="167" spans="1:25" x14ac:dyDescent="0.2">
      <c r="A167" s="3"/>
      <c r="B167" s="3"/>
      <c r="H167" s="17"/>
      <c r="I167" s="17"/>
      <c r="O167" s="18"/>
      <c r="P167" s="19"/>
      <c r="Q167" s="20"/>
      <c r="R167" s="21"/>
      <c r="T167" s="22"/>
      <c r="U167" s="23"/>
      <c r="W167" s="24"/>
      <c r="Y167" s="23"/>
    </row>
    <row r="168" spans="1:25" x14ac:dyDescent="0.2">
      <c r="A168" s="3"/>
      <c r="B168" s="3"/>
      <c r="H168" s="17"/>
      <c r="I168" s="17"/>
      <c r="O168" s="18"/>
      <c r="P168" s="19"/>
      <c r="Q168" s="20"/>
      <c r="R168" s="21"/>
      <c r="T168" s="22"/>
      <c r="U168" s="23"/>
      <c r="W168" s="24"/>
      <c r="Y168" s="23"/>
    </row>
    <row r="169" spans="1:25" x14ac:dyDescent="0.2">
      <c r="A169" s="3"/>
      <c r="B169" s="3"/>
      <c r="H169" s="17"/>
      <c r="I169" s="17"/>
      <c r="O169" s="18"/>
      <c r="P169" s="19"/>
      <c r="Q169" s="20"/>
      <c r="R169" s="21"/>
      <c r="T169" s="22"/>
      <c r="U169" s="23"/>
      <c r="W169" s="24"/>
      <c r="Y169" s="23"/>
    </row>
    <row r="170" spans="1:25" x14ac:dyDescent="0.2">
      <c r="A170" s="3"/>
      <c r="B170" s="3"/>
      <c r="H170" s="17"/>
      <c r="I170" s="17"/>
      <c r="O170" s="18"/>
      <c r="P170" s="19"/>
      <c r="Q170" s="20"/>
      <c r="R170" s="21"/>
      <c r="T170" s="22"/>
      <c r="U170" s="23"/>
      <c r="W170" s="24"/>
      <c r="Y170" s="23"/>
    </row>
    <row r="171" spans="1:25" x14ac:dyDescent="0.2">
      <c r="A171" s="3"/>
      <c r="B171" s="3"/>
      <c r="H171" s="17"/>
      <c r="I171" s="17"/>
      <c r="O171" s="18"/>
      <c r="P171" s="19"/>
      <c r="Q171" s="20"/>
      <c r="R171" s="21"/>
      <c r="T171" s="22"/>
      <c r="U171" s="23"/>
      <c r="W171" s="24"/>
      <c r="Y171" s="23"/>
    </row>
    <row r="172" spans="1:25" x14ac:dyDescent="0.2">
      <c r="A172" s="3"/>
      <c r="B172" s="3"/>
      <c r="H172" s="17"/>
      <c r="I172" s="17"/>
      <c r="O172" s="18"/>
      <c r="P172" s="19"/>
      <c r="Q172" s="20"/>
      <c r="R172" s="21"/>
      <c r="T172" s="22"/>
      <c r="U172" s="23"/>
      <c r="W172" s="24"/>
      <c r="Y172" s="23"/>
    </row>
    <row r="173" spans="1:25" x14ac:dyDescent="0.2">
      <c r="A173" s="3"/>
      <c r="B173" s="3"/>
      <c r="H173" s="17"/>
      <c r="I173" s="17"/>
      <c r="O173" s="18"/>
      <c r="P173" s="19"/>
      <c r="Q173" s="20"/>
      <c r="R173" s="21"/>
      <c r="T173" s="22"/>
      <c r="U173" s="23"/>
      <c r="W173" s="24"/>
      <c r="Y173" s="23"/>
    </row>
    <row r="174" spans="1:25" x14ac:dyDescent="0.2">
      <c r="A174" s="3"/>
      <c r="B174" s="3"/>
      <c r="H174" s="17"/>
      <c r="I174" s="17"/>
      <c r="O174" s="18"/>
      <c r="P174" s="19"/>
      <c r="Q174" s="20"/>
      <c r="R174" s="21"/>
      <c r="T174" s="22"/>
      <c r="U174" s="23"/>
      <c r="W174" s="24"/>
      <c r="Y174" s="23"/>
    </row>
    <row r="175" spans="1:25" x14ac:dyDescent="0.2">
      <c r="A175" s="3"/>
      <c r="B175" s="3"/>
      <c r="H175" s="17"/>
      <c r="I175" s="17"/>
      <c r="O175" s="18"/>
      <c r="P175" s="19"/>
      <c r="Q175" s="20"/>
      <c r="R175" s="21"/>
      <c r="T175" s="22"/>
      <c r="U175" s="23"/>
      <c r="W175" s="24"/>
      <c r="Y175" s="23"/>
    </row>
    <row r="176" spans="1:25" x14ac:dyDescent="0.2">
      <c r="A176" s="3"/>
      <c r="B176" s="3"/>
      <c r="H176" s="17"/>
      <c r="I176" s="17"/>
      <c r="O176" s="18"/>
      <c r="P176" s="19"/>
      <c r="Q176" s="20"/>
      <c r="R176" s="21"/>
      <c r="T176" s="22"/>
      <c r="U176" s="23"/>
      <c r="W176" s="24"/>
      <c r="Y176" s="23"/>
    </row>
    <row r="177" spans="1:25" x14ac:dyDescent="0.2">
      <c r="A177" s="3"/>
      <c r="B177" s="3"/>
      <c r="H177" s="17"/>
      <c r="I177" s="17"/>
      <c r="O177" s="18"/>
      <c r="P177" s="19"/>
      <c r="Q177" s="20"/>
      <c r="R177" s="21"/>
      <c r="T177" s="22"/>
      <c r="U177" s="23"/>
      <c r="W177" s="24"/>
      <c r="Y177" s="23"/>
    </row>
    <row r="178" spans="1:25" x14ac:dyDescent="0.2">
      <c r="A178" s="3"/>
      <c r="B178" s="3"/>
      <c r="H178" s="17"/>
      <c r="I178" s="17"/>
      <c r="O178" s="18"/>
      <c r="P178" s="19"/>
      <c r="Q178" s="20"/>
      <c r="R178" s="21"/>
      <c r="T178" s="22"/>
      <c r="U178" s="23"/>
      <c r="W178" s="24"/>
      <c r="Y178" s="23"/>
    </row>
    <row r="179" spans="1:25" x14ac:dyDescent="0.2">
      <c r="A179" s="3"/>
      <c r="B179" s="3"/>
      <c r="H179" s="17"/>
      <c r="I179" s="17"/>
      <c r="O179" s="18"/>
      <c r="P179" s="19"/>
      <c r="Q179" s="20"/>
      <c r="R179" s="21"/>
      <c r="T179" s="22"/>
      <c r="U179" s="23"/>
      <c r="W179" s="24"/>
      <c r="Y179" s="23"/>
    </row>
    <row r="180" spans="1:25" x14ac:dyDescent="0.2">
      <c r="A180" s="3"/>
      <c r="B180" s="3"/>
      <c r="H180" s="17"/>
      <c r="I180" s="17"/>
      <c r="O180" s="18"/>
      <c r="P180" s="19"/>
      <c r="Q180" s="20"/>
      <c r="R180" s="21"/>
      <c r="T180" s="22"/>
      <c r="U180" s="23"/>
      <c r="W180" s="24"/>
      <c r="Y180" s="23"/>
    </row>
    <row r="181" spans="1:25" x14ac:dyDescent="0.2">
      <c r="A181" s="3"/>
      <c r="B181" s="3"/>
      <c r="H181" s="17"/>
      <c r="I181" s="17"/>
      <c r="O181" s="18"/>
      <c r="P181" s="19"/>
      <c r="Q181" s="20"/>
      <c r="R181" s="21"/>
      <c r="T181" s="22"/>
      <c r="U181" s="23"/>
      <c r="W181" s="24"/>
      <c r="Y181" s="23"/>
    </row>
    <row r="182" spans="1:25" x14ac:dyDescent="0.2">
      <c r="A182" s="3"/>
      <c r="B182" s="3"/>
      <c r="H182" s="17"/>
      <c r="I182" s="17"/>
      <c r="O182" s="18"/>
      <c r="P182" s="19"/>
      <c r="Q182" s="20"/>
      <c r="R182" s="21"/>
      <c r="T182" s="22"/>
      <c r="U182" s="23"/>
      <c r="W182" s="24"/>
      <c r="Y182" s="23"/>
    </row>
    <row r="183" spans="1:25" x14ac:dyDescent="0.2">
      <c r="A183" s="3"/>
      <c r="B183" s="3"/>
      <c r="H183" s="17"/>
      <c r="I183" s="17"/>
      <c r="O183" s="18"/>
      <c r="P183" s="19"/>
      <c r="Q183" s="20"/>
      <c r="R183" s="21"/>
      <c r="T183" s="22"/>
      <c r="U183" s="23"/>
      <c r="W183" s="24"/>
      <c r="Y183" s="23"/>
    </row>
    <row r="184" spans="1:25" x14ac:dyDescent="0.2">
      <c r="A184" s="3"/>
      <c r="B184" s="3"/>
      <c r="H184" s="17"/>
      <c r="I184" s="17"/>
      <c r="O184" s="18"/>
      <c r="P184" s="19"/>
      <c r="Q184" s="20"/>
      <c r="R184" s="21"/>
      <c r="T184" s="22"/>
      <c r="U184" s="23"/>
      <c r="W184" s="24"/>
      <c r="Y184" s="23"/>
    </row>
    <row r="185" spans="1:25" x14ac:dyDescent="0.2">
      <c r="A185" s="3"/>
      <c r="B185" s="3"/>
      <c r="H185" s="17"/>
      <c r="I185" s="17"/>
      <c r="O185" s="18"/>
      <c r="P185" s="19"/>
      <c r="Q185" s="20"/>
      <c r="R185" s="21"/>
      <c r="T185" s="22"/>
      <c r="U185" s="23"/>
      <c r="W185" s="24"/>
      <c r="Y185" s="23"/>
    </row>
    <row r="186" spans="1:25" x14ac:dyDescent="0.2">
      <c r="A186" s="3"/>
      <c r="B186" s="3"/>
      <c r="H186" s="17"/>
      <c r="I186" s="17"/>
      <c r="O186" s="18"/>
      <c r="P186" s="19"/>
      <c r="Q186" s="20"/>
      <c r="R186" s="21"/>
      <c r="T186" s="22"/>
      <c r="U186" s="23"/>
      <c r="W186" s="24"/>
      <c r="Y186" s="23"/>
    </row>
    <row r="187" spans="1:25" x14ac:dyDescent="0.2">
      <c r="A187" s="3"/>
      <c r="B187" s="3"/>
      <c r="H187" s="17"/>
      <c r="I187" s="17"/>
      <c r="O187" s="18"/>
      <c r="P187" s="19"/>
      <c r="Q187" s="20"/>
      <c r="R187" s="21"/>
      <c r="T187" s="22"/>
      <c r="U187" s="23"/>
      <c r="W187" s="24"/>
      <c r="Y187" s="23"/>
    </row>
    <row r="188" spans="1:25" x14ac:dyDescent="0.2">
      <c r="A188" s="3"/>
      <c r="B188" s="3"/>
      <c r="H188" s="17"/>
      <c r="I188" s="17"/>
      <c r="O188" s="18"/>
      <c r="P188" s="19"/>
      <c r="Q188" s="20"/>
      <c r="R188" s="21"/>
      <c r="T188" s="22"/>
      <c r="U188" s="23"/>
      <c r="W188" s="24"/>
      <c r="Y188" s="23"/>
    </row>
    <row r="189" spans="1:25" x14ac:dyDescent="0.2">
      <c r="A189" s="3"/>
      <c r="B189" s="3"/>
      <c r="H189" s="17"/>
      <c r="I189" s="17"/>
      <c r="O189" s="18"/>
      <c r="P189" s="19"/>
      <c r="Q189" s="20"/>
      <c r="R189" s="21"/>
      <c r="T189" s="22"/>
      <c r="U189" s="23"/>
      <c r="W189" s="24"/>
      <c r="Y189" s="23"/>
    </row>
    <row r="190" spans="1:25" x14ac:dyDescent="0.2">
      <c r="A190" s="3"/>
      <c r="B190" s="3"/>
      <c r="H190" s="17"/>
      <c r="I190" s="17"/>
      <c r="O190" s="18"/>
      <c r="P190" s="19"/>
      <c r="Q190" s="20"/>
      <c r="R190" s="21"/>
      <c r="T190" s="22"/>
      <c r="U190" s="23"/>
      <c r="W190" s="24"/>
      <c r="Y190" s="23"/>
    </row>
    <row r="191" spans="1:25" x14ac:dyDescent="0.2">
      <c r="A191" s="3"/>
      <c r="B191" s="3"/>
      <c r="H191" s="17"/>
      <c r="I191" s="17"/>
      <c r="O191" s="18"/>
      <c r="P191" s="19"/>
      <c r="Q191" s="20"/>
      <c r="R191" s="21"/>
      <c r="T191" s="22"/>
      <c r="U191" s="23"/>
      <c r="W191" s="24"/>
      <c r="Y191" s="23"/>
    </row>
    <row r="192" spans="1:25" x14ac:dyDescent="0.2">
      <c r="A192" s="3"/>
      <c r="B192" s="3"/>
      <c r="H192" s="17"/>
      <c r="I192" s="17"/>
      <c r="O192" s="18"/>
      <c r="P192" s="19"/>
      <c r="Q192" s="20"/>
      <c r="R192" s="21"/>
      <c r="T192" s="22"/>
      <c r="U192" s="23"/>
      <c r="W192" s="24"/>
      <c r="Y192" s="23"/>
    </row>
    <row r="193" spans="1:25" x14ac:dyDescent="0.2">
      <c r="A193" s="3"/>
      <c r="B193" s="3"/>
      <c r="H193" s="17"/>
      <c r="I193" s="17"/>
      <c r="O193" s="18"/>
      <c r="P193" s="19"/>
      <c r="Q193" s="20"/>
      <c r="R193" s="21"/>
      <c r="T193" s="22"/>
      <c r="U193" s="23"/>
      <c r="W193" s="24"/>
      <c r="Y193" s="23"/>
    </row>
    <row r="194" spans="1:25" x14ac:dyDescent="0.2">
      <c r="A194" s="3"/>
      <c r="B194" s="3"/>
      <c r="H194" s="17"/>
      <c r="I194" s="17"/>
      <c r="O194" s="18"/>
      <c r="P194" s="19"/>
      <c r="Q194" s="20"/>
      <c r="R194" s="21"/>
      <c r="T194" s="22"/>
      <c r="U194" s="23"/>
      <c r="W194" s="24"/>
      <c r="Y194" s="23"/>
    </row>
    <row r="195" spans="1:25" x14ac:dyDescent="0.2">
      <c r="A195" s="3"/>
      <c r="B195" s="3"/>
      <c r="H195" s="17"/>
      <c r="I195" s="17"/>
      <c r="O195" s="18"/>
      <c r="P195" s="19"/>
      <c r="Q195" s="20"/>
      <c r="R195" s="21"/>
      <c r="T195" s="22"/>
      <c r="U195" s="23"/>
      <c r="W195" s="24"/>
      <c r="Y195" s="23"/>
    </row>
    <row r="196" spans="1:25" x14ac:dyDescent="0.2">
      <c r="A196" s="3"/>
      <c r="B196" s="3"/>
      <c r="H196" s="17"/>
      <c r="I196" s="17"/>
      <c r="O196" s="18"/>
      <c r="P196" s="19"/>
      <c r="Q196" s="20"/>
      <c r="R196" s="21"/>
      <c r="T196" s="22"/>
      <c r="U196" s="23"/>
      <c r="W196" s="24"/>
      <c r="Y196" s="23"/>
    </row>
    <row r="197" spans="1:25" x14ac:dyDescent="0.2">
      <c r="A197" s="3"/>
      <c r="B197" s="3"/>
      <c r="H197" s="17"/>
      <c r="I197" s="17"/>
      <c r="O197" s="18"/>
      <c r="P197" s="19"/>
      <c r="Q197" s="20"/>
      <c r="R197" s="21"/>
      <c r="T197" s="22"/>
      <c r="U197" s="23"/>
      <c r="W197" s="24"/>
      <c r="Y197" s="23"/>
    </row>
    <row r="198" spans="1:25" x14ac:dyDescent="0.2">
      <c r="A198" s="3"/>
      <c r="B198" s="3"/>
      <c r="H198" s="17"/>
      <c r="I198" s="17"/>
      <c r="O198" s="18"/>
      <c r="P198" s="19"/>
      <c r="Q198" s="20"/>
      <c r="R198" s="21"/>
      <c r="T198" s="22"/>
      <c r="U198" s="23"/>
      <c r="W198" s="24"/>
      <c r="Y198" s="23"/>
    </row>
    <row r="199" spans="1:25" x14ac:dyDescent="0.2">
      <c r="A199" s="3"/>
      <c r="B199" s="3"/>
      <c r="H199" s="17"/>
      <c r="I199" s="17"/>
      <c r="O199" s="18"/>
      <c r="P199" s="19"/>
      <c r="Q199" s="20"/>
      <c r="R199" s="21"/>
      <c r="T199" s="22"/>
      <c r="U199" s="23"/>
      <c r="W199" s="24"/>
      <c r="Y199" s="23"/>
    </row>
    <row r="200" spans="1:25" x14ac:dyDescent="0.2">
      <c r="A200" s="3"/>
      <c r="B200" s="3"/>
      <c r="H200" s="17"/>
      <c r="I200" s="17"/>
      <c r="O200" s="18"/>
      <c r="P200" s="19"/>
      <c r="Q200" s="20"/>
      <c r="R200" s="21"/>
      <c r="T200" s="22"/>
      <c r="U200" s="23"/>
      <c r="W200" s="24"/>
      <c r="Y200" s="23"/>
    </row>
    <row r="201" spans="1:25" x14ac:dyDescent="0.2">
      <c r="A201" s="3"/>
      <c r="B201" s="3"/>
      <c r="H201" s="17"/>
      <c r="I201" s="17"/>
      <c r="O201" s="18"/>
      <c r="P201" s="19"/>
      <c r="Q201" s="20"/>
      <c r="R201" s="21"/>
      <c r="T201" s="22"/>
      <c r="U201" s="23"/>
      <c r="W201" s="24"/>
      <c r="Y201" s="23"/>
    </row>
    <row r="202" spans="1:25" x14ac:dyDescent="0.2">
      <c r="A202" s="3"/>
      <c r="B202" s="3"/>
      <c r="H202" s="17"/>
      <c r="I202" s="17"/>
      <c r="O202" s="18"/>
      <c r="P202" s="19"/>
      <c r="Q202" s="20"/>
      <c r="R202" s="21"/>
      <c r="T202" s="22"/>
      <c r="U202" s="23"/>
      <c r="W202" s="24"/>
      <c r="Y202" s="23"/>
    </row>
    <row r="203" spans="1:25" x14ac:dyDescent="0.2">
      <c r="A203" s="3"/>
      <c r="B203" s="3"/>
      <c r="H203" s="17"/>
      <c r="I203" s="17"/>
      <c r="O203" s="18"/>
      <c r="P203" s="19"/>
      <c r="Q203" s="20"/>
      <c r="R203" s="21"/>
      <c r="T203" s="22"/>
      <c r="U203" s="23"/>
      <c r="W203" s="24"/>
      <c r="Y203" s="23"/>
    </row>
    <row r="204" spans="1:25" x14ac:dyDescent="0.2">
      <c r="A204" s="3"/>
      <c r="B204" s="3"/>
      <c r="H204" s="17"/>
      <c r="I204" s="17"/>
      <c r="O204" s="18"/>
      <c r="P204" s="19"/>
      <c r="Q204" s="20"/>
      <c r="R204" s="21"/>
      <c r="T204" s="22"/>
      <c r="U204" s="23"/>
      <c r="W204" s="24"/>
      <c r="Y204" s="23"/>
    </row>
    <row r="205" spans="1:25" x14ac:dyDescent="0.2">
      <c r="A205" s="3"/>
      <c r="B205" s="3"/>
      <c r="H205" s="17"/>
      <c r="I205" s="17"/>
      <c r="O205" s="18"/>
      <c r="P205" s="19"/>
      <c r="Q205" s="20"/>
      <c r="R205" s="21"/>
      <c r="T205" s="22"/>
      <c r="U205" s="23"/>
      <c r="W205" s="24"/>
      <c r="Y205" s="23"/>
    </row>
    <row r="206" spans="1:25" x14ac:dyDescent="0.2">
      <c r="A206" s="3"/>
      <c r="B206" s="3"/>
      <c r="H206" s="17"/>
      <c r="I206" s="17"/>
      <c r="O206" s="18"/>
      <c r="P206" s="19"/>
      <c r="Q206" s="20"/>
      <c r="R206" s="21"/>
      <c r="T206" s="22"/>
      <c r="U206" s="23"/>
      <c r="W206" s="24"/>
      <c r="Y206" s="23"/>
    </row>
    <row r="207" spans="1:25" x14ac:dyDescent="0.2">
      <c r="A207" s="3"/>
      <c r="B207" s="3"/>
      <c r="H207" s="17"/>
      <c r="I207" s="17"/>
      <c r="O207" s="18"/>
      <c r="P207" s="19"/>
      <c r="Q207" s="20"/>
      <c r="R207" s="21"/>
      <c r="T207" s="22"/>
      <c r="U207" s="23"/>
      <c r="W207" s="24"/>
      <c r="Y207" s="23"/>
    </row>
    <row r="208" spans="1:25" x14ac:dyDescent="0.2">
      <c r="A208" s="3"/>
      <c r="B208" s="3"/>
      <c r="H208" s="17"/>
      <c r="I208" s="17"/>
      <c r="O208" s="18"/>
      <c r="P208" s="19"/>
      <c r="Q208" s="20"/>
      <c r="R208" s="21"/>
      <c r="T208" s="22"/>
      <c r="U208" s="23"/>
      <c r="W208" s="24"/>
      <c r="Y208" s="23"/>
    </row>
    <row r="209" spans="1:25" x14ac:dyDescent="0.2">
      <c r="A209" s="3"/>
      <c r="B209" s="3"/>
      <c r="H209" s="17"/>
      <c r="I209" s="17"/>
      <c r="O209" s="18"/>
      <c r="P209" s="19"/>
      <c r="Q209" s="20"/>
      <c r="R209" s="21"/>
      <c r="T209" s="22"/>
      <c r="U209" s="23"/>
      <c r="W209" s="24"/>
      <c r="Y209" s="23"/>
    </row>
    <row r="210" spans="1:25" x14ac:dyDescent="0.2">
      <c r="A210" s="3"/>
      <c r="B210" s="3"/>
      <c r="H210" s="17"/>
      <c r="I210" s="17"/>
      <c r="O210" s="18"/>
      <c r="P210" s="19"/>
      <c r="Q210" s="20"/>
      <c r="R210" s="21"/>
      <c r="T210" s="22"/>
      <c r="U210" s="23"/>
      <c r="W210" s="24"/>
      <c r="Y210" s="23"/>
    </row>
    <row r="211" spans="1:25" x14ac:dyDescent="0.2">
      <c r="A211" s="3"/>
      <c r="B211" s="3"/>
      <c r="H211" s="17"/>
      <c r="I211" s="17"/>
      <c r="O211" s="18"/>
      <c r="P211" s="19"/>
      <c r="Q211" s="20"/>
      <c r="R211" s="21"/>
      <c r="T211" s="22"/>
      <c r="U211" s="23"/>
      <c r="W211" s="24"/>
      <c r="Y211" s="23"/>
    </row>
    <row r="212" spans="1:25" x14ac:dyDescent="0.2">
      <c r="O212" s="15"/>
    </row>
  </sheetData>
  <mergeCells count="5">
    <mergeCell ref="A1:F2"/>
    <mergeCell ref="G1:W1"/>
    <mergeCell ref="O2:W2"/>
    <mergeCell ref="G2:N2"/>
    <mergeCell ref="Y1:AF2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 CCC-Rened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Salasan</dc:creator>
  <cp:lastModifiedBy>Roger Eritja</cp:lastModifiedBy>
  <cp:lastPrinted>2019-07-01T05:18:14Z</cp:lastPrinted>
  <dcterms:created xsi:type="dcterms:W3CDTF">2017-07-05T08:25:30Z</dcterms:created>
  <dcterms:modified xsi:type="dcterms:W3CDTF">2023-03-28T16:26:51Z</dcterms:modified>
</cp:coreProperties>
</file>