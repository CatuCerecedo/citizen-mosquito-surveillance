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Trap Data Collection &amp; Harmonization\BarcelonaCity\"/>
    </mc:Choice>
  </mc:AlternateContent>
  <xr:revisionPtr revIDLastSave="0" documentId="13_ncr:1_{3496BD74-B635-4B2F-9086-D4434D1CF9BE}" xr6:coauthVersionLast="47" xr6:coauthVersionMax="47" xr10:uidLastSave="{00000000-0000-0000-0000-000000000000}"/>
  <bookViews>
    <workbookView xWindow="-120" yWindow="-120" windowWidth="24240" windowHeight="13140" tabRatio="349" xr2:uid="{00000000-000D-0000-FFFF-FFFF00000000}"/>
  </bookViews>
  <sheets>
    <sheet name="BCN_BGs_2022" sheetId="4" r:id="rId1"/>
  </sheets>
  <definedNames>
    <definedName name="_xlnm._FilterDatabase" localSheetId="0" hidden="1">BCN_BGs_2022!$A$4:$AF$759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32" i="4" l="1"/>
  <c r="AA731" i="4"/>
  <c r="AA335" i="4"/>
  <c r="AA336" i="4"/>
  <c r="AB731" i="4"/>
  <c r="H742" i="4" l="1" a="1"/>
  <c r="H742" i="4" s="1"/>
  <c r="I742" i="4" a="1"/>
  <c r="I742" i="4" s="1"/>
  <c r="J742" i="4" a="1"/>
  <c r="J742" i="4" s="1"/>
  <c r="K742" i="4" a="1"/>
  <c r="K742" i="4" s="1"/>
  <c r="H743" i="4" a="1"/>
  <c r="H743" i="4" s="1"/>
  <c r="I743" i="4" a="1"/>
  <c r="I743" i="4" s="1"/>
  <c r="J743" i="4" a="1"/>
  <c r="J743" i="4" s="1"/>
  <c r="K743" i="4" a="1"/>
  <c r="K743" i="4" s="1"/>
  <c r="H744" i="4" a="1"/>
  <c r="H744" i="4" s="1"/>
  <c r="I744" i="4" a="1"/>
  <c r="I744" i="4" s="1"/>
  <c r="J744" i="4" a="1"/>
  <c r="J744" i="4" s="1"/>
  <c r="K744" i="4" a="1"/>
  <c r="K744" i="4" s="1"/>
  <c r="H745" i="4" a="1"/>
  <c r="H745" i="4" s="1"/>
  <c r="I745" i="4" a="1"/>
  <c r="I745" i="4" s="1"/>
  <c r="J745" i="4" a="1"/>
  <c r="J745" i="4" s="1"/>
  <c r="K745" i="4" a="1"/>
  <c r="K745" i="4" s="1"/>
  <c r="H746" i="4" a="1"/>
  <c r="H746" i="4" s="1"/>
  <c r="I746" i="4" a="1"/>
  <c r="I746" i="4" s="1"/>
  <c r="J746" i="4" a="1"/>
  <c r="J746" i="4" s="1"/>
  <c r="K746" i="4" a="1"/>
  <c r="K746" i="4" s="1"/>
  <c r="H747" i="4" a="1"/>
  <c r="H747" i="4" s="1"/>
  <c r="I747" i="4" a="1"/>
  <c r="I747" i="4" s="1"/>
  <c r="J747" i="4" a="1"/>
  <c r="J747" i="4" s="1"/>
  <c r="K747" i="4" a="1"/>
  <c r="K747" i="4" s="1"/>
  <c r="H748" i="4" a="1"/>
  <c r="H748" i="4" s="1"/>
  <c r="I748" i="4" a="1"/>
  <c r="I748" i="4" s="1"/>
  <c r="J748" i="4" a="1"/>
  <c r="J748" i="4" s="1"/>
  <c r="K748" i="4" a="1"/>
  <c r="K748" i="4" s="1"/>
  <c r="H749" i="4" a="1"/>
  <c r="H749" i="4" s="1"/>
  <c r="I749" i="4" a="1"/>
  <c r="I749" i="4" s="1"/>
  <c r="J749" i="4" a="1"/>
  <c r="J749" i="4" s="1"/>
  <c r="K749" i="4" a="1"/>
  <c r="K749" i="4" s="1"/>
  <c r="H750" i="4" a="1"/>
  <c r="H750" i="4" s="1"/>
  <c r="I750" i="4" a="1"/>
  <c r="I750" i="4" s="1"/>
  <c r="J750" i="4" a="1"/>
  <c r="J750" i="4" s="1"/>
  <c r="K750" i="4" a="1"/>
  <c r="K750" i="4" s="1"/>
  <c r="H751" i="4" a="1"/>
  <c r="H751" i="4" s="1"/>
  <c r="I751" i="4" a="1"/>
  <c r="I751" i="4" s="1"/>
  <c r="J751" i="4" a="1"/>
  <c r="J751" i="4" s="1"/>
  <c r="K751" i="4" a="1"/>
  <c r="K751" i="4" s="1"/>
  <c r="H732" i="4" a="1"/>
  <c r="H732" i="4" s="1"/>
  <c r="I732" i="4" a="1"/>
  <c r="I732" i="4" s="1"/>
  <c r="J732" i="4" a="1"/>
  <c r="J732" i="4" s="1"/>
  <c r="K732" i="4" a="1"/>
  <c r="K732" i="4" s="1"/>
  <c r="H733" i="4" a="1"/>
  <c r="H733" i="4" s="1"/>
  <c r="I733" i="4" a="1"/>
  <c r="I733" i="4" s="1"/>
  <c r="J733" i="4" a="1"/>
  <c r="J733" i="4" s="1"/>
  <c r="K733" i="4" a="1"/>
  <c r="K733" i="4" s="1"/>
  <c r="H734" i="4" a="1"/>
  <c r="H734" i="4" s="1"/>
  <c r="I734" i="4" a="1"/>
  <c r="I734" i="4" s="1"/>
  <c r="J734" i="4" a="1"/>
  <c r="J734" i="4" s="1"/>
  <c r="K734" i="4" a="1"/>
  <c r="K734" i="4" s="1"/>
  <c r="H735" i="4" a="1"/>
  <c r="H735" i="4" s="1"/>
  <c r="I735" i="4" a="1"/>
  <c r="I735" i="4" s="1"/>
  <c r="J735" i="4" a="1"/>
  <c r="J735" i="4" s="1"/>
  <c r="K735" i="4" a="1"/>
  <c r="K735" i="4" s="1"/>
  <c r="H736" i="4" a="1"/>
  <c r="H736" i="4" s="1"/>
  <c r="I736" i="4" a="1"/>
  <c r="I736" i="4" s="1"/>
  <c r="J736" i="4" a="1"/>
  <c r="J736" i="4" s="1"/>
  <c r="K736" i="4" a="1"/>
  <c r="K736" i="4" s="1"/>
  <c r="H737" i="4" a="1"/>
  <c r="H737" i="4" s="1"/>
  <c r="I737" i="4" a="1"/>
  <c r="I737" i="4" s="1"/>
  <c r="J737" i="4" a="1"/>
  <c r="J737" i="4" s="1"/>
  <c r="K737" i="4" a="1"/>
  <c r="K737" i="4" s="1"/>
  <c r="H738" i="4" a="1"/>
  <c r="H738" i="4" s="1"/>
  <c r="I738" i="4" a="1"/>
  <c r="I738" i="4" s="1"/>
  <c r="J738" i="4" a="1"/>
  <c r="J738" i="4" s="1"/>
  <c r="K738" i="4" a="1"/>
  <c r="K738" i="4" s="1"/>
  <c r="H723" i="4" a="1"/>
  <c r="H723" i="4" s="1"/>
  <c r="I723" i="4" a="1"/>
  <c r="I723" i="4" s="1"/>
  <c r="J723" i="4" a="1"/>
  <c r="J723" i="4" s="1"/>
  <c r="K723" i="4" a="1"/>
  <c r="K723" i="4" s="1"/>
  <c r="H703" i="4" a="1"/>
  <c r="H703" i="4" s="1"/>
  <c r="I703" i="4" a="1"/>
  <c r="I703" i="4" s="1"/>
  <c r="J703" i="4" a="1"/>
  <c r="J703" i="4" s="1"/>
  <c r="K703" i="4" a="1"/>
  <c r="K703" i="4" s="1"/>
  <c r="H704" i="4" a="1"/>
  <c r="H704" i="4" s="1"/>
  <c r="I704" i="4" a="1"/>
  <c r="I704" i="4" s="1"/>
  <c r="J704" i="4" a="1"/>
  <c r="J704" i="4" s="1"/>
  <c r="K704" i="4" a="1"/>
  <c r="K704" i="4" s="1"/>
  <c r="H688" i="4" a="1"/>
  <c r="H688" i="4" s="1"/>
  <c r="I688" i="4" a="1"/>
  <c r="I688" i="4" s="1"/>
  <c r="J688" i="4" a="1"/>
  <c r="J688" i="4" s="1"/>
  <c r="K688" i="4" a="1"/>
  <c r="K688" i="4" s="1"/>
  <c r="H601" i="4" a="1"/>
  <c r="H601" i="4" s="1"/>
  <c r="I601" i="4" a="1"/>
  <c r="I601" i="4" s="1"/>
  <c r="J601" i="4" a="1"/>
  <c r="J601" i="4" s="1"/>
  <c r="K601" i="4" a="1"/>
  <c r="K601" i="4" s="1"/>
  <c r="H602" i="4" a="1"/>
  <c r="H602" i="4" s="1"/>
  <c r="I602" i="4" a="1"/>
  <c r="I602" i="4" s="1"/>
  <c r="J602" i="4" a="1"/>
  <c r="J602" i="4" s="1"/>
  <c r="K602" i="4" a="1"/>
  <c r="K602" i="4" s="1"/>
  <c r="H603" i="4" a="1"/>
  <c r="H603" i="4" s="1"/>
  <c r="I603" i="4" a="1"/>
  <c r="I603" i="4" s="1"/>
  <c r="J603" i="4" a="1"/>
  <c r="J603" i="4" s="1"/>
  <c r="K603" i="4" a="1"/>
  <c r="K603" i="4" s="1"/>
  <c r="H604" i="4" a="1"/>
  <c r="H604" i="4" s="1"/>
  <c r="I604" i="4" a="1"/>
  <c r="I604" i="4" s="1"/>
  <c r="J604" i="4" a="1"/>
  <c r="J604" i="4" s="1"/>
  <c r="K604" i="4" a="1"/>
  <c r="K604" i="4" s="1"/>
  <c r="H605" i="4" a="1"/>
  <c r="H605" i="4" s="1"/>
  <c r="I605" i="4" a="1"/>
  <c r="I605" i="4" s="1"/>
  <c r="J605" i="4" a="1"/>
  <c r="J605" i="4" s="1"/>
  <c r="K605" i="4" a="1"/>
  <c r="K605" i="4" s="1"/>
  <c r="H606" i="4" a="1"/>
  <c r="H606" i="4" s="1"/>
  <c r="I606" i="4" a="1"/>
  <c r="I606" i="4" s="1"/>
  <c r="J606" i="4" a="1"/>
  <c r="J606" i="4" s="1"/>
  <c r="K606" i="4" a="1"/>
  <c r="K606" i="4" s="1"/>
  <c r="H607" i="4" a="1"/>
  <c r="H607" i="4" s="1"/>
  <c r="I607" i="4" a="1"/>
  <c r="I607" i="4" s="1"/>
  <c r="J607" i="4" a="1"/>
  <c r="J607" i="4" s="1"/>
  <c r="K607" i="4" a="1"/>
  <c r="K607" i="4" s="1"/>
  <c r="H608" i="4" a="1"/>
  <c r="H608" i="4" s="1"/>
  <c r="I608" i="4" a="1"/>
  <c r="I608" i="4" s="1"/>
  <c r="J608" i="4" a="1"/>
  <c r="J608" i="4" s="1"/>
  <c r="K608" i="4" a="1"/>
  <c r="K608" i="4" s="1"/>
  <c r="H609" i="4" a="1"/>
  <c r="H609" i="4" s="1"/>
  <c r="I609" i="4" a="1"/>
  <c r="I609" i="4" s="1"/>
  <c r="J609" i="4" a="1"/>
  <c r="J609" i="4" s="1"/>
  <c r="K609" i="4" a="1"/>
  <c r="K609" i="4" s="1"/>
  <c r="H610" i="4" a="1"/>
  <c r="H610" i="4" s="1"/>
  <c r="I610" i="4" a="1"/>
  <c r="I610" i="4" s="1"/>
  <c r="J610" i="4" a="1"/>
  <c r="J610" i="4" s="1"/>
  <c r="K610" i="4" a="1"/>
  <c r="K610" i="4" s="1"/>
  <c r="H611" i="4" a="1"/>
  <c r="H611" i="4" s="1"/>
  <c r="I611" i="4" a="1"/>
  <c r="I611" i="4" s="1"/>
  <c r="J611" i="4" a="1"/>
  <c r="J611" i="4" s="1"/>
  <c r="K611" i="4" a="1"/>
  <c r="K611" i="4" s="1"/>
  <c r="H612" i="4" a="1"/>
  <c r="H612" i="4" s="1"/>
  <c r="I612" i="4" a="1"/>
  <c r="I612" i="4" s="1"/>
  <c r="J612" i="4" a="1"/>
  <c r="J612" i="4" s="1"/>
  <c r="K612" i="4" a="1"/>
  <c r="K612" i="4" s="1"/>
  <c r="H613" i="4" a="1"/>
  <c r="H613" i="4" s="1"/>
  <c r="I613" i="4" a="1"/>
  <c r="I613" i="4" s="1"/>
  <c r="J613" i="4" a="1"/>
  <c r="J613" i="4" s="1"/>
  <c r="K613" i="4" a="1"/>
  <c r="K613" i="4" s="1"/>
  <c r="H614" i="4" a="1"/>
  <c r="H614" i="4" s="1"/>
  <c r="I614" i="4" a="1"/>
  <c r="I614" i="4" s="1"/>
  <c r="J614" i="4" a="1"/>
  <c r="J614" i="4" s="1"/>
  <c r="K614" i="4" a="1"/>
  <c r="K614" i="4" s="1"/>
  <c r="H615" i="4" a="1"/>
  <c r="H615" i="4" s="1"/>
  <c r="I615" i="4" a="1"/>
  <c r="I615" i="4" s="1"/>
  <c r="J615" i="4" a="1"/>
  <c r="J615" i="4" s="1"/>
  <c r="K615" i="4" a="1"/>
  <c r="K615" i="4" s="1"/>
  <c r="H616" i="4" a="1"/>
  <c r="H616" i="4" s="1"/>
  <c r="I616" i="4" a="1"/>
  <c r="I616" i="4" s="1"/>
  <c r="J616" i="4" a="1"/>
  <c r="J616" i="4" s="1"/>
  <c r="K616" i="4" a="1"/>
  <c r="K616" i="4" s="1"/>
  <c r="H617" i="4" a="1"/>
  <c r="H617" i="4" s="1"/>
  <c r="I617" i="4" a="1"/>
  <c r="I617" i="4" s="1"/>
  <c r="J617" i="4" a="1"/>
  <c r="J617" i="4" s="1"/>
  <c r="K617" i="4" a="1"/>
  <c r="K617" i="4" s="1"/>
  <c r="H618" i="4" a="1"/>
  <c r="H618" i="4" s="1"/>
  <c r="I618" i="4" a="1"/>
  <c r="I618" i="4" s="1"/>
  <c r="J618" i="4" a="1"/>
  <c r="J618" i="4" s="1"/>
  <c r="K618" i="4" a="1"/>
  <c r="K618" i="4" s="1"/>
  <c r="H619" i="4" a="1"/>
  <c r="H619" i="4" s="1"/>
  <c r="I619" i="4" a="1"/>
  <c r="I619" i="4" s="1"/>
  <c r="J619" i="4" a="1"/>
  <c r="J619" i="4" s="1"/>
  <c r="K619" i="4" a="1"/>
  <c r="K619" i="4" s="1"/>
  <c r="H620" i="4" a="1"/>
  <c r="H620" i="4" s="1"/>
  <c r="I620" i="4" a="1"/>
  <c r="I620" i="4" s="1"/>
  <c r="J620" i="4" a="1"/>
  <c r="J620" i="4" s="1"/>
  <c r="K620" i="4" a="1"/>
  <c r="K620" i="4" s="1"/>
  <c r="H621" i="4" a="1"/>
  <c r="H621" i="4" s="1"/>
  <c r="I621" i="4" a="1"/>
  <c r="I621" i="4" s="1"/>
  <c r="J621" i="4" a="1"/>
  <c r="J621" i="4" s="1"/>
  <c r="K621" i="4" a="1"/>
  <c r="K621" i="4" s="1"/>
  <c r="H622" i="4" a="1"/>
  <c r="H622" i="4" s="1"/>
  <c r="I622" i="4" a="1"/>
  <c r="I622" i="4" s="1"/>
  <c r="J622" i="4" a="1"/>
  <c r="J622" i="4" s="1"/>
  <c r="K622" i="4" a="1"/>
  <c r="K622" i="4" s="1"/>
  <c r="H623" i="4" a="1"/>
  <c r="H623" i="4" s="1"/>
  <c r="I623" i="4" a="1"/>
  <c r="I623" i="4" s="1"/>
  <c r="J623" i="4" a="1"/>
  <c r="J623" i="4" s="1"/>
  <c r="K623" i="4" a="1"/>
  <c r="K623" i="4" s="1"/>
  <c r="H624" i="4" a="1"/>
  <c r="H624" i="4" s="1"/>
  <c r="I624" i="4" a="1"/>
  <c r="I624" i="4" s="1"/>
  <c r="J624" i="4" a="1"/>
  <c r="J624" i="4" s="1"/>
  <c r="K624" i="4" a="1"/>
  <c r="K624" i="4" s="1"/>
  <c r="H625" i="4" a="1"/>
  <c r="H625" i="4" s="1"/>
  <c r="I625" i="4" a="1"/>
  <c r="I625" i="4" s="1"/>
  <c r="J625" i="4" a="1"/>
  <c r="J625" i="4" s="1"/>
  <c r="K625" i="4" a="1"/>
  <c r="K625" i="4" s="1"/>
  <c r="H626" i="4" a="1"/>
  <c r="H626" i="4" s="1"/>
  <c r="I626" i="4" a="1"/>
  <c r="I626" i="4" s="1"/>
  <c r="J626" i="4" a="1"/>
  <c r="J626" i="4" s="1"/>
  <c r="K626" i="4" a="1"/>
  <c r="K626" i="4" s="1"/>
  <c r="H627" i="4" a="1"/>
  <c r="H627" i="4" s="1"/>
  <c r="I627" i="4" a="1"/>
  <c r="I627" i="4" s="1"/>
  <c r="J627" i="4" a="1"/>
  <c r="J627" i="4" s="1"/>
  <c r="K627" i="4" a="1"/>
  <c r="K627" i="4" s="1"/>
  <c r="H628" i="4" a="1"/>
  <c r="H628" i="4" s="1"/>
  <c r="I628" i="4" a="1"/>
  <c r="I628" i="4" s="1"/>
  <c r="J628" i="4" a="1"/>
  <c r="J628" i="4" s="1"/>
  <c r="K628" i="4" a="1"/>
  <c r="K628" i="4" s="1"/>
  <c r="H629" i="4" a="1"/>
  <c r="H629" i="4" s="1"/>
  <c r="I629" i="4" a="1"/>
  <c r="I629" i="4" s="1"/>
  <c r="J629" i="4" a="1"/>
  <c r="J629" i="4" s="1"/>
  <c r="K629" i="4" a="1"/>
  <c r="K629" i="4" s="1"/>
  <c r="H630" i="4" a="1"/>
  <c r="H630" i="4" s="1"/>
  <c r="I630" i="4" a="1"/>
  <c r="I630" i="4" s="1"/>
  <c r="J630" i="4" a="1"/>
  <c r="J630" i="4" s="1"/>
  <c r="K630" i="4" a="1"/>
  <c r="K630" i="4" s="1"/>
  <c r="H631" i="4" a="1"/>
  <c r="H631" i="4" s="1"/>
  <c r="I631" i="4" a="1"/>
  <c r="I631" i="4" s="1"/>
  <c r="J631" i="4" a="1"/>
  <c r="J631" i="4" s="1"/>
  <c r="K631" i="4" a="1"/>
  <c r="K631" i="4" s="1"/>
  <c r="H632" i="4" a="1"/>
  <c r="H632" i="4" s="1"/>
  <c r="I632" i="4" a="1"/>
  <c r="I632" i="4" s="1"/>
  <c r="J632" i="4" a="1"/>
  <c r="J632" i="4" s="1"/>
  <c r="K632" i="4" a="1"/>
  <c r="K632" i="4" s="1"/>
  <c r="H633" i="4" a="1"/>
  <c r="H633" i="4" s="1"/>
  <c r="I633" i="4" a="1"/>
  <c r="I633" i="4" s="1"/>
  <c r="J633" i="4" a="1"/>
  <c r="J633" i="4" s="1"/>
  <c r="K633" i="4" a="1"/>
  <c r="K633" i="4" s="1"/>
  <c r="H634" i="4" a="1"/>
  <c r="H634" i="4" s="1"/>
  <c r="I634" i="4" a="1"/>
  <c r="I634" i="4" s="1"/>
  <c r="J634" i="4" a="1"/>
  <c r="J634" i="4" s="1"/>
  <c r="K634" i="4" a="1"/>
  <c r="K634" i="4" s="1"/>
  <c r="H635" i="4" a="1"/>
  <c r="H635" i="4" s="1"/>
  <c r="I635" i="4" a="1"/>
  <c r="I635" i="4" s="1"/>
  <c r="J635" i="4" a="1"/>
  <c r="J635" i="4" s="1"/>
  <c r="K635" i="4" a="1"/>
  <c r="K635" i="4" s="1"/>
  <c r="H636" i="4" a="1"/>
  <c r="H636" i="4" s="1"/>
  <c r="I636" i="4" a="1"/>
  <c r="I636" i="4" s="1"/>
  <c r="J636" i="4" a="1"/>
  <c r="J636" i="4" s="1"/>
  <c r="K636" i="4" a="1"/>
  <c r="K636" i="4" s="1"/>
  <c r="H637" i="4" a="1"/>
  <c r="H637" i="4" s="1"/>
  <c r="I637" i="4" a="1"/>
  <c r="I637" i="4" s="1"/>
  <c r="J637" i="4" a="1"/>
  <c r="J637" i="4" s="1"/>
  <c r="K637" i="4" a="1"/>
  <c r="K637" i="4" s="1"/>
  <c r="H638" i="4" a="1"/>
  <c r="H638" i="4" s="1"/>
  <c r="I638" i="4" a="1"/>
  <c r="I638" i="4" s="1"/>
  <c r="J638" i="4" a="1"/>
  <c r="J638" i="4" s="1"/>
  <c r="K638" i="4" a="1"/>
  <c r="K638" i="4" s="1"/>
  <c r="H639" i="4" a="1"/>
  <c r="H639" i="4" s="1"/>
  <c r="I639" i="4" a="1"/>
  <c r="I639" i="4" s="1"/>
  <c r="J639" i="4" a="1"/>
  <c r="J639" i="4" s="1"/>
  <c r="K639" i="4" a="1"/>
  <c r="K639" i="4" s="1"/>
  <c r="H640" i="4" a="1"/>
  <c r="H640" i="4" s="1"/>
  <c r="I640" i="4" a="1"/>
  <c r="I640" i="4" s="1"/>
  <c r="J640" i="4" a="1"/>
  <c r="J640" i="4" s="1"/>
  <c r="K640" i="4" a="1"/>
  <c r="K640" i="4" s="1"/>
  <c r="H641" i="4" a="1"/>
  <c r="H641" i="4" s="1"/>
  <c r="I641" i="4" a="1"/>
  <c r="I641" i="4" s="1"/>
  <c r="J641" i="4" a="1"/>
  <c r="J641" i="4" s="1"/>
  <c r="K641" i="4" a="1"/>
  <c r="K641" i="4" s="1"/>
  <c r="H642" i="4" a="1"/>
  <c r="H642" i="4" s="1"/>
  <c r="I642" i="4" a="1"/>
  <c r="I642" i="4" s="1"/>
  <c r="J642" i="4" a="1"/>
  <c r="J642" i="4" s="1"/>
  <c r="K642" i="4" a="1"/>
  <c r="K642" i="4" s="1"/>
  <c r="H643" i="4" a="1"/>
  <c r="H643" i="4" s="1"/>
  <c r="I643" i="4" a="1"/>
  <c r="I643" i="4" s="1"/>
  <c r="J643" i="4" a="1"/>
  <c r="J643" i="4" s="1"/>
  <c r="K643" i="4" a="1"/>
  <c r="K643" i="4" s="1"/>
  <c r="H644" i="4" a="1"/>
  <c r="H644" i="4" s="1"/>
  <c r="I644" i="4" a="1"/>
  <c r="I644" i="4" s="1"/>
  <c r="J644" i="4" a="1"/>
  <c r="J644" i="4" s="1"/>
  <c r="K644" i="4" a="1"/>
  <c r="K644" i="4" s="1"/>
  <c r="H437" i="4" a="1"/>
  <c r="H437" i="4" s="1"/>
  <c r="I437" i="4" a="1"/>
  <c r="I437" i="4" s="1"/>
  <c r="J437" i="4" a="1"/>
  <c r="J437" i="4" s="1"/>
  <c r="K437" i="4" a="1"/>
  <c r="K437" i="4" s="1"/>
  <c r="H438" i="4" a="1"/>
  <c r="H438" i="4" s="1"/>
  <c r="I438" i="4" a="1"/>
  <c r="I438" i="4" s="1"/>
  <c r="J438" i="4" a="1"/>
  <c r="J438" i="4" s="1"/>
  <c r="K438" i="4" a="1"/>
  <c r="K438" i="4" s="1"/>
  <c r="H439" i="4" a="1"/>
  <c r="H439" i="4" s="1"/>
  <c r="I439" i="4" a="1"/>
  <c r="I439" i="4" s="1"/>
  <c r="J439" i="4" a="1"/>
  <c r="J439" i="4" s="1"/>
  <c r="K439" i="4" a="1"/>
  <c r="K439" i="4" s="1"/>
  <c r="H440" i="4" a="1"/>
  <c r="H440" i="4" s="1"/>
  <c r="I440" i="4" a="1"/>
  <c r="I440" i="4" s="1"/>
  <c r="J440" i="4" a="1"/>
  <c r="J440" i="4" s="1"/>
  <c r="K440" i="4" a="1"/>
  <c r="K440" i="4" s="1"/>
  <c r="H441" i="4" a="1"/>
  <c r="H441" i="4" s="1"/>
  <c r="I441" i="4" a="1"/>
  <c r="I441" i="4" s="1"/>
  <c r="J441" i="4" a="1"/>
  <c r="J441" i="4" s="1"/>
  <c r="K441" i="4" a="1"/>
  <c r="K441" i="4" s="1"/>
  <c r="H442" i="4" a="1"/>
  <c r="H442" i="4" s="1"/>
  <c r="I442" i="4" a="1"/>
  <c r="I442" i="4" s="1"/>
  <c r="J442" i="4" a="1"/>
  <c r="J442" i="4" s="1"/>
  <c r="K442" i="4" a="1"/>
  <c r="K442" i="4" s="1"/>
  <c r="H443" i="4" a="1"/>
  <c r="H443" i="4" s="1"/>
  <c r="I443" i="4" a="1"/>
  <c r="I443" i="4" s="1"/>
  <c r="J443" i="4" a="1"/>
  <c r="J443" i="4" s="1"/>
  <c r="K443" i="4" a="1"/>
  <c r="K443" i="4" s="1"/>
  <c r="H444" i="4" a="1"/>
  <c r="H444" i="4" s="1"/>
  <c r="I444" i="4" a="1"/>
  <c r="I444" i="4" s="1"/>
  <c r="J444" i="4" a="1"/>
  <c r="J444" i="4" s="1"/>
  <c r="K444" i="4" a="1"/>
  <c r="K444" i="4" s="1"/>
  <c r="H445" i="4" a="1"/>
  <c r="H445" i="4" s="1"/>
  <c r="I445" i="4" a="1"/>
  <c r="I445" i="4" s="1"/>
  <c r="J445" i="4" a="1"/>
  <c r="J445" i="4" s="1"/>
  <c r="K445" i="4" a="1"/>
  <c r="K445" i="4" s="1"/>
  <c r="H446" i="4" a="1"/>
  <c r="H446" i="4" s="1"/>
  <c r="I446" i="4" a="1"/>
  <c r="I446" i="4" s="1"/>
  <c r="J446" i="4" a="1"/>
  <c r="J446" i="4" s="1"/>
  <c r="K446" i="4" a="1"/>
  <c r="K446" i="4" s="1"/>
  <c r="H447" i="4" a="1"/>
  <c r="H447" i="4" s="1"/>
  <c r="I447" i="4" a="1"/>
  <c r="I447" i="4" s="1"/>
  <c r="J447" i="4" a="1"/>
  <c r="J447" i="4" s="1"/>
  <c r="K447" i="4" a="1"/>
  <c r="K447" i="4" s="1"/>
  <c r="H448" i="4" a="1"/>
  <c r="H448" i="4" s="1"/>
  <c r="I448" i="4" a="1"/>
  <c r="I448" i="4" s="1"/>
  <c r="J448" i="4" a="1"/>
  <c r="J448" i="4" s="1"/>
  <c r="K448" i="4" a="1"/>
  <c r="K448" i="4" s="1"/>
  <c r="H449" i="4" a="1"/>
  <c r="H449" i="4" s="1"/>
  <c r="I449" i="4" a="1"/>
  <c r="I449" i="4" s="1"/>
  <c r="J449" i="4" a="1"/>
  <c r="J449" i="4" s="1"/>
  <c r="K449" i="4" a="1"/>
  <c r="K449" i="4" s="1"/>
  <c r="H433" i="4" a="1"/>
  <c r="H433" i="4" s="1"/>
  <c r="I433" i="4" a="1"/>
  <c r="I433" i="4" s="1"/>
  <c r="J433" i="4" a="1"/>
  <c r="J433" i="4" s="1"/>
  <c r="K433" i="4" a="1"/>
  <c r="K433" i="4" s="1"/>
  <c r="H434" i="4" a="1"/>
  <c r="H434" i="4" s="1"/>
  <c r="I434" i="4" a="1"/>
  <c r="I434" i="4" s="1"/>
  <c r="J434" i="4" a="1"/>
  <c r="J434" i="4" s="1"/>
  <c r="K434" i="4" a="1"/>
  <c r="K434" i="4" s="1"/>
  <c r="H423" i="4" a="1"/>
  <c r="H423" i="4" s="1"/>
  <c r="I423" i="4" a="1"/>
  <c r="I423" i="4" s="1"/>
  <c r="J423" i="4" a="1"/>
  <c r="J423" i="4" s="1"/>
  <c r="K423" i="4" a="1"/>
  <c r="K423" i="4" s="1"/>
  <c r="H424" i="4" a="1"/>
  <c r="H424" i="4" s="1"/>
  <c r="I424" i="4" a="1"/>
  <c r="I424" i="4" s="1"/>
  <c r="J424" i="4" a="1"/>
  <c r="J424" i="4" s="1"/>
  <c r="K424" i="4" a="1"/>
  <c r="K424" i="4" s="1"/>
  <c r="H425" i="4" a="1"/>
  <c r="H425" i="4" s="1"/>
  <c r="I425" i="4" a="1"/>
  <c r="I425" i="4" s="1"/>
  <c r="J425" i="4" a="1"/>
  <c r="J425" i="4" s="1"/>
  <c r="K425" i="4" a="1"/>
  <c r="K425" i="4" s="1"/>
  <c r="H426" i="4" a="1"/>
  <c r="H426" i="4" s="1"/>
  <c r="I426" i="4" a="1"/>
  <c r="I426" i="4" s="1"/>
  <c r="J426" i="4" a="1"/>
  <c r="J426" i="4" s="1"/>
  <c r="K426" i="4" a="1"/>
  <c r="K426" i="4" s="1"/>
  <c r="H417" i="4" a="1"/>
  <c r="H417" i="4" s="1"/>
  <c r="I417" i="4" a="1"/>
  <c r="I417" i="4" s="1"/>
  <c r="J417" i="4" a="1"/>
  <c r="J417" i="4" s="1"/>
  <c r="K417" i="4" a="1"/>
  <c r="K417" i="4" s="1"/>
  <c r="H418" i="4" a="1"/>
  <c r="H418" i="4" s="1"/>
  <c r="I418" i="4" a="1"/>
  <c r="I418" i="4" s="1"/>
  <c r="J418" i="4" a="1"/>
  <c r="J418" i="4" s="1"/>
  <c r="K418" i="4" a="1"/>
  <c r="K418" i="4" s="1"/>
  <c r="H419" i="4" a="1"/>
  <c r="H419" i="4" s="1"/>
  <c r="I419" i="4" a="1"/>
  <c r="I419" i="4" s="1"/>
  <c r="J419" i="4" a="1"/>
  <c r="J419" i="4" s="1"/>
  <c r="K419" i="4" a="1"/>
  <c r="K419" i="4" s="1"/>
  <c r="H371" i="4" a="1"/>
  <c r="H371" i="4" s="1"/>
  <c r="I371" i="4" a="1"/>
  <c r="I371" i="4" s="1"/>
  <c r="J371" i="4" a="1"/>
  <c r="J371" i="4" s="1"/>
  <c r="K371" i="4" a="1"/>
  <c r="K371" i="4" s="1"/>
  <c r="H372" i="4" a="1"/>
  <c r="H372" i="4" s="1"/>
  <c r="I372" i="4" a="1"/>
  <c r="I372" i="4" s="1"/>
  <c r="J372" i="4" a="1"/>
  <c r="J372" i="4" s="1"/>
  <c r="K372" i="4" a="1"/>
  <c r="K372" i="4" s="1"/>
  <c r="H373" i="4" a="1"/>
  <c r="H373" i="4" s="1"/>
  <c r="I373" i="4" a="1"/>
  <c r="I373" i="4" s="1"/>
  <c r="J373" i="4" a="1"/>
  <c r="J373" i="4" s="1"/>
  <c r="K373" i="4" a="1"/>
  <c r="K373" i="4" s="1"/>
  <c r="H374" i="4" a="1"/>
  <c r="H374" i="4" s="1"/>
  <c r="I374" i="4" a="1"/>
  <c r="I374" i="4" s="1"/>
  <c r="J374" i="4" a="1"/>
  <c r="J374" i="4" s="1"/>
  <c r="K374" i="4" a="1"/>
  <c r="K374" i="4" s="1"/>
  <c r="H375" i="4" a="1"/>
  <c r="H375" i="4" s="1"/>
  <c r="I375" i="4" a="1"/>
  <c r="I375" i="4" s="1"/>
  <c r="J375" i="4" a="1"/>
  <c r="J375" i="4" s="1"/>
  <c r="K375" i="4" a="1"/>
  <c r="K375" i="4" s="1"/>
  <c r="H376" i="4" a="1"/>
  <c r="H376" i="4" s="1"/>
  <c r="I376" i="4" a="1"/>
  <c r="I376" i="4" s="1"/>
  <c r="J376" i="4" a="1"/>
  <c r="J376" i="4" s="1"/>
  <c r="K376" i="4" a="1"/>
  <c r="K376" i="4" s="1"/>
  <c r="H321" i="4" a="1"/>
  <c r="H321" i="4" s="1"/>
  <c r="I321" i="4" a="1"/>
  <c r="I321" i="4" s="1"/>
  <c r="J321" i="4" a="1"/>
  <c r="J321" i="4" s="1"/>
  <c r="K321" i="4" a="1"/>
  <c r="K321" i="4" s="1"/>
  <c r="H322" i="4" a="1"/>
  <c r="H322" i="4" s="1"/>
  <c r="I322" i="4" a="1"/>
  <c r="I322" i="4" s="1"/>
  <c r="J322" i="4" a="1"/>
  <c r="J322" i="4" s="1"/>
  <c r="K322" i="4" a="1"/>
  <c r="K322" i="4" s="1"/>
  <c r="H323" i="4" a="1"/>
  <c r="H323" i="4" s="1"/>
  <c r="I323" i="4" a="1"/>
  <c r="I323" i="4" s="1"/>
  <c r="J323" i="4" a="1"/>
  <c r="J323" i="4" s="1"/>
  <c r="K323" i="4" a="1"/>
  <c r="K323" i="4" s="1"/>
  <c r="H324" i="4" a="1"/>
  <c r="H324" i="4" s="1"/>
  <c r="I324" i="4" a="1"/>
  <c r="I324" i="4" s="1"/>
  <c r="J324" i="4" a="1"/>
  <c r="J324" i="4" s="1"/>
  <c r="K324" i="4" a="1"/>
  <c r="K324" i="4" s="1"/>
  <c r="H325" i="4" a="1"/>
  <c r="H325" i="4" s="1"/>
  <c r="I325" i="4" a="1"/>
  <c r="I325" i="4" s="1"/>
  <c r="J325" i="4" a="1"/>
  <c r="J325" i="4" s="1"/>
  <c r="K325" i="4" a="1"/>
  <c r="K325" i="4" s="1"/>
  <c r="H326" i="4" a="1"/>
  <c r="H326" i="4" s="1"/>
  <c r="I326" i="4" a="1"/>
  <c r="I326" i="4" s="1"/>
  <c r="J326" i="4" a="1"/>
  <c r="J326" i="4" s="1"/>
  <c r="K326" i="4" a="1"/>
  <c r="K326" i="4" s="1"/>
  <c r="H327" i="4" a="1"/>
  <c r="H327" i="4" s="1"/>
  <c r="I327" i="4" a="1"/>
  <c r="I327" i="4" s="1"/>
  <c r="J327" i="4" a="1"/>
  <c r="J327" i="4" s="1"/>
  <c r="K327" i="4" a="1"/>
  <c r="K327" i="4" s="1"/>
  <c r="H328" i="4" a="1"/>
  <c r="H328" i="4" s="1"/>
  <c r="I328" i="4" a="1"/>
  <c r="I328" i="4" s="1"/>
  <c r="J328" i="4" a="1"/>
  <c r="J328" i="4" s="1"/>
  <c r="K328" i="4" a="1"/>
  <c r="K328" i="4" s="1"/>
  <c r="H329" i="4" a="1"/>
  <c r="H329" i="4" s="1"/>
  <c r="I329" i="4" a="1"/>
  <c r="I329" i="4" s="1"/>
  <c r="J329" i="4" a="1"/>
  <c r="J329" i="4" s="1"/>
  <c r="K329" i="4" a="1"/>
  <c r="K329" i="4" s="1"/>
  <c r="H330" i="4" a="1"/>
  <c r="H330" i="4" s="1"/>
  <c r="I330" i="4" a="1"/>
  <c r="I330" i="4" s="1"/>
  <c r="J330" i="4" a="1"/>
  <c r="J330" i="4" s="1"/>
  <c r="K330" i="4" a="1"/>
  <c r="K330" i="4" s="1"/>
  <c r="H331" i="4" a="1"/>
  <c r="H331" i="4" s="1"/>
  <c r="I331" i="4" a="1"/>
  <c r="I331" i="4" s="1"/>
  <c r="J331" i="4" a="1"/>
  <c r="J331" i="4" s="1"/>
  <c r="K331" i="4" a="1"/>
  <c r="K331" i="4" s="1"/>
  <c r="H332" i="4" a="1"/>
  <c r="H332" i="4" s="1"/>
  <c r="I332" i="4" a="1"/>
  <c r="I332" i="4" s="1"/>
  <c r="J332" i="4" a="1"/>
  <c r="J332" i="4" s="1"/>
  <c r="K332" i="4" a="1"/>
  <c r="K332" i="4" s="1"/>
  <c r="H333" i="4" a="1"/>
  <c r="H333" i="4" s="1"/>
  <c r="I333" i="4" a="1"/>
  <c r="I333" i="4" s="1"/>
  <c r="J333" i="4" a="1"/>
  <c r="J333" i="4" s="1"/>
  <c r="K333" i="4" a="1"/>
  <c r="K333" i="4" s="1"/>
  <c r="H334" i="4" a="1"/>
  <c r="H334" i="4" s="1"/>
  <c r="I334" i="4" a="1"/>
  <c r="I334" i="4" s="1"/>
  <c r="J334" i="4" a="1"/>
  <c r="J334" i="4" s="1"/>
  <c r="K334" i="4" a="1"/>
  <c r="K334" i="4" s="1"/>
  <c r="H335" i="4" a="1"/>
  <c r="H335" i="4" s="1"/>
  <c r="I335" i="4" a="1"/>
  <c r="I335" i="4" s="1"/>
  <c r="J335" i="4" a="1"/>
  <c r="J335" i="4" s="1"/>
  <c r="K335" i="4" a="1"/>
  <c r="K335" i="4" s="1"/>
  <c r="H336" i="4" a="1"/>
  <c r="H336" i="4" s="1"/>
  <c r="I336" i="4" a="1"/>
  <c r="I336" i="4" s="1"/>
  <c r="J336" i="4" a="1"/>
  <c r="J336" i="4" s="1"/>
  <c r="K336" i="4" a="1"/>
  <c r="K336" i="4" s="1"/>
  <c r="H337" i="4" a="1"/>
  <c r="H337" i="4" s="1"/>
  <c r="I337" i="4" a="1"/>
  <c r="I337" i="4" s="1"/>
  <c r="J337" i="4" a="1"/>
  <c r="J337" i="4" s="1"/>
  <c r="K337" i="4" a="1"/>
  <c r="K337" i="4" s="1"/>
  <c r="H338" i="4" a="1"/>
  <c r="H338" i="4" s="1"/>
  <c r="I338" i="4" a="1"/>
  <c r="I338" i="4" s="1"/>
  <c r="J338" i="4" a="1"/>
  <c r="J338" i="4" s="1"/>
  <c r="K338" i="4" a="1"/>
  <c r="K338" i="4" s="1"/>
  <c r="H339" i="4" a="1"/>
  <c r="H339" i="4" s="1"/>
  <c r="I339" i="4" a="1"/>
  <c r="I339" i="4" s="1"/>
  <c r="J339" i="4" a="1"/>
  <c r="J339" i="4" s="1"/>
  <c r="K339" i="4" a="1"/>
  <c r="K339" i="4" s="1"/>
  <c r="H340" i="4" a="1"/>
  <c r="H340" i="4" s="1"/>
  <c r="I340" i="4" a="1"/>
  <c r="I340" i="4" s="1"/>
  <c r="J340" i="4" a="1"/>
  <c r="J340" i="4" s="1"/>
  <c r="K340" i="4" a="1"/>
  <c r="K340" i="4" s="1"/>
  <c r="H341" i="4" a="1"/>
  <c r="H341" i="4" s="1"/>
  <c r="I341" i="4" a="1"/>
  <c r="I341" i="4" s="1"/>
  <c r="J341" i="4" a="1"/>
  <c r="J341" i="4" s="1"/>
  <c r="K341" i="4" a="1"/>
  <c r="K341" i="4" s="1"/>
  <c r="H342" i="4" a="1"/>
  <c r="H342" i="4" s="1"/>
  <c r="I342" i="4" a="1"/>
  <c r="I342" i="4" s="1"/>
  <c r="J342" i="4" a="1"/>
  <c r="J342" i="4" s="1"/>
  <c r="K342" i="4" a="1"/>
  <c r="K342" i="4" s="1"/>
  <c r="H343" i="4" a="1"/>
  <c r="H343" i="4" s="1"/>
  <c r="I343" i="4" a="1"/>
  <c r="I343" i="4" s="1"/>
  <c r="J343" i="4" a="1"/>
  <c r="J343" i="4" s="1"/>
  <c r="K343" i="4" a="1"/>
  <c r="K343" i="4" s="1"/>
  <c r="H344" i="4" a="1"/>
  <c r="H344" i="4" s="1"/>
  <c r="I344" i="4" a="1"/>
  <c r="I344" i="4" s="1"/>
  <c r="J344" i="4" a="1"/>
  <c r="J344" i="4" s="1"/>
  <c r="K344" i="4" a="1"/>
  <c r="K344" i="4" s="1"/>
  <c r="H345" i="4" a="1"/>
  <c r="H345" i="4" s="1"/>
  <c r="I345" i="4" a="1"/>
  <c r="I345" i="4" s="1"/>
  <c r="J345" i="4" a="1"/>
  <c r="J345" i="4" s="1"/>
  <c r="K345" i="4" a="1"/>
  <c r="K345" i="4" s="1"/>
  <c r="H346" i="4" a="1"/>
  <c r="H346" i="4" s="1"/>
  <c r="I346" i="4" a="1"/>
  <c r="I346" i="4" s="1"/>
  <c r="J346" i="4" a="1"/>
  <c r="J346" i="4" s="1"/>
  <c r="K346" i="4" a="1"/>
  <c r="K346" i="4" s="1"/>
  <c r="H288" i="4" a="1"/>
  <c r="H288" i="4" s="1"/>
  <c r="I288" i="4" a="1"/>
  <c r="I288" i="4" s="1"/>
  <c r="J288" i="4" a="1"/>
  <c r="J288" i="4" s="1"/>
  <c r="K288" i="4" a="1"/>
  <c r="K288" i="4" s="1"/>
  <c r="H215" i="4" a="1"/>
  <c r="H215" i="4" s="1"/>
  <c r="I215" i="4" a="1"/>
  <c r="I215" i="4" s="1"/>
  <c r="J215" i="4" a="1"/>
  <c r="J215" i="4" s="1"/>
  <c r="K215" i="4" a="1"/>
  <c r="K215" i="4" s="1"/>
  <c r="H216" i="4" a="1"/>
  <c r="H216" i="4" s="1"/>
  <c r="I216" i="4" a="1"/>
  <c r="I216" i="4" s="1"/>
  <c r="J216" i="4" a="1"/>
  <c r="J216" i="4" s="1"/>
  <c r="K216" i="4" a="1"/>
  <c r="K216" i="4" s="1"/>
  <c r="H217" i="4" a="1"/>
  <c r="H217" i="4" s="1"/>
  <c r="I217" i="4" a="1"/>
  <c r="I217" i="4" s="1"/>
  <c r="J217" i="4" a="1"/>
  <c r="J217" i="4" s="1"/>
  <c r="K217" i="4" a="1"/>
  <c r="K217" i="4" s="1"/>
  <c r="H218" i="4" a="1"/>
  <c r="H218" i="4" s="1"/>
  <c r="I218" i="4" a="1"/>
  <c r="I218" i="4" s="1"/>
  <c r="J218" i="4" a="1"/>
  <c r="J218" i="4" s="1"/>
  <c r="K218" i="4" a="1"/>
  <c r="K218" i="4" s="1"/>
  <c r="H219" i="4" a="1"/>
  <c r="H219" i="4" s="1"/>
  <c r="I219" i="4" a="1"/>
  <c r="I219" i="4" s="1"/>
  <c r="J219" i="4" a="1"/>
  <c r="J219" i="4" s="1"/>
  <c r="K219" i="4" a="1"/>
  <c r="K219" i="4" s="1"/>
  <c r="H220" i="4" a="1"/>
  <c r="H220" i="4" s="1"/>
  <c r="I220" i="4" a="1"/>
  <c r="I220" i="4" s="1"/>
  <c r="J220" i="4" a="1"/>
  <c r="J220" i="4" s="1"/>
  <c r="K220" i="4" a="1"/>
  <c r="K220" i="4" s="1"/>
  <c r="H221" i="4" a="1"/>
  <c r="H221" i="4" s="1"/>
  <c r="I221" i="4" a="1"/>
  <c r="I221" i="4" s="1"/>
  <c r="J221" i="4" a="1"/>
  <c r="J221" i="4" s="1"/>
  <c r="K221" i="4" a="1"/>
  <c r="K221" i="4" s="1"/>
  <c r="H222" i="4" a="1"/>
  <c r="H222" i="4" s="1"/>
  <c r="I222" i="4" a="1"/>
  <c r="I222" i="4" s="1"/>
  <c r="J222" i="4" a="1"/>
  <c r="J222" i="4" s="1"/>
  <c r="K222" i="4" a="1"/>
  <c r="K222" i="4" s="1"/>
  <c r="H185" i="4" a="1"/>
  <c r="H185" i="4" s="1"/>
  <c r="I185" i="4" a="1"/>
  <c r="I185" i="4" s="1"/>
  <c r="J185" i="4" a="1"/>
  <c r="J185" i="4" s="1"/>
  <c r="K185" i="4" a="1"/>
  <c r="K185" i="4" s="1"/>
  <c r="H170" i="4" a="1"/>
  <c r="H170" i="4" s="1"/>
  <c r="I170" i="4" a="1"/>
  <c r="I170" i="4" s="1"/>
  <c r="J170" i="4" a="1"/>
  <c r="J170" i="4" s="1"/>
  <c r="K170" i="4" a="1"/>
  <c r="K170" i="4" s="1"/>
  <c r="H171" i="4" a="1"/>
  <c r="H171" i="4" s="1"/>
  <c r="I171" i="4" a="1"/>
  <c r="I171" i="4" s="1"/>
  <c r="J171" i="4" a="1"/>
  <c r="J171" i="4" s="1"/>
  <c r="K171" i="4" a="1"/>
  <c r="K171" i="4" s="1"/>
  <c r="H172" i="4" a="1"/>
  <c r="H172" i="4" s="1"/>
  <c r="I172" i="4" a="1"/>
  <c r="I172" i="4" s="1"/>
  <c r="J172" i="4" a="1"/>
  <c r="J172" i="4" s="1"/>
  <c r="K172" i="4" a="1"/>
  <c r="K172" i="4" s="1"/>
  <c r="H173" i="4" a="1"/>
  <c r="H173" i="4" s="1"/>
  <c r="I173" i="4" a="1"/>
  <c r="I173" i="4" s="1"/>
  <c r="J173" i="4" a="1"/>
  <c r="J173" i="4" s="1"/>
  <c r="K173" i="4" a="1"/>
  <c r="K173" i="4" s="1"/>
  <c r="H174" i="4" a="1"/>
  <c r="H174" i="4" s="1"/>
  <c r="I174" i="4" a="1"/>
  <c r="I174" i="4" s="1"/>
  <c r="J174" i="4" a="1"/>
  <c r="J174" i="4" s="1"/>
  <c r="K174" i="4" a="1"/>
  <c r="K174" i="4" s="1"/>
  <c r="H175" i="4" a="1"/>
  <c r="H175" i="4" s="1"/>
  <c r="I175" i="4" a="1"/>
  <c r="I175" i="4" s="1"/>
  <c r="J175" i="4" a="1"/>
  <c r="J175" i="4" s="1"/>
  <c r="K175" i="4" a="1"/>
  <c r="K175" i="4" s="1"/>
  <c r="H176" i="4" a="1"/>
  <c r="H176" i="4" s="1"/>
  <c r="I176" i="4" a="1"/>
  <c r="I176" i="4" s="1"/>
  <c r="J176" i="4" a="1"/>
  <c r="J176" i="4" s="1"/>
  <c r="K176" i="4" a="1"/>
  <c r="K176" i="4" s="1"/>
  <c r="H177" i="4" a="1"/>
  <c r="H177" i="4" s="1"/>
  <c r="I177" i="4" a="1"/>
  <c r="I177" i="4" s="1"/>
  <c r="J177" i="4" a="1"/>
  <c r="J177" i="4" s="1"/>
  <c r="K177" i="4" a="1"/>
  <c r="K177" i="4" s="1"/>
  <c r="H178" i="4" a="1"/>
  <c r="H178" i="4" s="1"/>
  <c r="I178" i="4" a="1"/>
  <c r="I178" i="4" s="1"/>
  <c r="J178" i="4" a="1"/>
  <c r="J178" i="4" s="1"/>
  <c r="K178" i="4" a="1"/>
  <c r="K178" i="4" s="1"/>
  <c r="H179" i="4" a="1"/>
  <c r="H179" i="4" s="1"/>
  <c r="I179" i="4" a="1"/>
  <c r="I179" i="4" s="1"/>
  <c r="J179" i="4" a="1"/>
  <c r="J179" i="4" s="1"/>
  <c r="K179" i="4" a="1"/>
  <c r="K179" i="4" s="1"/>
  <c r="H180" i="4" a="1"/>
  <c r="H180" i="4" s="1"/>
  <c r="I180" i="4" a="1"/>
  <c r="I180" i="4" s="1"/>
  <c r="J180" i="4" a="1"/>
  <c r="J180" i="4" s="1"/>
  <c r="K180" i="4" a="1"/>
  <c r="K180" i="4" s="1"/>
  <c r="H181" i="4" a="1"/>
  <c r="H181" i="4" s="1"/>
  <c r="I181" i="4" a="1"/>
  <c r="I181" i="4" s="1"/>
  <c r="J181" i="4" a="1"/>
  <c r="J181" i="4" s="1"/>
  <c r="K181" i="4" a="1"/>
  <c r="K181" i="4" s="1"/>
  <c r="H182" i="4" a="1"/>
  <c r="H182" i="4" s="1"/>
  <c r="I182" i="4" a="1"/>
  <c r="I182" i="4" s="1"/>
  <c r="J182" i="4" a="1"/>
  <c r="J182" i="4" s="1"/>
  <c r="K182" i="4" a="1"/>
  <c r="K182" i="4" s="1"/>
  <c r="H183" i="4" a="1"/>
  <c r="H183" i="4" s="1"/>
  <c r="I183" i="4" a="1"/>
  <c r="I183" i="4" s="1"/>
  <c r="J183" i="4" a="1"/>
  <c r="J183" i="4" s="1"/>
  <c r="K183" i="4" a="1"/>
  <c r="K183" i="4" s="1"/>
  <c r="H148" i="4" a="1"/>
  <c r="H148" i="4" s="1"/>
  <c r="I148" i="4" a="1"/>
  <c r="I148" i="4" s="1"/>
  <c r="J148" i="4" a="1"/>
  <c r="J148" i="4" s="1"/>
  <c r="K148" i="4" a="1"/>
  <c r="K148" i="4" s="1"/>
  <c r="H149" i="4" a="1"/>
  <c r="H149" i="4" s="1"/>
  <c r="I149" i="4" a="1"/>
  <c r="I149" i="4" s="1"/>
  <c r="J149" i="4" a="1"/>
  <c r="J149" i="4" s="1"/>
  <c r="K149" i="4" a="1"/>
  <c r="K149" i="4" s="1"/>
  <c r="H150" i="4" a="1"/>
  <c r="H150" i="4" s="1"/>
  <c r="I150" i="4" a="1"/>
  <c r="I150" i="4" s="1"/>
  <c r="J150" i="4" a="1"/>
  <c r="J150" i="4" s="1"/>
  <c r="K150" i="4" a="1"/>
  <c r="K150" i="4" s="1"/>
  <c r="H151" i="4" a="1"/>
  <c r="H151" i="4" s="1"/>
  <c r="I151" i="4" a="1"/>
  <c r="I151" i="4" s="1"/>
  <c r="J151" i="4" a="1"/>
  <c r="J151" i="4" s="1"/>
  <c r="K151" i="4" a="1"/>
  <c r="K151" i="4" s="1"/>
  <c r="H152" i="4" a="1"/>
  <c r="H152" i="4" s="1"/>
  <c r="I152" i="4" a="1"/>
  <c r="I152" i="4" s="1"/>
  <c r="J152" i="4" a="1"/>
  <c r="J152" i="4" s="1"/>
  <c r="K152" i="4" a="1"/>
  <c r="K152" i="4" s="1"/>
  <c r="H153" i="4" a="1"/>
  <c r="H153" i="4" s="1"/>
  <c r="I153" i="4" a="1"/>
  <c r="I153" i="4" s="1"/>
  <c r="J153" i="4" a="1"/>
  <c r="J153" i="4" s="1"/>
  <c r="K153" i="4" a="1"/>
  <c r="K153" i="4" s="1"/>
  <c r="H154" i="4" a="1"/>
  <c r="H154" i="4" s="1"/>
  <c r="I154" i="4" a="1"/>
  <c r="I154" i="4" s="1"/>
  <c r="J154" i="4" a="1"/>
  <c r="J154" i="4" s="1"/>
  <c r="K154" i="4" a="1"/>
  <c r="K154" i="4" s="1"/>
  <c r="H155" i="4" a="1"/>
  <c r="H155" i="4" s="1"/>
  <c r="I155" i="4" a="1"/>
  <c r="I155" i="4" s="1"/>
  <c r="J155" i="4" a="1"/>
  <c r="J155" i="4" s="1"/>
  <c r="K155" i="4" a="1"/>
  <c r="K155" i="4" s="1"/>
  <c r="H156" i="4" a="1"/>
  <c r="H156" i="4" s="1"/>
  <c r="I156" i="4" a="1"/>
  <c r="I156" i="4" s="1"/>
  <c r="J156" i="4" a="1"/>
  <c r="J156" i="4" s="1"/>
  <c r="K156" i="4" a="1"/>
  <c r="K156" i="4" s="1"/>
  <c r="H157" i="4" a="1"/>
  <c r="H157" i="4" s="1"/>
  <c r="I157" i="4" a="1"/>
  <c r="I157" i="4" s="1"/>
  <c r="J157" i="4" a="1"/>
  <c r="J157" i="4" s="1"/>
  <c r="K157" i="4" a="1"/>
  <c r="K157" i="4" s="1"/>
  <c r="H158" i="4" a="1"/>
  <c r="H158" i="4" s="1"/>
  <c r="I158" i="4" a="1"/>
  <c r="I158" i="4" s="1"/>
  <c r="J158" i="4" a="1"/>
  <c r="J158" i="4" s="1"/>
  <c r="K158" i="4" a="1"/>
  <c r="K158" i="4" s="1"/>
  <c r="H159" i="4" a="1"/>
  <c r="H159" i="4" s="1"/>
  <c r="I159" i="4" a="1"/>
  <c r="I159" i="4" s="1"/>
  <c r="J159" i="4" a="1"/>
  <c r="J159" i="4" s="1"/>
  <c r="K159" i="4" a="1"/>
  <c r="K159" i="4" s="1"/>
  <c r="H160" i="4" a="1"/>
  <c r="H160" i="4" s="1"/>
  <c r="I160" i="4" a="1"/>
  <c r="I160" i="4" s="1"/>
  <c r="J160" i="4" a="1"/>
  <c r="J160" i="4" s="1"/>
  <c r="K160" i="4" a="1"/>
  <c r="K160" i="4" s="1"/>
  <c r="H161" i="4" a="1"/>
  <c r="H161" i="4" s="1"/>
  <c r="I161" i="4" a="1"/>
  <c r="I161" i="4" s="1"/>
  <c r="J161" i="4" a="1"/>
  <c r="J161" i="4" s="1"/>
  <c r="K161" i="4" a="1"/>
  <c r="K161" i="4" s="1"/>
  <c r="H162" i="4" a="1"/>
  <c r="H162" i="4" s="1"/>
  <c r="I162" i="4" a="1"/>
  <c r="I162" i="4" s="1"/>
  <c r="J162" i="4" a="1"/>
  <c r="J162" i="4" s="1"/>
  <c r="K162" i="4" a="1"/>
  <c r="K162" i="4" s="1"/>
  <c r="H163" i="4" a="1"/>
  <c r="H163" i="4" s="1"/>
  <c r="I163" i="4" a="1"/>
  <c r="I163" i="4" s="1"/>
  <c r="J163" i="4" a="1"/>
  <c r="J163" i="4" s="1"/>
  <c r="K163" i="4" a="1"/>
  <c r="K163" i="4" s="1"/>
  <c r="H164" i="4" a="1"/>
  <c r="H164" i="4" s="1"/>
  <c r="I164" i="4" a="1"/>
  <c r="I164" i="4" s="1"/>
  <c r="J164" i="4" a="1"/>
  <c r="J164" i="4" s="1"/>
  <c r="K164" i="4" a="1"/>
  <c r="K164" i="4" s="1"/>
  <c r="H165" i="4" a="1"/>
  <c r="H165" i="4" s="1"/>
  <c r="I165" i="4" a="1"/>
  <c r="I165" i="4" s="1"/>
  <c r="J165" i="4" a="1"/>
  <c r="J165" i="4" s="1"/>
  <c r="K165" i="4" a="1"/>
  <c r="K165" i="4" s="1"/>
  <c r="H166" i="4" a="1"/>
  <c r="H166" i="4" s="1"/>
  <c r="I166" i="4" a="1"/>
  <c r="I166" i="4" s="1"/>
  <c r="J166" i="4" a="1"/>
  <c r="J166" i="4" s="1"/>
  <c r="K166" i="4" a="1"/>
  <c r="K166" i="4" s="1"/>
  <c r="H167" i="4" a="1"/>
  <c r="H167" i="4" s="1"/>
  <c r="I167" i="4" a="1"/>
  <c r="I167" i="4" s="1"/>
  <c r="J167" i="4" a="1"/>
  <c r="J167" i="4" s="1"/>
  <c r="K167" i="4" a="1"/>
  <c r="K167" i="4" s="1"/>
  <c r="H168" i="4" a="1"/>
  <c r="H168" i="4" s="1"/>
  <c r="I168" i="4" a="1"/>
  <c r="I168" i="4" s="1"/>
  <c r="J168" i="4" a="1"/>
  <c r="J168" i="4" s="1"/>
  <c r="K168" i="4" a="1"/>
  <c r="K168" i="4" s="1"/>
  <c r="F751" i="4" a="1"/>
  <c r="F751" i="4" s="1"/>
  <c r="F742" i="4" a="1"/>
  <c r="F742" i="4" s="1"/>
  <c r="F738" i="4" a="1"/>
  <c r="F738" i="4" s="1"/>
  <c r="F732" i="4" a="1"/>
  <c r="F732" i="4" s="1"/>
  <c r="F733" i="4" a="1"/>
  <c r="F733" i="4" s="1"/>
  <c r="F723" i="4" a="1"/>
  <c r="F723" i="4" s="1"/>
  <c r="F703" i="4" a="1"/>
  <c r="F703" i="4" s="1"/>
  <c r="F704" i="4" a="1"/>
  <c r="F704" i="4" s="1"/>
  <c r="F688" i="4" a="1"/>
  <c r="F688" i="4" s="1"/>
  <c r="F601" i="4" a="1"/>
  <c r="F601" i="4" s="1"/>
  <c r="F602" i="4" a="1"/>
  <c r="F602" i="4" s="1"/>
  <c r="F603" i="4" a="1"/>
  <c r="F603" i="4" s="1"/>
  <c r="F604" i="4" a="1"/>
  <c r="F604" i="4" s="1"/>
  <c r="F605" i="4" a="1"/>
  <c r="F605" i="4" s="1"/>
  <c r="F606" i="4" a="1"/>
  <c r="F606" i="4" s="1"/>
  <c r="F607" i="4" a="1"/>
  <c r="F607" i="4" s="1"/>
  <c r="F608" i="4" a="1"/>
  <c r="F608" i="4" s="1"/>
  <c r="F609" i="4" a="1"/>
  <c r="F609" i="4" s="1"/>
  <c r="F610" i="4" a="1"/>
  <c r="F610" i="4" s="1"/>
  <c r="F611" i="4" a="1"/>
  <c r="F611" i="4" s="1"/>
  <c r="F612" i="4" a="1"/>
  <c r="F612" i="4" s="1"/>
  <c r="F613" i="4" a="1"/>
  <c r="F613" i="4" s="1"/>
  <c r="F614" i="4" a="1"/>
  <c r="F614" i="4" s="1"/>
  <c r="F615" i="4" a="1"/>
  <c r="F615" i="4" s="1"/>
  <c r="F616" i="4" a="1"/>
  <c r="F616" i="4" s="1"/>
  <c r="F617" i="4" a="1"/>
  <c r="F617" i="4" s="1"/>
  <c r="F618" i="4" a="1"/>
  <c r="F618" i="4" s="1"/>
  <c r="F619" i="4" a="1"/>
  <c r="F619" i="4" s="1"/>
  <c r="F620" i="4" a="1"/>
  <c r="F620" i="4" s="1"/>
  <c r="F621" i="4" a="1"/>
  <c r="F621" i="4" s="1"/>
  <c r="F622" i="4" a="1"/>
  <c r="F622" i="4" s="1"/>
  <c r="F623" i="4" a="1"/>
  <c r="F623" i="4" s="1"/>
  <c r="F624" i="4" a="1"/>
  <c r="F624" i="4" s="1"/>
  <c r="F625" i="4" a="1"/>
  <c r="F625" i="4" s="1"/>
  <c r="F626" i="4" a="1"/>
  <c r="F626" i="4" s="1"/>
  <c r="F627" i="4" a="1"/>
  <c r="F627" i="4" s="1"/>
  <c r="F628" i="4" a="1"/>
  <c r="F628" i="4" s="1"/>
  <c r="F629" i="4" a="1"/>
  <c r="F629" i="4" s="1"/>
  <c r="F630" i="4" a="1"/>
  <c r="F630" i="4" s="1"/>
  <c r="F631" i="4" a="1"/>
  <c r="F631" i="4" s="1"/>
  <c r="F632" i="4" a="1"/>
  <c r="F632" i="4" s="1"/>
  <c r="F633" i="4" a="1"/>
  <c r="F633" i="4" s="1"/>
  <c r="F634" i="4" a="1"/>
  <c r="F634" i="4" s="1"/>
  <c r="F635" i="4" a="1"/>
  <c r="F635" i="4" s="1"/>
  <c r="F636" i="4" a="1"/>
  <c r="F636" i="4" s="1"/>
  <c r="F637" i="4" a="1"/>
  <c r="F637" i="4" s="1"/>
  <c r="F638" i="4" a="1"/>
  <c r="F638" i="4" s="1"/>
  <c r="F639" i="4" a="1"/>
  <c r="F639" i="4" s="1"/>
  <c r="F640" i="4" a="1"/>
  <c r="F640" i="4" s="1"/>
  <c r="F641" i="4" a="1"/>
  <c r="F641" i="4" s="1"/>
  <c r="F642" i="4" a="1"/>
  <c r="F642" i="4" s="1"/>
  <c r="F643" i="4" a="1"/>
  <c r="F643" i="4" s="1"/>
  <c r="F644" i="4" a="1"/>
  <c r="F644" i="4" s="1"/>
  <c r="F417" i="4" a="1"/>
  <c r="F417" i="4" s="1"/>
  <c r="F418" i="4" a="1"/>
  <c r="F418" i="4" s="1"/>
  <c r="F419" i="4" a="1"/>
  <c r="F419" i="4" s="1"/>
  <c r="F420" i="4" a="1"/>
  <c r="F420" i="4" s="1"/>
  <c r="F421" i="4" a="1"/>
  <c r="F421" i="4" s="1"/>
  <c r="F422" i="4" a="1"/>
  <c r="F422" i="4" s="1"/>
  <c r="F423" i="4" a="1"/>
  <c r="F423" i="4" s="1"/>
  <c r="F424" i="4" a="1"/>
  <c r="F424" i="4" s="1"/>
  <c r="F425" i="4" a="1"/>
  <c r="F425" i="4" s="1"/>
  <c r="F426" i="4" a="1"/>
  <c r="F426" i="4" s="1"/>
  <c r="F427" i="4" a="1"/>
  <c r="F427" i="4" s="1"/>
  <c r="F428" i="4" a="1"/>
  <c r="F428" i="4" s="1"/>
  <c r="F429" i="4" a="1"/>
  <c r="F429" i="4" s="1"/>
  <c r="F430" i="4" a="1"/>
  <c r="F430" i="4" s="1"/>
  <c r="F431" i="4" a="1"/>
  <c r="F431" i="4" s="1"/>
  <c r="F432" i="4" a="1"/>
  <c r="F432" i="4" s="1"/>
  <c r="F433" i="4" a="1"/>
  <c r="F433" i="4" s="1"/>
  <c r="F434" i="4" a="1"/>
  <c r="F434" i="4" s="1"/>
  <c r="F435" i="4" a="1"/>
  <c r="F435" i="4" s="1"/>
  <c r="F436" i="4" a="1"/>
  <c r="F436" i="4" s="1"/>
  <c r="F437" i="4" a="1"/>
  <c r="F437" i="4" s="1"/>
  <c r="F438" i="4" a="1"/>
  <c r="F438" i="4" s="1"/>
  <c r="F439" i="4" a="1"/>
  <c r="F439" i="4" s="1"/>
  <c r="F440" i="4" a="1"/>
  <c r="F440" i="4" s="1"/>
  <c r="F441" i="4" a="1"/>
  <c r="F441" i="4" s="1"/>
  <c r="F442" i="4" a="1"/>
  <c r="F442" i="4" s="1"/>
  <c r="F443" i="4" a="1"/>
  <c r="F443" i="4" s="1"/>
  <c r="F444" i="4" a="1"/>
  <c r="F444" i="4" s="1"/>
  <c r="F445" i="4" a="1"/>
  <c r="F445" i="4" s="1"/>
  <c r="F446" i="4" a="1"/>
  <c r="F446" i="4" s="1"/>
  <c r="F447" i="4" a="1"/>
  <c r="F447" i="4" s="1"/>
  <c r="F448" i="4" a="1"/>
  <c r="F448" i="4" s="1"/>
  <c r="F449" i="4" a="1"/>
  <c r="F449" i="4" s="1"/>
  <c r="F371" i="4" a="1"/>
  <c r="F371" i="4" s="1"/>
  <c r="F372" i="4" a="1"/>
  <c r="F372" i="4" s="1"/>
  <c r="F373" i="4" a="1"/>
  <c r="F373" i="4" s="1"/>
  <c r="F374" i="4" a="1"/>
  <c r="F374" i="4" s="1"/>
  <c r="F375" i="4" a="1"/>
  <c r="F375" i="4" s="1"/>
  <c r="F376" i="4" a="1"/>
  <c r="F376" i="4" s="1"/>
  <c r="F321" i="4" a="1"/>
  <c r="F321" i="4" s="1"/>
  <c r="F322" i="4" a="1"/>
  <c r="F322" i="4" s="1"/>
  <c r="F323" i="4" a="1"/>
  <c r="F323" i="4" s="1"/>
  <c r="F324" i="4" a="1"/>
  <c r="F324" i="4" s="1"/>
  <c r="F325" i="4" a="1"/>
  <c r="F325" i="4" s="1"/>
  <c r="F326" i="4" a="1"/>
  <c r="F326" i="4" s="1"/>
  <c r="F327" i="4" a="1"/>
  <c r="F327" i="4" s="1"/>
  <c r="F328" i="4" a="1"/>
  <c r="F328" i="4" s="1"/>
  <c r="F329" i="4" a="1"/>
  <c r="F329" i="4" s="1"/>
  <c r="F330" i="4" a="1"/>
  <c r="F330" i="4" s="1"/>
  <c r="F331" i="4" a="1"/>
  <c r="F331" i="4" s="1"/>
  <c r="F332" i="4" a="1"/>
  <c r="F332" i="4" s="1"/>
  <c r="F333" i="4" a="1"/>
  <c r="F333" i="4" s="1"/>
  <c r="F334" i="4" a="1"/>
  <c r="F334" i="4" s="1"/>
  <c r="F335" i="4" a="1"/>
  <c r="F335" i="4" s="1"/>
  <c r="F336" i="4" a="1"/>
  <c r="F336" i="4" s="1"/>
  <c r="F337" i="4" a="1"/>
  <c r="F337" i="4" s="1"/>
  <c r="F338" i="4" a="1"/>
  <c r="F338" i="4" s="1"/>
  <c r="F339" i="4" a="1"/>
  <c r="F339" i="4" s="1"/>
  <c r="F340" i="4" a="1"/>
  <c r="F340" i="4" s="1"/>
  <c r="F341" i="4" a="1"/>
  <c r="F341" i="4" s="1"/>
  <c r="F342" i="4" a="1"/>
  <c r="F342" i="4" s="1"/>
  <c r="F343" i="4" a="1"/>
  <c r="F343" i="4" s="1"/>
  <c r="F344" i="4" a="1"/>
  <c r="F344" i="4" s="1"/>
  <c r="F345" i="4" a="1"/>
  <c r="F345" i="4" s="1"/>
  <c r="F346" i="4" a="1"/>
  <c r="F346" i="4" s="1"/>
  <c r="F288" i="4" a="1"/>
  <c r="F288" i="4" s="1"/>
  <c r="F222" i="4" a="1"/>
  <c r="F222" i="4" s="1"/>
  <c r="F215" i="4" a="1"/>
  <c r="F215" i="4" s="1"/>
  <c r="F216" i="4" a="1"/>
  <c r="F216" i="4" s="1"/>
  <c r="F217" i="4" a="1"/>
  <c r="F217" i="4" s="1"/>
  <c r="F218" i="4" a="1"/>
  <c r="F218" i="4" s="1"/>
  <c r="F219" i="4" a="1"/>
  <c r="F219" i="4" s="1"/>
  <c r="F220" i="4" a="1"/>
  <c r="F220" i="4" s="1"/>
  <c r="F185" i="4" a="1"/>
  <c r="F185" i="4" s="1"/>
  <c r="F170" i="4" a="1"/>
  <c r="F170" i="4" s="1"/>
  <c r="F171" i="4" a="1"/>
  <c r="F171" i="4" s="1"/>
  <c r="F172" i="4" a="1"/>
  <c r="F172" i="4" s="1"/>
  <c r="F173" i="4" a="1"/>
  <c r="F173" i="4" s="1"/>
  <c r="F174" i="4" a="1"/>
  <c r="F174" i="4" s="1"/>
  <c r="F175" i="4" a="1"/>
  <c r="F175" i="4" s="1"/>
  <c r="F176" i="4" a="1"/>
  <c r="F176" i="4" s="1"/>
  <c r="F177" i="4" a="1"/>
  <c r="F177" i="4" s="1"/>
  <c r="F178" i="4" a="1"/>
  <c r="F178" i="4" s="1"/>
  <c r="F179" i="4" a="1"/>
  <c r="F179" i="4" s="1"/>
  <c r="F180" i="4" a="1"/>
  <c r="F180" i="4" s="1"/>
  <c r="F181" i="4" a="1"/>
  <c r="F181" i="4" s="1"/>
  <c r="F182" i="4" a="1"/>
  <c r="F182" i="4" s="1"/>
  <c r="F183" i="4" a="1"/>
  <c r="F183" i="4" s="1"/>
  <c r="F148" i="4" a="1"/>
  <c r="F148" i="4" s="1"/>
  <c r="F149" i="4" a="1"/>
  <c r="F149" i="4" s="1"/>
  <c r="F150" i="4" a="1"/>
  <c r="F150" i="4" s="1"/>
  <c r="F151" i="4" a="1"/>
  <c r="F151" i="4" s="1"/>
  <c r="F152" i="4" a="1"/>
  <c r="F152" i="4" s="1"/>
  <c r="F153" i="4" a="1"/>
  <c r="F153" i="4" s="1"/>
  <c r="F154" i="4" a="1"/>
  <c r="F154" i="4" s="1"/>
  <c r="F155" i="4" a="1"/>
  <c r="F155" i="4" s="1"/>
  <c r="F156" i="4" a="1"/>
  <c r="F156" i="4" s="1"/>
  <c r="F157" i="4" a="1"/>
  <c r="F157" i="4" s="1"/>
  <c r="F158" i="4" a="1"/>
  <c r="F158" i="4" s="1"/>
  <c r="F159" i="4" a="1"/>
  <c r="F159" i="4" s="1"/>
  <c r="F160" i="4" a="1"/>
  <c r="F160" i="4" s="1"/>
  <c r="F161" i="4" a="1"/>
  <c r="F161" i="4" s="1"/>
  <c r="F162" i="4" a="1"/>
  <c r="F162" i="4" s="1"/>
  <c r="F163" i="4" a="1"/>
  <c r="F163" i="4" s="1"/>
  <c r="F164" i="4" a="1"/>
  <c r="F164" i="4" s="1"/>
  <c r="F165" i="4" a="1"/>
  <c r="F165" i="4" s="1"/>
  <c r="F166" i="4" a="1"/>
  <c r="F166" i="4" s="1"/>
  <c r="F167" i="4" a="1"/>
  <c r="F167" i="4" s="1"/>
  <c r="F168" i="4" a="1"/>
  <c r="F168" i="4" s="1"/>
  <c r="H89" i="4" a="1"/>
  <c r="H89" i="4" s="1"/>
  <c r="I89" i="4" a="1"/>
  <c r="I89" i="4" s="1"/>
  <c r="J89" i="4" a="1"/>
  <c r="J89" i="4" s="1"/>
  <c r="K89" i="4" a="1"/>
  <c r="K89" i="4" s="1"/>
  <c r="F89" i="4" a="1"/>
  <c r="F89" i="4" s="1"/>
  <c r="M72" i="4" a="1"/>
  <c r="M72" i="4" s="1"/>
  <c r="L72" i="4" a="1"/>
  <c r="L72" i="4" s="1"/>
  <c r="K72" i="4" a="1"/>
  <c r="K72" i="4" s="1"/>
  <c r="J72" i="4" a="1"/>
  <c r="J72" i="4" s="1"/>
  <c r="I72" i="4" a="1"/>
  <c r="I72" i="4" s="1"/>
  <c r="H72" i="4" a="1"/>
  <c r="H72" i="4" s="1"/>
  <c r="M71" i="4" a="1"/>
  <c r="M71" i="4" s="1"/>
  <c r="L71" i="4" a="1"/>
  <c r="L71" i="4" s="1"/>
  <c r="K71" i="4" a="1"/>
  <c r="K71" i="4" s="1"/>
  <c r="J71" i="4" a="1"/>
  <c r="J71" i="4" s="1"/>
  <c r="I71" i="4" a="1"/>
  <c r="I71" i="4" s="1"/>
  <c r="H71" i="4" a="1"/>
  <c r="H71" i="4" s="1"/>
  <c r="K70" i="4" a="1"/>
  <c r="K70" i="4" s="1"/>
  <c r="J70" i="4" a="1"/>
  <c r="J70" i="4" s="1"/>
  <c r="I70" i="4" a="1"/>
  <c r="I70" i="4" s="1"/>
  <c r="H70" i="4" a="1"/>
  <c r="H70" i="4" s="1"/>
  <c r="K69" i="4" a="1"/>
  <c r="K69" i="4" s="1"/>
  <c r="J69" i="4" a="1"/>
  <c r="J69" i="4" s="1"/>
  <c r="I69" i="4" a="1"/>
  <c r="I69" i="4" s="1"/>
  <c r="H69" i="4" a="1"/>
  <c r="H69" i="4" s="1"/>
  <c r="K68" i="4" a="1"/>
  <c r="K68" i="4" s="1"/>
  <c r="J68" i="4" a="1"/>
  <c r="J68" i="4" s="1"/>
  <c r="I68" i="4" a="1"/>
  <c r="I68" i="4" s="1"/>
  <c r="H68" i="4" a="1"/>
  <c r="H68" i="4" s="1"/>
  <c r="K67" i="4" a="1"/>
  <c r="K67" i="4" s="1"/>
  <c r="J67" i="4" a="1"/>
  <c r="J67" i="4" s="1"/>
  <c r="I67" i="4" a="1"/>
  <c r="I67" i="4" s="1"/>
  <c r="H67" i="4" a="1"/>
  <c r="H67" i="4" s="1"/>
  <c r="K66" i="4" a="1"/>
  <c r="K66" i="4" s="1"/>
  <c r="J66" i="4" a="1"/>
  <c r="J66" i="4" s="1"/>
  <c r="I66" i="4" a="1"/>
  <c r="I66" i="4" s="1"/>
  <c r="H66" i="4" a="1"/>
  <c r="H66" i="4" s="1"/>
  <c r="K65" i="4" a="1"/>
  <c r="K65" i="4" s="1"/>
  <c r="J65" i="4" a="1"/>
  <c r="J65" i="4" s="1"/>
  <c r="I65" i="4" a="1"/>
  <c r="I65" i="4" s="1"/>
  <c r="H65" i="4" a="1"/>
  <c r="H65" i="4" s="1"/>
  <c r="K64" i="4" a="1"/>
  <c r="K64" i="4" s="1"/>
  <c r="J64" i="4" a="1"/>
  <c r="J64" i="4" s="1"/>
  <c r="I64" i="4" a="1"/>
  <c r="I64" i="4" s="1"/>
  <c r="H64" i="4" a="1"/>
  <c r="H64" i="4" s="1"/>
  <c r="K63" i="4" a="1"/>
  <c r="K63" i="4" s="1"/>
  <c r="J63" i="4" a="1"/>
  <c r="J63" i="4" s="1"/>
  <c r="I63" i="4" a="1"/>
  <c r="I63" i="4" s="1"/>
  <c r="H63" i="4" a="1"/>
  <c r="H63" i="4" s="1"/>
  <c r="K62" i="4" a="1"/>
  <c r="K62" i="4" s="1"/>
  <c r="J62" i="4" a="1"/>
  <c r="J62" i="4" s="1"/>
  <c r="I62" i="4" a="1"/>
  <c r="I62" i="4" s="1"/>
  <c r="H62" i="4" a="1"/>
  <c r="H62" i="4" s="1"/>
  <c r="K61" i="4" a="1"/>
  <c r="K61" i="4" s="1"/>
  <c r="J61" i="4" a="1"/>
  <c r="J61" i="4" s="1"/>
  <c r="I61" i="4" a="1"/>
  <c r="I61" i="4" s="1"/>
  <c r="H61" i="4" a="1"/>
  <c r="H61" i="4" s="1"/>
  <c r="K60" i="4" a="1"/>
  <c r="K60" i="4" s="1"/>
  <c r="J60" i="4" a="1"/>
  <c r="J60" i="4" s="1"/>
  <c r="I60" i="4" a="1"/>
  <c r="I60" i="4" s="1"/>
  <c r="H60" i="4" a="1"/>
  <c r="H60" i="4" s="1"/>
  <c r="K59" i="4" a="1"/>
  <c r="K59" i="4" s="1"/>
  <c r="J59" i="4" a="1"/>
  <c r="J59" i="4" s="1"/>
  <c r="I59" i="4" a="1"/>
  <c r="I59" i="4" s="1"/>
  <c r="H59" i="4" a="1"/>
  <c r="H59" i="4" s="1"/>
  <c r="K58" i="4" a="1"/>
  <c r="K58" i="4" s="1"/>
  <c r="J58" i="4" a="1"/>
  <c r="J58" i="4" s="1"/>
  <c r="I58" i="4" a="1"/>
  <c r="I58" i="4" s="1"/>
  <c r="H58" i="4" a="1"/>
  <c r="H58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L51" i="4" a="1"/>
  <c r="L51" i="4" s="1"/>
  <c r="K51" i="4" a="1"/>
  <c r="K51" i="4" s="1"/>
  <c r="J51" i="4" a="1"/>
  <c r="J51" i="4" s="1"/>
  <c r="I51" i="4" a="1"/>
  <c r="I51" i="4" s="1"/>
  <c r="H51" i="4" a="1"/>
  <c r="H51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L49" i="4" a="1"/>
  <c r="L49" i="4" s="1"/>
  <c r="K49" i="4" a="1"/>
  <c r="K49" i="4" s="1"/>
  <c r="J49" i="4" a="1"/>
  <c r="J49" i="4" s="1"/>
  <c r="I49" i="4" a="1"/>
  <c r="I49" i="4" s="1"/>
  <c r="H49" i="4" a="1"/>
  <c r="H49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L45" i="4" a="1"/>
  <c r="L45" i="4" s="1"/>
  <c r="K45" i="4" a="1"/>
  <c r="K45" i="4" s="1"/>
  <c r="J45" i="4" a="1"/>
  <c r="J45" i="4" s="1"/>
  <c r="I45" i="4" a="1"/>
  <c r="I45" i="4" s="1"/>
  <c r="H45" i="4" a="1"/>
  <c r="H45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F72" i="4" a="1"/>
  <c r="F72" i="4" s="1"/>
  <c r="F71" i="4" a="1"/>
  <c r="F71" i="4" s="1"/>
  <c r="F70" i="4" a="1"/>
  <c r="F70" i="4" s="1"/>
  <c r="F69" i="4" a="1"/>
  <c r="F69" i="4" s="1"/>
  <c r="F68" i="4" a="1"/>
  <c r="F68" i="4" s="1"/>
  <c r="F67" i="4" a="1"/>
  <c r="F67" i="4" s="1"/>
  <c r="F66" i="4" a="1"/>
  <c r="F66" i="4" s="1"/>
  <c r="F65" i="4" a="1"/>
  <c r="F65" i="4" s="1"/>
  <c r="F64" i="4" a="1"/>
  <c r="F64" i="4" s="1"/>
  <c r="F63" i="4" a="1"/>
  <c r="F63" i="4" s="1"/>
  <c r="F62" i="4" a="1"/>
  <c r="F62" i="4" s="1"/>
  <c r="F61" i="4" a="1"/>
  <c r="F61" i="4" s="1"/>
  <c r="F60" i="4" a="1"/>
  <c r="F60" i="4" s="1"/>
  <c r="F59" i="4" a="1"/>
  <c r="F59" i="4" s="1"/>
  <c r="F58" i="4" a="1"/>
  <c r="F58" i="4" s="1"/>
  <c r="F57" i="4" a="1"/>
  <c r="F57" i="4" s="1"/>
  <c r="F56" i="4" a="1"/>
  <c r="F56" i="4" s="1"/>
  <c r="F55" i="4" a="1"/>
  <c r="F55" i="4" s="1"/>
  <c r="F54" i="4" a="1"/>
  <c r="F54" i="4" s="1"/>
  <c r="F53" i="4" a="1"/>
  <c r="F53" i="4" s="1"/>
  <c r="F52" i="4" a="1"/>
  <c r="F52" i="4" s="1"/>
  <c r="F51" i="4" a="1"/>
  <c r="F51" i="4" s="1"/>
  <c r="F50" i="4" a="1"/>
  <c r="F50" i="4" s="1"/>
  <c r="F49" i="4" a="1"/>
  <c r="F49" i="4" s="1"/>
  <c r="F48" i="4" a="1"/>
  <c r="F48" i="4" s="1"/>
  <c r="F47" i="4" a="1"/>
  <c r="F47" i="4" s="1"/>
  <c r="F46" i="4" a="1"/>
  <c r="F46" i="4" s="1"/>
  <c r="F45" i="4" a="1"/>
  <c r="F45" i="4" s="1"/>
  <c r="F44" i="4" a="1"/>
  <c r="F44" i="4" s="1"/>
  <c r="F43" i="4" a="1"/>
  <c r="F43" i="4" s="1"/>
  <c r="F42" i="4" a="1"/>
  <c r="F42" i="4" s="1"/>
  <c r="F41" i="4" a="1"/>
  <c r="F41" i="4" s="1"/>
  <c r="F40" i="4" a="1"/>
  <c r="F40" i="4" s="1"/>
  <c r="AE50" i="4"/>
  <c r="AE57" i="4"/>
  <c r="AE65" i="4"/>
  <c r="AE89" i="4"/>
  <c r="AE118" i="4"/>
  <c r="AE131" i="4"/>
  <c r="AE145" i="4"/>
  <c r="AE264" i="4"/>
  <c r="AE311" i="4"/>
  <c r="AE333" i="4"/>
  <c r="AE335" i="4"/>
  <c r="AE336" i="4"/>
  <c r="AE338" i="4"/>
  <c r="AE346" i="4"/>
  <c r="AE364" i="4"/>
  <c r="AE400" i="4"/>
  <c r="AE477" i="4"/>
  <c r="AE487" i="4"/>
  <c r="AE488" i="4"/>
  <c r="AE489" i="4"/>
  <c r="AE520" i="4"/>
  <c r="AE524" i="4"/>
  <c r="AE536" i="4"/>
  <c r="AE577" i="4"/>
  <c r="AE605" i="4"/>
  <c r="AE641" i="4"/>
  <c r="AE708" i="4"/>
  <c r="AE710" i="4"/>
  <c r="AE711" i="4"/>
  <c r="AE723" i="4"/>
  <c r="AE730" i="4"/>
  <c r="AE731" i="4"/>
  <c r="AE732" i="4"/>
  <c r="AE733" i="4"/>
  <c r="AE739" i="4"/>
  <c r="AE754" i="4"/>
  <c r="AE755" i="4"/>
  <c r="AB50" i="4"/>
  <c r="AB57" i="4"/>
  <c r="AB65" i="4"/>
  <c r="AB89" i="4"/>
  <c r="AB118" i="4"/>
  <c r="AB131" i="4"/>
  <c r="AB145" i="4"/>
  <c r="AB264" i="4"/>
  <c r="AB311" i="4"/>
  <c r="AB333" i="4"/>
  <c r="AB335" i="4"/>
  <c r="AB336" i="4"/>
  <c r="AB338" i="4"/>
  <c r="AB346" i="4"/>
  <c r="AB364" i="4"/>
  <c r="AB400" i="4"/>
  <c r="AB477" i="4"/>
  <c r="AB487" i="4"/>
  <c r="AB488" i="4"/>
  <c r="AB489" i="4"/>
  <c r="AB520" i="4"/>
  <c r="AB524" i="4"/>
  <c r="AB536" i="4"/>
  <c r="AB577" i="4"/>
  <c r="AB605" i="4"/>
  <c r="AB641" i="4"/>
  <c r="AB708" i="4"/>
  <c r="AB710" i="4"/>
  <c r="AB711" i="4"/>
  <c r="AB723" i="4"/>
  <c r="AB730" i="4"/>
  <c r="AB732" i="4"/>
  <c r="AB733" i="4"/>
  <c r="AB739" i="4"/>
  <c r="AB754" i="4"/>
  <c r="AB755" i="4"/>
  <c r="AA759" i="4"/>
  <c r="AE759" i="4" s="1"/>
  <c r="AA758" i="4"/>
  <c r="AE758" i="4" s="1"/>
  <c r="AA753" i="4"/>
  <c r="AE753" i="4" s="1"/>
  <c r="AA751" i="4"/>
  <c r="AE751" i="4" s="1"/>
  <c r="AA750" i="4"/>
  <c r="AE750" i="4" s="1"/>
  <c r="AA749" i="4"/>
  <c r="AE749" i="4" s="1"/>
  <c r="AA748" i="4"/>
  <c r="AE748" i="4" s="1"/>
  <c r="AA747" i="4"/>
  <c r="AE747" i="4" s="1"/>
  <c r="AA746" i="4"/>
  <c r="AE746" i="4" s="1"/>
  <c r="AA745" i="4"/>
  <c r="AE745" i="4" s="1"/>
  <c r="AA744" i="4"/>
  <c r="AE744" i="4" s="1"/>
  <c r="AA743" i="4"/>
  <c r="AE743" i="4" s="1"/>
  <c r="AA742" i="4"/>
  <c r="AE742" i="4" s="1"/>
  <c r="AA741" i="4"/>
  <c r="AE741" i="4" s="1"/>
  <c r="AA740" i="4"/>
  <c r="AE740" i="4" s="1"/>
  <c r="AA738" i="4"/>
  <c r="AE738" i="4" s="1"/>
  <c r="AA737" i="4"/>
  <c r="AE737" i="4" s="1"/>
  <c r="AA736" i="4"/>
  <c r="AE736" i="4" s="1"/>
  <c r="AA735" i="4"/>
  <c r="AE735" i="4" s="1"/>
  <c r="AA734" i="4"/>
  <c r="AE734" i="4" s="1"/>
  <c r="AA729" i="4"/>
  <c r="AE729" i="4" s="1"/>
  <c r="AA728" i="4"/>
  <c r="AE728" i="4" s="1"/>
  <c r="AA727" i="4"/>
  <c r="AE727" i="4" s="1"/>
  <c r="AA726" i="4"/>
  <c r="AE726" i="4" s="1"/>
  <c r="AA725" i="4"/>
  <c r="AE725" i="4" s="1"/>
  <c r="AA724" i="4"/>
  <c r="AE724" i="4" s="1"/>
  <c r="AA722" i="4"/>
  <c r="AE722" i="4" s="1"/>
  <c r="AA721" i="4"/>
  <c r="AE721" i="4" s="1"/>
  <c r="AA720" i="4"/>
  <c r="AE720" i="4" s="1"/>
  <c r="AA719" i="4"/>
  <c r="AE719" i="4" s="1"/>
  <c r="AA718" i="4"/>
  <c r="AE718" i="4" s="1"/>
  <c r="AA716" i="4"/>
  <c r="AE716" i="4" s="1"/>
  <c r="AA715" i="4"/>
  <c r="AE715" i="4" s="1"/>
  <c r="AA714" i="4"/>
  <c r="AE714" i="4" s="1"/>
  <c r="AA713" i="4"/>
  <c r="AE713" i="4" s="1"/>
  <c r="AA712" i="4"/>
  <c r="AE712" i="4" s="1"/>
  <c r="AA709" i="4"/>
  <c r="AE709" i="4" s="1"/>
  <c r="AA707" i="4"/>
  <c r="AE707" i="4" s="1"/>
  <c r="AA706" i="4"/>
  <c r="AE706" i="4" s="1"/>
  <c r="AA705" i="4"/>
  <c r="AE705" i="4" s="1"/>
  <c r="AA704" i="4"/>
  <c r="AE704" i="4" s="1"/>
  <c r="AA703" i="4"/>
  <c r="AE703" i="4" s="1"/>
  <c r="AA702" i="4"/>
  <c r="AE702" i="4" s="1"/>
  <c r="AA701" i="4"/>
  <c r="AE701" i="4" s="1"/>
  <c r="AA700" i="4"/>
  <c r="AE700" i="4" s="1"/>
  <c r="AA699" i="4"/>
  <c r="AE699" i="4" s="1"/>
  <c r="AA698" i="4"/>
  <c r="AE698" i="4" s="1"/>
  <c r="AA697" i="4"/>
  <c r="AE697" i="4" s="1"/>
  <c r="AA696" i="4"/>
  <c r="AE696" i="4" s="1"/>
  <c r="AA695" i="4"/>
  <c r="AE695" i="4" s="1"/>
  <c r="AA694" i="4"/>
  <c r="AE694" i="4" s="1"/>
  <c r="AA693" i="4"/>
  <c r="AE693" i="4" s="1"/>
  <c r="AA691" i="4"/>
  <c r="AE691" i="4" s="1"/>
  <c r="AA690" i="4"/>
  <c r="AE690" i="4" s="1"/>
  <c r="AA689" i="4"/>
  <c r="AE689" i="4" s="1"/>
  <c r="AA688" i="4"/>
  <c r="AE688" i="4" s="1"/>
  <c r="AA687" i="4"/>
  <c r="AA686" i="4"/>
  <c r="AE686" i="4" s="1"/>
  <c r="AA685" i="4"/>
  <c r="AE685" i="4" s="1"/>
  <c r="AA684" i="4"/>
  <c r="AB684" i="4" s="1"/>
  <c r="AA683" i="4"/>
  <c r="AA682" i="4"/>
  <c r="AA681" i="4"/>
  <c r="AE681" i="4" s="1"/>
  <c r="AA680" i="4"/>
  <c r="AE680" i="4" s="1"/>
  <c r="AA679" i="4"/>
  <c r="AA678" i="4"/>
  <c r="AA677" i="4"/>
  <c r="AE677" i="4" s="1"/>
  <c r="AA676" i="4"/>
  <c r="AE676" i="4" s="1"/>
  <c r="AA675" i="4"/>
  <c r="AA674" i="4"/>
  <c r="AA673" i="4"/>
  <c r="AE673" i="4" s="1"/>
  <c r="AA672" i="4"/>
  <c r="AE672" i="4" s="1"/>
  <c r="AA671" i="4"/>
  <c r="AA670" i="4"/>
  <c r="AA669" i="4"/>
  <c r="AE669" i="4" s="1"/>
  <c r="AA668" i="4"/>
  <c r="AE668" i="4" s="1"/>
  <c r="AA667" i="4"/>
  <c r="AA666" i="4"/>
  <c r="AA665" i="4"/>
  <c r="AE665" i="4" s="1"/>
  <c r="AA664" i="4"/>
  <c r="AE664" i="4" s="1"/>
  <c r="AA663" i="4"/>
  <c r="AA662" i="4"/>
  <c r="AA661" i="4"/>
  <c r="AE661" i="4" s="1"/>
  <c r="AA660" i="4"/>
  <c r="AE660" i="4" s="1"/>
  <c r="AA659" i="4"/>
  <c r="AA658" i="4"/>
  <c r="AA657" i="4"/>
  <c r="AE657" i="4" s="1"/>
  <c r="AA656" i="4"/>
  <c r="AE656" i="4" s="1"/>
  <c r="AA655" i="4"/>
  <c r="AA654" i="4"/>
  <c r="AA653" i="4"/>
  <c r="AE653" i="4" s="1"/>
  <c r="AA652" i="4"/>
  <c r="AB652" i="4" s="1"/>
  <c r="AA651" i="4"/>
  <c r="AA650" i="4"/>
  <c r="AA649" i="4"/>
  <c r="AE649" i="4" s="1"/>
  <c r="AA648" i="4"/>
  <c r="AE648" i="4" s="1"/>
  <c r="AA647" i="4"/>
  <c r="AA646" i="4"/>
  <c r="AA645" i="4"/>
  <c r="AE645" i="4" s="1"/>
  <c r="AA644" i="4"/>
  <c r="AE644" i="4" s="1"/>
  <c r="AA643" i="4"/>
  <c r="AA642" i="4"/>
  <c r="AA640" i="4"/>
  <c r="AE640" i="4" s="1"/>
  <c r="AA639" i="4"/>
  <c r="AA638" i="4"/>
  <c r="AA637" i="4"/>
  <c r="AE637" i="4" s="1"/>
  <c r="AA636" i="4"/>
  <c r="AE636" i="4" s="1"/>
  <c r="AA635" i="4"/>
  <c r="AA634" i="4"/>
  <c r="AA633" i="4"/>
  <c r="AE633" i="4" s="1"/>
  <c r="AA632" i="4"/>
  <c r="AE632" i="4" s="1"/>
  <c r="AA631" i="4"/>
  <c r="AA630" i="4"/>
  <c r="AA629" i="4"/>
  <c r="AE629" i="4" s="1"/>
  <c r="AA628" i="4"/>
  <c r="AE628" i="4" s="1"/>
  <c r="AA627" i="4"/>
  <c r="AA626" i="4"/>
  <c r="AA625" i="4"/>
  <c r="AE625" i="4" s="1"/>
  <c r="AA624" i="4"/>
  <c r="AE624" i="4" s="1"/>
  <c r="AA623" i="4"/>
  <c r="AA622" i="4"/>
  <c r="AA621" i="4"/>
  <c r="AE621" i="4" s="1"/>
  <c r="AA620" i="4"/>
  <c r="AE620" i="4" s="1"/>
  <c r="AA619" i="4"/>
  <c r="AA618" i="4"/>
  <c r="AA617" i="4"/>
  <c r="AE617" i="4" s="1"/>
  <c r="AA616" i="4"/>
  <c r="AE616" i="4" s="1"/>
  <c r="AA615" i="4"/>
  <c r="AA614" i="4"/>
  <c r="AA613" i="4"/>
  <c r="AE613" i="4" s="1"/>
  <c r="AA612" i="4"/>
  <c r="AE612" i="4" s="1"/>
  <c r="AA611" i="4"/>
  <c r="AA610" i="4"/>
  <c r="AA609" i="4"/>
  <c r="AE609" i="4" s="1"/>
  <c r="AA608" i="4"/>
  <c r="AB608" i="4" s="1"/>
  <c r="AA607" i="4"/>
  <c r="AA606" i="4"/>
  <c r="AA604" i="4"/>
  <c r="AE604" i="4" s="1"/>
  <c r="AA603" i="4"/>
  <c r="AA602" i="4"/>
  <c r="AA601" i="4"/>
  <c r="AE601" i="4" s="1"/>
  <c r="AA600" i="4"/>
  <c r="AE600" i="4" s="1"/>
  <c r="AA599" i="4"/>
  <c r="AA598" i="4"/>
  <c r="AA597" i="4"/>
  <c r="AE597" i="4" s="1"/>
  <c r="AA596" i="4"/>
  <c r="AB596" i="4" s="1"/>
  <c r="AA595" i="4"/>
  <c r="AA594" i="4"/>
  <c r="AA593" i="4"/>
  <c r="AE593" i="4" s="1"/>
  <c r="AA592" i="4"/>
  <c r="AE592" i="4" s="1"/>
  <c r="AA591" i="4"/>
  <c r="AA590" i="4"/>
  <c r="AA589" i="4"/>
  <c r="AE589" i="4" s="1"/>
  <c r="AA588" i="4"/>
  <c r="AE588" i="4" s="1"/>
  <c r="AA587" i="4"/>
  <c r="AA586" i="4"/>
  <c r="AA585" i="4"/>
  <c r="AE585" i="4" s="1"/>
  <c r="AA584" i="4"/>
  <c r="AE584" i="4" s="1"/>
  <c r="AA583" i="4"/>
  <c r="AA582" i="4"/>
  <c r="AA581" i="4"/>
  <c r="AE581" i="4" s="1"/>
  <c r="AA580" i="4"/>
  <c r="AE580" i="4" s="1"/>
  <c r="AA579" i="4"/>
  <c r="AA578" i="4"/>
  <c r="AA576" i="4"/>
  <c r="AE576" i="4" s="1"/>
  <c r="AA575" i="4"/>
  <c r="AA574" i="4"/>
  <c r="AA573" i="4"/>
  <c r="AA572" i="4"/>
  <c r="AE572" i="4" s="1"/>
  <c r="AA571" i="4"/>
  <c r="AA570" i="4"/>
  <c r="AA569" i="4"/>
  <c r="AA568" i="4"/>
  <c r="AE568" i="4" s="1"/>
  <c r="AA567" i="4"/>
  <c r="AA566" i="4"/>
  <c r="AA565" i="4"/>
  <c r="AA564" i="4"/>
  <c r="AE564" i="4" s="1"/>
  <c r="AA563" i="4"/>
  <c r="AA562" i="4"/>
  <c r="AA561" i="4"/>
  <c r="AA560" i="4"/>
  <c r="AE560" i="4" s="1"/>
  <c r="AA559" i="4"/>
  <c r="AB559" i="4" s="1"/>
  <c r="AA558" i="4"/>
  <c r="AA557" i="4"/>
  <c r="AA556" i="4"/>
  <c r="AE556" i="4" s="1"/>
  <c r="AA555" i="4"/>
  <c r="AA554" i="4"/>
  <c r="AA553" i="4"/>
  <c r="AA552" i="4"/>
  <c r="AE552" i="4" s="1"/>
  <c r="AA551" i="4"/>
  <c r="AA550" i="4"/>
  <c r="AA549" i="4"/>
  <c r="AA548" i="4"/>
  <c r="AE548" i="4" s="1"/>
  <c r="AA547" i="4"/>
  <c r="AA546" i="4"/>
  <c r="AA545" i="4"/>
  <c r="AA544" i="4"/>
  <c r="AE544" i="4" s="1"/>
  <c r="AA543" i="4"/>
  <c r="AA542" i="4"/>
  <c r="AA541" i="4"/>
  <c r="AA540" i="4"/>
  <c r="AE540" i="4" s="1"/>
  <c r="AA539" i="4"/>
  <c r="AA538" i="4"/>
  <c r="AA537" i="4"/>
  <c r="AA535" i="4"/>
  <c r="AA534" i="4"/>
  <c r="AB534" i="4" s="1"/>
  <c r="AA533" i="4"/>
  <c r="AA532" i="4"/>
  <c r="AE532" i="4" s="1"/>
  <c r="AA531" i="4"/>
  <c r="AA530" i="4"/>
  <c r="AA529" i="4"/>
  <c r="AA528" i="4"/>
  <c r="AE528" i="4" s="1"/>
  <c r="AA527" i="4"/>
  <c r="AA526" i="4"/>
  <c r="AA525" i="4"/>
  <c r="AA523" i="4"/>
  <c r="AA522" i="4"/>
  <c r="AA521" i="4"/>
  <c r="AA519" i="4"/>
  <c r="AA518" i="4"/>
  <c r="AA517" i="4"/>
  <c r="AA516" i="4"/>
  <c r="AE516" i="4" s="1"/>
  <c r="AA515" i="4"/>
  <c r="AA514" i="4"/>
  <c r="AA513" i="4"/>
  <c r="AA512" i="4"/>
  <c r="AE512" i="4" s="1"/>
  <c r="AA511" i="4"/>
  <c r="AA510" i="4"/>
  <c r="AB510" i="4" s="1"/>
  <c r="AA509" i="4"/>
  <c r="AA508" i="4"/>
  <c r="AE508" i="4" s="1"/>
  <c r="AA507" i="4"/>
  <c r="AA506" i="4"/>
  <c r="AA505" i="4"/>
  <c r="AA504" i="4"/>
  <c r="AE504" i="4" s="1"/>
  <c r="AA503" i="4"/>
  <c r="AA502" i="4"/>
  <c r="AA501" i="4"/>
  <c r="AA500" i="4"/>
  <c r="AE500" i="4" s="1"/>
  <c r="AA499" i="4"/>
  <c r="AA498" i="4"/>
  <c r="AA497" i="4"/>
  <c r="AA496" i="4"/>
  <c r="AE496" i="4" s="1"/>
  <c r="AA495" i="4"/>
  <c r="AA494" i="4"/>
  <c r="AA493" i="4"/>
  <c r="AA492" i="4"/>
  <c r="AE492" i="4" s="1"/>
  <c r="AA491" i="4"/>
  <c r="AA490" i="4"/>
  <c r="AA486" i="4"/>
  <c r="AA485" i="4"/>
  <c r="AA484" i="4"/>
  <c r="AE484" i="4" s="1"/>
  <c r="AA483" i="4"/>
  <c r="AA482" i="4"/>
  <c r="AA481" i="4"/>
  <c r="AA480" i="4"/>
  <c r="AE480" i="4" s="1"/>
  <c r="AA479" i="4"/>
  <c r="AA478" i="4"/>
  <c r="AA476" i="4"/>
  <c r="AE476" i="4" s="1"/>
  <c r="AA475" i="4"/>
  <c r="AA474" i="4"/>
  <c r="AA473" i="4"/>
  <c r="AA472" i="4"/>
  <c r="AE472" i="4" s="1"/>
  <c r="AA471" i="4"/>
  <c r="AA470" i="4"/>
  <c r="AA469" i="4"/>
  <c r="AA468" i="4"/>
  <c r="AE468" i="4" s="1"/>
  <c r="AA467" i="4"/>
  <c r="AA466" i="4"/>
  <c r="AA465" i="4"/>
  <c r="AA464" i="4"/>
  <c r="AE464" i="4" s="1"/>
  <c r="AA463" i="4"/>
  <c r="AA462" i="4"/>
  <c r="AA461" i="4"/>
  <c r="AA460" i="4"/>
  <c r="AE460" i="4" s="1"/>
  <c r="AA459" i="4"/>
  <c r="AA458" i="4"/>
  <c r="AA457" i="4"/>
  <c r="AA456" i="4"/>
  <c r="AE456" i="4" s="1"/>
  <c r="AA455" i="4"/>
  <c r="AA454" i="4"/>
  <c r="AA453" i="4"/>
  <c r="AA452" i="4"/>
  <c r="AE452" i="4" s="1"/>
  <c r="AA451" i="4"/>
  <c r="AA450" i="4"/>
  <c r="AA449" i="4"/>
  <c r="AA448" i="4"/>
  <c r="AE448" i="4" s="1"/>
  <c r="AA447" i="4"/>
  <c r="AA446" i="4"/>
  <c r="AA445" i="4"/>
  <c r="AA444" i="4"/>
  <c r="AE444" i="4" s="1"/>
  <c r="AA443" i="4"/>
  <c r="AA442" i="4"/>
  <c r="AA441" i="4"/>
  <c r="AA440" i="4"/>
  <c r="AE440" i="4" s="1"/>
  <c r="AA439" i="4"/>
  <c r="AA438" i="4"/>
  <c r="AA437" i="4"/>
  <c r="AA436" i="4"/>
  <c r="AE436" i="4" s="1"/>
  <c r="AA435" i="4"/>
  <c r="AA434" i="4"/>
  <c r="AA433" i="4"/>
  <c r="AA432" i="4"/>
  <c r="AE432" i="4" s="1"/>
  <c r="AA431" i="4"/>
  <c r="AA430" i="4"/>
  <c r="AB430" i="4" s="1"/>
  <c r="AA429" i="4"/>
  <c r="AA428" i="4"/>
  <c r="AE428" i="4" s="1"/>
  <c r="AA427" i="4"/>
  <c r="AA426" i="4"/>
  <c r="AA425" i="4"/>
  <c r="AA424" i="4"/>
  <c r="AE424" i="4" s="1"/>
  <c r="AA423" i="4"/>
  <c r="AA422" i="4"/>
  <c r="AA421" i="4"/>
  <c r="AA420" i="4"/>
  <c r="AE420" i="4" s="1"/>
  <c r="AA419" i="4"/>
  <c r="AA418" i="4"/>
  <c r="AA417" i="4"/>
  <c r="AA416" i="4"/>
  <c r="AE416" i="4" s="1"/>
  <c r="AA415" i="4"/>
  <c r="AA414" i="4"/>
  <c r="AA413" i="4"/>
  <c r="AA412" i="4"/>
  <c r="AE412" i="4" s="1"/>
  <c r="AA411" i="4"/>
  <c r="AA410" i="4"/>
  <c r="AA409" i="4"/>
  <c r="AA408" i="4"/>
  <c r="AE408" i="4" s="1"/>
  <c r="AA407" i="4"/>
  <c r="AA406" i="4"/>
  <c r="AA405" i="4"/>
  <c r="AA404" i="4"/>
  <c r="AE404" i="4" s="1"/>
  <c r="AA403" i="4"/>
  <c r="AA402" i="4"/>
  <c r="AA401" i="4"/>
  <c r="AA399" i="4"/>
  <c r="AA398" i="4"/>
  <c r="AA397" i="4"/>
  <c r="AA396" i="4"/>
  <c r="AE396" i="4" s="1"/>
  <c r="AA395" i="4"/>
  <c r="AA394" i="4"/>
  <c r="AA393" i="4"/>
  <c r="AA392" i="4"/>
  <c r="AE392" i="4" s="1"/>
  <c r="AA391" i="4"/>
  <c r="AA390" i="4"/>
  <c r="AA389" i="4"/>
  <c r="AA388" i="4"/>
  <c r="AE388" i="4" s="1"/>
  <c r="AA387" i="4"/>
  <c r="AA386" i="4"/>
  <c r="AA385" i="4"/>
  <c r="AA384" i="4"/>
  <c r="AE384" i="4" s="1"/>
  <c r="AA383" i="4"/>
  <c r="AA382" i="4"/>
  <c r="AA381" i="4"/>
  <c r="AA380" i="4"/>
  <c r="AE380" i="4" s="1"/>
  <c r="AA379" i="4"/>
  <c r="AA378" i="4"/>
  <c r="AA377" i="4"/>
  <c r="AA376" i="4"/>
  <c r="AE376" i="4" s="1"/>
  <c r="AA375" i="4"/>
  <c r="AA374" i="4"/>
  <c r="AA373" i="4"/>
  <c r="AA372" i="4"/>
  <c r="AE372" i="4" s="1"/>
  <c r="AA371" i="4"/>
  <c r="AA370" i="4"/>
  <c r="AB370" i="4" s="1"/>
  <c r="AA369" i="4"/>
  <c r="AA368" i="4"/>
  <c r="AE368" i="4" s="1"/>
  <c r="AA367" i="4"/>
  <c r="AA366" i="4"/>
  <c r="AA365" i="4"/>
  <c r="AA363" i="4"/>
  <c r="AA362" i="4"/>
  <c r="AA361" i="4"/>
  <c r="AA360" i="4"/>
  <c r="AE360" i="4" s="1"/>
  <c r="AA359" i="4"/>
  <c r="AA358" i="4"/>
  <c r="AA357" i="4"/>
  <c r="AA356" i="4"/>
  <c r="AE356" i="4" s="1"/>
  <c r="AA355" i="4"/>
  <c r="AA354" i="4"/>
  <c r="AA353" i="4"/>
  <c r="AA352" i="4"/>
  <c r="AE352" i="4" s="1"/>
  <c r="AA351" i="4"/>
  <c r="AA350" i="4"/>
  <c r="AA349" i="4"/>
  <c r="AA348" i="4"/>
  <c r="AE348" i="4" s="1"/>
  <c r="AA347" i="4"/>
  <c r="AA345" i="4"/>
  <c r="AA344" i="4"/>
  <c r="AE344" i="4" s="1"/>
  <c r="AA343" i="4"/>
  <c r="AA342" i="4"/>
  <c r="AB342" i="4" s="1"/>
  <c r="AA341" i="4"/>
  <c r="AA340" i="4"/>
  <c r="AE340" i="4" s="1"/>
  <c r="AA339" i="4"/>
  <c r="AA337" i="4"/>
  <c r="AA334" i="4"/>
  <c r="AA332" i="4"/>
  <c r="AE332" i="4" s="1"/>
  <c r="AA331" i="4"/>
  <c r="AA330" i="4"/>
  <c r="AA329" i="4"/>
  <c r="AA328" i="4"/>
  <c r="AE328" i="4" s="1"/>
  <c r="AA327" i="4"/>
  <c r="AA326" i="4"/>
  <c r="AA325" i="4"/>
  <c r="AA324" i="4"/>
  <c r="AE324" i="4" s="1"/>
  <c r="AA323" i="4"/>
  <c r="AA322" i="4"/>
  <c r="AA321" i="4"/>
  <c r="AA320" i="4"/>
  <c r="AE320" i="4" s="1"/>
  <c r="AA319" i="4"/>
  <c r="AA318" i="4"/>
  <c r="AA317" i="4"/>
  <c r="AA316" i="4"/>
  <c r="AE316" i="4" s="1"/>
  <c r="AA315" i="4"/>
  <c r="AA314" i="4"/>
  <c r="AA313" i="4"/>
  <c r="AA312" i="4"/>
  <c r="AE312" i="4" s="1"/>
  <c r="AA310" i="4"/>
  <c r="AA309" i="4"/>
  <c r="AA308" i="4"/>
  <c r="AE308" i="4" s="1"/>
  <c r="AA307" i="4"/>
  <c r="AA306" i="4"/>
  <c r="AA305" i="4"/>
  <c r="AA304" i="4"/>
  <c r="AE304" i="4" s="1"/>
  <c r="AA303" i="4"/>
  <c r="AA302" i="4"/>
  <c r="AA301" i="4"/>
  <c r="AA300" i="4"/>
  <c r="AE300" i="4" s="1"/>
  <c r="AA299" i="4"/>
  <c r="AA298" i="4"/>
  <c r="AA297" i="4"/>
  <c r="AA296" i="4"/>
  <c r="AE296" i="4" s="1"/>
  <c r="AA295" i="4"/>
  <c r="AA294" i="4"/>
  <c r="AA293" i="4"/>
  <c r="AA292" i="4"/>
  <c r="AE292" i="4" s="1"/>
  <c r="AA291" i="4"/>
  <c r="AA290" i="4"/>
  <c r="AA289" i="4"/>
  <c r="AA288" i="4"/>
  <c r="AE288" i="4" s="1"/>
  <c r="AA287" i="4"/>
  <c r="AA286" i="4"/>
  <c r="AA285" i="4"/>
  <c r="AA284" i="4"/>
  <c r="AE284" i="4" s="1"/>
  <c r="AA283" i="4"/>
  <c r="AA282" i="4"/>
  <c r="AA281" i="4"/>
  <c r="AB281" i="4" s="1"/>
  <c r="AA280" i="4"/>
  <c r="AE280" i="4" s="1"/>
  <c r="AA279" i="4"/>
  <c r="AA278" i="4"/>
  <c r="AA277" i="4"/>
  <c r="AA276" i="4"/>
  <c r="AE276" i="4" s="1"/>
  <c r="AA275" i="4"/>
  <c r="AA274" i="4"/>
  <c r="AA273" i="4"/>
  <c r="AA272" i="4"/>
  <c r="AE272" i="4" s="1"/>
  <c r="AA271" i="4"/>
  <c r="AA270" i="4"/>
  <c r="AA269" i="4"/>
  <c r="AA268" i="4"/>
  <c r="AE268" i="4" s="1"/>
  <c r="AA267" i="4"/>
  <c r="AA266" i="4"/>
  <c r="AA265" i="4"/>
  <c r="AA263" i="4"/>
  <c r="AA262" i="4"/>
  <c r="AA261" i="4"/>
  <c r="AA260" i="4"/>
  <c r="AE260" i="4" s="1"/>
  <c r="AA259" i="4"/>
  <c r="AA258" i="4"/>
  <c r="AA257" i="4"/>
  <c r="AA256" i="4"/>
  <c r="AE256" i="4" s="1"/>
  <c r="AA255" i="4"/>
  <c r="AA254" i="4"/>
  <c r="AA253" i="4"/>
  <c r="AA252" i="4"/>
  <c r="AE252" i="4" s="1"/>
  <c r="AA251" i="4"/>
  <c r="AA250" i="4"/>
  <c r="AA249" i="4"/>
  <c r="AA248" i="4"/>
  <c r="AE248" i="4" s="1"/>
  <c r="AA247" i="4"/>
  <c r="AA246" i="4"/>
  <c r="AA245" i="4"/>
  <c r="AA244" i="4"/>
  <c r="AE244" i="4" s="1"/>
  <c r="AA243" i="4"/>
  <c r="AA242" i="4"/>
  <c r="AA241" i="4"/>
  <c r="AA240" i="4"/>
  <c r="AE240" i="4" s="1"/>
  <c r="AA239" i="4"/>
  <c r="AA238" i="4"/>
  <c r="AA237" i="4"/>
  <c r="AA236" i="4"/>
  <c r="AE236" i="4" s="1"/>
  <c r="AA235" i="4"/>
  <c r="AA234" i="4"/>
  <c r="AA233" i="4"/>
  <c r="AA232" i="4"/>
  <c r="AE232" i="4" s="1"/>
  <c r="AA231" i="4"/>
  <c r="AA230" i="4"/>
  <c r="AA229" i="4"/>
  <c r="AA228" i="4"/>
  <c r="AE228" i="4" s="1"/>
  <c r="AA227" i="4"/>
  <c r="AA226" i="4"/>
  <c r="AA225" i="4"/>
  <c r="AA224" i="4"/>
  <c r="AE224" i="4" s="1"/>
  <c r="AA223" i="4"/>
  <c r="AA222" i="4"/>
  <c r="AA221" i="4"/>
  <c r="AA220" i="4"/>
  <c r="AE220" i="4" s="1"/>
  <c r="AA219" i="4"/>
  <c r="AA218" i="4"/>
  <c r="AA217" i="4"/>
  <c r="AA216" i="4"/>
  <c r="AE216" i="4" s="1"/>
  <c r="AA215" i="4"/>
  <c r="AA214" i="4"/>
  <c r="AA213" i="4"/>
  <c r="AA211" i="4"/>
  <c r="AA210" i="4"/>
  <c r="AA209" i="4"/>
  <c r="AA208" i="4"/>
  <c r="AE208" i="4" s="1"/>
  <c r="AA207" i="4"/>
  <c r="AA206" i="4"/>
  <c r="AA205" i="4"/>
  <c r="AA204" i="4"/>
  <c r="AE204" i="4" s="1"/>
  <c r="AA202" i="4"/>
  <c r="AA201" i="4"/>
  <c r="AA200" i="4"/>
  <c r="AE200" i="4" s="1"/>
  <c r="AA199" i="4"/>
  <c r="AA198" i="4"/>
  <c r="AA197" i="4"/>
  <c r="AA196" i="4"/>
  <c r="AE196" i="4" s="1"/>
  <c r="AA195" i="4"/>
  <c r="AA194" i="4"/>
  <c r="AA193" i="4"/>
  <c r="AA192" i="4"/>
  <c r="AE192" i="4" s="1"/>
  <c r="AA191" i="4"/>
  <c r="AA190" i="4"/>
  <c r="AA189" i="4"/>
  <c r="AA188" i="4"/>
  <c r="AE188" i="4" s="1"/>
  <c r="AA187" i="4"/>
  <c r="AA186" i="4"/>
  <c r="AA185" i="4"/>
  <c r="AA183" i="4"/>
  <c r="AA182" i="4"/>
  <c r="AA181" i="4"/>
  <c r="AA180" i="4"/>
  <c r="AE180" i="4" s="1"/>
  <c r="AA179" i="4"/>
  <c r="AA178" i="4"/>
  <c r="AA177" i="4"/>
  <c r="AA176" i="4"/>
  <c r="AE176" i="4" s="1"/>
  <c r="AA175" i="4"/>
  <c r="AA174" i="4"/>
  <c r="AA173" i="4"/>
  <c r="AA172" i="4"/>
  <c r="AE172" i="4" s="1"/>
  <c r="AA171" i="4"/>
  <c r="AA170" i="4"/>
  <c r="AA169" i="4"/>
  <c r="AA168" i="4"/>
  <c r="AE168" i="4" s="1"/>
  <c r="AA167" i="4"/>
  <c r="AA166" i="4"/>
  <c r="AA165" i="4"/>
  <c r="AA164" i="4"/>
  <c r="AE164" i="4" s="1"/>
  <c r="AA163" i="4"/>
  <c r="AA162" i="4"/>
  <c r="AA161" i="4"/>
  <c r="AA160" i="4"/>
  <c r="AE160" i="4" s="1"/>
  <c r="AA159" i="4"/>
  <c r="AA158" i="4"/>
  <c r="AA157" i="4"/>
  <c r="AA156" i="4"/>
  <c r="AE156" i="4" s="1"/>
  <c r="AA155" i="4"/>
  <c r="AA154" i="4"/>
  <c r="AA153" i="4"/>
  <c r="AA152" i="4"/>
  <c r="AE152" i="4" s="1"/>
  <c r="AA151" i="4"/>
  <c r="AA150" i="4"/>
  <c r="AA149" i="4"/>
  <c r="AA148" i="4"/>
  <c r="AE148" i="4" s="1"/>
  <c r="AA147" i="4"/>
  <c r="AA146" i="4"/>
  <c r="AA144" i="4"/>
  <c r="AE144" i="4" s="1"/>
  <c r="AA143" i="4"/>
  <c r="AA142" i="4"/>
  <c r="AA141" i="4"/>
  <c r="AA140" i="4"/>
  <c r="AE140" i="4" s="1"/>
  <c r="AA139" i="4"/>
  <c r="AA138" i="4"/>
  <c r="AA137" i="4"/>
  <c r="AA136" i="4"/>
  <c r="AE136" i="4" s="1"/>
  <c r="AA135" i="4"/>
  <c r="AA134" i="4"/>
  <c r="AA133" i="4"/>
  <c r="AA132" i="4"/>
  <c r="AE132" i="4" s="1"/>
  <c r="AA130" i="4"/>
  <c r="AA129" i="4"/>
  <c r="AA128" i="4"/>
  <c r="AE128" i="4" s="1"/>
  <c r="AA127" i="4"/>
  <c r="AA126" i="4"/>
  <c r="AA125" i="4"/>
  <c r="AA124" i="4"/>
  <c r="AE124" i="4" s="1"/>
  <c r="AA123" i="4"/>
  <c r="AA122" i="4"/>
  <c r="AA121" i="4"/>
  <c r="AA120" i="4"/>
  <c r="AE120" i="4" s="1"/>
  <c r="AA119" i="4"/>
  <c r="AA117" i="4"/>
  <c r="AA116" i="4"/>
  <c r="AE116" i="4" s="1"/>
  <c r="AA115" i="4"/>
  <c r="AA114" i="4"/>
  <c r="AA113" i="4"/>
  <c r="AA112" i="4"/>
  <c r="AE112" i="4" s="1"/>
  <c r="AA111" i="4"/>
  <c r="AA110" i="4"/>
  <c r="AA109" i="4"/>
  <c r="AA108" i="4"/>
  <c r="AE108" i="4" s="1"/>
  <c r="AA107" i="4"/>
  <c r="AA106" i="4"/>
  <c r="AA105" i="4"/>
  <c r="AA104" i="4"/>
  <c r="AE104" i="4" s="1"/>
  <c r="AA103" i="4"/>
  <c r="AA102" i="4"/>
  <c r="AA101" i="4"/>
  <c r="AA100" i="4"/>
  <c r="AE100" i="4" s="1"/>
  <c r="AA99" i="4"/>
  <c r="AA98" i="4"/>
  <c r="AA97" i="4"/>
  <c r="AA96" i="4"/>
  <c r="AE96" i="4" s="1"/>
  <c r="AA95" i="4"/>
  <c r="AA94" i="4"/>
  <c r="AA93" i="4"/>
  <c r="AA92" i="4"/>
  <c r="AE92" i="4" s="1"/>
  <c r="AA91" i="4"/>
  <c r="AA90" i="4"/>
  <c r="AA88" i="4"/>
  <c r="AA87" i="4"/>
  <c r="AE87" i="4" s="1"/>
  <c r="AA86" i="4"/>
  <c r="AA85" i="4"/>
  <c r="AA84" i="4"/>
  <c r="AA83" i="4"/>
  <c r="AA82" i="4"/>
  <c r="AA81" i="4"/>
  <c r="AE81" i="4" s="1"/>
  <c r="AA80" i="4"/>
  <c r="AA79" i="4"/>
  <c r="AA78" i="4"/>
  <c r="AA77" i="4"/>
  <c r="AA76" i="4"/>
  <c r="AA75" i="4"/>
  <c r="AA74" i="4"/>
  <c r="AA73" i="4"/>
  <c r="AE73" i="4" s="1"/>
  <c r="AA72" i="4"/>
  <c r="AA71" i="4"/>
  <c r="AA70" i="4"/>
  <c r="AA69" i="4"/>
  <c r="AA68" i="4"/>
  <c r="AA67" i="4"/>
  <c r="AA66" i="4"/>
  <c r="AA64" i="4"/>
  <c r="AA63" i="4"/>
  <c r="AA62" i="4"/>
  <c r="AA61" i="4"/>
  <c r="AA60" i="4"/>
  <c r="AA59" i="4"/>
  <c r="AA58" i="4"/>
  <c r="AA56" i="4"/>
  <c r="AA55" i="4"/>
  <c r="AA54" i="4"/>
  <c r="AE54" i="4" s="1"/>
  <c r="AA53" i="4"/>
  <c r="AA52" i="4"/>
  <c r="AA51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E38" i="4" s="1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E22" i="4" s="1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E6" i="4" s="1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37" i="4"/>
  <c r="O732" i="4"/>
  <c r="O733" i="4"/>
  <c r="O723" i="4"/>
  <c r="O717" i="4"/>
  <c r="O704" i="4"/>
  <c r="O702" i="4"/>
  <c r="O703" i="4"/>
  <c r="O688" i="4"/>
  <c r="O68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520" i="4"/>
  <c r="O487" i="4"/>
  <c r="O488" i="4"/>
  <c r="O477" i="4"/>
  <c r="O441" i="4"/>
  <c r="O442" i="4"/>
  <c r="O443" i="4"/>
  <c r="O444" i="4"/>
  <c r="O445" i="4"/>
  <c r="O446" i="4"/>
  <c r="O447" i="4"/>
  <c r="O448" i="4"/>
  <c r="O449" i="4"/>
  <c r="O437" i="4"/>
  <c r="O438" i="4"/>
  <c r="O434" i="4"/>
  <c r="O432" i="4"/>
  <c r="O433" i="4"/>
  <c r="O416" i="4"/>
  <c r="O417" i="4"/>
  <c r="O418" i="4"/>
  <c r="O419" i="4"/>
  <c r="O420" i="4"/>
  <c r="O421" i="4"/>
  <c r="O422" i="4"/>
  <c r="O423" i="4"/>
  <c r="O424" i="4"/>
  <c r="O425" i="4"/>
  <c r="O426" i="4"/>
  <c r="O371" i="4"/>
  <c r="O372" i="4"/>
  <c r="O373" i="4"/>
  <c r="O374" i="4"/>
  <c r="O375" i="4"/>
  <c r="O376" i="4"/>
  <c r="O364" i="4"/>
  <c r="O346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11" i="4"/>
  <c r="O287" i="4"/>
  <c r="O288" i="4"/>
  <c r="O264" i="4"/>
  <c r="O222" i="4"/>
  <c r="O215" i="4"/>
  <c r="O216" i="4"/>
  <c r="O217" i="4"/>
  <c r="O218" i="4"/>
  <c r="O219" i="4"/>
  <c r="O220" i="4"/>
  <c r="O185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8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AB276" i="4" l="1"/>
  <c r="AB657" i="4"/>
  <c r="AB740" i="4"/>
  <c r="AB448" i="4"/>
  <c r="AB716" i="4"/>
  <c r="AB712" i="4"/>
  <c r="AB688" i="4"/>
  <c r="AB649" i="4"/>
  <c r="AB340" i="4"/>
  <c r="AB124" i="4"/>
  <c r="AB748" i="4"/>
  <c r="AB728" i="4"/>
  <c r="AB681" i="4"/>
  <c r="AB320" i="4"/>
  <c r="AB164" i="4"/>
  <c r="AB744" i="4"/>
  <c r="AB665" i="4"/>
  <c r="AB625" i="4"/>
  <c r="AB96" i="4"/>
  <c r="AE652" i="4"/>
  <c r="AB724" i="4"/>
  <c r="AB617" i="4"/>
  <c r="AB516" i="4"/>
  <c r="AB432" i="4"/>
  <c r="AB352" i="4"/>
  <c r="AB148" i="4"/>
  <c r="AB673" i="4"/>
  <c r="AB609" i="4"/>
  <c r="AB532" i="4"/>
  <c r="AB500" i="4"/>
  <c r="AB416" i="4"/>
  <c r="AB308" i="4"/>
  <c r="AB196" i="4"/>
  <c r="AB112" i="4"/>
  <c r="AE608" i="4"/>
  <c r="AB736" i="4"/>
  <c r="AB633" i="4"/>
  <c r="AB464" i="4"/>
  <c r="AB292" i="4"/>
  <c r="AB180" i="4"/>
  <c r="AB54" i="4"/>
  <c r="AE30" i="4"/>
  <c r="AB30" i="4"/>
  <c r="AE51" i="4"/>
  <c r="AB51" i="4"/>
  <c r="AE85" i="4"/>
  <c r="AB85" i="4"/>
  <c r="AE98" i="4"/>
  <c r="AB98" i="4"/>
  <c r="AE110" i="4"/>
  <c r="AB110" i="4"/>
  <c r="AE123" i="4"/>
  <c r="AB123" i="4"/>
  <c r="AE157" i="4"/>
  <c r="AB157" i="4"/>
  <c r="AE169" i="4"/>
  <c r="AB169" i="4"/>
  <c r="AE181" i="4"/>
  <c r="AB181" i="4"/>
  <c r="AE202" i="4"/>
  <c r="AB202" i="4"/>
  <c r="AE265" i="4"/>
  <c r="AB265" i="4"/>
  <c r="AE273" i="4"/>
  <c r="AB273" i="4"/>
  <c r="AE285" i="4"/>
  <c r="AB285" i="4"/>
  <c r="AE297" i="4"/>
  <c r="AB297" i="4"/>
  <c r="AE309" i="4"/>
  <c r="AB309" i="4"/>
  <c r="AE326" i="4"/>
  <c r="AB326" i="4"/>
  <c r="AE337" i="4"/>
  <c r="AB337" i="4"/>
  <c r="AE351" i="4"/>
  <c r="AB351" i="4"/>
  <c r="AE413" i="4"/>
  <c r="AB413" i="4"/>
  <c r="AE425" i="4"/>
  <c r="AB425" i="4"/>
  <c r="AE437" i="4"/>
  <c r="AB437" i="4"/>
  <c r="AE449" i="4"/>
  <c r="AB449" i="4"/>
  <c r="AE465" i="4"/>
  <c r="AB465" i="4"/>
  <c r="AE482" i="4"/>
  <c r="AB482" i="4"/>
  <c r="AE505" i="4"/>
  <c r="AB505" i="4"/>
  <c r="AE527" i="4"/>
  <c r="AB527" i="4"/>
  <c r="AE618" i="4"/>
  <c r="AB618" i="4"/>
  <c r="AE630" i="4"/>
  <c r="AB630" i="4"/>
  <c r="AE647" i="4"/>
  <c r="AB647" i="4"/>
  <c r="AE671" i="4"/>
  <c r="AB671" i="4"/>
  <c r="AB720" i="4"/>
  <c r="AB704" i="4"/>
  <c r="AB700" i="4"/>
  <c r="AB696" i="4"/>
  <c r="AB601" i="4"/>
  <c r="AB593" i="4"/>
  <c r="AB585" i="4"/>
  <c r="AB564" i="4"/>
  <c r="AB548" i="4"/>
  <c r="AB384" i="4"/>
  <c r="AB368" i="4"/>
  <c r="AB260" i="4"/>
  <c r="AB244" i="4"/>
  <c r="AB228" i="4"/>
  <c r="AB136" i="4"/>
  <c r="AB81" i="4"/>
  <c r="AB6" i="4"/>
  <c r="AE342" i="4"/>
  <c r="AE7" i="4"/>
  <c r="AB7" i="4"/>
  <c r="AE11" i="4"/>
  <c r="AB11" i="4"/>
  <c r="AE15" i="4"/>
  <c r="AB15" i="4"/>
  <c r="AE19" i="4"/>
  <c r="AB19" i="4"/>
  <c r="AE23" i="4"/>
  <c r="AB23" i="4"/>
  <c r="AE27" i="4"/>
  <c r="AB27" i="4"/>
  <c r="AE31" i="4"/>
  <c r="AB31" i="4"/>
  <c r="AE35" i="4"/>
  <c r="AB35" i="4"/>
  <c r="AE39" i="4"/>
  <c r="AB39" i="4"/>
  <c r="AE43" i="4"/>
  <c r="AB43" i="4"/>
  <c r="AE47" i="4"/>
  <c r="AB47" i="4"/>
  <c r="AE52" i="4"/>
  <c r="AB52" i="4"/>
  <c r="AE56" i="4"/>
  <c r="AB56" i="4"/>
  <c r="AE61" i="4"/>
  <c r="AB61" i="4"/>
  <c r="AE66" i="4"/>
  <c r="AB66" i="4"/>
  <c r="AE70" i="4"/>
  <c r="AB70" i="4"/>
  <c r="AE74" i="4"/>
  <c r="AB74" i="4"/>
  <c r="AE78" i="4"/>
  <c r="AB78" i="4"/>
  <c r="AE82" i="4"/>
  <c r="AB82" i="4"/>
  <c r="AE86" i="4"/>
  <c r="AB86" i="4"/>
  <c r="AE91" i="4"/>
  <c r="AB91" i="4"/>
  <c r="AE95" i="4"/>
  <c r="AB95" i="4"/>
  <c r="AE99" i="4"/>
  <c r="AB99" i="4"/>
  <c r="AE103" i="4"/>
  <c r="AB103" i="4"/>
  <c r="AE107" i="4"/>
  <c r="AB107" i="4"/>
  <c r="AE111" i="4"/>
  <c r="AB111" i="4"/>
  <c r="AE115" i="4"/>
  <c r="AB115" i="4"/>
  <c r="AE133" i="4"/>
  <c r="AB133" i="4"/>
  <c r="AE137" i="4"/>
  <c r="AB137" i="4"/>
  <c r="AE141" i="4"/>
  <c r="AB141" i="4"/>
  <c r="AE146" i="4"/>
  <c r="AB146" i="4"/>
  <c r="AE150" i="4"/>
  <c r="AB150" i="4"/>
  <c r="AE154" i="4"/>
  <c r="AB154" i="4"/>
  <c r="AE158" i="4"/>
  <c r="AB158" i="4"/>
  <c r="AE162" i="4"/>
  <c r="AB162" i="4"/>
  <c r="AE166" i="4"/>
  <c r="AB166" i="4"/>
  <c r="AE170" i="4"/>
  <c r="AB170" i="4"/>
  <c r="AE174" i="4"/>
  <c r="AB174" i="4"/>
  <c r="AE178" i="4"/>
  <c r="AB178" i="4"/>
  <c r="AE182" i="4"/>
  <c r="AB182" i="4"/>
  <c r="AE187" i="4"/>
  <c r="AB187" i="4"/>
  <c r="AE191" i="4"/>
  <c r="AB191" i="4"/>
  <c r="AE195" i="4"/>
  <c r="AB195" i="4"/>
  <c r="AE199" i="4"/>
  <c r="AB199" i="4"/>
  <c r="AE213" i="4"/>
  <c r="AB213" i="4"/>
  <c r="AE217" i="4"/>
  <c r="AB217" i="4"/>
  <c r="AE221" i="4"/>
  <c r="AB221" i="4"/>
  <c r="AE225" i="4"/>
  <c r="AB225" i="4"/>
  <c r="AE229" i="4"/>
  <c r="AB229" i="4"/>
  <c r="AE233" i="4"/>
  <c r="AB233" i="4"/>
  <c r="AE237" i="4"/>
  <c r="AB237" i="4"/>
  <c r="AE241" i="4"/>
  <c r="AB241" i="4"/>
  <c r="AE245" i="4"/>
  <c r="AB245" i="4"/>
  <c r="AE249" i="4"/>
  <c r="AB249" i="4"/>
  <c r="AE253" i="4"/>
  <c r="AB253" i="4"/>
  <c r="AE257" i="4"/>
  <c r="AB257" i="4"/>
  <c r="AE261" i="4"/>
  <c r="AB261" i="4"/>
  <c r="AE266" i="4"/>
  <c r="AB266" i="4"/>
  <c r="AE270" i="4"/>
  <c r="AB270" i="4"/>
  <c r="AE274" i="4"/>
  <c r="AB274" i="4"/>
  <c r="AE278" i="4"/>
  <c r="AB278" i="4"/>
  <c r="AE282" i="4"/>
  <c r="AB282" i="4"/>
  <c r="AE286" i="4"/>
  <c r="AB286" i="4"/>
  <c r="AE290" i="4"/>
  <c r="AB290" i="4"/>
  <c r="AE294" i="4"/>
  <c r="AB294" i="4"/>
  <c r="AE298" i="4"/>
  <c r="AB298" i="4"/>
  <c r="AE302" i="4"/>
  <c r="AB302" i="4"/>
  <c r="AE306" i="4"/>
  <c r="AB306" i="4"/>
  <c r="AE310" i="4"/>
  <c r="AB310" i="4"/>
  <c r="AE315" i="4"/>
  <c r="AB315" i="4"/>
  <c r="AE319" i="4"/>
  <c r="AB319" i="4"/>
  <c r="AE323" i="4"/>
  <c r="AB323" i="4"/>
  <c r="AE327" i="4"/>
  <c r="AB327" i="4"/>
  <c r="AE331" i="4"/>
  <c r="AB331" i="4"/>
  <c r="AE339" i="4"/>
  <c r="AB339" i="4"/>
  <c r="AE343" i="4"/>
  <c r="AB343" i="4"/>
  <c r="AE365" i="4"/>
  <c r="AB365" i="4"/>
  <c r="AE369" i="4"/>
  <c r="AB369" i="4"/>
  <c r="AE373" i="4"/>
  <c r="AB373" i="4"/>
  <c r="AE377" i="4"/>
  <c r="AB377" i="4"/>
  <c r="AE381" i="4"/>
  <c r="AB381" i="4"/>
  <c r="AE385" i="4"/>
  <c r="AB385" i="4"/>
  <c r="AE389" i="4"/>
  <c r="AB389" i="4"/>
  <c r="AE393" i="4"/>
  <c r="AB393" i="4"/>
  <c r="AE397" i="4"/>
  <c r="AB397" i="4"/>
  <c r="AE402" i="4"/>
  <c r="AB402" i="4"/>
  <c r="AE406" i="4"/>
  <c r="AB406" i="4"/>
  <c r="AE410" i="4"/>
  <c r="AB410" i="4"/>
  <c r="AB414" i="4"/>
  <c r="AE414" i="4"/>
  <c r="AE418" i="4"/>
  <c r="AB418" i="4"/>
  <c r="AE422" i="4"/>
  <c r="AB422" i="4"/>
  <c r="AE426" i="4"/>
  <c r="AB426" i="4"/>
  <c r="AE434" i="4"/>
  <c r="AB434" i="4"/>
  <c r="AE438" i="4"/>
  <c r="AB438" i="4"/>
  <c r="AE442" i="4"/>
  <c r="AB442" i="4"/>
  <c r="AE446" i="4"/>
  <c r="AB446" i="4"/>
  <c r="AE450" i="4"/>
  <c r="AB450" i="4"/>
  <c r="AE454" i="4"/>
  <c r="AB454" i="4"/>
  <c r="AE458" i="4"/>
  <c r="AB458" i="4"/>
  <c r="AE462" i="4"/>
  <c r="AB462" i="4"/>
  <c r="AE466" i="4"/>
  <c r="AB466" i="4"/>
  <c r="AE470" i="4"/>
  <c r="AB470" i="4"/>
  <c r="AE474" i="4"/>
  <c r="AB474" i="4"/>
  <c r="AE479" i="4"/>
  <c r="AB479" i="4"/>
  <c r="AE483" i="4"/>
  <c r="AB483" i="4"/>
  <c r="AE490" i="4"/>
  <c r="AB490" i="4"/>
  <c r="AB494" i="4"/>
  <c r="AE494" i="4"/>
  <c r="AE498" i="4"/>
  <c r="AB498" i="4"/>
  <c r="AE502" i="4"/>
  <c r="AB502" i="4"/>
  <c r="AE506" i="4"/>
  <c r="AB506" i="4"/>
  <c r="AE514" i="4"/>
  <c r="AB514" i="4"/>
  <c r="AE518" i="4"/>
  <c r="AB518" i="4"/>
  <c r="AE523" i="4"/>
  <c r="AB523" i="4"/>
  <c r="AE537" i="4"/>
  <c r="AB537" i="4"/>
  <c r="AE541" i="4"/>
  <c r="AB541" i="4"/>
  <c r="AE545" i="4"/>
  <c r="AB545" i="4"/>
  <c r="AE549" i="4"/>
  <c r="AB549" i="4"/>
  <c r="AE553" i="4"/>
  <c r="AB553" i="4"/>
  <c r="AE557" i="4"/>
  <c r="AB557" i="4"/>
  <c r="AE561" i="4"/>
  <c r="AB561" i="4"/>
  <c r="AE565" i="4"/>
  <c r="AB565" i="4"/>
  <c r="AE569" i="4"/>
  <c r="AB569" i="4"/>
  <c r="AE573" i="4"/>
  <c r="AB573" i="4"/>
  <c r="AE578" i="4"/>
  <c r="AB578" i="4"/>
  <c r="AE582" i="4"/>
  <c r="AB582" i="4"/>
  <c r="AE586" i="4"/>
  <c r="AB586" i="4"/>
  <c r="AE590" i="4"/>
  <c r="AB590" i="4"/>
  <c r="AE594" i="4"/>
  <c r="AB594" i="4"/>
  <c r="AE598" i="4"/>
  <c r="AB598" i="4"/>
  <c r="AE602" i="4"/>
  <c r="AB602" i="4"/>
  <c r="AE607" i="4"/>
  <c r="AB607" i="4"/>
  <c r="AE611" i="4"/>
  <c r="AB611" i="4"/>
  <c r="AE615" i="4"/>
  <c r="AB615" i="4"/>
  <c r="AE619" i="4"/>
  <c r="AB619" i="4"/>
  <c r="AE623" i="4"/>
  <c r="AB623" i="4"/>
  <c r="AE627" i="4"/>
  <c r="AB627" i="4"/>
  <c r="AE631" i="4"/>
  <c r="AB631" i="4"/>
  <c r="AE635" i="4"/>
  <c r="AB635" i="4"/>
  <c r="AE639" i="4"/>
  <c r="AB639" i="4"/>
  <c r="AB759" i="4"/>
  <c r="AB751" i="4"/>
  <c r="AB747" i="4"/>
  <c r="AB743" i="4"/>
  <c r="AB735" i="4"/>
  <c r="AB727" i="4"/>
  <c r="AB719" i="4"/>
  <c r="AB715" i="4"/>
  <c r="AB707" i="4"/>
  <c r="AB703" i="4"/>
  <c r="AB699" i="4"/>
  <c r="AB695" i="4"/>
  <c r="AB691" i="4"/>
  <c r="AB686" i="4"/>
  <c r="AB680" i="4"/>
  <c r="AB672" i="4"/>
  <c r="AB664" i="4"/>
  <c r="AB656" i="4"/>
  <c r="AB648" i="4"/>
  <c r="AB640" i="4"/>
  <c r="AB632" i="4"/>
  <c r="AB624" i="4"/>
  <c r="AB616" i="4"/>
  <c r="AB600" i="4"/>
  <c r="AB592" i="4"/>
  <c r="AB584" i="4"/>
  <c r="AB576" i="4"/>
  <c r="AB560" i="4"/>
  <c r="AB544" i="4"/>
  <c r="AB528" i="4"/>
  <c r="AB512" i="4"/>
  <c r="AB496" i="4"/>
  <c r="AB476" i="4"/>
  <c r="AB460" i="4"/>
  <c r="AB444" i="4"/>
  <c r="AB428" i="4"/>
  <c r="AB412" i="4"/>
  <c r="AB396" i="4"/>
  <c r="AB380" i="4"/>
  <c r="AB348" i="4"/>
  <c r="AB332" i="4"/>
  <c r="AB316" i="4"/>
  <c r="AB304" i="4"/>
  <c r="AB288" i="4"/>
  <c r="AB272" i="4"/>
  <c r="AB256" i="4"/>
  <c r="AB240" i="4"/>
  <c r="AB224" i="4"/>
  <c r="AB208" i="4"/>
  <c r="AB192" i="4"/>
  <c r="AB176" i="4"/>
  <c r="AB160" i="4"/>
  <c r="AB132" i="4"/>
  <c r="AB120" i="4"/>
  <c r="AB108" i="4"/>
  <c r="AB92" i="4"/>
  <c r="AB73" i="4"/>
  <c r="AE559" i="4"/>
  <c r="AE370" i="4"/>
  <c r="AE14" i="4"/>
  <c r="AB14" i="4"/>
  <c r="AE46" i="4"/>
  <c r="AB46" i="4"/>
  <c r="AE60" i="4"/>
  <c r="AB60" i="4"/>
  <c r="AE90" i="4"/>
  <c r="AB90" i="4"/>
  <c r="AE102" i="4"/>
  <c r="AB102" i="4"/>
  <c r="AE114" i="4"/>
  <c r="AB114" i="4"/>
  <c r="AE119" i="4"/>
  <c r="AB119" i="4"/>
  <c r="AE127" i="4"/>
  <c r="AB127" i="4"/>
  <c r="AE149" i="4"/>
  <c r="AB149" i="4"/>
  <c r="AE161" i="4"/>
  <c r="AB161" i="4"/>
  <c r="AE173" i="4"/>
  <c r="AB173" i="4"/>
  <c r="AE186" i="4"/>
  <c r="AB186" i="4"/>
  <c r="AE198" i="4"/>
  <c r="AB198" i="4"/>
  <c r="AE211" i="4"/>
  <c r="AB211" i="4"/>
  <c r="AE269" i="4"/>
  <c r="AB269" i="4"/>
  <c r="AE277" i="4"/>
  <c r="AB277" i="4"/>
  <c r="AE289" i="4"/>
  <c r="AB289" i="4"/>
  <c r="AE301" i="4"/>
  <c r="AB301" i="4"/>
  <c r="AE314" i="4"/>
  <c r="AB314" i="4"/>
  <c r="AE355" i="4"/>
  <c r="AB355" i="4"/>
  <c r="AE359" i="4"/>
  <c r="AB359" i="4"/>
  <c r="AE363" i="4"/>
  <c r="AB363" i="4"/>
  <c r="AE401" i="4"/>
  <c r="AB401" i="4"/>
  <c r="AE405" i="4"/>
  <c r="AB405" i="4"/>
  <c r="AE417" i="4"/>
  <c r="AB417" i="4"/>
  <c r="AE429" i="4"/>
  <c r="AB429" i="4"/>
  <c r="AE441" i="4"/>
  <c r="AB441" i="4"/>
  <c r="AE453" i="4"/>
  <c r="AB453" i="4"/>
  <c r="AE461" i="4"/>
  <c r="AB461" i="4"/>
  <c r="AE473" i="4"/>
  <c r="AB473" i="4"/>
  <c r="AE486" i="4"/>
  <c r="AB486" i="4"/>
  <c r="AE497" i="4"/>
  <c r="AB497" i="4"/>
  <c r="AE509" i="4"/>
  <c r="AB509" i="4"/>
  <c r="AE517" i="4"/>
  <c r="AB517" i="4"/>
  <c r="AE606" i="4"/>
  <c r="AB606" i="4"/>
  <c r="AE614" i="4"/>
  <c r="AB614" i="4"/>
  <c r="AE626" i="4"/>
  <c r="AB626" i="4"/>
  <c r="AE638" i="4"/>
  <c r="AB638" i="4"/>
  <c r="AE651" i="4"/>
  <c r="AB651" i="4"/>
  <c r="AE659" i="4"/>
  <c r="AB659" i="4"/>
  <c r="AE663" i="4"/>
  <c r="AB663" i="4"/>
  <c r="AE675" i="4"/>
  <c r="AB675" i="4"/>
  <c r="AE683" i="4"/>
  <c r="AB683" i="4"/>
  <c r="AE687" i="4"/>
  <c r="AB687" i="4"/>
  <c r="AE8" i="4"/>
  <c r="AB8" i="4"/>
  <c r="AE12" i="4"/>
  <c r="AB12" i="4"/>
  <c r="AE16" i="4"/>
  <c r="AB16" i="4"/>
  <c r="AE20" i="4"/>
  <c r="AB20" i="4"/>
  <c r="AE24" i="4"/>
  <c r="AB24" i="4"/>
  <c r="AE28" i="4"/>
  <c r="AB28" i="4"/>
  <c r="AE32" i="4"/>
  <c r="AB32" i="4"/>
  <c r="AE36" i="4"/>
  <c r="AB36" i="4"/>
  <c r="AE40" i="4"/>
  <c r="AB40" i="4"/>
  <c r="AE44" i="4"/>
  <c r="AB44" i="4"/>
  <c r="AE48" i="4"/>
  <c r="AB48" i="4"/>
  <c r="AE53" i="4"/>
  <c r="AB53" i="4"/>
  <c r="AE58" i="4"/>
  <c r="AB58" i="4"/>
  <c r="AE62" i="4"/>
  <c r="AB62" i="4"/>
  <c r="AE67" i="4"/>
  <c r="AB67" i="4"/>
  <c r="AE71" i="4"/>
  <c r="AB71" i="4"/>
  <c r="AE75" i="4"/>
  <c r="AB75" i="4"/>
  <c r="AE79" i="4"/>
  <c r="AB79" i="4"/>
  <c r="AE83" i="4"/>
  <c r="AB83" i="4"/>
  <c r="AE121" i="4"/>
  <c r="AB121" i="4"/>
  <c r="AE125" i="4"/>
  <c r="AB125" i="4"/>
  <c r="AE129" i="4"/>
  <c r="AB129" i="4"/>
  <c r="AE134" i="4"/>
  <c r="AB134" i="4"/>
  <c r="AE138" i="4"/>
  <c r="AB138" i="4"/>
  <c r="AE142" i="4"/>
  <c r="AB142" i="4"/>
  <c r="AE147" i="4"/>
  <c r="AB147" i="4"/>
  <c r="AE151" i="4"/>
  <c r="AB151" i="4"/>
  <c r="AE155" i="4"/>
  <c r="AB155" i="4"/>
  <c r="AE159" i="4"/>
  <c r="AB159" i="4"/>
  <c r="AE163" i="4"/>
  <c r="AB163" i="4"/>
  <c r="AE167" i="4"/>
  <c r="AB167" i="4"/>
  <c r="AE171" i="4"/>
  <c r="AB171" i="4"/>
  <c r="AE175" i="4"/>
  <c r="AB175" i="4"/>
  <c r="AE179" i="4"/>
  <c r="AB179" i="4"/>
  <c r="AE183" i="4"/>
  <c r="AB183" i="4"/>
  <c r="AE205" i="4"/>
  <c r="AB205" i="4"/>
  <c r="AE209" i="4"/>
  <c r="AB209" i="4"/>
  <c r="AE214" i="4"/>
  <c r="AB214" i="4"/>
  <c r="AE218" i="4"/>
  <c r="AB218" i="4"/>
  <c r="AE222" i="4"/>
  <c r="AB222" i="4"/>
  <c r="AE226" i="4"/>
  <c r="AB226" i="4"/>
  <c r="AE230" i="4"/>
  <c r="AB230" i="4"/>
  <c r="AE234" i="4"/>
  <c r="AB234" i="4"/>
  <c r="AE238" i="4"/>
  <c r="AB238" i="4"/>
  <c r="AE242" i="4"/>
  <c r="AB242" i="4"/>
  <c r="AE246" i="4"/>
  <c r="AB246" i="4"/>
  <c r="AE250" i="4"/>
  <c r="AB250" i="4"/>
  <c r="AE254" i="4"/>
  <c r="AB254" i="4"/>
  <c r="AE258" i="4"/>
  <c r="AB258" i="4"/>
  <c r="AE262" i="4"/>
  <c r="AB262" i="4"/>
  <c r="AE267" i="4"/>
  <c r="AB267" i="4"/>
  <c r="AE271" i="4"/>
  <c r="AB271" i="4"/>
  <c r="AE275" i="4"/>
  <c r="AB275" i="4"/>
  <c r="AE279" i="4"/>
  <c r="AB279" i="4"/>
  <c r="AE283" i="4"/>
  <c r="AB283" i="4"/>
  <c r="AE287" i="4"/>
  <c r="AB287" i="4"/>
  <c r="AE291" i="4"/>
  <c r="AB291" i="4"/>
  <c r="AE295" i="4"/>
  <c r="AB295" i="4"/>
  <c r="AE299" i="4"/>
  <c r="AB299" i="4"/>
  <c r="AE303" i="4"/>
  <c r="AB303" i="4"/>
  <c r="AE307" i="4"/>
  <c r="AB307" i="4"/>
  <c r="AE349" i="4"/>
  <c r="AB349" i="4"/>
  <c r="AE353" i="4"/>
  <c r="AB353" i="4"/>
  <c r="AE357" i="4"/>
  <c r="AB357" i="4"/>
  <c r="AE361" i="4"/>
  <c r="AB361" i="4"/>
  <c r="AE366" i="4"/>
  <c r="AB366" i="4"/>
  <c r="AE374" i="4"/>
  <c r="AB374" i="4"/>
  <c r="AE378" i="4"/>
  <c r="AB378" i="4"/>
  <c r="AE382" i="4"/>
  <c r="AB382" i="4"/>
  <c r="AE386" i="4"/>
  <c r="AB386" i="4"/>
  <c r="AE390" i="4"/>
  <c r="AB390" i="4"/>
  <c r="AE394" i="4"/>
  <c r="AB394" i="4"/>
  <c r="AE398" i="4"/>
  <c r="AB398" i="4"/>
  <c r="AE403" i="4"/>
  <c r="AB403" i="4"/>
  <c r="AE407" i="4"/>
  <c r="AB407" i="4"/>
  <c r="AE411" i="4"/>
  <c r="AB411" i="4"/>
  <c r="AE415" i="4"/>
  <c r="AB415" i="4"/>
  <c r="AE419" i="4"/>
  <c r="AB419" i="4"/>
  <c r="AE423" i="4"/>
  <c r="AB423" i="4"/>
  <c r="AE427" i="4"/>
  <c r="AB427" i="4"/>
  <c r="AE431" i="4"/>
  <c r="AB431" i="4"/>
  <c r="AE435" i="4"/>
  <c r="AB435" i="4"/>
  <c r="AE439" i="4"/>
  <c r="AB439" i="4"/>
  <c r="AE443" i="4"/>
  <c r="AB443" i="4"/>
  <c r="AE447" i="4"/>
  <c r="AB447" i="4"/>
  <c r="AE451" i="4"/>
  <c r="AB451" i="4"/>
  <c r="AE455" i="4"/>
  <c r="AB455" i="4"/>
  <c r="AE459" i="4"/>
  <c r="AB459" i="4"/>
  <c r="AE463" i="4"/>
  <c r="AB463" i="4"/>
  <c r="AE467" i="4"/>
  <c r="AB467" i="4"/>
  <c r="AE471" i="4"/>
  <c r="AB471" i="4"/>
  <c r="AE475" i="4"/>
  <c r="AB475" i="4"/>
  <c r="AE491" i="4"/>
  <c r="AB491" i="4"/>
  <c r="AE495" i="4"/>
  <c r="AB495" i="4"/>
  <c r="AE499" i="4"/>
  <c r="AB499" i="4"/>
  <c r="AE503" i="4"/>
  <c r="AB503" i="4"/>
  <c r="AE507" i="4"/>
  <c r="AB507" i="4"/>
  <c r="AE511" i="4"/>
  <c r="AB511" i="4"/>
  <c r="AE515" i="4"/>
  <c r="AB515" i="4"/>
  <c r="AE519" i="4"/>
  <c r="AB519" i="4"/>
  <c r="AE525" i="4"/>
  <c r="AB525" i="4"/>
  <c r="AE529" i="4"/>
  <c r="AB529" i="4"/>
  <c r="AE533" i="4"/>
  <c r="AB533" i="4"/>
  <c r="AE538" i="4"/>
  <c r="AB538" i="4"/>
  <c r="AE542" i="4"/>
  <c r="AB542" i="4"/>
  <c r="AE546" i="4"/>
  <c r="AB546" i="4"/>
  <c r="AE550" i="4"/>
  <c r="AB550" i="4"/>
  <c r="AE554" i="4"/>
  <c r="AB554" i="4"/>
  <c r="AE558" i="4"/>
  <c r="AB558" i="4"/>
  <c r="AE562" i="4"/>
  <c r="AB562" i="4"/>
  <c r="AE566" i="4"/>
  <c r="AB566" i="4"/>
  <c r="AE570" i="4"/>
  <c r="AB570" i="4"/>
  <c r="AE574" i="4"/>
  <c r="AB574" i="4"/>
  <c r="AE579" i="4"/>
  <c r="AB579" i="4"/>
  <c r="AE583" i="4"/>
  <c r="AB583" i="4"/>
  <c r="AE587" i="4"/>
  <c r="AB587" i="4"/>
  <c r="AE591" i="4"/>
  <c r="AB591" i="4"/>
  <c r="AE595" i="4"/>
  <c r="AB595" i="4"/>
  <c r="AE599" i="4"/>
  <c r="AB599" i="4"/>
  <c r="AE603" i="4"/>
  <c r="AB603" i="4"/>
  <c r="AB758" i="4"/>
  <c r="AB750" i="4"/>
  <c r="AB746" i="4"/>
  <c r="AB742" i="4"/>
  <c r="AB738" i="4"/>
  <c r="AB734" i="4"/>
  <c r="AB726" i="4"/>
  <c r="AB722" i="4"/>
  <c r="AB718" i="4"/>
  <c r="AB714" i="4"/>
  <c r="AB706" i="4"/>
  <c r="AB702" i="4"/>
  <c r="AB698" i="4"/>
  <c r="AB694" i="4"/>
  <c r="AB690" i="4"/>
  <c r="AB685" i="4"/>
  <c r="AB677" i="4"/>
  <c r="AB669" i="4"/>
  <c r="AB661" i="4"/>
  <c r="AB653" i="4"/>
  <c r="AB645" i="4"/>
  <c r="AB637" i="4"/>
  <c r="AB629" i="4"/>
  <c r="AB621" i="4"/>
  <c r="AB613" i="4"/>
  <c r="AB597" i="4"/>
  <c r="AB589" i="4"/>
  <c r="AB581" i="4"/>
  <c r="AB572" i="4"/>
  <c r="AB556" i="4"/>
  <c r="AB540" i="4"/>
  <c r="AB508" i="4"/>
  <c r="AB492" i="4"/>
  <c r="AB484" i="4"/>
  <c r="AB472" i="4"/>
  <c r="AB456" i="4"/>
  <c r="AB440" i="4"/>
  <c r="AB424" i="4"/>
  <c r="AB408" i="4"/>
  <c r="AB392" i="4"/>
  <c r="AB376" i="4"/>
  <c r="AB360" i="4"/>
  <c r="AB328" i="4"/>
  <c r="AB312" i="4"/>
  <c r="AB300" i="4"/>
  <c r="AB284" i="4"/>
  <c r="AB268" i="4"/>
  <c r="AB252" i="4"/>
  <c r="AB236" i="4"/>
  <c r="AB220" i="4"/>
  <c r="AB204" i="4"/>
  <c r="AB188" i="4"/>
  <c r="AB172" i="4"/>
  <c r="AB156" i="4"/>
  <c r="AB144" i="4"/>
  <c r="AB104" i="4"/>
  <c r="AB38" i="4"/>
  <c r="AE684" i="4"/>
  <c r="AE596" i="4"/>
  <c r="AE510" i="4"/>
  <c r="AE281" i="4"/>
  <c r="AE10" i="4"/>
  <c r="AB10" i="4"/>
  <c r="AE18" i="4"/>
  <c r="AB18" i="4"/>
  <c r="AE26" i="4"/>
  <c r="AB26" i="4"/>
  <c r="AE34" i="4"/>
  <c r="AB34" i="4"/>
  <c r="AE42" i="4"/>
  <c r="AB42" i="4"/>
  <c r="AE55" i="4"/>
  <c r="AB55" i="4"/>
  <c r="AE64" i="4"/>
  <c r="AB64" i="4"/>
  <c r="AE69" i="4"/>
  <c r="AB69" i="4"/>
  <c r="AE77" i="4"/>
  <c r="AB77" i="4"/>
  <c r="AE94" i="4"/>
  <c r="AB94" i="4"/>
  <c r="AE106" i="4"/>
  <c r="AB106" i="4"/>
  <c r="AE153" i="4"/>
  <c r="AB153" i="4"/>
  <c r="AE165" i="4"/>
  <c r="AB165" i="4"/>
  <c r="AE177" i="4"/>
  <c r="AB177" i="4"/>
  <c r="AE190" i="4"/>
  <c r="AB190" i="4"/>
  <c r="AE194" i="4"/>
  <c r="AB194" i="4"/>
  <c r="AE207" i="4"/>
  <c r="AB207" i="4"/>
  <c r="AE293" i="4"/>
  <c r="AB293" i="4"/>
  <c r="AE305" i="4"/>
  <c r="AB305" i="4"/>
  <c r="AE318" i="4"/>
  <c r="AB318" i="4"/>
  <c r="AE322" i="4"/>
  <c r="AB322" i="4"/>
  <c r="AE330" i="4"/>
  <c r="AB330" i="4"/>
  <c r="AE347" i="4"/>
  <c r="AB347" i="4"/>
  <c r="AE409" i="4"/>
  <c r="AB409" i="4"/>
  <c r="AE421" i="4"/>
  <c r="AB421" i="4"/>
  <c r="AE433" i="4"/>
  <c r="AB433" i="4"/>
  <c r="AE445" i="4"/>
  <c r="AB445" i="4"/>
  <c r="AE457" i="4"/>
  <c r="AB457" i="4"/>
  <c r="AE469" i="4"/>
  <c r="AB469" i="4"/>
  <c r="AE478" i="4"/>
  <c r="AB478" i="4"/>
  <c r="AE493" i="4"/>
  <c r="AB493" i="4"/>
  <c r="AE501" i="4"/>
  <c r="AB501" i="4"/>
  <c r="AE513" i="4"/>
  <c r="AB513" i="4"/>
  <c r="AE522" i="4"/>
  <c r="AB522" i="4"/>
  <c r="AE531" i="4"/>
  <c r="AB531" i="4"/>
  <c r="AE535" i="4"/>
  <c r="AB535" i="4"/>
  <c r="AE610" i="4"/>
  <c r="AB610" i="4"/>
  <c r="AE622" i="4"/>
  <c r="AB622" i="4"/>
  <c r="AE634" i="4"/>
  <c r="AB634" i="4"/>
  <c r="AE643" i="4"/>
  <c r="AB643" i="4"/>
  <c r="AE655" i="4"/>
  <c r="AB655" i="4"/>
  <c r="AE667" i="4"/>
  <c r="AB667" i="4"/>
  <c r="AE679" i="4"/>
  <c r="AB679" i="4"/>
  <c r="AE9" i="4"/>
  <c r="AB9" i="4"/>
  <c r="AE13" i="4"/>
  <c r="AB13" i="4"/>
  <c r="AE17" i="4"/>
  <c r="AB17" i="4"/>
  <c r="AE21" i="4"/>
  <c r="AB21" i="4"/>
  <c r="AE25" i="4"/>
  <c r="AB25" i="4"/>
  <c r="AE29" i="4"/>
  <c r="AB29" i="4"/>
  <c r="AE33" i="4"/>
  <c r="AB33" i="4"/>
  <c r="AE37" i="4"/>
  <c r="AB37" i="4"/>
  <c r="AE41" i="4"/>
  <c r="AB41" i="4"/>
  <c r="AE45" i="4"/>
  <c r="AB45" i="4"/>
  <c r="AE49" i="4"/>
  <c r="AB49" i="4"/>
  <c r="AE59" i="4"/>
  <c r="AB59" i="4"/>
  <c r="AE63" i="4"/>
  <c r="AB63" i="4"/>
  <c r="AE68" i="4"/>
  <c r="AB68" i="4"/>
  <c r="AE72" i="4"/>
  <c r="AB72" i="4"/>
  <c r="AE76" i="4"/>
  <c r="AB76" i="4"/>
  <c r="AE80" i="4"/>
  <c r="AB80" i="4"/>
  <c r="AE84" i="4"/>
  <c r="AB84" i="4"/>
  <c r="AE88" i="4"/>
  <c r="AB88" i="4"/>
  <c r="AE93" i="4"/>
  <c r="AB93" i="4"/>
  <c r="AE97" i="4"/>
  <c r="AB97" i="4"/>
  <c r="AE101" i="4"/>
  <c r="AB101" i="4"/>
  <c r="AE105" i="4"/>
  <c r="AB105" i="4"/>
  <c r="AE109" i="4"/>
  <c r="AB109" i="4"/>
  <c r="AE113" i="4"/>
  <c r="AB113" i="4"/>
  <c r="AE117" i="4"/>
  <c r="AB117" i="4"/>
  <c r="AE122" i="4"/>
  <c r="AB122" i="4"/>
  <c r="AE126" i="4"/>
  <c r="AB126" i="4"/>
  <c r="AE130" i="4"/>
  <c r="AB130" i="4"/>
  <c r="AE135" i="4"/>
  <c r="AB135" i="4"/>
  <c r="AE139" i="4"/>
  <c r="AB139" i="4"/>
  <c r="AE143" i="4"/>
  <c r="AB143" i="4"/>
  <c r="AE185" i="4"/>
  <c r="AB185" i="4"/>
  <c r="AE189" i="4"/>
  <c r="AB189" i="4"/>
  <c r="AE193" i="4"/>
  <c r="AB193" i="4"/>
  <c r="AE197" i="4"/>
  <c r="AB197" i="4"/>
  <c r="AE201" i="4"/>
  <c r="AB201" i="4"/>
  <c r="AE206" i="4"/>
  <c r="AB206" i="4"/>
  <c r="AE210" i="4"/>
  <c r="AB210" i="4"/>
  <c r="AE215" i="4"/>
  <c r="AB215" i="4"/>
  <c r="AE219" i="4"/>
  <c r="AB219" i="4"/>
  <c r="AE223" i="4"/>
  <c r="AB223" i="4"/>
  <c r="AE227" i="4"/>
  <c r="AB227" i="4"/>
  <c r="AE231" i="4"/>
  <c r="AB231" i="4"/>
  <c r="AE235" i="4"/>
  <c r="AB235" i="4"/>
  <c r="AE239" i="4"/>
  <c r="AB239" i="4"/>
  <c r="AE243" i="4"/>
  <c r="AB243" i="4"/>
  <c r="AE247" i="4"/>
  <c r="AB247" i="4"/>
  <c r="AE251" i="4"/>
  <c r="AB251" i="4"/>
  <c r="AE255" i="4"/>
  <c r="AB255" i="4"/>
  <c r="AE259" i="4"/>
  <c r="AB259" i="4"/>
  <c r="AE263" i="4"/>
  <c r="AB263" i="4"/>
  <c r="AE313" i="4"/>
  <c r="AB313" i="4"/>
  <c r="AB317" i="4"/>
  <c r="AE317" i="4"/>
  <c r="AE321" i="4"/>
  <c r="AB321" i="4"/>
  <c r="AE325" i="4"/>
  <c r="AB325" i="4"/>
  <c r="AE329" i="4"/>
  <c r="AB329" i="4"/>
  <c r="AE334" i="4"/>
  <c r="AB334" i="4"/>
  <c r="AE341" i="4"/>
  <c r="AB341" i="4"/>
  <c r="AE345" i="4"/>
  <c r="AB345" i="4"/>
  <c r="AE350" i="4"/>
  <c r="AB350" i="4"/>
  <c r="AE354" i="4"/>
  <c r="AB354" i="4"/>
  <c r="AE358" i="4"/>
  <c r="AB358" i="4"/>
  <c r="AE362" i="4"/>
  <c r="AB362" i="4"/>
  <c r="AE367" i="4"/>
  <c r="AB367" i="4"/>
  <c r="AE371" i="4"/>
  <c r="AB371" i="4"/>
  <c r="AE375" i="4"/>
  <c r="AB375" i="4"/>
  <c r="AE379" i="4"/>
  <c r="AB379" i="4"/>
  <c r="AE383" i="4"/>
  <c r="AB383" i="4"/>
  <c r="AE387" i="4"/>
  <c r="AB387" i="4"/>
  <c r="AE391" i="4"/>
  <c r="AB391" i="4"/>
  <c r="AE395" i="4"/>
  <c r="AB395" i="4"/>
  <c r="AE399" i="4"/>
  <c r="AB399" i="4"/>
  <c r="AE481" i="4"/>
  <c r="AB481" i="4"/>
  <c r="AE485" i="4"/>
  <c r="AB485" i="4"/>
  <c r="AE521" i="4"/>
  <c r="AB521" i="4"/>
  <c r="AE526" i="4"/>
  <c r="AB526" i="4"/>
  <c r="AE530" i="4"/>
  <c r="AB530" i="4"/>
  <c r="AE539" i="4"/>
  <c r="AB539" i="4"/>
  <c r="AE543" i="4"/>
  <c r="AB543" i="4"/>
  <c r="AE547" i="4"/>
  <c r="AB547" i="4"/>
  <c r="AE551" i="4"/>
  <c r="AB551" i="4"/>
  <c r="AE555" i="4"/>
  <c r="AB555" i="4"/>
  <c r="AE563" i="4"/>
  <c r="AB563" i="4"/>
  <c r="AE567" i="4"/>
  <c r="AB567" i="4"/>
  <c r="AE571" i="4"/>
  <c r="AB571" i="4"/>
  <c r="AE575" i="4"/>
  <c r="AB575" i="4"/>
  <c r="AE642" i="4"/>
  <c r="AB642" i="4"/>
  <c r="AE646" i="4"/>
  <c r="AB646" i="4"/>
  <c r="AE650" i="4"/>
  <c r="AB650" i="4"/>
  <c r="AE654" i="4"/>
  <c r="AB654" i="4"/>
  <c r="AE658" i="4"/>
  <c r="AB658" i="4"/>
  <c r="AE662" i="4"/>
  <c r="AB662" i="4"/>
  <c r="AE666" i="4"/>
  <c r="AB666" i="4"/>
  <c r="AE670" i="4"/>
  <c r="AB670" i="4"/>
  <c r="AE674" i="4"/>
  <c r="AB674" i="4"/>
  <c r="AE678" i="4"/>
  <c r="AB678" i="4"/>
  <c r="AE682" i="4"/>
  <c r="AB682" i="4"/>
  <c r="AB753" i="4"/>
  <c r="AB749" i="4"/>
  <c r="AB745" i="4"/>
  <c r="AB741" i="4"/>
  <c r="AB737" i="4"/>
  <c r="AB729" i="4"/>
  <c r="AB725" i="4"/>
  <c r="AB721" i="4"/>
  <c r="AB713" i="4"/>
  <c r="AB709" i="4"/>
  <c r="AB705" i="4"/>
  <c r="AB701" i="4"/>
  <c r="AB697" i="4"/>
  <c r="AB693" i="4"/>
  <c r="AB689" i="4"/>
  <c r="AB676" i="4"/>
  <c r="AB668" i="4"/>
  <c r="AB660" i="4"/>
  <c r="AB644" i="4"/>
  <c r="AB636" i="4"/>
  <c r="AB628" i="4"/>
  <c r="AB620" i="4"/>
  <c r="AB612" i="4"/>
  <c r="AB604" i="4"/>
  <c r="AB588" i="4"/>
  <c r="AB580" i="4"/>
  <c r="AB568" i="4"/>
  <c r="AB552" i="4"/>
  <c r="AB504" i="4"/>
  <c r="AB480" i="4"/>
  <c r="AB468" i="4"/>
  <c r="AB452" i="4"/>
  <c r="AB436" i="4"/>
  <c r="AB420" i="4"/>
  <c r="AB404" i="4"/>
  <c r="AB388" i="4"/>
  <c r="AB372" i="4"/>
  <c r="AB356" i="4"/>
  <c r="AB344" i="4"/>
  <c r="AB324" i="4"/>
  <c r="AB296" i="4"/>
  <c r="AB280" i="4"/>
  <c r="AB248" i="4"/>
  <c r="AB232" i="4"/>
  <c r="AB216" i="4"/>
  <c r="AB200" i="4"/>
  <c r="AB168" i="4"/>
  <c r="AB152" i="4"/>
  <c r="AB140" i="4"/>
  <c r="AB128" i="4"/>
  <c r="AB116" i="4"/>
  <c r="AB100" i="4"/>
  <c r="AB87" i="4"/>
  <c r="AB22" i="4"/>
  <c r="AE534" i="4"/>
  <c r="AE430" i="4"/>
  <c r="F755" i="4" l="1" a="1"/>
  <c r="F755" i="4" s="1"/>
  <c r="H755" i="4" a="1"/>
  <c r="H755" i="4" s="1"/>
  <c r="I755" i="4" a="1"/>
  <c r="I755" i="4" s="1"/>
  <c r="J755" i="4" a="1"/>
  <c r="J755" i="4" s="1"/>
  <c r="K755" i="4" a="1"/>
  <c r="K755" i="4" s="1"/>
  <c r="F477" i="4" a="1"/>
  <c r="F477" i="4" s="1"/>
  <c r="H477" i="4" a="1"/>
  <c r="H477" i="4" s="1"/>
  <c r="I477" i="4" a="1"/>
  <c r="I477" i="4" s="1"/>
  <c r="J477" i="4" a="1"/>
  <c r="J477" i="4" s="1"/>
  <c r="K477" i="4" a="1"/>
  <c r="K477" i="4" s="1"/>
  <c r="F311" i="4" a="1"/>
  <c r="F311" i="4" s="1"/>
  <c r="H311" i="4" a="1"/>
  <c r="H311" i="4" s="1"/>
  <c r="I311" i="4" a="1"/>
  <c r="I311" i="4" s="1"/>
  <c r="J311" i="4" a="1"/>
  <c r="J311" i="4" s="1"/>
  <c r="K311" i="4" a="1"/>
  <c r="K311" i="4" s="1"/>
  <c r="F264" i="4" a="1"/>
  <c r="F264" i="4" s="1"/>
  <c r="H264" i="4" a="1"/>
  <c r="H264" i="4" s="1"/>
  <c r="I264" i="4" a="1"/>
  <c r="I264" i="4" s="1"/>
  <c r="J264" i="4" a="1"/>
  <c r="J264" i="4" s="1"/>
  <c r="K264" i="4" a="1"/>
  <c r="K264" i="4" s="1"/>
  <c r="F364" i="4" a="1"/>
  <c r="F364" i="4" s="1"/>
  <c r="H364" i="4" a="1"/>
  <c r="H364" i="4" s="1"/>
  <c r="I364" i="4" a="1"/>
  <c r="I364" i="4" s="1"/>
  <c r="J364" i="4" a="1"/>
  <c r="J364" i="4" s="1"/>
  <c r="K364" i="4" a="1"/>
  <c r="K364" i="4" s="1"/>
  <c r="F488" i="4" a="1"/>
  <c r="F488" i="4" s="1"/>
  <c r="H488" i="4" a="1"/>
  <c r="H488" i="4" s="1"/>
  <c r="I488" i="4" a="1"/>
  <c r="I488" i="4" s="1"/>
  <c r="J488" i="4" a="1"/>
  <c r="J488" i="4" s="1"/>
  <c r="K488" i="4" a="1"/>
  <c r="K488" i="4" s="1"/>
  <c r="F487" i="4" a="1"/>
  <c r="F487" i="4" s="1"/>
  <c r="H487" i="4" a="1"/>
  <c r="H487" i="4" s="1"/>
  <c r="I487" i="4" a="1"/>
  <c r="I487" i="4" s="1"/>
  <c r="J487" i="4" a="1"/>
  <c r="J487" i="4" s="1"/>
  <c r="K487" i="4" a="1"/>
  <c r="K487" i="4" s="1"/>
  <c r="F416" i="4" a="1"/>
  <c r="F416" i="4" s="1"/>
  <c r="H416" i="4" a="1"/>
  <c r="H416" i="4" s="1"/>
  <c r="I416" i="4" a="1"/>
  <c r="I416" i="4" s="1"/>
  <c r="J416" i="4" a="1"/>
  <c r="J416" i="4" s="1"/>
  <c r="K416" i="4" a="1"/>
  <c r="K416" i="4" s="1"/>
  <c r="F520" i="4" a="1"/>
  <c r="F520" i="4" s="1"/>
  <c r="H520" i="4" a="1"/>
  <c r="H520" i="4" s="1"/>
  <c r="I520" i="4" a="1"/>
  <c r="I520" i="4" s="1"/>
  <c r="J520" i="4" a="1"/>
  <c r="J520" i="4" s="1"/>
  <c r="K520" i="4" a="1"/>
  <c r="K520" i="4" s="1"/>
  <c r="H422" i="4" a="1"/>
  <c r="H422" i="4" s="1"/>
  <c r="I422" i="4" a="1"/>
  <c r="I422" i="4" s="1"/>
  <c r="J422" i="4" a="1"/>
  <c r="J422" i="4" s="1"/>
  <c r="K422" i="4" a="1"/>
  <c r="K422" i="4" s="1"/>
  <c r="F702" i="4" a="1"/>
  <c r="F702" i="4" s="1"/>
  <c r="H702" i="4" a="1"/>
  <c r="H702" i="4" s="1"/>
  <c r="I702" i="4" a="1"/>
  <c r="I702" i="4" s="1"/>
  <c r="J702" i="4" a="1"/>
  <c r="J702" i="4" s="1"/>
  <c r="K702" i="4" a="1"/>
  <c r="K702" i="4" s="1"/>
  <c r="F685" i="4" a="1"/>
  <c r="F685" i="4" s="1"/>
  <c r="H685" i="4" a="1"/>
  <c r="H685" i="4" s="1"/>
  <c r="I685" i="4" a="1"/>
  <c r="I685" i="4" s="1"/>
  <c r="J685" i="4" a="1"/>
  <c r="J685" i="4" s="1"/>
  <c r="K685" i="4" a="1"/>
  <c r="K685" i="4" s="1"/>
  <c r="F737" i="4" a="1"/>
  <c r="F737" i="4" s="1"/>
  <c r="F750" i="4" a="1"/>
  <c r="F750" i="4" s="1"/>
  <c r="F740" i="4" a="1"/>
  <c r="F740" i="4" s="1"/>
  <c r="H740" i="4" a="1"/>
  <c r="H740" i="4" s="1"/>
  <c r="I740" i="4" a="1"/>
  <c r="I740" i="4" s="1"/>
  <c r="J740" i="4" a="1"/>
  <c r="J740" i="4" s="1"/>
  <c r="K740" i="4" a="1"/>
  <c r="K740" i="4" s="1"/>
  <c r="F741" i="4" a="1"/>
  <c r="F741" i="4" s="1"/>
  <c r="H741" i="4" a="1"/>
  <c r="H741" i="4" s="1"/>
  <c r="I741" i="4" a="1"/>
  <c r="I741" i="4" s="1"/>
  <c r="J741" i="4" a="1"/>
  <c r="J741" i="4" s="1"/>
  <c r="K741" i="4" a="1"/>
  <c r="K741" i="4" s="1"/>
  <c r="O731" i="4"/>
  <c r="F731" i="4" a="1"/>
  <c r="F731" i="4" s="1"/>
  <c r="H731" i="4" a="1"/>
  <c r="H731" i="4" s="1"/>
  <c r="I731" i="4" a="1"/>
  <c r="I731" i="4" s="1"/>
  <c r="J731" i="4" a="1"/>
  <c r="J731" i="4" s="1"/>
  <c r="K731" i="4" a="1"/>
  <c r="K731" i="4" s="1"/>
  <c r="F739" i="4" a="1"/>
  <c r="F739" i="4" s="1"/>
  <c r="H739" i="4" a="1"/>
  <c r="H739" i="4" s="1"/>
  <c r="I739" i="4" a="1"/>
  <c r="I739" i="4" s="1"/>
  <c r="J739" i="4" a="1"/>
  <c r="J739" i="4" s="1"/>
  <c r="K739" i="4" a="1"/>
  <c r="K739" i="4" s="1"/>
  <c r="AA717" i="4"/>
  <c r="F717" i="4" a="1"/>
  <c r="F717" i="4" s="1"/>
  <c r="H717" i="4" a="1"/>
  <c r="H717" i="4" s="1"/>
  <c r="I717" i="4" a="1"/>
  <c r="I717" i="4" s="1"/>
  <c r="J717" i="4" a="1"/>
  <c r="J717" i="4" s="1"/>
  <c r="K717" i="4" a="1"/>
  <c r="K717" i="4" s="1"/>
  <c r="H421" i="4" a="1"/>
  <c r="H421" i="4" s="1"/>
  <c r="I421" i="4" a="1"/>
  <c r="I421" i="4" s="1"/>
  <c r="J421" i="4" a="1"/>
  <c r="J421" i="4" s="1"/>
  <c r="K421" i="4" a="1"/>
  <c r="K421" i="4" s="1"/>
  <c r="H420" i="4" a="1"/>
  <c r="H420" i="4" s="1"/>
  <c r="I420" i="4" a="1"/>
  <c r="I420" i="4" s="1"/>
  <c r="J420" i="4" a="1"/>
  <c r="J420" i="4" s="1"/>
  <c r="K420" i="4" a="1"/>
  <c r="K420" i="4" s="1"/>
  <c r="H432" i="4" a="1"/>
  <c r="H432" i="4" s="1"/>
  <c r="I432" i="4" a="1"/>
  <c r="I432" i="4" s="1"/>
  <c r="J432" i="4" a="1"/>
  <c r="J432" i="4" s="1"/>
  <c r="K432" i="4" a="1"/>
  <c r="K432" i="4" s="1"/>
  <c r="F287" i="4" a="1"/>
  <c r="F287" i="4" s="1"/>
  <c r="H287" i="4" a="1"/>
  <c r="H287" i="4" s="1"/>
  <c r="I287" i="4" a="1"/>
  <c r="I287" i="4" s="1"/>
  <c r="J287" i="4" a="1"/>
  <c r="J287" i="4" s="1"/>
  <c r="K287" i="4" a="1"/>
  <c r="K287" i="4" s="1"/>
  <c r="O687" i="4"/>
  <c r="F687" i="4" a="1"/>
  <c r="F687" i="4" s="1"/>
  <c r="H687" i="4" a="1"/>
  <c r="H687" i="4" s="1"/>
  <c r="I687" i="4" a="1"/>
  <c r="I687" i="4" s="1"/>
  <c r="J687" i="4" a="1"/>
  <c r="J687" i="4" s="1"/>
  <c r="K687" i="4" a="1"/>
  <c r="K687" i="4" s="1"/>
  <c r="F759" i="4" a="1"/>
  <c r="F759" i="4" s="1"/>
  <c r="H759" i="4" a="1"/>
  <c r="H759" i="4" s="1"/>
  <c r="I759" i="4" a="1"/>
  <c r="I759" i="4" s="1"/>
  <c r="J759" i="4" a="1"/>
  <c r="J759" i="4" s="1"/>
  <c r="K759" i="4" a="1"/>
  <c r="K759" i="4" s="1"/>
  <c r="AA757" i="4"/>
  <c r="AA756" i="4"/>
  <c r="AA752" i="4"/>
  <c r="AA184" i="4"/>
  <c r="AA5" i="4"/>
  <c r="AB5" i="4" s="1"/>
  <c r="X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69" i="4"/>
  <c r="O184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21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2" i="4"/>
  <c r="O313" i="4"/>
  <c r="O314" i="4"/>
  <c r="O315" i="4"/>
  <c r="O316" i="4"/>
  <c r="O317" i="4"/>
  <c r="O318" i="4"/>
  <c r="O319" i="4"/>
  <c r="O320" i="4"/>
  <c r="O345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5" i="4"/>
  <c r="O366" i="4"/>
  <c r="O367" i="4"/>
  <c r="O368" i="4"/>
  <c r="O369" i="4"/>
  <c r="O370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27" i="4"/>
  <c r="O428" i="4"/>
  <c r="O429" i="4"/>
  <c r="O430" i="4"/>
  <c r="O431" i="4"/>
  <c r="O435" i="4"/>
  <c r="O436" i="4"/>
  <c r="O439" i="4"/>
  <c r="O440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8" i="4"/>
  <c r="O479" i="4"/>
  <c r="O480" i="4"/>
  <c r="O481" i="4"/>
  <c r="O482" i="4"/>
  <c r="O483" i="4"/>
  <c r="O484" i="4"/>
  <c r="O485" i="4"/>
  <c r="O486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6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8" i="4"/>
  <c r="O719" i="4"/>
  <c r="O720" i="4"/>
  <c r="O721" i="4"/>
  <c r="O722" i="4"/>
  <c r="O724" i="4"/>
  <c r="O725" i="4"/>
  <c r="O726" i="4"/>
  <c r="O727" i="4"/>
  <c r="O728" i="4"/>
  <c r="O729" i="4"/>
  <c r="O730" i="4"/>
  <c r="O734" i="4"/>
  <c r="O735" i="4"/>
  <c r="O736" i="4"/>
  <c r="O5" i="4"/>
  <c r="K758" i="4" a="1"/>
  <c r="K758" i="4" s="1"/>
  <c r="J758" i="4" a="1"/>
  <c r="J758" i="4" s="1"/>
  <c r="I758" i="4" a="1"/>
  <c r="I758" i="4" s="1"/>
  <c r="H758" i="4" a="1"/>
  <c r="H758" i="4" s="1"/>
  <c r="K757" i="4" a="1"/>
  <c r="K757" i="4" s="1"/>
  <c r="J757" i="4" a="1"/>
  <c r="J757" i="4" s="1"/>
  <c r="I757" i="4" a="1"/>
  <c r="I757" i="4" s="1"/>
  <c r="H757" i="4" a="1"/>
  <c r="H757" i="4" s="1"/>
  <c r="K756" i="4" a="1"/>
  <c r="K756" i="4" s="1"/>
  <c r="J756" i="4" a="1"/>
  <c r="J756" i="4" s="1"/>
  <c r="I756" i="4" a="1"/>
  <c r="I756" i="4" s="1"/>
  <c r="H756" i="4" a="1"/>
  <c r="H756" i="4" s="1"/>
  <c r="K754" i="4" a="1"/>
  <c r="K754" i="4" s="1"/>
  <c r="J754" i="4" a="1"/>
  <c r="J754" i="4" s="1"/>
  <c r="I754" i="4" a="1"/>
  <c r="I754" i="4" s="1"/>
  <c r="H754" i="4" a="1"/>
  <c r="H754" i="4" s="1"/>
  <c r="K753" i="4" a="1"/>
  <c r="K753" i="4" s="1"/>
  <c r="J753" i="4" a="1"/>
  <c r="J753" i="4" s="1"/>
  <c r="I753" i="4" a="1"/>
  <c r="I753" i="4" s="1"/>
  <c r="H753" i="4" a="1"/>
  <c r="H753" i="4" s="1"/>
  <c r="K752" i="4" a="1"/>
  <c r="K752" i="4" s="1"/>
  <c r="J752" i="4" a="1"/>
  <c r="J752" i="4" s="1"/>
  <c r="I752" i="4" a="1"/>
  <c r="I752" i="4" s="1"/>
  <c r="H752" i="4" a="1"/>
  <c r="H752" i="4" s="1"/>
  <c r="K730" i="4" a="1"/>
  <c r="K730" i="4" s="1"/>
  <c r="J730" i="4" a="1"/>
  <c r="J730" i="4" s="1"/>
  <c r="I730" i="4" a="1"/>
  <c r="I730" i="4" s="1"/>
  <c r="H730" i="4" a="1"/>
  <c r="H730" i="4" s="1"/>
  <c r="K729" i="4" a="1"/>
  <c r="K729" i="4" s="1"/>
  <c r="J729" i="4" a="1"/>
  <c r="J729" i="4" s="1"/>
  <c r="I729" i="4" a="1"/>
  <c r="I729" i="4" s="1"/>
  <c r="H729" i="4" a="1"/>
  <c r="H729" i="4" s="1"/>
  <c r="K728" i="4" a="1"/>
  <c r="K728" i="4" s="1"/>
  <c r="J728" i="4" a="1"/>
  <c r="J728" i="4" s="1"/>
  <c r="I728" i="4" a="1"/>
  <c r="I728" i="4" s="1"/>
  <c r="H728" i="4" a="1"/>
  <c r="H728" i="4" s="1"/>
  <c r="K727" i="4" a="1"/>
  <c r="K727" i="4" s="1"/>
  <c r="J727" i="4" a="1"/>
  <c r="J727" i="4" s="1"/>
  <c r="I727" i="4" a="1"/>
  <c r="I727" i="4" s="1"/>
  <c r="H727" i="4" a="1"/>
  <c r="H727" i="4" s="1"/>
  <c r="K726" i="4" a="1"/>
  <c r="K726" i="4" s="1"/>
  <c r="J726" i="4" a="1"/>
  <c r="J726" i="4" s="1"/>
  <c r="I726" i="4" a="1"/>
  <c r="I726" i="4" s="1"/>
  <c r="H726" i="4" a="1"/>
  <c r="H726" i="4" s="1"/>
  <c r="K725" i="4" a="1"/>
  <c r="K725" i="4" s="1"/>
  <c r="J725" i="4" a="1"/>
  <c r="J725" i="4" s="1"/>
  <c r="I725" i="4" a="1"/>
  <c r="I725" i="4" s="1"/>
  <c r="H725" i="4" a="1"/>
  <c r="H725" i="4" s="1"/>
  <c r="K724" i="4" a="1"/>
  <c r="K724" i="4" s="1"/>
  <c r="J724" i="4" a="1"/>
  <c r="J724" i="4" s="1"/>
  <c r="I724" i="4" a="1"/>
  <c r="I724" i="4" s="1"/>
  <c r="H724" i="4" a="1"/>
  <c r="H724" i="4" s="1"/>
  <c r="K722" i="4" a="1"/>
  <c r="K722" i="4" s="1"/>
  <c r="J722" i="4" a="1"/>
  <c r="J722" i="4" s="1"/>
  <c r="I722" i="4" a="1"/>
  <c r="I722" i="4" s="1"/>
  <c r="H722" i="4" a="1"/>
  <c r="H722" i="4" s="1"/>
  <c r="K721" i="4" a="1"/>
  <c r="K721" i="4" s="1"/>
  <c r="J721" i="4" a="1"/>
  <c r="J721" i="4" s="1"/>
  <c r="I721" i="4" a="1"/>
  <c r="I721" i="4" s="1"/>
  <c r="H721" i="4" a="1"/>
  <c r="H721" i="4" s="1"/>
  <c r="K720" i="4" a="1"/>
  <c r="K720" i="4" s="1"/>
  <c r="J720" i="4" a="1"/>
  <c r="J720" i="4" s="1"/>
  <c r="I720" i="4" a="1"/>
  <c r="I720" i="4" s="1"/>
  <c r="H720" i="4" a="1"/>
  <c r="H720" i="4" s="1"/>
  <c r="K719" i="4" a="1"/>
  <c r="K719" i="4" s="1"/>
  <c r="J719" i="4" a="1"/>
  <c r="J719" i="4" s="1"/>
  <c r="I719" i="4" a="1"/>
  <c r="I719" i="4" s="1"/>
  <c r="H719" i="4" a="1"/>
  <c r="H719" i="4" s="1"/>
  <c r="K718" i="4" a="1"/>
  <c r="K718" i="4" s="1"/>
  <c r="J718" i="4" a="1"/>
  <c r="J718" i="4" s="1"/>
  <c r="I718" i="4" a="1"/>
  <c r="I718" i="4" s="1"/>
  <c r="H718" i="4" a="1"/>
  <c r="H718" i="4" s="1"/>
  <c r="K716" i="4" a="1"/>
  <c r="K716" i="4" s="1"/>
  <c r="J716" i="4" a="1"/>
  <c r="J716" i="4" s="1"/>
  <c r="I716" i="4" a="1"/>
  <c r="I716" i="4" s="1"/>
  <c r="H716" i="4" a="1"/>
  <c r="H716" i="4" s="1"/>
  <c r="K715" i="4" a="1"/>
  <c r="K715" i="4" s="1"/>
  <c r="J715" i="4" a="1"/>
  <c r="J715" i="4" s="1"/>
  <c r="I715" i="4" a="1"/>
  <c r="I715" i="4" s="1"/>
  <c r="H715" i="4" a="1"/>
  <c r="H715" i="4" s="1"/>
  <c r="K714" i="4" a="1"/>
  <c r="K714" i="4" s="1"/>
  <c r="J714" i="4" a="1"/>
  <c r="J714" i="4" s="1"/>
  <c r="I714" i="4" a="1"/>
  <c r="I714" i="4" s="1"/>
  <c r="H714" i="4" a="1"/>
  <c r="H714" i="4" s="1"/>
  <c r="K713" i="4" a="1"/>
  <c r="K713" i="4" s="1"/>
  <c r="J713" i="4" a="1"/>
  <c r="J713" i="4" s="1"/>
  <c r="I713" i="4" a="1"/>
  <c r="I713" i="4" s="1"/>
  <c r="H713" i="4" a="1"/>
  <c r="H713" i="4" s="1"/>
  <c r="K712" i="4" a="1"/>
  <c r="K712" i="4" s="1"/>
  <c r="J712" i="4" a="1"/>
  <c r="J712" i="4" s="1"/>
  <c r="I712" i="4" a="1"/>
  <c r="I712" i="4" s="1"/>
  <c r="H712" i="4" a="1"/>
  <c r="H712" i="4" s="1"/>
  <c r="K711" i="4" a="1"/>
  <c r="K711" i="4" s="1"/>
  <c r="J711" i="4" a="1"/>
  <c r="J711" i="4" s="1"/>
  <c r="I711" i="4" a="1"/>
  <c r="I711" i="4" s="1"/>
  <c r="H711" i="4" a="1"/>
  <c r="H711" i="4" s="1"/>
  <c r="K710" i="4" a="1"/>
  <c r="K710" i="4" s="1"/>
  <c r="J710" i="4" a="1"/>
  <c r="J710" i="4" s="1"/>
  <c r="I710" i="4" a="1"/>
  <c r="I710" i="4" s="1"/>
  <c r="H710" i="4" a="1"/>
  <c r="H710" i="4" s="1"/>
  <c r="K709" i="4" a="1"/>
  <c r="K709" i="4" s="1"/>
  <c r="J709" i="4" a="1"/>
  <c r="J709" i="4" s="1"/>
  <c r="I709" i="4" a="1"/>
  <c r="I709" i="4" s="1"/>
  <c r="H709" i="4" a="1"/>
  <c r="H709" i="4" s="1"/>
  <c r="K708" i="4" a="1"/>
  <c r="K708" i="4" s="1"/>
  <c r="J708" i="4" a="1"/>
  <c r="J708" i="4" s="1"/>
  <c r="I708" i="4" a="1"/>
  <c r="I708" i="4" s="1"/>
  <c r="H708" i="4" a="1"/>
  <c r="H708" i="4" s="1"/>
  <c r="K707" i="4" a="1"/>
  <c r="K707" i="4" s="1"/>
  <c r="J707" i="4" a="1"/>
  <c r="J707" i="4" s="1"/>
  <c r="I707" i="4" a="1"/>
  <c r="I707" i="4" s="1"/>
  <c r="H707" i="4" a="1"/>
  <c r="H707" i="4" s="1"/>
  <c r="K706" i="4" a="1"/>
  <c r="K706" i="4" s="1"/>
  <c r="J706" i="4" a="1"/>
  <c r="J706" i="4" s="1"/>
  <c r="I706" i="4" a="1"/>
  <c r="I706" i="4" s="1"/>
  <c r="H706" i="4" a="1"/>
  <c r="H706" i="4" s="1"/>
  <c r="K705" i="4" a="1"/>
  <c r="K705" i="4" s="1"/>
  <c r="J705" i="4" a="1"/>
  <c r="J705" i="4" s="1"/>
  <c r="I705" i="4" a="1"/>
  <c r="I705" i="4" s="1"/>
  <c r="H705" i="4" a="1"/>
  <c r="H705" i="4" s="1"/>
  <c r="K701" i="4" a="1"/>
  <c r="K701" i="4" s="1"/>
  <c r="J701" i="4" a="1"/>
  <c r="J701" i="4" s="1"/>
  <c r="I701" i="4" a="1"/>
  <c r="I701" i="4" s="1"/>
  <c r="H701" i="4" a="1"/>
  <c r="H701" i="4" s="1"/>
  <c r="K700" i="4" a="1"/>
  <c r="K700" i="4" s="1"/>
  <c r="J700" i="4" a="1"/>
  <c r="J700" i="4" s="1"/>
  <c r="I700" i="4" a="1"/>
  <c r="I700" i="4" s="1"/>
  <c r="H700" i="4" a="1"/>
  <c r="H700" i="4" s="1"/>
  <c r="K699" i="4" a="1"/>
  <c r="K699" i="4" s="1"/>
  <c r="J699" i="4" a="1"/>
  <c r="J699" i="4" s="1"/>
  <c r="I699" i="4" a="1"/>
  <c r="I699" i="4" s="1"/>
  <c r="H699" i="4" a="1"/>
  <c r="H699" i="4" s="1"/>
  <c r="K698" i="4" a="1"/>
  <c r="K698" i="4" s="1"/>
  <c r="J698" i="4" a="1"/>
  <c r="J698" i="4" s="1"/>
  <c r="I698" i="4" a="1"/>
  <c r="I698" i="4" s="1"/>
  <c r="H698" i="4" a="1"/>
  <c r="H698" i="4" s="1"/>
  <c r="K697" i="4" a="1"/>
  <c r="K697" i="4" s="1"/>
  <c r="J697" i="4" a="1"/>
  <c r="J697" i="4" s="1"/>
  <c r="I697" i="4" a="1"/>
  <c r="I697" i="4" s="1"/>
  <c r="H697" i="4" a="1"/>
  <c r="H697" i="4" s="1"/>
  <c r="K696" i="4" a="1"/>
  <c r="K696" i="4" s="1"/>
  <c r="J696" i="4" a="1"/>
  <c r="J696" i="4" s="1"/>
  <c r="I696" i="4" a="1"/>
  <c r="I696" i="4" s="1"/>
  <c r="H696" i="4" a="1"/>
  <c r="H696" i="4" s="1"/>
  <c r="K695" i="4" a="1"/>
  <c r="K695" i="4" s="1"/>
  <c r="J695" i="4" a="1"/>
  <c r="J695" i="4" s="1"/>
  <c r="I695" i="4" a="1"/>
  <c r="I695" i="4" s="1"/>
  <c r="H695" i="4" a="1"/>
  <c r="H695" i="4" s="1"/>
  <c r="K694" i="4" a="1"/>
  <c r="K694" i="4" s="1"/>
  <c r="J694" i="4" a="1"/>
  <c r="J694" i="4" s="1"/>
  <c r="I694" i="4" a="1"/>
  <c r="I694" i="4" s="1"/>
  <c r="H694" i="4" a="1"/>
  <c r="H694" i="4" s="1"/>
  <c r="K693" i="4" a="1"/>
  <c r="K693" i="4" s="1"/>
  <c r="J693" i="4" a="1"/>
  <c r="J693" i="4" s="1"/>
  <c r="I693" i="4" a="1"/>
  <c r="I693" i="4" s="1"/>
  <c r="H693" i="4" a="1"/>
  <c r="H693" i="4" s="1"/>
  <c r="K692" i="4" a="1"/>
  <c r="K692" i="4" s="1"/>
  <c r="J692" i="4" a="1"/>
  <c r="J692" i="4" s="1"/>
  <c r="I692" i="4" a="1"/>
  <c r="I692" i="4" s="1"/>
  <c r="H692" i="4" a="1"/>
  <c r="H692" i="4" s="1"/>
  <c r="K691" i="4" a="1"/>
  <c r="K691" i="4" s="1"/>
  <c r="J691" i="4" a="1"/>
  <c r="J691" i="4" s="1"/>
  <c r="I691" i="4" a="1"/>
  <c r="I691" i="4" s="1"/>
  <c r="H691" i="4" a="1"/>
  <c r="H691" i="4" s="1"/>
  <c r="K690" i="4" a="1"/>
  <c r="K690" i="4" s="1"/>
  <c r="J690" i="4" a="1"/>
  <c r="J690" i="4" s="1"/>
  <c r="I690" i="4" a="1"/>
  <c r="I690" i="4" s="1"/>
  <c r="H690" i="4" a="1"/>
  <c r="H690" i="4" s="1"/>
  <c r="K689" i="4" a="1"/>
  <c r="K689" i="4" s="1"/>
  <c r="J689" i="4" a="1"/>
  <c r="J689" i="4" s="1"/>
  <c r="I689" i="4" a="1"/>
  <c r="I689" i="4" s="1"/>
  <c r="H689" i="4" a="1"/>
  <c r="H689" i="4" s="1"/>
  <c r="K686" i="4" a="1"/>
  <c r="K686" i="4" s="1"/>
  <c r="J686" i="4" a="1"/>
  <c r="J686" i="4" s="1"/>
  <c r="I686" i="4" a="1"/>
  <c r="I686" i="4" s="1"/>
  <c r="H686" i="4" a="1"/>
  <c r="H686" i="4" s="1"/>
  <c r="K684" i="4" a="1"/>
  <c r="K684" i="4" s="1"/>
  <c r="J684" i="4" a="1"/>
  <c r="J684" i="4" s="1"/>
  <c r="I684" i="4" a="1"/>
  <c r="I684" i="4" s="1"/>
  <c r="H684" i="4" a="1"/>
  <c r="H684" i="4" s="1"/>
  <c r="K683" i="4" a="1"/>
  <c r="K683" i="4" s="1"/>
  <c r="J683" i="4" a="1"/>
  <c r="J683" i="4" s="1"/>
  <c r="I683" i="4" a="1"/>
  <c r="I683" i="4" s="1"/>
  <c r="H683" i="4" a="1"/>
  <c r="H683" i="4" s="1"/>
  <c r="K682" i="4" a="1"/>
  <c r="K682" i="4" s="1"/>
  <c r="J682" i="4" a="1"/>
  <c r="J682" i="4" s="1"/>
  <c r="I682" i="4" a="1"/>
  <c r="I682" i="4" s="1"/>
  <c r="H682" i="4" a="1"/>
  <c r="H682" i="4" s="1"/>
  <c r="K681" i="4" a="1"/>
  <c r="K681" i="4" s="1"/>
  <c r="J681" i="4" a="1"/>
  <c r="J681" i="4" s="1"/>
  <c r="I681" i="4" a="1"/>
  <c r="I681" i="4" s="1"/>
  <c r="H681" i="4" a="1"/>
  <c r="H681" i="4" s="1"/>
  <c r="K680" i="4" a="1"/>
  <c r="K680" i="4" s="1"/>
  <c r="J680" i="4" a="1"/>
  <c r="J680" i="4" s="1"/>
  <c r="I680" i="4" a="1"/>
  <c r="I680" i="4" s="1"/>
  <c r="H680" i="4" a="1"/>
  <c r="H680" i="4" s="1"/>
  <c r="K679" i="4" a="1"/>
  <c r="K679" i="4" s="1"/>
  <c r="J679" i="4" a="1"/>
  <c r="J679" i="4" s="1"/>
  <c r="I679" i="4" a="1"/>
  <c r="I679" i="4" s="1"/>
  <c r="H679" i="4" a="1"/>
  <c r="H679" i="4" s="1"/>
  <c r="K678" i="4" a="1"/>
  <c r="K678" i="4" s="1"/>
  <c r="J678" i="4" a="1"/>
  <c r="J678" i="4" s="1"/>
  <c r="I678" i="4" a="1"/>
  <c r="I678" i="4" s="1"/>
  <c r="H678" i="4" a="1"/>
  <c r="H678" i="4" s="1"/>
  <c r="K677" i="4" a="1"/>
  <c r="K677" i="4" s="1"/>
  <c r="J677" i="4" a="1"/>
  <c r="J677" i="4" s="1"/>
  <c r="I677" i="4" a="1"/>
  <c r="I677" i="4" s="1"/>
  <c r="H677" i="4" a="1"/>
  <c r="H677" i="4" s="1"/>
  <c r="K676" i="4" a="1"/>
  <c r="K676" i="4" s="1"/>
  <c r="J676" i="4" a="1"/>
  <c r="J676" i="4" s="1"/>
  <c r="I676" i="4" a="1"/>
  <c r="I676" i="4" s="1"/>
  <c r="H676" i="4" a="1"/>
  <c r="H676" i="4" s="1"/>
  <c r="K675" i="4" a="1"/>
  <c r="K675" i="4" s="1"/>
  <c r="J675" i="4" a="1"/>
  <c r="J675" i="4" s="1"/>
  <c r="I675" i="4" a="1"/>
  <c r="I675" i="4" s="1"/>
  <c r="H675" i="4" a="1"/>
  <c r="H675" i="4" s="1"/>
  <c r="K674" i="4" a="1"/>
  <c r="K674" i="4" s="1"/>
  <c r="J674" i="4" a="1"/>
  <c r="J674" i="4" s="1"/>
  <c r="I674" i="4" a="1"/>
  <c r="I674" i="4" s="1"/>
  <c r="H674" i="4" a="1"/>
  <c r="H674" i="4" s="1"/>
  <c r="K673" i="4" a="1"/>
  <c r="K673" i="4" s="1"/>
  <c r="J673" i="4" a="1"/>
  <c r="J673" i="4" s="1"/>
  <c r="I673" i="4" a="1"/>
  <c r="I673" i="4" s="1"/>
  <c r="H673" i="4" a="1"/>
  <c r="H673" i="4" s="1"/>
  <c r="K672" i="4" a="1"/>
  <c r="K672" i="4" s="1"/>
  <c r="J672" i="4" a="1"/>
  <c r="J672" i="4" s="1"/>
  <c r="I672" i="4" a="1"/>
  <c r="I672" i="4" s="1"/>
  <c r="H672" i="4" a="1"/>
  <c r="H672" i="4" s="1"/>
  <c r="K671" i="4" a="1"/>
  <c r="K671" i="4" s="1"/>
  <c r="J671" i="4" a="1"/>
  <c r="J671" i="4" s="1"/>
  <c r="I671" i="4" a="1"/>
  <c r="I671" i="4" s="1"/>
  <c r="H671" i="4" a="1"/>
  <c r="H671" i="4" s="1"/>
  <c r="K670" i="4" a="1"/>
  <c r="K670" i="4" s="1"/>
  <c r="J670" i="4" a="1"/>
  <c r="J670" i="4" s="1"/>
  <c r="I670" i="4" a="1"/>
  <c r="I670" i="4" s="1"/>
  <c r="H670" i="4" a="1"/>
  <c r="H670" i="4" s="1"/>
  <c r="K669" i="4" a="1"/>
  <c r="K669" i="4" s="1"/>
  <c r="J669" i="4" a="1"/>
  <c r="J669" i="4" s="1"/>
  <c r="I669" i="4" a="1"/>
  <c r="I669" i="4" s="1"/>
  <c r="H669" i="4" a="1"/>
  <c r="H669" i="4" s="1"/>
  <c r="K668" i="4" a="1"/>
  <c r="K668" i="4" s="1"/>
  <c r="J668" i="4" a="1"/>
  <c r="J668" i="4" s="1"/>
  <c r="I668" i="4" a="1"/>
  <c r="I668" i="4" s="1"/>
  <c r="H668" i="4" a="1"/>
  <c r="H668" i="4" s="1"/>
  <c r="K667" i="4" a="1"/>
  <c r="K667" i="4" s="1"/>
  <c r="J667" i="4" a="1"/>
  <c r="J667" i="4" s="1"/>
  <c r="I667" i="4" a="1"/>
  <c r="I667" i="4" s="1"/>
  <c r="H667" i="4" a="1"/>
  <c r="H667" i="4" s="1"/>
  <c r="K666" i="4" a="1"/>
  <c r="K666" i="4" s="1"/>
  <c r="J666" i="4" a="1"/>
  <c r="J666" i="4" s="1"/>
  <c r="I666" i="4" a="1"/>
  <c r="I666" i="4" s="1"/>
  <c r="H666" i="4" a="1"/>
  <c r="H666" i="4" s="1"/>
  <c r="K665" i="4" a="1"/>
  <c r="K665" i="4" s="1"/>
  <c r="J665" i="4" a="1"/>
  <c r="J665" i="4" s="1"/>
  <c r="I665" i="4" a="1"/>
  <c r="I665" i="4" s="1"/>
  <c r="H665" i="4" a="1"/>
  <c r="H665" i="4" s="1"/>
  <c r="K664" i="4" a="1"/>
  <c r="K664" i="4" s="1"/>
  <c r="J664" i="4" a="1"/>
  <c r="J664" i="4" s="1"/>
  <c r="I664" i="4" a="1"/>
  <c r="I664" i="4" s="1"/>
  <c r="H664" i="4" a="1"/>
  <c r="H664" i="4" s="1"/>
  <c r="K663" i="4" a="1"/>
  <c r="K663" i="4" s="1"/>
  <c r="J663" i="4" a="1"/>
  <c r="J663" i="4" s="1"/>
  <c r="I663" i="4" a="1"/>
  <c r="I663" i="4" s="1"/>
  <c r="H663" i="4" a="1"/>
  <c r="H663" i="4" s="1"/>
  <c r="K662" i="4" a="1"/>
  <c r="K662" i="4" s="1"/>
  <c r="J662" i="4" a="1"/>
  <c r="J662" i="4" s="1"/>
  <c r="I662" i="4" a="1"/>
  <c r="I662" i="4" s="1"/>
  <c r="H662" i="4" a="1"/>
  <c r="H662" i="4" s="1"/>
  <c r="K661" i="4" a="1"/>
  <c r="K661" i="4" s="1"/>
  <c r="J661" i="4" a="1"/>
  <c r="J661" i="4" s="1"/>
  <c r="I661" i="4" a="1"/>
  <c r="I661" i="4" s="1"/>
  <c r="H661" i="4" a="1"/>
  <c r="H661" i="4" s="1"/>
  <c r="K660" i="4" a="1"/>
  <c r="K660" i="4" s="1"/>
  <c r="J660" i="4" a="1"/>
  <c r="J660" i="4" s="1"/>
  <c r="I660" i="4" a="1"/>
  <c r="I660" i="4" s="1"/>
  <c r="H660" i="4" a="1"/>
  <c r="H660" i="4" s="1"/>
  <c r="K659" i="4" a="1"/>
  <c r="K659" i="4" s="1"/>
  <c r="J659" i="4" a="1"/>
  <c r="J659" i="4" s="1"/>
  <c r="I659" i="4" a="1"/>
  <c r="I659" i="4" s="1"/>
  <c r="H659" i="4" a="1"/>
  <c r="H659" i="4" s="1"/>
  <c r="K658" i="4" a="1"/>
  <c r="K658" i="4" s="1"/>
  <c r="J658" i="4" a="1"/>
  <c r="J658" i="4" s="1"/>
  <c r="I658" i="4" a="1"/>
  <c r="I658" i="4" s="1"/>
  <c r="H658" i="4" a="1"/>
  <c r="H658" i="4" s="1"/>
  <c r="K657" i="4" a="1"/>
  <c r="K657" i="4" s="1"/>
  <c r="J657" i="4" a="1"/>
  <c r="J657" i="4" s="1"/>
  <c r="I657" i="4" a="1"/>
  <c r="I657" i="4" s="1"/>
  <c r="H657" i="4" a="1"/>
  <c r="H657" i="4" s="1"/>
  <c r="K656" i="4" a="1"/>
  <c r="K656" i="4" s="1"/>
  <c r="J656" i="4" a="1"/>
  <c r="J656" i="4" s="1"/>
  <c r="I656" i="4" a="1"/>
  <c r="I656" i="4" s="1"/>
  <c r="H656" i="4" a="1"/>
  <c r="H656" i="4" s="1"/>
  <c r="K655" i="4" a="1"/>
  <c r="K655" i="4" s="1"/>
  <c r="J655" i="4" a="1"/>
  <c r="J655" i="4" s="1"/>
  <c r="I655" i="4" a="1"/>
  <c r="I655" i="4" s="1"/>
  <c r="H655" i="4" a="1"/>
  <c r="H655" i="4" s="1"/>
  <c r="K654" i="4" a="1"/>
  <c r="K654" i="4" s="1"/>
  <c r="J654" i="4" a="1"/>
  <c r="J654" i="4" s="1"/>
  <c r="I654" i="4" a="1"/>
  <c r="I654" i="4" s="1"/>
  <c r="H654" i="4" a="1"/>
  <c r="H654" i="4" s="1"/>
  <c r="K653" i="4" a="1"/>
  <c r="K653" i="4" s="1"/>
  <c r="J653" i="4" a="1"/>
  <c r="J653" i="4" s="1"/>
  <c r="I653" i="4" a="1"/>
  <c r="I653" i="4" s="1"/>
  <c r="H653" i="4" a="1"/>
  <c r="H653" i="4" s="1"/>
  <c r="K652" i="4" a="1"/>
  <c r="K652" i="4" s="1"/>
  <c r="J652" i="4" a="1"/>
  <c r="J652" i="4" s="1"/>
  <c r="I652" i="4" a="1"/>
  <c r="I652" i="4" s="1"/>
  <c r="H652" i="4" a="1"/>
  <c r="H652" i="4" s="1"/>
  <c r="K651" i="4" a="1"/>
  <c r="K651" i="4" s="1"/>
  <c r="J651" i="4" a="1"/>
  <c r="J651" i="4" s="1"/>
  <c r="I651" i="4" a="1"/>
  <c r="I651" i="4" s="1"/>
  <c r="H651" i="4" a="1"/>
  <c r="H651" i="4" s="1"/>
  <c r="K650" i="4" a="1"/>
  <c r="K650" i="4" s="1"/>
  <c r="J650" i="4" a="1"/>
  <c r="J650" i="4" s="1"/>
  <c r="I650" i="4" a="1"/>
  <c r="I650" i="4" s="1"/>
  <c r="H650" i="4" a="1"/>
  <c r="H650" i="4" s="1"/>
  <c r="K649" i="4" a="1"/>
  <c r="K649" i="4" s="1"/>
  <c r="J649" i="4" a="1"/>
  <c r="J649" i="4" s="1"/>
  <c r="I649" i="4" a="1"/>
  <c r="I649" i="4" s="1"/>
  <c r="H649" i="4" a="1"/>
  <c r="H649" i="4" s="1"/>
  <c r="K648" i="4" a="1"/>
  <c r="K648" i="4" s="1"/>
  <c r="J648" i="4" a="1"/>
  <c r="J648" i="4" s="1"/>
  <c r="I648" i="4" a="1"/>
  <c r="I648" i="4" s="1"/>
  <c r="H648" i="4" a="1"/>
  <c r="H648" i="4" s="1"/>
  <c r="K647" i="4" a="1"/>
  <c r="K647" i="4" s="1"/>
  <c r="J647" i="4" a="1"/>
  <c r="J647" i="4" s="1"/>
  <c r="I647" i="4" a="1"/>
  <c r="I647" i="4" s="1"/>
  <c r="H647" i="4" a="1"/>
  <c r="H647" i="4" s="1"/>
  <c r="K646" i="4" a="1"/>
  <c r="K646" i="4" s="1"/>
  <c r="J646" i="4" a="1"/>
  <c r="J646" i="4" s="1"/>
  <c r="I646" i="4" a="1"/>
  <c r="I646" i="4" s="1"/>
  <c r="H646" i="4" a="1"/>
  <c r="H646" i="4" s="1"/>
  <c r="K645" i="4" a="1"/>
  <c r="K645" i="4" s="1"/>
  <c r="J645" i="4" a="1"/>
  <c r="J645" i="4" s="1"/>
  <c r="I645" i="4" a="1"/>
  <c r="I645" i="4" s="1"/>
  <c r="H645" i="4" a="1"/>
  <c r="H645" i="4" s="1"/>
  <c r="K600" i="4" a="1"/>
  <c r="K600" i="4" s="1"/>
  <c r="J600" i="4" a="1"/>
  <c r="J600" i="4" s="1"/>
  <c r="I600" i="4" a="1"/>
  <c r="I600" i="4" s="1"/>
  <c r="H600" i="4" a="1"/>
  <c r="H600" i="4" s="1"/>
  <c r="K599" i="4" a="1"/>
  <c r="K599" i="4" s="1"/>
  <c r="J599" i="4" a="1"/>
  <c r="J599" i="4" s="1"/>
  <c r="I599" i="4" a="1"/>
  <c r="I599" i="4" s="1"/>
  <c r="H599" i="4" a="1"/>
  <c r="H599" i="4" s="1"/>
  <c r="K598" i="4" a="1"/>
  <c r="K598" i="4" s="1"/>
  <c r="J598" i="4" a="1"/>
  <c r="J598" i="4" s="1"/>
  <c r="I598" i="4" a="1"/>
  <c r="I598" i="4" s="1"/>
  <c r="H598" i="4" a="1"/>
  <c r="H598" i="4" s="1"/>
  <c r="K597" i="4" a="1"/>
  <c r="K597" i="4" s="1"/>
  <c r="J597" i="4" a="1"/>
  <c r="J597" i="4" s="1"/>
  <c r="I597" i="4" a="1"/>
  <c r="I597" i="4" s="1"/>
  <c r="H597" i="4" a="1"/>
  <c r="H597" i="4" s="1"/>
  <c r="K596" i="4" a="1"/>
  <c r="K596" i="4" s="1"/>
  <c r="J596" i="4" a="1"/>
  <c r="J596" i="4" s="1"/>
  <c r="I596" i="4" a="1"/>
  <c r="I596" i="4" s="1"/>
  <c r="H596" i="4" a="1"/>
  <c r="H596" i="4" s="1"/>
  <c r="K595" i="4" a="1"/>
  <c r="K595" i="4" s="1"/>
  <c r="J595" i="4" a="1"/>
  <c r="J595" i="4" s="1"/>
  <c r="I595" i="4" a="1"/>
  <c r="I595" i="4" s="1"/>
  <c r="H595" i="4" a="1"/>
  <c r="H595" i="4" s="1"/>
  <c r="K594" i="4" a="1"/>
  <c r="K594" i="4" s="1"/>
  <c r="J594" i="4" a="1"/>
  <c r="J594" i="4" s="1"/>
  <c r="I594" i="4" a="1"/>
  <c r="I594" i="4" s="1"/>
  <c r="H594" i="4" a="1"/>
  <c r="H594" i="4" s="1"/>
  <c r="K593" i="4" a="1"/>
  <c r="K593" i="4" s="1"/>
  <c r="J593" i="4" a="1"/>
  <c r="J593" i="4" s="1"/>
  <c r="I593" i="4" a="1"/>
  <c r="I593" i="4" s="1"/>
  <c r="H593" i="4" a="1"/>
  <c r="H593" i="4" s="1"/>
  <c r="K592" i="4" a="1"/>
  <c r="K592" i="4" s="1"/>
  <c r="J592" i="4" a="1"/>
  <c r="J592" i="4" s="1"/>
  <c r="I592" i="4" a="1"/>
  <c r="I592" i="4" s="1"/>
  <c r="H592" i="4" a="1"/>
  <c r="H592" i="4" s="1"/>
  <c r="K591" i="4" a="1"/>
  <c r="K591" i="4" s="1"/>
  <c r="J591" i="4" a="1"/>
  <c r="J591" i="4" s="1"/>
  <c r="I591" i="4" a="1"/>
  <c r="I591" i="4" s="1"/>
  <c r="H591" i="4" a="1"/>
  <c r="H591" i="4" s="1"/>
  <c r="K590" i="4" a="1"/>
  <c r="K590" i="4" s="1"/>
  <c r="J590" i="4" a="1"/>
  <c r="J590" i="4" s="1"/>
  <c r="I590" i="4" a="1"/>
  <c r="I590" i="4" s="1"/>
  <c r="H590" i="4" a="1"/>
  <c r="H590" i="4" s="1"/>
  <c r="K589" i="4" a="1"/>
  <c r="K589" i="4" s="1"/>
  <c r="J589" i="4" a="1"/>
  <c r="J589" i="4" s="1"/>
  <c r="I589" i="4" a="1"/>
  <c r="I589" i="4" s="1"/>
  <c r="H589" i="4" a="1"/>
  <c r="H589" i="4" s="1"/>
  <c r="K588" i="4" a="1"/>
  <c r="K588" i="4" s="1"/>
  <c r="J588" i="4" a="1"/>
  <c r="J588" i="4" s="1"/>
  <c r="I588" i="4" a="1"/>
  <c r="I588" i="4" s="1"/>
  <c r="H588" i="4" a="1"/>
  <c r="H588" i="4" s="1"/>
  <c r="K587" i="4" a="1"/>
  <c r="K587" i="4" s="1"/>
  <c r="J587" i="4" a="1"/>
  <c r="J587" i="4" s="1"/>
  <c r="I587" i="4" a="1"/>
  <c r="I587" i="4" s="1"/>
  <c r="H587" i="4" a="1"/>
  <c r="H587" i="4" s="1"/>
  <c r="K586" i="4" a="1"/>
  <c r="K586" i="4" s="1"/>
  <c r="J586" i="4" a="1"/>
  <c r="J586" i="4" s="1"/>
  <c r="I586" i="4" a="1"/>
  <c r="I586" i="4" s="1"/>
  <c r="H586" i="4" a="1"/>
  <c r="H586" i="4" s="1"/>
  <c r="K585" i="4" a="1"/>
  <c r="K585" i="4" s="1"/>
  <c r="J585" i="4" a="1"/>
  <c r="J585" i="4" s="1"/>
  <c r="I585" i="4" a="1"/>
  <c r="I585" i="4" s="1"/>
  <c r="H585" i="4" a="1"/>
  <c r="H585" i="4" s="1"/>
  <c r="K584" i="4" a="1"/>
  <c r="K584" i="4" s="1"/>
  <c r="J584" i="4" a="1"/>
  <c r="J584" i="4" s="1"/>
  <c r="I584" i="4" a="1"/>
  <c r="I584" i="4" s="1"/>
  <c r="H584" i="4" a="1"/>
  <c r="H584" i="4" s="1"/>
  <c r="K583" i="4" a="1"/>
  <c r="K583" i="4" s="1"/>
  <c r="J583" i="4" a="1"/>
  <c r="J583" i="4" s="1"/>
  <c r="I583" i="4" a="1"/>
  <c r="I583" i="4" s="1"/>
  <c r="H583" i="4" a="1"/>
  <c r="H583" i="4" s="1"/>
  <c r="K582" i="4" a="1"/>
  <c r="K582" i="4" s="1"/>
  <c r="J582" i="4" a="1"/>
  <c r="J582" i="4" s="1"/>
  <c r="I582" i="4" a="1"/>
  <c r="I582" i="4" s="1"/>
  <c r="H582" i="4" a="1"/>
  <c r="H582" i="4" s="1"/>
  <c r="K581" i="4" a="1"/>
  <c r="K581" i="4" s="1"/>
  <c r="J581" i="4" a="1"/>
  <c r="J581" i="4" s="1"/>
  <c r="I581" i="4" a="1"/>
  <c r="I581" i="4" s="1"/>
  <c r="H581" i="4" a="1"/>
  <c r="H581" i="4" s="1"/>
  <c r="K580" i="4" a="1"/>
  <c r="K580" i="4" s="1"/>
  <c r="J580" i="4" a="1"/>
  <c r="J580" i="4" s="1"/>
  <c r="I580" i="4" a="1"/>
  <c r="I580" i="4" s="1"/>
  <c r="H580" i="4" a="1"/>
  <c r="H580" i="4" s="1"/>
  <c r="K579" i="4" a="1"/>
  <c r="K579" i="4" s="1"/>
  <c r="J579" i="4" a="1"/>
  <c r="J579" i="4" s="1"/>
  <c r="I579" i="4" a="1"/>
  <c r="I579" i="4" s="1"/>
  <c r="H579" i="4" a="1"/>
  <c r="H579" i="4" s="1"/>
  <c r="K578" i="4" a="1"/>
  <c r="K578" i="4" s="1"/>
  <c r="J578" i="4" a="1"/>
  <c r="J578" i="4" s="1"/>
  <c r="I578" i="4" a="1"/>
  <c r="I578" i="4" s="1"/>
  <c r="H578" i="4" a="1"/>
  <c r="H578" i="4" s="1"/>
  <c r="K577" i="4" a="1"/>
  <c r="K577" i="4" s="1"/>
  <c r="J577" i="4" a="1"/>
  <c r="J577" i="4" s="1"/>
  <c r="I577" i="4" a="1"/>
  <c r="I577" i="4" s="1"/>
  <c r="H577" i="4" a="1"/>
  <c r="H577" i="4" s="1"/>
  <c r="K576" i="4" a="1"/>
  <c r="K576" i="4" s="1"/>
  <c r="J576" i="4" a="1"/>
  <c r="J576" i="4" s="1"/>
  <c r="I576" i="4" a="1"/>
  <c r="I576" i="4" s="1"/>
  <c r="H576" i="4" a="1"/>
  <c r="H576" i="4" s="1"/>
  <c r="K575" i="4" a="1"/>
  <c r="K575" i="4" s="1"/>
  <c r="J575" i="4" a="1"/>
  <c r="J575" i="4" s="1"/>
  <c r="I575" i="4" a="1"/>
  <c r="I575" i="4" s="1"/>
  <c r="H575" i="4" a="1"/>
  <c r="H575" i="4" s="1"/>
  <c r="K574" i="4" a="1"/>
  <c r="K574" i="4" s="1"/>
  <c r="J574" i="4" a="1"/>
  <c r="J574" i="4" s="1"/>
  <c r="I574" i="4" a="1"/>
  <c r="I574" i="4" s="1"/>
  <c r="H574" i="4" a="1"/>
  <c r="H574" i="4" s="1"/>
  <c r="K573" i="4" a="1"/>
  <c r="K573" i="4" s="1"/>
  <c r="J573" i="4" a="1"/>
  <c r="J573" i="4" s="1"/>
  <c r="I573" i="4" a="1"/>
  <c r="I573" i="4" s="1"/>
  <c r="H573" i="4" a="1"/>
  <c r="H573" i="4" s="1"/>
  <c r="K572" i="4" a="1"/>
  <c r="K572" i="4" s="1"/>
  <c r="J572" i="4" a="1"/>
  <c r="J572" i="4" s="1"/>
  <c r="I572" i="4" a="1"/>
  <c r="I572" i="4" s="1"/>
  <c r="H572" i="4" a="1"/>
  <c r="H572" i="4" s="1"/>
  <c r="K571" i="4" a="1"/>
  <c r="K571" i="4" s="1"/>
  <c r="J571" i="4" a="1"/>
  <c r="J571" i="4" s="1"/>
  <c r="I571" i="4" a="1"/>
  <c r="I571" i="4" s="1"/>
  <c r="H571" i="4" a="1"/>
  <c r="H571" i="4" s="1"/>
  <c r="K570" i="4" a="1"/>
  <c r="K570" i="4" s="1"/>
  <c r="J570" i="4" a="1"/>
  <c r="J570" i="4" s="1"/>
  <c r="I570" i="4" a="1"/>
  <c r="I570" i="4" s="1"/>
  <c r="H570" i="4" a="1"/>
  <c r="H570" i="4" s="1"/>
  <c r="K569" i="4" a="1"/>
  <c r="K569" i="4" s="1"/>
  <c r="J569" i="4" a="1"/>
  <c r="J569" i="4" s="1"/>
  <c r="I569" i="4" a="1"/>
  <c r="I569" i="4" s="1"/>
  <c r="H569" i="4" a="1"/>
  <c r="H569" i="4" s="1"/>
  <c r="K568" i="4" a="1"/>
  <c r="K568" i="4" s="1"/>
  <c r="J568" i="4" a="1"/>
  <c r="J568" i="4" s="1"/>
  <c r="I568" i="4" a="1"/>
  <c r="I568" i="4" s="1"/>
  <c r="H568" i="4" a="1"/>
  <c r="H568" i="4" s="1"/>
  <c r="K567" i="4" a="1"/>
  <c r="K567" i="4" s="1"/>
  <c r="J567" i="4" a="1"/>
  <c r="J567" i="4" s="1"/>
  <c r="I567" i="4" a="1"/>
  <c r="I567" i="4" s="1"/>
  <c r="H567" i="4" a="1"/>
  <c r="H567" i="4" s="1"/>
  <c r="K566" i="4" a="1"/>
  <c r="K566" i="4" s="1"/>
  <c r="J566" i="4" a="1"/>
  <c r="J566" i="4" s="1"/>
  <c r="I566" i="4" a="1"/>
  <c r="I566" i="4" s="1"/>
  <c r="H566" i="4" a="1"/>
  <c r="H566" i="4" s="1"/>
  <c r="K565" i="4" a="1"/>
  <c r="K565" i="4" s="1"/>
  <c r="J565" i="4" a="1"/>
  <c r="J565" i="4" s="1"/>
  <c r="I565" i="4" a="1"/>
  <c r="I565" i="4" s="1"/>
  <c r="H565" i="4" a="1"/>
  <c r="H565" i="4" s="1"/>
  <c r="K564" i="4" a="1"/>
  <c r="K564" i="4" s="1"/>
  <c r="J564" i="4" a="1"/>
  <c r="J564" i="4" s="1"/>
  <c r="I564" i="4" a="1"/>
  <c r="I564" i="4" s="1"/>
  <c r="H564" i="4" a="1"/>
  <c r="H564" i="4" s="1"/>
  <c r="K563" i="4" a="1"/>
  <c r="K563" i="4" s="1"/>
  <c r="J563" i="4" a="1"/>
  <c r="J563" i="4" s="1"/>
  <c r="I563" i="4" a="1"/>
  <c r="I563" i="4" s="1"/>
  <c r="H563" i="4" a="1"/>
  <c r="H563" i="4" s="1"/>
  <c r="K562" i="4" a="1"/>
  <c r="K562" i="4" s="1"/>
  <c r="J562" i="4" a="1"/>
  <c r="J562" i="4" s="1"/>
  <c r="I562" i="4" a="1"/>
  <c r="I562" i="4" s="1"/>
  <c r="H562" i="4" a="1"/>
  <c r="H562" i="4" s="1"/>
  <c r="K561" i="4" a="1"/>
  <c r="K561" i="4" s="1"/>
  <c r="J561" i="4" a="1"/>
  <c r="J561" i="4" s="1"/>
  <c r="I561" i="4" a="1"/>
  <c r="I561" i="4" s="1"/>
  <c r="H561" i="4" a="1"/>
  <c r="H561" i="4" s="1"/>
  <c r="K560" i="4" a="1"/>
  <c r="K560" i="4" s="1"/>
  <c r="J560" i="4" a="1"/>
  <c r="J560" i="4" s="1"/>
  <c r="I560" i="4" a="1"/>
  <c r="I560" i="4" s="1"/>
  <c r="H560" i="4" a="1"/>
  <c r="H560" i="4" s="1"/>
  <c r="K559" i="4" a="1"/>
  <c r="K559" i="4" s="1"/>
  <c r="J559" i="4" a="1"/>
  <c r="J559" i="4" s="1"/>
  <c r="I559" i="4" a="1"/>
  <c r="I559" i="4" s="1"/>
  <c r="H559" i="4" a="1"/>
  <c r="H559" i="4" s="1"/>
  <c r="K558" i="4" a="1"/>
  <c r="K558" i="4" s="1"/>
  <c r="J558" i="4" a="1"/>
  <c r="J558" i="4" s="1"/>
  <c r="I558" i="4" a="1"/>
  <c r="I558" i="4" s="1"/>
  <c r="H558" i="4" a="1"/>
  <c r="H558" i="4" s="1"/>
  <c r="K557" i="4" a="1"/>
  <c r="K557" i="4" s="1"/>
  <c r="J557" i="4" a="1"/>
  <c r="J557" i="4" s="1"/>
  <c r="I557" i="4" a="1"/>
  <c r="I557" i="4" s="1"/>
  <c r="H557" i="4" a="1"/>
  <c r="H557" i="4" s="1"/>
  <c r="K556" i="4" a="1"/>
  <c r="K556" i="4" s="1"/>
  <c r="J556" i="4" a="1"/>
  <c r="J556" i="4" s="1"/>
  <c r="I556" i="4" a="1"/>
  <c r="I556" i="4" s="1"/>
  <c r="H556" i="4" a="1"/>
  <c r="H556" i="4" s="1"/>
  <c r="K555" i="4" a="1"/>
  <c r="K555" i="4" s="1"/>
  <c r="J555" i="4" a="1"/>
  <c r="J555" i="4" s="1"/>
  <c r="I555" i="4" a="1"/>
  <c r="I555" i="4" s="1"/>
  <c r="H555" i="4" a="1"/>
  <c r="H555" i="4" s="1"/>
  <c r="K554" i="4" a="1"/>
  <c r="K554" i="4" s="1"/>
  <c r="J554" i="4" a="1"/>
  <c r="J554" i="4" s="1"/>
  <c r="I554" i="4" a="1"/>
  <c r="I554" i="4" s="1"/>
  <c r="H554" i="4" a="1"/>
  <c r="H554" i="4" s="1"/>
  <c r="K553" i="4" a="1"/>
  <c r="K553" i="4" s="1"/>
  <c r="J553" i="4" a="1"/>
  <c r="J553" i="4" s="1"/>
  <c r="I553" i="4" a="1"/>
  <c r="I553" i="4" s="1"/>
  <c r="H553" i="4" a="1"/>
  <c r="H553" i="4" s="1"/>
  <c r="K552" i="4" a="1"/>
  <c r="K552" i="4" s="1"/>
  <c r="J552" i="4" a="1"/>
  <c r="J552" i="4" s="1"/>
  <c r="I552" i="4" a="1"/>
  <c r="I552" i="4" s="1"/>
  <c r="H552" i="4" a="1"/>
  <c r="H552" i="4" s="1"/>
  <c r="K551" i="4" a="1"/>
  <c r="K551" i="4" s="1"/>
  <c r="J551" i="4" a="1"/>
  <c r="J551" i="4" s="1"/>
  <c r="I551" i="4" a="1"/>
  <c r="I551" i="4" s="1"/>
  <c r="H551" i="4" a="1"/>
  <c r="H551" i="4" s="1"/>
  <c r="K550" i="4" a="1"/>
  <c r="K550" i="4" s="1"/>
  <c r="J550" i="4" a="1"/>
  <c r="J550" i="4" s="1"/>
  <c r="I550" i="4" a="1"/>
  <c r="I550" i="4" s="1"/>
  <c r="H550" i="4" a="1"/>
  <c r="H550" i="4" s="1"/>
  <c r="K549" i="4" a="1"/>
  <c r="K549" i="4" s="1"/>
  <c r="J549" i="4" a="1"/>
  <c r="J549" i="4" s="1"/>
  <c r="I549" i="4" a="1"/>
  <c r="I549" i="4" s="1"/>
  <c r="H549" i="4" a="1"/>
  <c r="H549" i="4" s="1"/>
  <c r="K548" i="4" a="1"/>
  <c r="K548" i="4" s="1"/>
  <c r="J548" i="4" a="1"/>
  <c r="J548" i="4" s="1"/>
  <c r="I548" i="4" a="1"/>
  <c r="I548" i="4" s="1"/>
  <c r="H548" i="4" a="1"/>
  <c r="H548" i="4" s="1"/>
  <c r="K547" i="4" a="1"/>
  <c r="K547" i="4" s="1"/>
  <c r="J547" i="4" a="1"/>
  <c r="J547" i="4" s="1"/>
  <c r="I547" i="4" a="1"/>
  <c r="I547" i="4" s="1"/>
  <c r="H547" i="4" a="1"/>
  <c r="H547" i="4" s="1"/>
  <c r="K546" i="4" a="1"/>
  <c r="K546" i="4" s="1"/>
  <c r="J546" i="4" a="1"/>
  <c r="J546" i="4" s="1"/>
  <c r="I546" i="4" a="1"/>
  <c r="I546" i="4" s="1"/>
  <c r="H546" i="4" a="1"/>
  <c r="H546" i="4" s="1"/>
  <c r="K545" i="4" a="1"/>
  <c r="K545" i="4" s="1"/>
  <c r="J545" i="4" a="1"/>
  <c r="J545" i="4" s="1"/>
  <c r="I545" i="4" a="1"/>
  <c r="I545" i="4" s="1"/>
  <c r="H545" i="4" a="1"/>
  <c r="H545" i="4" s="1"/>
  <c r="K544" i="4" a="1"/>
  <c r="K544" i="4" s="1"/>
  <c r="J544" i="4" a="1"/>
  <c r="J544" i="4" s="1"/>
  <c r="I544" i="4" a="1"/>
  <c r="I544" i="4" s="1"/>
  <c r="H544" i="4" a="1"/>
  <c r="H544" i="4" s="1"/>
  <c r="K543" i="4" a="1"/>
  <c r="K543" i="4" s="1"/>
  <c r="J543" i="4" a="1"/>
  <c r="J543" i="4" s="1"/>
  <c r="I543" i="4" a="1"/>
  <c r="I543" i="4" s="1"/>
  <c r="H543" i="4" a="1"/>
  <c r="H543" i="4" s="1"/>
  <c r="K542" i="4" a="1"/>
  <c r="K542" i="4" s="1"/>
  <c r="J542" i="4" a="1"/>
  <c r="J542" i="4" s="1"/>
  <c r="I542" i="4" a="1"/>
  <c r="I542" i="4" s="1"/>
  <c r="H542" i="4" a="1"/>
  <c r="H542" i="4" s="1"/>
  <c r="K541" i="4" a="1"/>
  <c r="K541" i="4" s="1"/>
  <c r="J541" i="4" a="1"/>
  <c r="J541" i="4" s="1"/>
  <c r="I541" i="4" a="1"/>
  <c r="I541" i="4" s="1"/>
  <c r="H541" i="4" a="1"/>
  <c r="H541" i="4" s="1"/>
  <c r="K540" i="4" a="1"/>
  <c r="K540" i="4" s="1"/>
  <c r="J540" i="4" a="1"/>
  <c r="J540" i="4" s="1"/>
  <c r="I540" i="4" a="1"/>
  <c r="I540" i="4" s="1"/>
  <c r="H540" i="4" a="1"/>
  <c r="H540" i="4" s="1"/>
  <c r="K539" i="4" a="1"/>
  <c r="K539" i="4" s="1"/>
  <c r="J539" i="4" a="1"/>
  <c r="J539" i="4" s="1"/>
  <c r="I539" i="4" a="1"/>
  <c r="I539" i="4" s="1"/>
  <c r="H539" i="4" a="1"/>
  <c r="H539" i="4" s="1"/>
  <c r="K538" i="4" a="1"/>
  <c r="K538" i="4" s="1"/>
  <c r="J538" i="4" a="1"/>
  <c r="J538" i="4" s="1"/>
  <c r="I538" i="4" a="1"/>
  <c r="I538" i="4" s="1"/>
  <c r="H538" i="4" a="1"/>
  <c r="H538" i="4" s="1"/>
  <c r="K537" i="4" a="1"/>
  <c r="K537" i="4" s="1"/>
  <c r="J537" i="4" a="1"/>
  <c r="J537" i="4" s="1"/>
  <c r="I537" i="4" a="1"/>
  <c r="I537" i="4" s="1"/>
  <c r="H537" i="4" a="1"/>
  <c r="H537" i="4" s="1"/>
  <c r="K536" i="4" a="1"/>
  <c r="K536" i="4" s="1"/>
  <c r="J536" i="4" a="1"/>
  <c r="J536" i="4" s="1"/>
  <c r="I536" i="4" a="1"/>
  <c r="I536" i="4" s="1"/>
  <c r="H536" i="4" a="1"/>
  <c r="H536" i="4" s="1"/>
  <c r="K535" i="4" a="1"/>
  <c r="K535" i="4" s="1"/>
  <c r="J535" i="4" a="1"/>
  <c r="J535" i="4" s="1"/>
  <c r="I535" i="4" a="1"/>
  <c r="I535" i="4" s="1"/>
  <c r="H535" i="4" a="1"/>
  <c r="H535" i="4" s="1"/>
  <c r="K534" i="4" a="1"/>
  <c r="K534" i="4" s="1"/>
  <c r="J534" i="4" a="1"/>
  <c r="J534" i="4" s="1"/>
  <c r="I534" i="4" a="1"/>
  <c r="I534" i="4" s="1"/>
  <c r="H534" i="4" a="1"/>
  <c r="H534" i="4" s="1"/>
  <c r="K533" i="4" a="1"/>
  <c r="K533" i="4" s="1"/>
  <c r="J533" i="4" a="1"/>
  <c r="J533" i="4" s="1"/>
  <c r="I533" i="4" a="1"/>
  <c r="I533" i="4" s="1"/>
  <c r="H533" i="4" a="1"/>
  <c r="H533" i="4" s="1"/>
  <c r="K532" i="4" a="1"/>
  <c r="K532" i="4" s="1"/>
  <c r="J532" i="4" a="1"/>
  <c r="J532" i="4" s="1"/>
  <c r="I532" i="4" a="1"/>
  <c r="I532" i="4" s="1"/>
  <c r="H532" i="4" a="1"/>
  <c r="H532" i="4" s="1"/>
  <c r="K531" i="4" a="1"/>
  <c r="K531" i="4" s="1"/>
  <c r="J531" i="4" a="1"/>
  <c r="J531" i="4" s="1"/>
  <c r="I531" i="4" a="1"/>
  <c r="I531" i="4" s="1"/>
  <c r="H531" i="4" a="1"/>
  <c r="H531" i="4" s="1"/>
  <c r="K530" i="4" a="1"/>
  <c r="K530" i="4" s="1"/>
  <c r="J530" i="4" a="1"/>
  <c r="J530" i="4" s="1"/>
  <c r="I530" i="4" a="1"/>
  <c r="I530" i="4" s="1"/>
  <c r="H530" i="4" a="1"/>
  <c r="H530" i="4" s="1"/>
  <c r="K529" i="4" a="1"/>
  <c r="K529" i="4" s="1"/>
  <c r="J529" i="4" a="1"/>
  <c r="J529" i="4" s="1"/>
  <c r="I529" i="4" a="1"/>
  <c r="I529" i="4" s="1"/>
  <c r="H529" i="4" a="1"/>
  <c r="H529" i="4" s="1"/>
  <c r="K528" i="4" a="1"/>
  <c r="K528" i="4" s="1"/>
  <c r="J528" i="4" a="1"/>
  <c r="J528" i="4" s="1"/>
  <c r="I528" i="4" a="1"/>
  <c r="I528" i="4" s="1"/>
  <c r="H528" i="4" a="1"/>
  <c r="H528" i="4" s="1"/>
  <c r="K527" i="4" a="1"/>
  <c r="K527" i="4" s="1"/>
  <c r="J527" i="4" a="1"/>
  <c r="J527" i="4" s="1"/>
  <c r="I527" i="4" a="1"/>
  <c r="I527" i="4" s="1"/>
  <c r="H527" i="4" a="1"/>
  <c r="H527" i="4" s="1"/>
  <c r="K526" i="4" a="1"/>
  <c r="K526" i="4" s="1"/>
  <c r="J526" i="4" a="1"/>
  <c r="J526" i="4" s="1"/>
  <c r="I526" i="4" a="1"/>
  <c r="I526" i="4" s="1"/>
  <c r="H526" i="4" a="1"/>
  <c r="H526" i="4" s="1"/>
  <c r="K525" i="4" a="1"/>
  <c r="K525" i="4" s="1"/>
  <c r="J525" i="4" a="1"/>
  <c r="J525" i="4" s="1"/>
  <c r="I525" i="4" a="1"/>
  <c r="I525" i="4" s="1"/>
  <c r="H525" i="4" a="1"/>
  <c r="H525" i="4" s="1"/>
  <c r="K524" i="4" a="1"/>
  <c r="K524" i="4" s="1"/>
  <c r="J524" i="4" a="1"/>
  <c r="J524" i="4" s="1"/>
  <c r="I524" i="4" a="1"/>
  <c r="I524" i="4" s="1"/>
  <c r="H524" i="4" a="1"/>
  <c r="H524" i="4" s="1"/>
  <c r="K523" i="4" a="1"/>
  <c r="K523" i="4" s="1"/>
  <c r="J523" i="4" a="1"/>
  <c r="J523" i="4" s="1"/>
  <c r="I523" i="4" a="1"/>
  <c r="I523" i="4" s="1"/>
  <c r="H523" i="4" a="1"/>
  <c r="H523" i="4" s="1"/>
  <c r="K522" i="4" a="1"/>
  <c r="K522" i="4" s="1"/>
  <c r="J522" i="4" a="1"/>
  <c r="J522" i="4" s="1"/>
  <c r="I522" i="4" a="1"/>
  <c r="I522" i="4" s="1"/>
  <c r="H522" i="4" a="1"/>
  <c r="H522" i="4" s="1"/>
  <c r="K521" i="4" a="1"/>
  <c r="K521" i="4" s="1"/>
  <c r="J521" i="4" a="1"/>
  <c r="J521" i="4" s="1"/>
  <c r="I521" i="4" a="1"/>
  <c r="I521" i="4" s="1"/>
  <c r="H521" i="4" a="1"/>
  <c r="H521" i="4" s="1"/>
  <c r="K519" i="4" a="1"/>
  <c r="K519" i="4" s="1"/>
  <c r="J519" i="4" a="1"/>
  <c r="J519" i="4" s="1"/>
  <c r="I519" i="4" a="1"/>
  <c r="I519" i="4" s="1"/>
  <c r="H519" i="4" a="1"/>
  <c r="H519" i="4" s="1"/>
  <c r="K518" i="4" a="1"/>
  <c r="K518" i="4" s="1"/>
  <c r="J518" i="4" a="1"/>
  <c r="J518" i="4" s="1"/>
  <c r="I518" i="4" a="1"/>
  <c r="I518" i="4" s="1"/>
  <c r="H518" i="4" a="1"/>
  <c r="H518" i="4" s="1"/>
  <c r="K517" i="4" a="1"/>
  <c r="K517" i="4" s="1"/>
  <c r="J517" i="4" a="1"/>
  <c r="J517" i="4" s="1"/>
  <c r="I517" i="4" a="1"/>
  <c r="I517" i="4" s="1"/>
  <c r="H517" i="4" a="1"/>
  <c r="H517" i="4" s="1"/>
  <c r="K516" i="4" a="1"/>
  <c r="K516" i="4" s="1"/>
  <c r="J516" i="4" a="1"/>
  <c r="J516" i="4" s="1"/>
  <c r="I516" i="4" a="1"/>
  <c r="I516" i="4" s="1"/>
  <c r="H516" i="4" a="1"/>
  <c r="H516" i="4" s="1"/>
  <c r="K515" i="4" a="1"/>
  <c r="K515" i="4" s="1"/>
  <c r="J515" i="4" a="1"/>
  <c r="J515" i="4" s="1"/>
  <c r="I515" i="4" a="1"/>
  <c r="I515" i="4" s="1"/>
  <c r="H515" i="4" a="1"/>
  <c r="H515" i="4" s="1"/>
  <c r="K514" i="4" a="1"/>
  <c r="K514" i="4" s="1"/>
  <c r="J514" i="4" a="1"/>
  <c r="J514" i="4" s="1"/>
  <c r="I514" i="4" a="1"/>
  <c r="I514" i="4" s="1"/>
  <c r="H514" i="4" a="1"/>
  <c r="H514" i="4" s="1"/>
  <c r="K513" i="4" a="1"/>
  <c r="K513" i="4" s="1"/>
  <c r="J513" i="4" a="1"/>
  <c r="J513" i="4" s="1"/>
  <c r="I513" i="4" a="1"/>
  <c r="I513" i="4" s="1"/>
  <c r="H513" i="4" a="1"/>
  <c r="H513" i="4" s="1"/>
  <c r="K512" i="4" a="1"/>
  <c r="K512" i="4" s="1"/>
  <c r="J512" i="4" a="1"/>
  <c r="J512" i="4" s="1"/>
  <c r="I512" i="4" a="1"/>
  <c r="I512" i="4" s="1"/>
  <c r="H512" i="4" a="1"/>
  <c r="H512" i="4" s="1"/>
  <c r="K511" i="4" a="1"/>
  <c r="K511" i="4" s="1"/>
  <c r="J511" i="4" a="1"/>
  <c r="J511" i="4" s="1"/>
  <c r="I511" i="4" a="1"/>
  <c r="I511" i="4" s="1"/>
  <c r="H511" i="4" a="1"/>
  <c r="H511" i="4" s="1"/>
  <c r="K510" i="4" a="1"/>
  <c r="K510" i="4" s="1"/>
  <c r="J510" i="4" a="1"/>
  <c r="J510" i="4" s="1"/>
  <c r="I510" i="4" a="1"/>
  <c r="I510" i="4" s="1"/>
  <c r="H510" i="4" a="1"/>
  <c r="H510" i="4" s="1"/>
  <c r="K509" i="4" a="1"/>
  <c r="K509" i="4" s="1"/>
  <c r="J509" i="4" a="1"/>
  <c r="J509" i="4" s="1"/>
  <c r="I509" i="4" a="1"/>
  <c r="I509" i="4" s="1"/>
  <c r="H509" i="4" a="1"/>
  <c r="H509" i="4" s="1"/>
  <c r="K508" i="4" a="1"/>
  <c r="K508" i="4" s="1"/>
  <c r="J508" i="4" a="1"/>
  <c r="J508" i="4" s="1"/>
  <c r="I508" i="4" a="1"/>
  <c r="I508" i="4" s="1"/>
  <c r="H508" i="4" a="1"/>
  <c r="H508" i="4" s="1"/>
  <c r="K507" i="4" a="1"/>
  <c r="K507" i="4" s="1"/>
  <c r="J507" i="4" a="1"/>
  <c r="J507" i="4" s="1"/>
  <c r="I507" i="4" a="1"/>
  <c r="I507" i="4" s="1"/>
  <c r="H507" i="4" a="1"/>
  <c r="H507" i="4" s="1"/>
  <c r="K506" i="4" a="1"/>
  <c r="K506" i="4" s="1"/>
  <c r="J506" i="4" a="1"/>
  <c r="J506" i="4" s="1"/>
  <c r="I506" i="4" a="1"/>
  <c r="I506" i="4" s="1"/>
  <c r="H506" i="4" a="1"/>
  <c r="H506" i="4" s="1"/>
  <c r="K505" i="4" a="1"/>
  <c r="K505" i="4" s="1"/>
  <c r="J505" i="4" a="1"/>
  <c r="J505" i="4" s="1"/>
  <c r="I505" i="4" a="1"/>
  <c r="I505" i="4" s="1"/>
  <c r="H505" i="4" a="1"/>
  <c r="H505" i="4" s="1"/>
  <c r="K504" i="4" a="1"/>
  <c r="K504" i="4" s="1"/>
  <c r="J504" i="4" a="1"/>
  <c r="J504" i="4" s="1"/>
  <c r="I504" i="4" a="1"/>
  <c r="I504" i="4" s="1"/>
  <c r="H504" i="4" a="1"/>
  <c r="H504" i="4" s="1"/>
  <c r="K503" i="4" a="1"/>
  <c r="K503" i="4" s="1"/>
  <c r="J503" i="4" a="1"/>
  <c r="J503" i="4" s="1"/>
  <c r="I503" i="4" a="1"/>
  <c r="I503" i="4" s="1"/>
  <c r="H503" i="4" a="1"/>
  <c r="H503" i="4" s="1"/>
  <c r="K502" i="4" a="1"/>
  <c r="K502" i="4" s="1"/>
  <c r="J502" i="4" a="1"/>
  <c r="J502" i="4" s="1"/>
  <c r="I502" i="4" a="1"/>
  <c r="I502" i="4" s="1"/>
  <c r="H502" i="4" a="1"/>
  <c r="H502" i="4" s="1"/>
  <c r="K501" i="4" a="1"/>
  <c r="K501" i="4" s="1"/>
  <c r="J501" i="4" a="1"/>
  <c r="J501" i="4" s="1"/>
  <c r="I501" i="4" a="1"/>
  <c r="I501" i="4" s="1"/>
  <c r="H501" i="4" a="1"/>
  <c r="H501" i="4" s="1"/>
  <c r="K500" i="4" a="1"/>
  <c r="K500" i="4" s="1"/>
  <c r="J500" i="4" a="1"/>
  <c r="J500" i="4" s="1"/>
  <c r="I500" i="4" a="1"/>
  <c r="I500" i="4" s="1"/>
  <c r="H500" i="4" a="1"/>
  <c r="H500" i="4" s="1"/>
  <c r="K499" i="4" a="1"/>
  <c r="K499" i="4" s="1"/>
  <c r="J499" i="4" a="1"/>
  <c r="J499" i="4" s="1"/>
  <c r="I499" i="4" a="1"/>
  <c r="I499" i="4" s="1"/>
  <c r="H499" i="4" a="1"/>
  <c r="H499" i="4" s="1"/>
  <c r="K498" i="4" a="1"/>
  <c r="K498" i="4" s="1"/>
  <c r="J498" i="4" a="1"/>
  <c r="J498" i="4" s="1"/>
  <c r="I498" i="4" a="1"/>
  <c r="I498" i="4" s="1"/>
  <c r="H498" i="4" a="1"/>
  <c r="H498" i="4" s="1"/>
  <c r="K497" i="4" a="1"/>
  <c r="K497" i="4" s="1"/>
  <c r="J497" i="4" a="1"/>
  <c r="J497" i="4" s="1"/>
  <c r="I497" i="4" a="1"/>
  <c r="I497" i="4" s="1"/>
  <c r="H497" i="4" a="1"/>
  <c r="H497" i="4" s="1"/>
  <c r="K496" i="4" a="1"/>
  <c r="K496" i="4" s="1"/>
  <c r="J496" i="4" a="1"/>
  <c r="J496" i="4" s="1"/>
  <c r="I496" i="4" a="1"/>
  <c r="I496" i="4" s="1"/>
  <c r="H496" i="4" a="1"/>
  <c r="H496" i="4" s="1"/>
  <c r="K495" i="4" a="1"/>
  <c r="K495" i="4" s="1"/>
  <c r="J495" i="4" a="1"/>
  <c r="J495" i="4" s="1"/>
  <c r="I495" i="4" a="1"/>
  <c r="I495" i="4" s="1"/>
  <c r="H495" i="4" a="1"/>
  <c r="H495" i="4" s="1"/>
  <c r="K494" i="4" a="1"/>
  <c r="K494" i="4" s="1"/>
  <c r="J494" i="4" a="1"/>
  <c r="J494" i="4" s="1"/>
  <c r="I494" i="4" a="1"/>
  <c r="I494" i="4" s="1"/>
  <c r="H494" i="4" a="1"/>
  <c r="H494" i="4" s="1"/>
  <c r="K493" i="4" a="1"/>
  <c r="K493" i="4" s="1"/>
  <c r="J493" i="4" a="1"/>
  <c r="J493" i="4" s="1"/>
  <c r="I493" i="4" a="1"/>
  <c r="I493" i="4" s="1"/>
  <c r="H493" i="4" a="1"/>
  <c r="H493" i="4" s="1"/>
  <c r="K492" i="4" a="1"/>
  <c r="K492" i="4" s="1"/>
  <c r="J492" i="4" a="1"/>
  <c r="J492" i="4" s="1"/>
  <c r="I492" i="4" a="1"/>
  <c r="I492" i="4" s="1"/>
  <c r="H492" i="4" a="1"/>
  <c r="H492" i="4" s="1"/>
  <c r="K491" i="4" a="1"/>
  <c r="K491" i="4" s="1"/>
  <c r="J491" i="4" a="1"/>
  <c r="J491" i="4" s="1"/>
  <c r="I491" i="4" a="1"/>
  <c r="I491" i="4" s="1"/>
  <c r="H491" i="4" a="1"/>
  <c r="H491" i="4" s="1"/>
  <c r="K490" i="4" a="1"/>
  <c r="K490" i="4" s="1"/>
  <c r="J490" i="4" a="1"/>
  <c r="J490" i="4" s="1"/>
  <c r="I490" i="4" a="1"/>
  <c r="I490" i="4" s="1"/>
  <c r="H490" i="4" a="1"/>
  <c r="H490" i="4" s="1"/>
  <c r="K489" i="4" a="1"/>
  <c r="K489" i="4" s="1"/>
  <c r="J489" i="4" a="1"/>
  <c r="J489" i="4" s="1"/>
  <c r="I489" i="4" a="1"/>
  <c r="I489" i="4" s="1"/>
  <c r="H489" i="4" a="1"/>
  <c r="H489" i="4" s="1"/>
  <c r="K486" i="4" a="1"/>
  <c r="K486" i="4" s="1"/>
  <c r="J486" i="4" a="1"/>
  <c r="J486" i="4" s="1"/>
  <c r="I486" i="4" a="1"/>
  <c r="I486" i="4" s="1"/>
  <c r="H486" i="4" a="1"/>
  <c r="H486" i="4" s="1"/>
  <c r="K485" i="4" a="1"/>
  <c r="K485" i="4" s="1"/>
  <c r="J485" i="4" a="1"/>
  <c r="J485" i="4" s="1"/>
  <c r="I485" i="4" a="1"/>
  <c r="I485" i="4" s="1"/>
  <c r="H485" i="4" a="1"/>
  <c r="H485" i="4" s="1"/>
  <c r="K484" i="4" a="1"/>
  <c r="K484" i="4" s="1"/>
  <c r="J484" i="4" a="1"/>
  <c r="J484" i="4" s="1"/>
  <c r="I484" i="4" a="1"/>
  <c r="I484" i="4" s="1"/>
  <c r="H484" i="4" a="1"/>
  <c r="H484" i="4" s="1"/>
  <c r="K483" i="4" a="1"/>
  <c r="K483" i="4" s="1"/>
  <c r="J483" i="4" a="1"/>
  <c r="J483" i="4" s="1"/>
  <c r="I483" i="4" a="1"/>
  <c r="I483" i="4" s="1"/>
  <c r="H483" i="4" a="1"/>
  <c r="H483" i="4" s="1"/>
  <c r="K482" i="4" a="1"/>
  <c r="K482" i="4" s="1"/>
  <c r="J482" i="4" a="1"/>
  <c r="J482" i="4" s="1"/>
  <c r="I482" i="4" a="1"/>
  <c r="I482" i="4" s="1"/>
  <c r="H482" i="4" a="1"/>
  <c r="H482" i="4" s="1"/>
  <c r="K481" i="4" a="1"/>
  <c r="K481" i="4" s="1"/>
  <c r="J481" i="4" a="1"/>
  <c r="J481" i="4" s="1"/>
  <c r="I481" i="4" a="1"/>
  <c r="I481" i="4" s="1"/>
  <c r="H481" i="4" a="1"/>
  <c r="H481" i="4" s="1"/>
  <c r="K480" i="4" a="1"/>
  <c r="K480" i="4" s="1"/>
  <c r="J480" i="4" a="1"/>
  <c r="J480" i="4" s="1"/>
  <c r="I480" i="4" a="1"/>
  <c r="I480" i="4" s="1"/>
  <c r="H480" i="4" a="1"/>
  <c r="H480" i="4" s="1"/>
  <c r="K479" i="4" a="1"/>
  <c r="K479" i="4" s="1"/>
  <c r="J479" i="4" a="1"/>
  <c r="J479" i="4" s="1"/>
  <c r="I479" i="4" a="1"/>
  <c r="I479" i="4" s="1"/>
  <c r="H479" i="4" a="1"/>
  <c r="H479" i="4" s="1"/>
  <c r="K478" i="4" a="1"/>
  <c r="K478" i="4" s="1"/>
  <c r="J478" i="4" a="1"/>
  <c r="J478" i="4" s="1"/>
  <c r="I478" i="4" a="1"/>
  <c r="I478" i="4" s="1"/>
  <c r="H478" i="4" a="1"/>
  <c r="H478" i="4" s="1"/>
  <c r="K476" i="4" a="1"/>
  <c r="K476" i="4" s="1"/>
  <c r="J476" i="4" a="1"/>
  <c r="J476" i="4" s="1"/>
  <c r="I476" i="4" a="1"/>
  <c r="I476" i="4" s="1"/>
  <c r="H476" i="4" a="1"/>
  <c r="H476" i="4" s="1"/>
  <c r="K475" i="4" a="1"/>
  <c r="K475" i="4" s="1"/>
  <c r="J475" i="4" a="1"/>
  <c r="J475" i="4" s="1"/>
  <c r="I475" i="4" a="1"/>
  <c r="I475" i="4" s="1"/>
  <c r="H475" i="4" a="1"/>
  <c r="H475" i="4" s="1"/>
  <c r="K474" i="4" a="1"/>
  <c r="K474" i="4" s="1"/>
  <c r="J474" i="4" a="1"/>
  <c r="J474" i="4" s="1"/>
  <c r="I474" i="4" a="1"/>
  <c r="I474" i="4" s="1"/>
  <c r="H474" i="4" a="1"/>
  <c r="H474" i="4" s="1"/>
  <c r="K473" i="4" a="1"/>
  <c r="K473" i="4" s="1"/>
  <c r="J473" i="4" a="1"/>
  <c r="J473" i="4" s="1"/>
  <c r="I473" i="4" a="1"/>
  <c r="I473" i="4" s="1"/>
  <c r="H473" i="4" a="1"/>
  <c r="H473" i="4" s="1"/>
  <c r="K472" i="4" a="1"/>
  <c r="K472" i="4" s="1"/>
  <c r="J472" i="4" a="1"/>
  <c r="J472" i="4" s="1"/>
  <c r="I472" i="4" a="1"/>
  <c r="I472" i="4" s="1"/>
  <c r="H472" i="4" a="1"/>
  <c r="H472" i="4" s="1"/>
  <c r="K471" i="4" a="1"/>
  <c r="K471" i="4" s="1"/>
  <c r="J471" i="4" a="1"/>
  <c r="J471" i="4" s="1"/>
  <c r="I471" i="4" a="1"/>
  <c r="I471" i="4" s="1"/>
  <c r="H471" i="4" a="1"/>
  <c r="H471" i="4" s="1"/>
  <c r="K470" i="4" a="1"/>
  <c r="K470" i="4" s="1"/>
  <c r="J470" i="4" a="1"/>
  <c r="J470" i="4" s="1"/>
  <c r="I470" i="4" a="1"/>
  <c r="I470" i="4" s="1"/>
  <c r="H470" i="4" a="1"/>
  <c r="H470" i="4" s="1"/>
  <c r="K469" i="4" a="1"/>
  <c r="K469" i="4" s="1"/>
  <c r="J469" i="4" a="1"/>
  <c r="J469" i="4" s="1"/>
  <c r="I469" i="4" a="1"/>
  <c r="I469" i="4" s="1"/>
  <c r="H469" i="4" a="1"/>
  <c r="H469" i="4" s="1"/>
  <c r="K468" i="4" a="1"/>
  <c r="K468" i="4" s="1"/>
  <c r="J468" i="4" a="1"/>
  <c r="J468" i="4" s="1"/>
  <c r="I468" i="4" a="1"/>
  <c r="I468" i="4" s="1"/>
  <c r="H468" i="4" a="1"/>
  <c r="H468" i="4" s="1"/>
  <c r="K467" i="4" a="1"/>
  <c r="K467" i="4" s="1"/>
  <c r="J467" i="4" a="1"/>
  <c r="J467" i="4" s="1"/>
  <c r="I467" i="4" a="1"/>
  <c r="I467" i="4" s="1"/>
  <c r="H467" i="4" a="1"/>
  <c r="H467" i="4" s="1"/>
  <c r="K466" i="4" a="1"/>
  <c r="K466" i="4" s="1"/>
  <c r="J466" i="4" a="1"/>
  <c r="J466" i="4" s="1"/>
  <c r="I466" i="4" a="1"/>
  <c r="I466" i="4" s="1"/>
  <c r="H466" i="4" a="1"/>
  <c r="H466" i="4" s="1"/>
  <c r="K465" i="4" a="1"/>
  <c r="K465" i="4" s="1"/>
  <c r="J465" i="4" a="1"/>
  <c r="J465" i="4" s="1"/>
  <c r="I465" i="4" a="1"/>
  <c r="I465" i="4" s="1"/>
  <c r="H465" i="4" a="1"/>
  <c r="H465" i="4" s="1"/>
  <c r="K464" i="4" a="1"/>
  <c r="K464" i="4" s="1"/>
  <c r="J464" i="4" a="1"/>
  <c r="J464" i="4" s="1"/>
  <c r="I464" i="4" a="1"/>
  <c r="I464" i="4" s="1"/>
  <c r="H464" i="4" a="1"/>
  <c r="H464" i="4" s="1"/>
  <c r="K463" i="4" a="1"/>
  <c r="K463" i="4" s="1"/>
  <c r="J463" i="4" a="1"/>
  <c r="J463" i="4" s="1"/>
  <c r="I463" i="4" a="1"/>
  <c r="I463" i="4" s="1"/>
  <c r="H463" i="4" a="1"/>
  <c r="H463" i="4" s="1"/>
  <c r="K462" i="4" a="1"/>
  <c r="K462" i="4" s="1"/>
  <c r="J462" i="4" a="1"/>
  <c r="J462" i="4" s="1"/>
  <c r="I462" i="4" a="1"/>
  <c r="I462" i="4" s="1"/>
  <c r="H462" i="4" a="1"/>
  <c r="H462" i="4" s="1"/>
  <c r="K461" i="4" a="1"/>
  <c r="K461" i="4" s="1"/>
  <c r="J461" i="4" a="1"/>
  <c r="J461" i="4" s="1"/>
  <c r="I461" i="4" a="1"/>
  <c r="I461" i="4" s="1"/>
  <c r="H461" i="4" a="1"/>
  <c r="H461" i="4" s="1"/>
  <c r="K460" i="4" a="1"/>
  <c r="K460" i="4" s="1"/>
  <c r="J460" i="4" a="1"/>
  <c r="J460" i="4" s="1"/>
  <c r="I460" i="4" a="1"/>
  <c r="I460" i="4" s="1"/>
  <c r="H460" i="4" a="1"/>
  <c r="H460" i="4" s="1"/>
  <c r="K459" i="4" a="1"/>
  <c r="K459" i="4" s="1"/>
  <c r="J459" i="4" a="1"/>
  <c r="J459" i="4" s="1"/>
  <c r="I459" i="4" a="1"/>
  <c r="I459" i="4" s="1"/>
  <c r="H459" i="4" a="1"/>
  <c r="H459" i="4" s="1"/>
  <c r="K458" i="4" a="1"/>
  <c r="K458" i="4" s="1"/>
  <c r="J458" i="4" a="1"/>
  <c r="J458" i="4" s="1"/>
  <c r="I458" i="4" a="1"/>
  <c r="I458" i="4" s="1"/>
  <c r="H458" i="4" a="1"/>
  <c r="H458" i="4" s="1"/>
  <c r="K457" i="4" a="1"/>
  <c r="K457" i="4" s="1"/>
  <c r="J457" i="4" a="1"/>
  <c r="J457" i="4" s="1"/>
  <c r="I457" i="4" a="1"/>
  <c r="I457" i="4" s="1"/>
  <c r="H457" i="4" a="1"/>
  <c r="H457" i="4" s="1"/>
  <c r="K456" i="4" a="1"/>
  <c r="K456" i="4" s="1"/>
  <c r="J456" i="4" a="1"/>
  <c r="J456" i="4" s="1"/>
  <c r="I456" i="4" a="1"/>
  <c r="I456" i="4" s="1"/>
  <c r="H456" i="4" a="1"/>
  <c r="H456" i="4" s="1"/>
  <c r="K455" i="4" a="1"/>
  <c r="K455" i="4" s="1"/>
  <c r="J455" i="4" a="1"/>
  <c r="J455" i="4" s="1"/>
  <c r="I455" i="4" a="1"/>
  <c r="I455" i="4" s="1"/>
  <c r="H455" i="4" a="1"/>
  <c r="H455" i="4" s="1"/>
  <c r="K454" i="4" a="1"/>
  <c r="K454" i="4" s="1"/>
  <c r="J454" i="4" a="1"/>
  <c r="J454" i="4" s="1"/>
  <c r="I454" i="4" a="1"/>
  <c r="I454" i="4" s="1"/>
  <c r="H454" i="4" a="1"/>
  <c r="H454" i="4" s="1"/>
  <c r="K453" i="4" a="1"/>
  <c r="K453" i="4" s="1"/>
  <c r="J453" i="4" a="1"/>
  <c r="J453" i="4" s="1"/>
  <c r="I453" i="4" a="1"/>
  <c r="I453" i="4" s="1"/>
  <c r="H453" i="4" a="1"/>
  <c r="H453" i="4" s="1"/>
  <c r="K452" i="4" a="1"/>
  <c r="K452" i="4" s="1"/>
  <c r="J452" i="4" a="1"/>
  <c r="J452" i="4" s="1"/>
  <c r="I452" i="4" a="1"/>
  <c r="I452" i="4" s="1"/>
  <c r="H452" i="4" a="1"/>
  <c r="H452" i="4" s="1"/>
  <c r="K451" i="4" a="1"/>
  <c r="K451" i="4" s="1"/>
  <c r="J451" i="4" a="1"/>
  <c r="J451" i="4" s="1"/>
  <c r="I451" i="4" a="1"/>
  <c r="I451" i="4" s="1"/>
  <c r="H451" i="4" a="1"/>
  <c r="H451" i="4" s="1"/>
  <c r="K450" i="4" a="1"/>
  <c r="K450" i="4" s="1"/>
  <c r="J450" i="4" a="1"/>
  <c r="J450" i="4" s="1"/>
  <c r="I450" i="4" a="1"/>
  <c r="I450" i="4" s="1"/>
  <c r="H450" i="4" a="1"/>
  <c r="H450" i="4" s="1"/>
  <c r="K436" i="4" a="1"/>
  <c r="K436" i="4" s="1"/>
  <c r="J436" i="4" a="1"/>
  <c r="J436" i="4" s="1"/>
  <c r="I436" i="4" a="1"/>
  <c r="I436" i="4" s="1"/>
  <c r="H436" i="4" a="1"/>
  <c r="H436" i="4" s="1"/>
  <c r="K435" i="4" a="1"/>
  <c r="K435" i="4" s="1"/>
  <c r="J435" i="4" a="1"/>
  <c r="J435" i="4" s="1"/>
  <c r="I435" i="4" a="1"/>
  <c r="I435" i="4" s="1"/>
  <c r="H435" i="4" a="1"/>
  <c r="H435" i="4" s="1"/>
  <c r="K431" i="4" a="1"/>
  <c r="K431" i="4" s="1"/>
  <c r="J431" i="4" a="1"/>
  <c r="J431" i="4" s="1"/>
  <c r="I431" i="4" a="1"/>
  <c r="I431" i="4" s="1"/>
  <c r="H431" i="4" a="1"/>
  <c r="H431" i="4" s="1"/>
  <c r="K430" i="4" a="1"/>
  <c r="K430" i="4" s="1"/>
  <c r="J430" i="4" a="1"/>
  <c r="J430" i="4" s="1"/>
  <c r="I430" i="4" a="1"/>
  <c r="I430" i="4" s="1"/>
  <c r="H430" i="4" a="1"/>
  <c r="H430" i="4" s="1"/>
  <c r="K429" i="4" a="1"/>
  <c r="K429" i="4" s="1"/>
  <c r="J429" i="4" a="1"/>
  <c r="J429" i="4" s="1"/>
  <c r="I429" i="4" a="1"/>
  <c r="I429" i="4" s="1"/>
  <c r="H429" i="4" a="1"/>
  <c r="H429" i="4" s="1"/>
  <c r="K428" i="4" a="1"/>
  <c r="K428" i="4" s="1"/>
  <c r="J428" i="4" a="1"/>
  <c r="J428" i="4" s="1"/>
  <c r="I428" i="4" a="1"/>
  <c r="I428" i="4" s="1"/>
  <c r="H428" i="4" a="1"/>
  <c r="H428" i="4" s="1"/>
  <c r="K427" i="4" a="1"/>
  <c r="K427" i="4" s="1"/>
  <c r="J427" i="4" a="1"/>
  <c r="J427" i="4" s="1"/>
  <c r="I427" i="4" a="1"/>
  <c r="I427" i="4" s="1"/>
  <c r="H427" i="4" a="1"/>
  <c r="H427" i="4" s="1"/>
  <c r="K415" i="4" a="1"/>
  <c r="K415" i="4" s="1"/>
  <c r="J415" i="4" a="1"/>
  <c r="J415" i="4" s="1"/>
  <c r="I415" i="4" a="1"/>
  <c r="I415" i="4" s="1"/>
  <c r="H415" i="4" a="1"/>
  <c r="H415" i="4" s="1"/>
  <c r="K414" i="4" a="1"/>
  <c r="K414" i="4" s="1"/>
  <c r="J414" i="4" a="1"/>
  <c r="J414" i="4" s="1"/>
  <c r="I414" i="4" a="1"/>
  <c r="I414" i="4" s="1"/>
  <c r="H414" i="4" a="1"/>
  <c r="H414" i="4" s="1"/>
  <c r="K413" i="4" a="1"/>
  <c r="K413" i="4" s="1"/>
  <c r="J413" i="4" a="1"/>
  <c r="J413" i="4" s="1"/>
  <c r="I413" i="4" a="1"/>
  <c r="I413" i="4" s="1"/>
  <c r="H413" i="4" a="1"/>
  <c r="H413" i="4" s="1"/>
  <c r="K412" i="4" a="1"/>
  <c r="K412" i="4" s="1"/>
  <c r="J412" i="4" a="1"/>
  <c r="J412" i="4" s="1"/>
  <c r="I412" i="4" a="1"/>
  <c r="I412" i="4" s="1"/>
  <c r="H412" i="4" a="1"/>
  <c r="H412" i="4" s="1"/>
  <c r="K411" i="4" a="1"/>
  <c r="K411" i="4" s="1"/>
  <c r="J411" i="4" a="1"/>
  <c r="J411" i="4" s="1"/>
  <c r="I411" i="4" a="1"/>
  <c r="I411" i="4" s="1"/>
  <c r="H411" i="4" a="1"/>
  <c r="H411" i="4" s="1"/>
  <c r="K407" i="4" a="1"/>
  <c r="K407" i="4" s="1"/>
  <c r="J407" i="4" a="1"/>
  <c r="J407" i="4" s="1"/>
  <c r="I407" i="4" a="1"/>
  <c r="I407" i="4" s="1"/>
  <c r="H407" i="4" a="1"/>
  <c r="H407" i="4" s="1"/>
  <c r="K406" i="4" a="1"/>
  <c r="K406" i="4" s="1"/>
  <c r="J406" i="4" a="1"/>
  <c r="J406" i="4" s="1"/>
  <c r="I406" i="4" a="1"/>
  <c r="I406" i="4" s="1"/>
  <c r="H406" i="4" a="1"/>
  <c r="H406" i="4" s="1"/>
  <c r="K405" i="4" a="1"/>
  <c r="K405" i="4" s="1"/>
  <c r="J405" i="4" a="1"/>
  <c r="J405" i="4" s="1"/>
  <c r="I405" i="4" a="1"/>
  <c r="I405" i="4" s="1"/>
  <c r="H405" i="4" a="1"/>
  <c r="H405" i="4" s="1"/>
  <c r="K404" i="4" a="1"/>
  <c r="K404" i="4" s="1"/>
  <c r="J404" i="4" a="1"/>
  <c r="J404" i="4" s="1"/>
  <c r="I404" i="4" a="1"/>
  <c r="I404" i="4" s="1"/>
  <c r="H404" i="4" a="1"/>
  <c r="H404" i="4" s="1"/>
  <c r="K403" i="4" a="1"/>
  <c r="K403" i="4" s="1"/>
  <c r="J403" i="4" a="1"/>
  <c r="J403" i="4" s="1"/>
  <c r="I403" i="4" a="1"/>
  <c r="I403" i="4" s="1"/>
  <c r="H403" i="4" a="1"/>
  <c r="H403" i="4" s="1"/>
  <c r="K402" i="4" a="1"/>
  <c r="K402" i="4" s="1"/>
  <c r="J402" i="4" a="1"/>
  <c r="J402" i="4" s="1"/>
  <c r="I402" i="4" a="1"/>
  <c r="I402" i="4" s="1"/>
  <c r="H402" i="4" a="1"/>
  <c r="H402" i="4" s="1"/>
  <c r="K401" i="4" a="1"/>
  <c r="K401" i="4" s="1"/>
  <c r="J401" i="4" a="1"/>
  <c r="J401" i="4" s="1"/>
  <c r="I401" i="4" a="1"/>
  <c r="I401" i="4" s="1"/>
  <c r="H401" i="4" a="1"/>
  <c r="H401" i="4" s="1"/>
  <c r="K400" i="4" a="1"/>
  <c r="K400" i="4" s="1"/>
  <c r="J400" i="4" a="1"/>
  <c r="J400" i="4" s="1"/>
  <c r="I400" i="4" a="1"/>
  <c r="I400" i="4" s="1"/>
  <c r="H400" i="4" a="1"/>
  <c r="H400" i="4" s="1"/>
  <c r="K399" i="4" a="1"/>
  <c r="K399" i="4" s="1"/>
  <c r="J399" i="4" a="1"/>
  <c r="J399" i="4" s="1"/>
  <c r="I399" i="4" a="1"/>
  <c r="I399" i="4" s="1"/>
  <c r="H399" i="4" a="1"/>
  <c r="H399" i="4" s="1"/>
  <c r="K398" i="4" a="1"/>
  <c r="K398" i="4" s="1"/>
  <c r="J398" i="4" a="1"/>
  <c r="J398" i="4" s="1"/>
  <c r="I398" i="4" a="1"/>
  <c r="I398" i="4" s="1"/>
  <c r="H398" i="4" a="1"/>
  <c r="H398" i="4" s="1"/>
  <c r="K397" i="4" a="1"/>
  <c r="K397" i="4" s="1"/>
  <c r="J397" i="4" a="1"/>
  <c r="J397" i="4" s="1"/>
  <c r="I397" i="4" a="1"/>
  <c r="I397" i="4" s="1"/>
  <c r="H397" i="4" a="1"/>
  <c r="H397" i="4" s="1"/>
  <c r="K396" i="4" a="1"/>
  <c r="K396" i="4" s="1"/>
  <c r="J396" i="4" a="1"/>
  <c r="J396" i="4" s="1"/>
  <c r="I396" i="4" a="1"/>
  <c r="I396" i="4" s="1"/>
  <c r="H396" i="4" a="1"/>
  <c r="H396" i="4" s="1"/>
  <c r="K395" i="4" a="1"/>
  <c r="K395" i="4" s="1"/>
  <c r="J395" i="4" a="1"/>
  <c r="J395" i="4" s="1"/>
  <c r="I395" i="4" a="1"/>
  <c r="I395" i="4" s="1"/>
  <c r="H395" i="4" a="1"/>
  <c r="H395" i="4" s="1"/>
  <c r="K394" i="4" a="1"/>
  <c r="K394" i="4" s="1"/>
  <c r="J394" i="4" a="1"/>
  <c r="J394" i="4" s="1"/>
  <c r="I394" i="4" a="1"/>
  <c r="I394" i="4" s="1"/>
  <c r="H394" i="4" a="1"/>
  <c r="H394" i="4" s="1"/>
  <c r="K393" i="4" a="1"/>
  <c r="K393" i="4" s="1"/>
  <c r="J393" i="4" a="1"/>
  <c r="J393" i="4" s="1"/>
  <c r="I393" i="4" a="1"/>
  <c r="I393" i="4" s="1"/>
  <c r="H393" i="4" a="1"/>
  <c r="H393" i="4" s="1"/>
  <c r="K392" i="4" a="1"/>
  <c r="K392" i="4" s="1"/>
  <c r="J392" i="4" a="1"/>
  <c r="J392" i="4" s="1"/>
  <c r="I392" i="4" a="1"/>
  <c r="I392" i="4" s="1"/>
  <c r="H392" i="4" a="1"/>
  <c r="H392" i="4" s="1"/>
  <c r="K391" i="4" a="1"/>
  <c r="K391" i="4" s="1"/>
  <c r="J391" i="4" a="1"/>
  <c r="J391" i="4" s="1"/>
  <c r="I391" i="4" a="1"/>
  <c r="I391" i="4" s="1"/>
  <c r="H391" i="4" a="1"/>
  <c r="H391" i="4" s="1"/>
  <c r="K390" i="4" a="1"/>
  <c r="K390" i="4" s="1"/>
  <c r="J390" i="4" a="1"/>
  <c r="J390" i="4" s="1"/>
  <c r="I390" i="4" a="1"/>
  <c r="I390" i="4" s="1"/>
  <c r="H390" i="4" a="1"/>
  <c r="H390" i="4" s="1"/>
  <c r="K389" i="4" a="1"/>
  <c r="K389" i="4" s="1"/>
  <c r="J389" i="4" a="1"/>
  <c r="J389" i="4" s="1"/>
  <c r="I389" i="4" a="1"/>
  <c r="I389" i="4" s="1"/>
  <c r="H389" i="4" a="1"/>
  <c r="H389" i="4" s="1"/>
  <c r="K388" i="4" a="1"/>
  <c r="K388" i="4" s="1"/>
  <c r="J388" i="4" a="1"/>
  <c r="J388" i="4" s="1"/>
  <c r="I388" i="4" a="1"/>
  <c r="I388" i="4" s="1"/>
  <c r="H388" i="4" a="1"/>
  <c r="H388" i="4" s="1"/>
  <c r="K387" i="4" a="1"/>
  <c r="K387" i="4" s="1"/>
  <c r="J387" i="4" a="1"/>
  <c r="J387" i="4" s="1"/>
  <c r="I387" i="4" a="1"/>
  <c r="I387" i="4" s="1"/>
  <c r="H387" i="4" a="1"/>
  <c r="H387" i="4" s="1"/>
  <c r="K386" i="4" a="1"/>
  <c r="K386" i="4" s="1"/>
  <c r="J386" i="4" a="1"/>
  <c r="J386" i="4" s="1"/>
  <c r="I386" i="4" a="1"/>
  <c r="I386" i="4" s="1"/>
  <c r="H386" i="4" a="1"/>
  <c r="H386" i="4" s="1"/>
  <c r="K385" i="4" a="1"/>
  <c r="K385" i="4" s="1"/>
  <c r="J385" i="4" a="1"/>
  <c r="J385" i="4" s="1"/>
  <c r="I385" i="4" a="1"/>
  <c r="I385" i="4" s="1"/>
  <c r="H385" i="4" a="1"/>
  <c r="H385" i="4" s="1"/>
  <c r="K384" i="4" a="1"/>
  <c r="K384" i="4" s="1"/>
  <c r="J384" i="4" a="1"/>
  <c r="J384" i="4" s="1"/>
  <c r="I384" i="4" a="1"/>
  <c r="I384" i="4" s="1"/>
  <c r="H384" i="4" a="1"/>
  <c r="H384" i="4" s="1"/>
  <c r="K383" i="4" a="1"/>
  <c r="K383" i="4" s="1"/>
  <c r="J383" i="4" a="1"/>
  <c r="J383" i="4" s="1"/>
  <c r="I383" i="4" a="1"/>
  <c r="I383" i="4" s="1"/>
  <c r="H383" i="4" a="1"/>
  <c r="H383" i="4" s="1"/>
  <c r="K382" i="4" a="1"/>
  <c r="K382" i="4" s="1"/>
  <c r="J382" i="4" a="1"/>
  <c r="J382" i="4" s="1"/>
  <c r="I382" i="4" a="1"/>
  <c r="I382" i="4" s="1"/>
  <c r="H382" i="4" a="1"/>
  <c r="H382" i="4" s="1"/>
  <c r="K381" i="4" a="1"/>
  <c r="K381" i="4" s="1"/>
  <c r="J381" i="4" a="1"/>
  <c r="J381" i="4" s="1"/>
  <c r="I381" i="4" a="1"/>
  <c r="I381" i="4" s="1"/>
  <c r="H381" i="4" a="1"/>
  <c r="H381" i="4" s="1"/>
  <c r="K380" i="4" a="1"/>
  <c r="K380" i="4" s="1"/>
  <c r="J380" i="4" a="1"/>
  <c r="J380" i="4" s="1"/>
  <c r="I380" i="4" a="1"/>
  <c r="I380" i="4" s="1"/>
  <c r="H380" i="4" a="1"/>
  <c r="H380" i="4" s="1"/>
  <c r="K379" i="4" a="1"/>
  <c r="K379" i="4" s="1"/>
  <c r="J379" i="4" a="1"/>
  <c r="J379" i="4" s="1"/>
  <c r="I379" i="4" a="1"/>
  <c r="I379" i="4" s="1"/>
  <c r="H379" i="4" a="1"/>
  <c r="H379" i="4" s="1"/>
  <c r="K378" i="4" a="1"/>
  <c r="K378" i="4" s="1"/>
  <c r="J378" i="4" a="1"/>
  <c r="J378" i="4" s="1"/>
  <c r="I378" i="4" a="1"/>
  <c r="I378" i="4" s="1"/>
  <c r="H378" i="4" a="1"/>
  <c r="H378" i="4" s="1"/>
  <c r="K377" i="4" a="1"/>
  <c r="K377" i="4" s="1"/>
  <c r="J377" i="4" a="1"/>
  <c r="J377" i="4" s="1"/>
  <c r="I377" i="4" a="1"/>
  <c r="I377" i="4" s="1"/>
  <c r="H377" i="4" a="1"/>
  <c r="H377" i="4" s="1"/>
  <c r="K370" i="4" a="1"/>
  <c r="K370" i="4" s="1"/>
  <c r="J370" i="4" a="1"/>
  <c r="J370" i="4" s="1"/>
  <c r="I370" i="4" a="1"/>
  <c r="I370" i="4" s="1"/>
  <c r="H370" i="4" a="1"/>
  <c r="H370" i="4" s="1"/>
  <c r="K369" i="4" a="1"/>
  <c r="K369" i="4" s="1"/>
  <c r="J369" i="4" a="1"/>
  <c r="J369" i="4" s="1"/>
  <c r="I369" i="4" a="1"/>
  <c r="I369" i="4" s="1"/>
  <c r="H369" i="4" a="1"/>
  <c r="H369" i="4" s="1"/>
  <c r="K368" i="4" a="1"/>
  <c r="K368" i="4" s="1"/>
  <c r="J368" i="4" a="1"/>
  <c r="J368" i="4" s="1"/>
  <c r="I368" i="4" a="1"/>
  <c r="I368" i="4" s="1"/>
  <c r="H368" i="4" a="1"/>
  <c r="H368" i="4" s="1"/>
  <c r="K367" i="4" a="1"/>
  <c r="K367" i="4" s="1"/>
  <c r="J367" i="4" a="1"/>
  <c r="J367" i="4" s="1"/>
  <c r="I367" i="4" a="1"/>
  <c r="I367" i="4" s="1"/>
  <c r="H367" i="4" a="1"/>
  <c r="H367" i="4" s="1"/>
  <c r="K366" i="4" a="1"/>
  <c r="K366" i="4" s="1"/>
  <c r="J366" i="4" a="1"/>
  <c r="J366" i="4" s="1"/>
  <c r="I366" i="4" a="1"/>
  <c r="I366" i="4" s="1"/>
  <c r="H366" i="4" a="1"/>
  <c r="H366" i="4" s="1"/>
  <c r="K365" i="4" a="1"/>
  <c r="K365" i="4" s="1"/>
  <c r="J365" i="4" a="1"/>
  <c r="J365" i="4" s="1"/>
  <c r="I365" i="4" a="1"/>
  <c r="I365" i="4" s="1"/>
  <c r="H365" i="4" a="1"/>
  <c r="H365" i="4" s="1"/>
  <c r="K363" i="4" a="1"/>
  <c r="K363" i="4" s="1"/>
  <c r="J363" i="4" a="1"/>
  <c r="J363" i="4" s="1"/>
  <c r="I363" i="4" a="1"/>
  <c r="I363" i="4" s="1"/>
  <c r="H363" i="4" a="1"/>
  <c r="H363" i="4" s="1"/>
  <c r="K362" i="4" a="1"/>
  <c r="K362" i="4" s="1"/>
  <c r="J362" i="4" a="1"/>
  <c r="J362" i="4" s="1"/>
  <c r="I362" i="4" a="1"/>
  <c r="I362" i="4" s="1"/>
  <c r="H362" i="4" a="1"/>
  <c r="H362" i="4" s="1"/>
  <c r="K361" i="4" a="1"/>
  <c r="K361" i="4" s="1"/>
  <c r="J361" i="4" a="1"/>
  <c r="J361" i="4" s="1"/>
  <c r="I361" i="4" a="1"/>
  <c r="I361" i="4" s="1"/>
  <c r="H361" i="4" a="1"/>
  <c r="H361" i="4" s="1"/>
  <c r="K360" i="4" a="1"/>
  <c r="K360" i="4" s="1"/>
  <c r="J360" i="4" a="1"/>
  <c r="J360" i="4" s="1"/>
  <c r="I360" i="4" a="1"/>
  <c r="I360" i="4" s="1"/>
  <c r="H360" i="4" a="1"/>
  <c r="H360" i="4" s="1"/>
  <c r="K359" i="4" a="1"/>
  <c r="K359" i="4" s="1"/>
  <c r="J359" i="4" a="1"/>
  <c r="J359" i="4" s="1"/>
  <c r="I359" i="4" a="1"/>
  <c r="I359" i="4" s="1"/>
  <c r="H359" i="4" a="1"/>
  <c r="H359" i="4" s="1"/>
  <c r="K358" i="4" a="1"/>
  <c r="K358" i="4" s="1"/>
  <c r="J358" i="4" a="1"/>
  <c r="J358" i="4" s="1"/>
  <c r="I358" i="4" a="1"/>
  <c r="I358" i="4" s="1"/>
  <c r="H358" i="4" a="1"/>
  <c r="H358" i="4" s="1"/>
  <c r="K357" i="4" a="1"/>
  <c r="K357" i="4" s="1"/>
  <c r="J357" i="4" a="1"/>
  <c r="J357" i="4" s="1"/>
  <c r="I357" i="4" a="1"/>
  <c r="I357" i="4" s="1"/>
  <c r="H357" i="4" a="1"/>
  <c r="H357" i="4" s="1"/>
  <c r="K356" i="4" a="1"/>
  <c r="K356" i="4" s="1"/>
  <c r="J356" i="4" a="1"/>
  <c r="J356" i="4" s="1"/>
  <c r="I356" i="4" a="1"/>
  <c r="I356" i="4" s="1"/>
  <c r="H356" i="4" a="1"/>
  <c r="H356" i="4" s="1"/>
  <c r="K355" i="4" a="1"/>
  <c r="K355" i="4" s="1"/>
  <c r="J355" i="4" a="1"/>
  <c r="J355" i="4" s="1"/>
  <c r="I355" i="4" a="1"/>
  <c r="I355" i="4" s="1"/>
  <c r="H355" i="4" a="1"/>
  <c r="H355" i="4" s="1"/>
  <c r="K354" i="4" a="1"/>
  <c r="K354" i="4" s="1"/>
  <c r="J354" i="4" a="1"/>
  <c r="J354" i="4" s="1"/>
  <c r="I354" i="4" a="1"/>
  <c r="I354" i="4" s="1"/>
  <c r="H354" i="4" a="1"/>
  <c r="H354" i="4" s="1"/>
  <c r="K353" i="4" a="1"/>
  <c r="K353" i="4" s="1"/>
  <c r="J353" i="4" a="1"/>
  <c r="J353" i="4" s="1"/>
  <c r="I353" i="4" a="1"/>
  <c r="I353" i="4" s="1"/>
  <c r="H353" i="4" a="1"/>
  <c r="H353" i="4" s="1"/>
  <c r="K352" i="4" a="1"/>
  <c r="K352" i="4" s="1"/>
  <c r="J352" i="4" a="1"/>
  <c r="J352" i="4" s="1"/>
  <c r="I352" i="4" a="1"/>
  <c r="I352" i="4" s="1"/>
  <c r="H352" i="4" a="1"/>
  <c r="H352" i="4" s="1"/>
  <c r="K351" i="4" a="1"/>
  <c r="K351" i="4" s="1"/>
  <c r="J351" i="4" a="1"/>
  <c r="J351" i="4" s="1"/>
  <c r="I351" i="4" a="1"/>
  <c r="I351" i="4" s="1"/>
  <c r="H351" i="4" a="1"/>
  <c r="H351" i="4" s="1"/>
  <c r="K350" i="4" a="1"/>
  <c r="K350" i="4" s="1"/>
  <c r="J350" i="4" a="1"/>
  <c r="J350" i="4" s="1"/>
  <c r="I350" i="4" a="1"/>
  <c r="I350" i="4" s="1"/>
  <c r="H350" i="4" a="1"/>
  <c r="H350" i="4" s="1"/>
  <c r="K349" i="4" a="1"/>
  <c r="K349" i="4" s="1"/>
  <c r="J349" i="4" a="1"/>
  <c r="J349" i="4" s="1"/>
  <c r="I349" i="4" a="1"/>
  <c r="I349" i="4" s="1"/>
  <c r="H349" i="4" a="1"/>
  <c r="H349" i="4" s="1"/>
  <c r="K348" i="4" a="1"/>
  <c r="K348" i="4" s="1"/>
  <c r="J348" i="4" a="1"/>
  <c r="J348" i="4" s="1"/>
  <c r="I348" i="4" a="1"/>
  <c r="I348" i="4" s="1"/>
  <c r="H348" i="4" a="1"/>
  <c r="H348" i="4" s="1"/>
  <c r="K347" i="4" a="1"/>
  <c r="K347" i="4" s="1"/>
  <c r="J347" i="4" a="1"/>
  <c r="J347" i="4" s="1"/>
  <c r="I347" i="4" a="1"/>
  <c r="I347" i="4" s="1"/>
  <c r="H347" i="4" a="1"/>
  <c r="H347" i="4" s="1"/>
  <c r="K320" i="4" a="1"/>
  <c r="K320" i="4" s="1"/>
  <c r="J320" i="4" a="1"/>
  <c r="J320" i="4" s="1"/>
  <c r="I320" i="4" a="1"/>
  <c r="I320" i="4" s="1"/>
  <c r="H320" i="4" a="1"/>
  <c r="H320" i="4" s="1"/>
  <c r="K319" i="4" a="1"/>
  <c r="K319" i="4" s="1"/>
  <c r="J319" i="4" a="1"/>
  <c r="J319" i="4" s="1"/>
  <c r="I319" i="4" a="1"/>
  <c r="I319" i="4" s="1"/>
  <c r="H319" i="4" a="1"/>
  <c r="H319" i="4" s="1"/>
  <c r="K318" i="4" a="1"/>
  <c r="K318" i="4" s="1"/>
  <c r="J318" i="4" a="1"/>
  <c r="J318" i="4" s="1"/>
  <c r="I318" i="4" a="1"/>
  <c r="I318" i="4" s="1"/>
  <c r="H318" i="4" a="1"/>
  <c r="H318" i="4" s="1"/>
  <c r="K317" i="4" a="1"/>
  <c r="K317" i="4" s="1"/>
  <c r="J317" i="4" a="1"/>
  <c r="J317" i="4" s="1"/>
  <c r="I317" i="4" a="1"/>
  <c r="I317" i="4" s="1"/>
  <c r="H317" i="4" a="1"/>
  <c r="H317" i="4" s="1"/>
  <c r="K316" i="4" a="1"/>
  <c r="K316" i="4" s="1"/>
  <c r="J316" i="4" a="1"/>
  <c r="J316" i="4" s="1"/>
  <c r="I316" i="4" a="1"/>
  <c r="I316" i="4" s="1"/>
  <c r="H316" i="4" a="1"/>
  <c r="H316" i="4" s="1"/>
  <c r="K315" i="4" a="1"/>
  <c r="K315" i="4" s="1"/>
  <c r="J315" i="4" a="1"/>
  <c r="J315" i="4" s="1"/>
  <c r="I315" i="4" a="1"/>
  <c r="I315" i="4" s="1"/>
  <c r="H315" i="4" a="1"/>
  <c r="H315" i="4" s="1"/>
  <c r="K314" i="4" a="1"/>
  <c r="K314" i="4" s="1"/>
  <c r="J314" i="4" a="1"/>
  <c r="J314" i="4" s="1"/>
  <c r="I314" i="4" a="1"/>
  <c r="I314" i="4" s="1"/>
  <c r="H314" i="4" a="1"/>
  <c r="H314" i="4" s="1"/>
  <c r="K313" i="4" a="1"/>
  <c r="K313" i="4" s="1"/>
  <c r="J313" i="4" a="1"/>
  <c r="J313" i="4" s="1"/>
  <c r="I313" i="4" a="1"/>
  <c r="I313" i="4" s="1"/>
  <c r="H313" i="4" a="1"/>
  <c r="H313" i="4" s="1"/>
  <c r="K312" i="4" a="1"/>
  <c r="K312" i="4" s="1"/>
  <c r="J312" i="4" a="1"/>
  <c r="J312" i="4" s="1"/>
  <c r="I312" i="4" a="1"/>
  <c r="I312" i="4" s="1"/>
  <c r="H312" i="4" a="1"/>
  <c r="H312" i="4" s="1"/>
  <c r="K310" i="4" a="1"/>
  <c r="K310" i="4" s="1"/>
  <c r="J310" i="4" a="1"/>
  <c r="J310" i="4" s="1"/>
  <c r="I310" i="4" a="1"/>
  <c r="I310" i="4" s="1"/>
  <c r="H310" i="4" a="1"/>
  <c r="H310" i="4" s="1"/>
  <c r="K309" i="4" a="1"/>
  <c r="K309" i="4" s="1"/>
  <c r="J309" i="4" a="1"/>
  <c r="J309" i="4" s="1"/>
  <c r="I309" i="4" a="1"/>
  <c r="I309" i="4" s="1"/>
  <c r="H309" i="4" a="1"/>
  <c r="H309" i="4" s="1"/>
  <c r="K308" i="4" a="1"/>
  <c r="K308" i="4" s="1"/>
  <c r="J308" i="4" a="1"/>
  <c r="J308" i="4" s="1"/>
  <c r="I308" i="4" a="1"/>
  <c r="I308" i="4" s="1"/>
  <c r="H308" i="4" a="1"/>
  <c r="H308" i="4" s="1"/>
  <c r="K307" i="4" a="1"/>
  <c r="K307" i="4" s="1"/>
  <c r="J307" i="4" a="1"/>
  <c r="J307" i="4" s="1"/>
  <c r="I307" i="4" a="1"/>
  <c r="I307" i="4" s="1"/>
  <c r="H307" i="4" a="1"/>
  <c r="H307" i="4" s="1"/>
  <c r="K306" i="4" a="1"/>
  <c r="K306" i="4" s="1"/>
  <c r="J306" i="4" a="1"/>
  <c r="J306" i="4" s="1"/>
  <c r="I306" i="4" a="1"/>
  <c r="I306" i="4" s="1"/>
  <c r="H306" i="4" a="1"/>
  <c r="H306" i="4" s="1"/>
  <c r="K305" i="4" a="1"/>
  <c r="K305" i="4" s="1"/>
  <c r="J305" i="4" a="1"/>
  <c r="J305" i="4" s="1"/>
  <c r="I305" i="4" a="1"/>
  <c r="I305" i="4" s="1"/>
  <c r="H305" i="4" a="1"/>
  <c r="H305" i="4" s="1"/>
  <c r="K304" i="4" a="1"/>
  <c r="K304" i="4" s="1"/>
  <c r="J304" i="4" a="1"/>
  <c r="J304" i="4" s="1"/>
  <c r="I304" i="4" a="1"/>
  <c r="I304" i="4" s="1"/>
  <c r="H304" i="4" a="1"/>
  <c r="H304" i="4" s="1"/>
  <c r="K303" i="4" a="1"/>
  <c r="K303" i="4" s="1"/>
  <c r="J303" i="4" a="1"/>
  <c r="J303" i="4" s="1"/>
  <c r="I303" i="4" a="1"/>
  <c r="I303" i="4" s="1"/>
  <c r="H303" i="4" a="1"/>
  <c r="H303" i="4" s="1"/>
  <c r="K302" i="4" a="1"/>
  <c r="K302" i="4" s="1"/>
  <c r="J302" i="4" a="1"/>
  <c r="J302" i="4" s="1"/>
  <c r="I302" i="4" a="1"/>
  <c r="I302" i="4" s="1"/>
  <c r="H302" i="4" a="1"/>
  <c r="H302" i="4" s="1"/>
  <c r="K301" i="4" a="1"/>
  <c r="K301" i="4" s="1"/>
  <c r="J301" i="4" a="1"/>
  <c r="J301" i="4" s="1"/>
  <c r="I301" i="4" a="1"/>
  <c r="I301" i="4" s="1"/>
  <c r="H301" i="4" a="1"/>
  <c r="H301" i="4" s="1"/>
  <c r="K300" i="4" a="1"/>
  <c r="K300" i="4" s="1"/>
  <c r="J300" i="4" a="1"/>
  <c r="J300" i="4" s="1"/>
  <c r="I300" i="4" a="1"/>
  <c r="I300" i="4" s="1"/>
  <c r="H300" i="4" a="1"/>
  <c r="H300" i="4" s="1"/>
  <c r="K299" i="4" a="1"/>
  <c r="K299" i="4" s="1"/>
  <c r="J299" i="4" a="1"/>
  <c r="J299" i="4" s="1"/>
  <c r="I299" i="4" a="1"/>
  <c r="I299" i="4" s="1"/>
  <c r="H299" i="4" a="1"/>
  <c r="H299" i="4" s="1"/>
  <c r="K298" i="4" a="1"/>
  <c r="K298" i="4" s="1"/>
  <c r="J298" i="4" a="1"/>
  <c r="J298" i="4" s="1"/>
  <c r="I298" i="4" a="1"/>
  <c r="I298" i="4" s="1"/>
  <c r="H298" i="4" a="1"/>
  <c r="H298" i="4" s="1"/>
  <c r="K297" i="4" a="1"/>
  <c r="K297" i="4" s="1"/>
  <c r="J297" i="4" a="1"/>
  <c r="J297" i="4" s="1"/>
  <c r="I297" i="4" a="1"/>
  <c r="I297" i="4" s="1"/>
  <c r="H297" i="4" a="1"/>
  <c r="H297" i="4" s="1"/>
  <c r="K296" i="4" a="1"/>
  <c r="K296" i="4" s="1"/>
  <c r="J296" i="4" a="1"/>
  <c r="J296" i="4" s="1"/>
  <c r="I296" i="4" a="1"/>
  <c r="I296" i="4" s="1"/>
  <c r="H296" i="4" a="1"/>
  <c r="H296" i="4" s="1"/>
  <c r="K295" i="4" a="1"/>
  <c r="K295" i="4" s="1"/>
  <c r="J295" i="4" a="1"/>
  <c r="J295" i="4" s="1"/>
  <c r="I295" i="4" a="1"/>
  <c r="I295" i="4" s="1"/>
  <c r="H295" i="4" a="1"/>
  <c r="H295" i="4" s="1"/>
  <c r="K294" i="4" a="1"/>
  <c r="K294" i="4" s="1"/>
  <c r="J294" i="4" a="1"/>
  <c r="J294" i="4" s="1"/>
  <c r="I294" i="4" a="1"/>
  <c r="I294" i="4" s="1"/>
  <c r="H294" i="4" a="1"/>
  <c r="H294" i="4" s="1"/>
  <c r="K293" i="4" a="1"/>
  <c r="K293" i="4" s="1"/>
  <c r="J293" i="4" a="1"/>
  <c r="J293" i="4" s="1"/>
  <c r="I293" i="4" a="1"/>
  <c r="I293" i="4" s="1"/>
  <c r="H293" i="4" a="1"/>
  <c r="H293" i="4" s="1"/>
  <c r="K292" i="4" a="1"/>
  <c r="K292" i="4" s="1"/>
  <c r="J292" i="4" a="1"/>
  <c r="J292" i="4" s="1"/>
  <c r="I292" i="4" a="1"/>
  <c r="I292" i="4" s="1"/>
  <c r="H292" i="4" a="1"/>
  <c r="H292" i="4" s="1"/>
  <c r="K291" i="4" a="1"/>
  <c r="K291" i="4" s="1"/>
  <c r="J291" i="4" a="1"/>
  <c r="J291" i="4" s="1"/>
  <c r="I291" i="4" a="1"/>
  <c r="I291" i="4" s="1"/>
  <c r="H291" i="4" a="1"/>
  <c r="H291" i="4" s="1"/>
  <c r="K290" i="4" a="1"/>
  <c r="K290" i="4" s="1"/>
  <c r="J290" i="4" a="1"/>
  <c r="J290" i="4" s="1"/>
  <c r="I290" i="4" a="1"/>
  <c r="I290" i="4" s="1"/>
  <c r="H290" i="4" a="1"/>
  <c r="H290" i="4" s="1"/>
  <c r="K289" i="4" a="1"/>
  <c r="K289" i="4" s="1"/>
  <c r="J289" i="4" a="1"/>
  <c r="J289" i="4" s="1"/>
  <c r="I289" i="4" a="1"/>
  <c r="I289" i="4" s="1"/>
  <c r="H289" i="4" a="1"/>
  <c r="H289" i="4" s="1"/>
  <c r="K286" i="4" a="1"/>
  <c r="K286" i="4" s="1"/>
  <c r="J286" i="4" a="1"/>
  <c r="J286" i="4" s="1"/>
  <c r="I286" i="4" a="1"/>
  <c r="I286" i="4" s="1"/>
  <c r="H286" i="4" a="1"/>
  <c r="H286" i="4" s="1"/>
  <c r="K285" i="4" a="1"/>
  <c r="K285" i="4" s="1"/>
  <c r="J285" i="4" a="1"/>
  <c r="J285" i="4" s="1"/>
  <c r="I285" i="4" a="1"/>
  <c r="I285" i="4" s="1"/>
  <c r="H285" i="4" a="1"/>
  <c r="H285" i="4" s="1"/>
  <c r="K284" i="4" a="1"/>
  <c r="K284" i="4" s="1"/>
  <c r="J284" i="4" a="1"/>
  <c r="J284" i="4" s="1"/>
  <c r="I284" i="4" a="1"/>
  <c r="I284" i="4" s="1"/>
  <c r="H284" i="4" a="1"/>
  <c r="H284" i="4" s="1"/>
  <c r="K283" i="4" a="1"/>
  <c r="K283" i="4" s="1"/>
  <c r="J283" i="4" a="1"/>
  <c r="J283" i="4" s="1"/>
  <c r="I283" i="4" a="1"/>
  <c r="I283" i="4" s="1"/>
  <c r="H283" i="4" a="1"/>
  <c r="H283" i="4" s="1"/>
  <c r="K282" i="4" a="1"/>
  <c r="K282" i="4" s="1"/>
  <c r="J282" i="4" a="1"/>
  <c r="J282" i="4" s="1"/>
  <c r="I282" i="4" a="1"/>
  <c r="I282" i="4" s="1"/>
  <c r="H282" i="4" a="1"/>
  <c r="H282" i="4" s="1"/>
  <c r="K281" i="4" a="1"/>
  <c r="K281" i="4" s="1"/>
  <c r="J281" i="4" a="1"/>
  <c r="J281" i="4" s="1"/>
  <c r="I281" i="4" a="1"/>
  <c r="I281" i="4" s="1"/>
  <c r="H281" i="4" a="1"/>
  <c r="H281" i="4" s="1"/>
  <c r="K280" i="4" a="1"/>
  <c r="K280" i="4" s="1"/>
  <c r="J280" i="4" a="1"/>
  <c r="J280" i="4" s="1"/>
  <c r="I280" i="4" a="1"/>
  <c r="I280" i="4" s="1"/>
  <c r="H280" i="4" a="1"/>
  <c r="H280" i="4" s="1"/>
  <c r="K279" i="4" a="1"/>
  <c r="K279" i="4" s="1"/>
  <c r="J279" i="4" a="1"/>
  <c r="J279" i="4" s="1"/>
  <c r="I279" i="4" a="1"/>
  <c r="I279" i="4" s="1"/>
  <c r="H279" i="4" a="1"/>
  <c r="H279" i="4" s="1"/>
  <c r="K278" i="4" a="1"/>
  <c r="K278" i="4" s="1"/>
  <c r="J278" i="4" a="1"/>
  <c r="J278" i="4" s="1"/>
  <c r="I278" i="4" a="1"/>
  <c r="I278" i="4" s="1"/>
  <c r="H278" i="4" a="1"/>
  <c r="H278" i="4" s="1"/>
  <c r="K277" i="4" a="1"/>
  <c r="K277" i="4" s="1"/>
  <c r="J277" i="4" a="1"/>
  <c r="J277" i="4" s="1"/>
  <c r="I277" i="4" a="1"/>
  <c r="I277" i="4" s="1"/>
  <c r="H277" i="4" a="1"/>
  <c r="H277" i="4" s="1"/>
  <c r="K276" i="4" a="1"/>
  <c r="K276" i="4" s="1"/>
  <c r="J276" i="4" a="1"/>
  <c r="J276" i="4" s="1"/>
  <c r="I276" i="4" a="1"/>
  <c r="I276" i="4" s="1"/>
  <c r="H276" i="4" a="1"/>
  <c r="H276" i="4" s="1"/>
  <c r="K275" i="4" a="1"/>
  <c r="K275" i="4" s="1"/>
  <c r="J275" i="4" a="1"/>
  <c r="J275" i="4" s="1"/>
  <c r="I275" i="4" a="1"/>
  <c r="I275" i="4" s="1"/>
  <c r="H275" i="4" a="1"/>
  <c r="H275" i="4" s="1"/>
  <c r="K274" i="4" a="1"/>
  <c r="K274" i="4" s="1"/>
  <c r="J274" i="4" a="1"/>
  <c r="J274" i="4" s="1"/>
  <c r="I274" i="4" a="1"/>
  <c r="I274" i="4" s="1"/>
  <c r="H274" i="4" a="1"/>
  <c r="H274" i="4" s="1"/>
  <c r="K273" i="4" a="1"/>
  <c r="K273" i="4" s="1"/>
  <c r="J273" i="4" a="1"/>
  <c r="J273" i="4" s="1"/>
  <c r="I273" i="4" a="1"/>
  <c r="I273" i="4" s="1"/>
  <c r="H273" i="4" a="1"/>
  <c r="H273" i="4" s="1"/>
  <c r="K272" i="4" a="1"/>
  <c r="K272" i="4" s="1"/>
  <c r="J272" i="4" a="1"/>
  <c r="J272" i="4" s="1"/>
  <c r="I272" i="4" a="1"/>
  <c r="I272" i="4" s="1"/>
  <c r="H272" i="4" a="1"/>
  <c r="H272" i="4" s="1"/>
  <c r="K271" i="4" a="1"/>
  <c r="K271" i="4" s="1"/>
  <c r="J271" i="4" a="1"/>
  <c r="J271" i="4" s="1"/>
  <c r="I271" i="4" a="1"/>
  <c r="I271" i="4" s="1"/>
  <c r="H271" i="4" a="1"/>
  <c r="H271" i="4" s="1"/>
  <c r="K270" i="4" a="1"/>
  <c r="K270" i="4" s="1"/>
  <c r="J270" i="4" a="1"/>
  <c r="J270" i="4" s="1"/>
  <c r="I270" i="4" a="1"/>
  <c r="I270" i="4" s="1"/>
  <c r="H270" i="4" a="1"/>
  <c r="H270" i="4" s="1"/>
  <c r="K269" i="4" a="1"/>
  <c r="K269" i="4" s="1"/>
  <c r="J269" i="4" a="1"/>
  <c r="J269" i="4" s="1"/>
  <c r="I269" i="4" a="1"/>
  <c r="I269" i="4" s="1"/>
  <c r="H269" i="4" a="1"/>
  <c r="H269" i="4" s="1"/>
  <c r="K268" i="4" a="1"/>
  <c r="K268" i="4" s="1"/>
  <c r="J268" i="4" a="1"/>
  <c r="J268" i="4" s="1"/>
  <c r="I268" i="4" a="1"/>
  <c r="I268" i="4" s="1"/>
  <c r="H268" i="4" a="1"/>
  <c r="H268" i="4" s="1"/>
  <c r="K267" i="4" a="1"/>
  <c r="K267" i="4" s="1"/>
  <c r="J267" i="4" a="1"/>
  <c r="J267" i="4" s="1"/>
  <c r="I267" i="4" a="1"/>
  <c r="I267" i="4" s="1"/>
  <c r="H267" i="4" a="1"/>
  <c r="H267" i="4" s="1"/>
  <c r="K266" i="4" a="1"/>
  <c r="K266" i="4" s="1"/>
  <c r="J266" i="4" a="1"/>
  <c r="J266" i="4" s="1"/>
  <c r="I266" i="4" a="1"/>
  <c r="I266" i="4" s="1"/>
  <c r="H266" i="4" a="1"/>
  <c r="H266" i="4" s="1"/>
  <c r="K265" i="4" a="1"/>
  <c r="K265" i="4" s="1"/>
  <c r="J265" i="4" a="1"/>
  <c r="J265" i="4" s="1"/>
  <c r="I265" i="4" a="1"/>
  <c r="I265" i="4" s="1"/>
  <c r="H265" i="4" a="1"/>
  <c r="H265" i="4" s="1"/>
  <c r="K263" i="4" a="1"/>
  <c r="K263" i="4" s="1"/>
  <c r="J263" i="4" a="1"/>
  <c r="J263" i="4" s="1"/>
  <c r="I263" i="4" a="1"/>
  <c r="I263" i="4" s="1"/>
  <c r="H263" i="4" a="1"/>
  <c r="H263" i="4" s="1"/>
  <c r="K262" i="4" a="1"/>
  <c r="K262" i="4" s="1"/>
  <c r="J262" i="4" a="1"/>
  <c r="J262" i="4" s="1"/>
  <c r="I262" i="4" a="1"/>
  <c r="I262" i="4" s="1"/>
  <c r="H262" i="4" a="1"/>
  <c r="H262" i="4" s="1"/>
  <c r="K261" i="4" a="1"/>
  <c r="K261" i="4" s="1"/>
  <c r="J261" i="4" a="1"/>
  <c r="J261" i="4" s="1"/>
  <c r="I261" i="4" a="1"/>
  <c r="I261" i="4" s="1"/>
  <c r="H261" i="4" a="1"/>
  <c r="H261" i="4" s="1"/>
  <c r="K260" i="4" a="1"/>
  <c r="K260" i="4" s="1"/>
  <c r="J260" i="4" a="1"/>
  <c r="J260" i="4" s="1"/>
  <c r="I260" i="4" a="1"/>
  <c r="I260" i="4" s="1"/>
  <c r="H260" i="4" a="1"/>
  <c r="H260" i="4" s="1"/>
  <c r="K259" i="4" a="1"/>
  <c r="K259" i="4" s="1"/>
  <c r="J259" i="4" a="1"/>
  <c r="J259" i="4" s="1"/>
  <c r="I259" i="4" a="1"/>
  <c r="I259" i="4" s="1"/>
  <c r="H259" i="4" a="1"/>
  <c r="H259" i="4" s="1"/>
  <c r="K258" i="4" a="1"/>
  <c r="K258" i="4" s="1"/>
  <c r="J258" i="4" a="1"/>
  <c r="J258" i="4" s="1"/>
  <c r="I258" i="4" a="1"/>
  <c r="I258" i="4" s="1"/>
  <c r="H258" i="4" a="1"/>
  <c r="H258" i="4" s="1"/>
  <c r="K257" i="4" a="1"/>
  <c r="K257" i="4" s="1"/>
  <c r="J257" i="4" a="1"/>
  <c r="J257" i="4" s="1"/>
  <c r="I257" i="4" a="1"/>
  <c r="I257" i="4" s="1"/>
  <c r="H257" i="4" a="1"/>
  <c r="H257" i="4" s="1"/>
  <c r="K256" i="4" a="1"/>
  <c r="K256" i="4" s="1"/>
  <c r="J256" i="4" a="1"/>
  <c r="J256" i="4" s="1"/>
  <c r="I256" i="4" a="1"/>
  <c r="I256" i="4" s="1"/>
  <c r="H256" i="4" a="1"/>
  <c r="H256" i="4" s="1"/>
  <c r="K255" i="4" a="1"/>
  <c r="K255" i="4" s="1"/>
  <c r="J255" i="4" a="1"/>
  <c r="J255" i="4" s="1"/>
  <c r="I255" i="4" a="1"/>
  <c r="I255" i="4" s="1"/>
  <c r="H255" i="4" a="1"/>
  <c r="H255" i="4" s="1"/>
  <c r="K254" i="4" a="1"/>
  <c r="K254" i="4" s="1"/>
  <c r="J254" i="4" a="1"/>
  <c r="J254" i="4" s="1"/>
  <c r="I254" i="4" a="1"/>
  <c r="I254" i="4" s="1"/>
  <c r="H254" i="4" a="1"/>
  <c r="H254" i="4" s="1"/>
  <c r="K253" i="4" a="1"/>
  <c r="K253" i="4" s="1"/>
  <c r="J253" i="4" a="1"/>
  <c r="J253" i="4" s="1"/>
  <c r="I253" i="4" a="1"/>
  <c r="I253" i="4" s="1"/>
  <c r="H253" i="4" a="1"/>
  <c r="H253" i="4" s="1"/>
  <c r="K252" i="4" a="1"/>
  <c r="K252" i="4" s="1"/>
  <c r="J252" i="4" a="1"/>
  <c r="J252" i="4" s="1"/>
  <c r="I252" i="4" a="1"/>
  <c r="I252" i="4" s="1"/>
  <c r="H252" i="4" a="1"/>
  <c r="H252" i="4" s="1"/>
  <c r="K251" i="4" a="1"/>
  <c r="K251" i="4" s="1"/>
  <c r="J251" i="4" a="1"/>
  <c r="J251" i="4" s="1"/>
  <c r="I251" i="4" a="1"/>
  <c r="I251" i="4" s="1"/>
  <c r="H251" i="4" a="1"/>
  <c r="H251" i="4" s="1"/>
  <c r="K250" i="4" a="1"/>
  <c r="K250" i="4" s="1"/>
  <c r="J250" i="4" a="1"/>
  <c r="J250" i="4" s="1"/>
  <c r="I250" i="4" a="1"/>
  <c r="I250" i="4" s="1"/>
  <c r="H250" i="4" a="1"/>
  <c r="H250" i="4" s="1"/>
  <c r="K249" i="4" a="1"/>
  <c r="K249" i="4" s="1"/>
  <c r="J249" i="4" a="1"/>
  <c r="J249" i="4" s="1"/>
  <c r="I249" i="4" a="1"/>
  <c r="I249" i="4" s="1"/>
  <c r="H249" i="4" a="1"/>
  <c r="H249" i="4" s="1"/>
  <c r="K248" i="4" a="1"/>
  <c r="K248" i="4" s="1"/>
  <c r="J248" i="4" a="1"/>
  <c r="J248" i="4" s="1"/>
  <c r="I248" i="4" a="1"/>
  <c r="I248" i="4" s="1"/>
  <c r="H248" i="4" a="1"/>
  <c r="H248" i="4" s="1"/>
  <c r="K247" i="4" a="1"/>
  <c r="K247" i="4" s="1"/>
  <c r="J247" i="4" a="1"/>
  <c r="J247" i="4" s="1"/>
  <c r="I247" i="4" a="1"/>
  <c r="I247" i="4" s="1"/>
  <c r="H247" i="4" a="1"/>
  <c r="H247" i="4" s="1"/>
  <c r="K246" i="4" a="1"/>
  <c r="K246" i="4" s="1"/>
  <c r="J246" i="4" a="1"/>
  <c r="J246" i="4" s="1"/>
  <c r="I246" i="4" a="1"/>
  <c r="I246" i="4" s="1"/>
  <c r="H246" i="4" a="1"/>
  <c r="H246" i="4" s="1"/>
  <c r="K245" i="4" a="1"/>
  <c r="K245" i="4" s="1"/>
  <c r="J245" i="4" a="1"/>
  <c r="J245" i="4" s="1"/>
  <c r="I245" i="4" a="1"/>
  <c r="I245" i="4" s="1"/>
  <c r="H245" i="4" a="1"/>
  <c r="H245" i="4" s="1"/>
  <c r="K244" i="4" a="1"/>
  <c r="K244" i="4" s="1"/>
  <c r="J244" i="4" a="1"/>
  <c r="J244" i="4" s="1"/>
  <c r="I244" i="4" a="1"/>
  <c r="I244" i="4" s="1"/>
  <c r="H244" i="4" a="1"/>
  <c r="H244" i="4" s="1"/>
  <c r="K243" i="4" a="1"/>
  <c r="K243" i="4" s="1"/>
  <c r="J243" i="4" a="1"/>
  <c r="J243" i="4" s="1"/>
  <c r="I243" i="4" a="1"/>
  <c r="I243" i="4" s="1"/>
  <c r="H243" i="4" a="1"/>
  <c r="H243" i="4" s="1"/>
  <c r="K242" i="4" a="1"/>
  <c r="K242" i="4" s="1"/>
  <c r="J242" i="4" a="1"/>
  <c r="J242" i="4" s="1"/>
  <c r="I242" i="4" a="1"/>
  <c r="I242" i="4" s="1"/>
  <c r="H242" i="4" a="1"/>
  <c r="H242" i="4" s="1"/>
  <c r="K241" i="4" a="1"/>
  <c r="K241" i="4" s="1"/>
  <c r="J241" i="4" a="1"/>
  <c r="J241" i="4" s="1"/>
  <c r="I241" i="4" a="1"/>
  <c r="I241" i="4" s="1"/>
  <c r="H241" i="4" a="1"/>
  <c r="H241" i="4" s="1"/>
  <c r="K240" i="4" a="1"/>
  <c r="K240" i="4" s="1"/>
  <c r="J240" i="4" a="1"/>
  <c r="J240" i="4" s="1"/>
  <c r="I240" i="4" a="1"/>
  <c r="I240" i="4" s="1"/>
  <c r="H240" i="4" a="1"/>
  <c r="H240" i="4" s="1"/>
  <c r="K239" i="4" a="1"/>
  <c r="K239" i="4" s="1"/>
  <c r="J239" i="4" a="1"/>
  <c r="J239" i="4" s="1"/>
  <c r="I239" i="4" a="1"/>
  <c r="I239" i="4" s="1"/>
  <c r="H239" i="4" a="1"/>
  <c r="H239" i="4" s="1"/>
  <c r="K238" i="4" a="1"/>
  <c r="K238" i="4" s="1"/>
  <c r="J238" i="4" a="1"/>
  <c r="J238" i="4" s="1"/>
  <c r="I238" i="4" a="1"/>
  <c r="I238" i="4" s="1"/>
  <c r="H238" i="4" a="1"/>
  <c r="H238" i="4" s="1"/>
  <c r="K237" i="4" a="1"/>
  <c r="K237" i="4" s="1"/>
  <c r="J237" i="4" a="1"/>
  <c r="J237" i="4" s="1"/>
  <c r="I237" i="4" a="1"/>
  <c r="I237" i="4" s="1"/>
  <c r="H237" i="4" a="1"/>
  <c r="H237" i="4" s="1"/>
  <c r="K236" i="4" a="1"/>
  <c r="K236" i="4" s="1"/>
  <c r="J236" i="4" a="1"/>
  <c r="J236" i="4" s="1"/>
  <c r="I236" i="4" a="1"/>
  <c r="I236" i="4" s="1"/>
  <c r="H236" i="4" a="1"/>
  <c r="H236" i="4" s="1"/>
  <c r="K235" i="4" a="1"/>
  <c r="K235" i="4" s="1"/>
  <c r="J235" i="4" a="1"/>
  <c r="J235" i="4" s="1"/>
  <c r="I235" i="4" a="1"/>
  <c r="I235" i="4" s="1"/>
  <c r="H235" i="4" a="1"/>
  <c r="H235" i="4" s="1"/>
  <c r="K234" i="4" a="1"/>
  <c r="K234" i="4" s="1"/>
  <c r="J234" i="4" a="1"/>
  <c r="J234" i="4" s="1"/>
  <c r="I234" i="4" a="1"/>
  <c r="I234" i="4" s="1"/>
  <c r="H234" i="4" a="1"/>
  <c r="H234" i="4" s="1"/>
  <c r="K233" i="4" a="1"/>
  <c r="K233" i="4" s="1"/>
  <c r="J233" i="4" a="1"/>
  <c r="J233" i="4" s="1"/>
  <c r="I233" i="4" a="1"/>
  <c r="I233" i="4" s="1"/>
  <c r="H233" i="4" a="1"/>
  <c r="H233" i="4" s="1"/>
  <c r="K232" i="4" a="1"/>
  <c r="K232" i="4" s="1"/>
  <c r="J232" i="4" a="1"/>
  <c r="J232" i="4" s="1"/>
  <c r="I232" i="4" a="1"/>
  <c r="I232" i="4" s="1"/>
  <c r="H232" i="4" a="1"/>
  <c r="H232" i="4" s="1"/>
  <c r="K231" i="4" a="1"/>
  <c r="K231" i="4" s="1"/>
  <c r="J231" i="4" a="1"/>
  <c r="J231" i="4" s="1"/>
  <c r="I231" i="4" a="1"/>
  <c r="I231" i="4" s="1"/>
  <c r="H231" i="4" a="1"/>
  <c r="H231" i="4" s="1"/>
  <c r="K230" i="4" a="1"/>
  <c r="K230" i="4" s="1"/>
  <c r="J230" i="4" a="1"/>
  <c r="J230" i="4" s="1"/>
  <c r="I230" i="4" a="1"/>
  <c r="I230" i="4" s="1"/>
  <c r="H230" i="4" a="1"/>
  <c r="H230" i="4" s="1"/>
  <c r="K229" i="4" a="1"/>
  <c r="K229" i="4" s="1"/>
  <c r="J229" i="4" a="1"/>
  <c r="J229" i="4" s="1"/>
  <c r="I229" i="4" a="1"/>
  <c r="I229" i="4" s="1"/>
  <c r="H229" i="4" a="1"/>
  <c r="H229" i="4" s="1"/>
  <c r="K228" i="4" a="1"/>
  <c r="K228" i="4" s="1"/>
  <c r="J228" i="4" a="1"/>
  <c r="J228" i="4" s="1"/>
  <c r="I228" i="4" a="1"/>
  <c r="I228" i="4" s="1"/>
  <c r="H228" i="4" a="1"/>
  <c r="H228" i="4" s="1"/>
  <c r="K227" i="4" a="1"/>
  <c r="K227" i="4" s="1"/>
  <c r="J227" i="4" a="1"/>
  <c r="J227" i="4" s="1"/>
  <c r="I227" i="4" a="1"/>
  <c r="I227" i="4" s="1"/>
  <c r="H227" i="4" a="1"/>
  <c r="H227" i="4" s="1"/>
  <c r="K226" i="4" a="1"/>
  <c r="K226" i="4" s="1"/>
  <c r="J226" i="4" a="1"/>
  <c r="J226" i="4" s="1"/>
  <c r="I226" i="4" a="1"/>
  <c r="I226" i="4" s="1"/>
  <c r="H226" i="4" a="1"/>
  <c r="H226" i="4" s="1"/>
  <c r="K225" i="4" a="1"/>
  <c r="K225" i="4" s="1"/>
  <c r="J225" i="4" a="1"/>
  <c r="J225" i="4" s="1"/>
  <c r="I225" i="4" a="1"/>
  <c r="I225" i="4" s="1"/>
  <c r="H225" i="4" a="1"/>
  <c r="H225" i="4" s="1"/>
  <c r="K224" i="4" a="1"/>
  <c r="K224" i="4" s="1"/>
  <c r="J224" i="4" a="1"/>
  <c r="J224" i="4" s="1"/>
  <c r="I224" i="4" a="1"/>
  <c r="I224" i="4" s="1"/>
  <c r="H224" i="4" a="1"/>
  <c r="H224" i="4" s="1"/>
  <c r="K223" i="4" a="1"/>
  <c r="K223" i="4" s="1"/>
  <c r="J223" i="4" a="1"/>
  <c r="J223" i="4" s="1"/>
  <c r="I223" i="4" a="1"/>
  <c r="I223" i="4" s="1"/>
  <c r="H223" i="4" a="1"/>
  <c r="H223" i="4" s="1"/>
  <c r="K214" i="4" a="1"/>
  <c r="K214" i="4" s="1"/>
  <c r="J214" i="4" a="1"/>
  <c r="J214" i="4" s="1"/>
  <c r="I214" i="4" a="1"/>
  <c r="I214" i="4" s="1"/>
  <c r="H214" i="4" a="1"/>
  <c r="H214" i="4" s="1"/>
  <c r="K213" i="4" a="1"/>
  <c r="K213" i="4" s="1"/>
  <c r="J213" i="4" a="1"/>
  <c r="J213" i="4" s="1"/>
  <c r="I213" i="4" a="1"/>
  <c r="I213" i="4" s="1"/>
  <c r="H213" i="4" a="1"/>
  <c r="H213" i="4" s="1"/>
  <c r="K212" i="4" a="1"/>
  <c r="K212" i="4" s="1"/>
  <c r="J212" i="4" a="1"/>
  <c r="J212" i="4" s="1"/>
  <c r="I212" i="4" a="1"/>
  <c r="I212" i="4" s="1"/>
  <c r="H212" i="4" a="1"/>
  <c r="H212" i="4" s="1"/>
  <c r="K211" i="4" a="1"/>
  <c r="K211" i="4" s="1"/>
  <c r="J211" i="4" a="1"/>
  <c r="J211" i="4" s="1"/>
  <c r="I211" i="4" a="1"/>
  <c r="I211" i="4" s="1"/>
  <c r="H211" i="4" a="1"/>
  <c r="H211" i="4" s="1"/>
  <c r="K210" i="4" a="1"/>
  <c r="K210" i="4" s="1"/>
  <c r="J210" i="4" a="1"/>
  <c r="J210" i="4" s="1"/>
  <c r="I210" i="4" a="1"/>
  <c r="I210" i="4" s="1"/>
  <c r="H210" i="4" a="1"/>
  <c r="H210" i="4" s="1"/>
  <c r="K209" i="4" a="1"/>
  <c r="K209" i="4" s="1"/>
  <c r="J209" i="4" a="1"/>
  <c r="J209" i="4" s="1"/>
  <c r="I209" i="4" a="1"/>
  <c r="I209" i="4" s="1"/>
  <c r="H209" i="4" a="1"/>
  <c r="H209" i="4" s="1"/>
  <c r="K208" i="4" a="1"/>
  <c r="K208" i="4" s="1"/>
  <c r="J208" i="4" a="1"/>
  <c r="J208" i="4" s="1"/>
  <c r="I208" i="4" a="1"/>
  <c r="I208" i="4" s="1"/>
  <c r="H208" i="4" a="1"/>
  <c r="H208" i="4" s="1"/>
  <c r="K207" i="4" a="1"/>
  <c r="K207" i="4" s="1"/>
  <c r="J207" i="4" a="1"/>
  <c r="J207" i="4" s="1"/>
  <c r="I207" i="4" a="1"/>
  <c r="I207" i="4" s="1"/>
  <c r="H207" i="4" a="1"/>
  <c r="H207" i="4" s="1"/>
  <c r="K206" i="4" a="1"/>
  <c r="K206" i="4" s="1"/>
  <c r="J206" i="4" a="1"/>
  <c r="J206" i="4" s="1"/>
  <c r="I206" i="4" a="1"/>
  <c r="I206" i="4" s="1"/>
  <c r="H206" i="4" a="1"/>
  <c r="H206" i="4" s="1"/>
  <c r="K205" i="4" a="1"/>
  <c r="K205" i="4" s="1"/>
  <c r="J205" i="4" a="1"/>
  <c r="J205" i="4" s="1"/>
  <c r="I205" i="4" a="1"/>
  <c r="I205" i="4" s="1"/>
  <c r="H205" i="4" a="1"/>
  <c r="H205" i="4" s="1"/>
  <c r="K204" i="4" a="1"/>
  <c r="K204" i="4" s="1"/>
  <c r="J204" i="4" a="1"/>
  <c r="J204" i="4" s="1"/>
  <c r="I204" i="4" a="1"/>
  <c r="I204" i="4" s="1"/>
  <c r="H204" i="4" a="1"/>
  <c r="H204" i="4" s="1"/>
  <c r="K203" i="4" a="1"/>
  <c r="K203" i="4" s="1"/>
  <c r="J203" i="4" a="1"/>
  <c r="J203" i="4" s="1"/>
  <c r="I203" i="4" a="1"/>
  <c r="I203" i="4" s="1"/>
  <c r="H203" i="4" a="1"/>
  <c r="H203" i="4" s="1"/>
  <c r="K202" i="4" a="1"/>
  <c r="K202" i="4" s="1"/>
  <c r="J202" i="4" a="1"/>
  <c r="J202" i="4" s="1"/>
  <c r="I202" i="4" a="1"/>
  <c r="I202" i="4" s="1"/>
  <c r="H202" i="4" a="1"/>
  <c r="H202" i="4" s="1"/>
  <c r="K201" i="4" a="1"/>
  <c r="K201" i="4" s="1"/>
  <c r="J201" i="4" a="1"/>
  <c r="J201" i="4" s="1"/>
  <c r="I201" i="4" a="1"/>
  <c r="I201" i="4" s="1"/>
  <c r="H201" i="4" a="1"/>
  <c r="H201" i="4" s="1"/>
  <c r="K200" i="4" a="1"/>
  <c r="K200" i="4" s="1"/>
  <c r="J200" i="4" a="1"/>
  <c r="J200" i="4" s="1"/>
  <c r="I200" i="4" a="1"/>
  <c r="I200" i="4" s="1"/>
  <c r="H200" i="4" a="1"/>
  <c r="H200" i="4" s="1"/>
  <c r="K199" i="4" a="1"/>
  <c r="K199" i="4" s="1"/>
  <c r="J199" i="4" a="1"/>
  <c r="J199" i="4" s="1"/>
  <c r="I199" i="4" a="1"/>
  <c r="I199" i="4" s="1"/>
  <c r="H199" i="4" a="1"/>
  <c r="H199" i="4" s="1"/>
  <c r="K198" i="4" a="1"/>
  <c r="K198" i="4" s="1"/>
  <c r="J198" i="4" a="1"/>
  <c r="J198" i="4" s="1"/>
  <c r="I198" i="4" a="1"/>
  <c r="I198" i="4" s="1"/>
  <c r="H198" i="4" a="1"/>
  <c r="H198" i="4" s="1"/>
  <c r="K197" i="4" a="1"/>
  <c r="K197" i="4" s="1"/>
  <c r="J197" i="4" a="1"/>
  <c r="J197" i="4" s="1"/>
  <c r="I197" i="4" a="1"/>
  <c r="I197" i="4" s="1"/>
  <c r="H197" i="4" a="1"/>
  <c r="H197" i="4" s="1"/>
  <c r="K196" i="4" a="1"/>
  <c r="K196" i="4" s="1"/>
  <c r="J196" i="4" a="1"/>
  <c r="J196" i="4" s="1"/>
  <c r="I196" i="4" a="1"/>
  <c r="I196" i="4" s="1"/>
  <c r="H196" i="4" a="1"/>
  <c r="H196" i="4" s="1"/>
  <c r="K195" i="4" a="1"/>
  <c r="K195" i="4" s="1"/>
  <c r="J195" i="4" a="1"/>
  <c r="J195" i="4" s="1"/>
  <c r="I195" i="4" a="1"/>
  <c r="I195" i="4" s="1"/>
  <c r="H195" i="4" a="1"/>
  <c r="H195" i="4" s="1"/>
  <c r="K194" i="4" a="1"/>
  <c r="K194" i="4" s="1"/>
  <c r="J194" i="4" a="1"/>
  <c r="J194" i="4" s="1"/>
  <c r="I194" i="4" a="1"/>
  <c r="I194" i="4" s="1"/>
  <c r="H194" i="4" a="1"/>
  <c r="H194" i="4" s="1"/>
  <c r="K193" i="4" a="1"/>
  <c r="K193" i="4" s="1"/>
  <c r="J193" i="4" a="1"/>
  <c r="J193" i="4" s="1"/>
  <c r="I193" i="4" a="1"/>
  <c r="I193" i="4" s="1"/>
  <c r="H193" i="4" a="1"/>
  <c r="H193" i="4" s="1"/>
  <c r="K192" i="4" a="1"/>
  <c r="K192" i="4" s="1"/>
  <c r="J192" i="4" a="1"/>
  <c r="J192" i="4" s="1"/>
  <c r="I192" i="4" a="1"/>
  <c r="I192" i="4" s="1"/>
  <c r="H192" i="4" a="1"/>
  <c r="H192" i="4" s="1"/>
  <c r="K191" i="4" a="1"/>
  <c r="K191" i="4" s="1"/>
  <c r="J191" i="4" a="1"/>
  <c r="J191" i="4" s="1"/>
  <c r="I191" i="4" a="1"/>
  <c r="I191" i="4" s="1"/>
  <c r="H191" i="4" a="1"/>
  <c r="H191" i="4" s="1"/>
  <c r="K190" i="4" a="1"/>
  <c r="K190" i="4" s="1"/>
  <c r="J190" i="4" a="1"/>
  <c r="J190" i="4" s="1"/>
  <c r="I190" i="4" a="1"/>
  <c r="I190" i="4" s="1"/>
  <c r="H190" i="4" a="1"/>
  <c r="H190" i="4" s="1"/>
  <c r="K189" i="4" a="1"/>
  <c r="K189" i="4" s="1"/>
  <c r="J189" i="4" a="1"/>
  <c r="J189" i="4" s="1"/>
  <c r="I189" i="4" a="1"/>
  <c r="I189" i="4" s="1"/>
  <c r="H189" i="4" a="1"/>
  <c r="H189" i="4" s="1"/>
  <c r="K188" i="4" a="1"/>
  <c r="K188" i="4" s="1"/>
  <c r="J188" i="4" a="1"/>
  <c r="J188" i="4" s="1"/>
  <c r="I188" i="4" a="1"/>
  <c r="I188" i="4" s="1"/>
  <c r="H188" i="4" a="1"/>
  <c r="H188" i="4" s="1"/>
  <c r="K187" i="4" a="1"/>
  <c r="K187" i="4" s="1"/>
  <c r="J187" i="4" a="1"/>
  <c r="J187" i="4" s="1"/>
  <c r="I187" i="4" a="1"/>
  <c r="I187" i="4" s="1"/>
  <c r="H187" i="4" a="1"/>
  <c r="H187" i="4" s="1"/>
  <c r="K186" i="4" a="1"/>
  <c r="K186" i="4" s="1"/>
  <c r="J186" i="4" a="1"/>
  <c r="J186" i="4" s="1"/>
  <c r="I186" i="4" a="1"/>
  <c r="I186" i="4" s="1"/>
  <c r="H186" i="4" a="1"/>
  <c r="H186" i="4" s="1"/>
  <c r="K184" i="4" a="1"/>
  <c r="K184" i="4" s="1"/>
  <c r="J184" i="4" a="1"/>
  <c r="J184" i="4" s="1"/>
  <c r="I184" i="4" a="1"/>
  <c r="I184" i="4" s="1"/>
  <c r="H184" i="4" a="1"/>
  <c r="H184" i="4" s="1"/>
  <c r="K169" i="4" a="1"/>
  <c r="K169" i="4" s="1"/>
  <c r="J169" i="4" a="1"/>
  <c r="J169" i="4" s="1"/>
  <c r="I169" i="4" a="1"/>
  <c r="I169" i="4" s="1"/>
  <c r="H169" i="4" a="1"/>
  <c r="H169" i="4" s="1"/>
  <c r="K147" i="4" a="1"/>
  <c r="K147" i="4" s="1"/>
  <c r="J147" i="4" a="1"/>
  <c r="J147" i="4" s="1"/>
  <c r="I147" i="4" a="1"/>
  <c r="I147" i="4" s="1"/>
  <c r="H147" i="4" a="1"/>
  <c r="H147" i="4" s="1"/>
  <c r="K146" i="4" a="1"/>
  <c r="K146" i="4" s="1"/>
  <c r="J146" i="4" a="1"/>
  <c r="J146" i="4" s="1"/>
  <c r="I146" i="4" a="1"/>
  <c r="I146" i="4" s="1"/>
  <c r="H146" i="4" a="1"/>
  <c r="H146" i="4" s="1"/>
  <c r="K145" i="4" a="1"/>
  <c r="K145" i="4" s="1"/>
  <c r="J145" i="4" a="1"/>
  <c r="J145" i="4" s="1"/>
  <c r="I145" i="4" a="1"/>
  <c r="I145" i="4" s="1"/>
  <c r="H145" i="4" a="1"/>
  <c r="H145" i="4" s="1"/>
  <c r="K139" i="4" a="1"/>
  <c r="K139" i="4" s="1"/>
  <c r="J139" i="4" a="1"/>
  <c r="J139" i="4" s="1"/>
  <c r="I139" i="4" a="1"/>
  <c r="I139" i="4" s="1"/>
  <c r="H139" i="4" a="1"/>
  <c r="H139" i="4" s="1"/>
  <c r="K138" i="4" a="1"/>
  <c r="K138" i="4" s="1"/>
  <c r="J138" i="4" a="1"/>
  <c r="J138" i="4" s="1"/>
  <c r="I138" i="4" a="1"/>
  <c r="I138" i="4" s="1"/>
  <c r="H138" i="4" a="1"/>
  <c r="H138" i="4" s="1"/>
  <c r="K137" i="4" a="1"/>
  <c r="K137" i="4" s="1"/>
  <c r="J137" i="4" a="1"/>
  <c r="J137" i="4" s="1"/>
  <c r="I137" i="4" a="1"/>
  <c r="I137" i="4" s="1"/>
  <c r="H137" i="4" a="1"/>
  <c r="H137" i="4" s="1"/>
  <c r="K136" i="4" a="1"/>
  <c r="K136" i="4" s="1"/>
  <c r="J136" i="4" a="1"/>
  <c r="J136" i="4" s="1"/>
  <c r="I136" i="4" a="1"/>
  <c r="I136" i="4" s="1"/>
  <c r="H136" i="4" a="1"/>
  <c r="H136" i="4" s="1"/>
  <c r="K135" i="4" a="1"/>
  <c r="K135" i="4" s="1"/>
  <c r="J135" i="4" a="1"/>
  <c r="J135" i="4" s="1"/>
  <c r="I135" i="4" a="1"/>
  <c r="I135" i="4" s="1"/>
  <c r="H135" i="4" a="1"/>
  <c r="H135" i="4" s="1"/>
  <c r="K134" i="4" a="1"/>
  <c r="K134" i="4" s="1"/>
  <c r="J134" i="4" a="1"/>
  <c r="J134" i="4" s="1"/>
  <c r="I134" i="4" a="1"/>
  <c r="I134" i="4" s="1"/>
  <c r="H134" i="4" a="1"/>
  <c r="H134" i="4" s="1"/>
  <c r="K133" i="4" a="1"/>
  <c r="K133" i="4" s="1"/>
  <c r="J133" i="4" a="1"/>
  <c r="J133" i="4" s="1"/>
  <c r="I133" i="4" a="1"/>
  <c r="I133" i="4" s="1"/>
  <c r="H133" i="4" a="1"/>
  <c r="H133" i="4" s="1"/>
  <c r="K132" i="4" a="1"/>
  <c r="K132" i="4" s="1"/>
  <c r="J132" i="4" a="1"/>
  <c r="J132" i="4" s="1"/>
  <c r="I132" i="4" a="1"/>
  <c r="I132" i="4" s="1"/>
  <c r="H132" i="4" a="1"/>
  <c r="H132" i="4" s="1"/>
  <c r="K131" i="4" a="1"/>
  <c r="K131" i="4" s="1"/>
  <c r="J131" i="4" a="1"/>
  <c r="J131" i="4" s="1"/>
  <c r="I131" i="4" a="1"/>
  <c r="I131" i="4" s="1"/>
  <c r="H131" i="4" a="1"/>
  <c r="H131" i="4" s="1"/>
  <c r="K130" i="4" a="1"/>
  <c r="K130" i="4" s="1"/>
  <c r="J130" i="4" a="1"/>
  <c r="J130" i="4" s="1"/>
  <c r="I130" i="4" a="1"/>
  <c r="I130" i="4" s="1"/>
  <c r="H130" i="4" a="1"/>
  <c r="H130" i="4" s="1"/>
  <c r="K129" i="4" a="1"/>
  <c r="K129" i="4" s="1"/>
  <c r="J129" i="4" a="1"/>
  <c r="J129" i="4" s="1"/>
  <c r="I129" i="4" a="1"/>
  <c r="I129" i="4" s="1"/>
  <c r="H129" i="4" a="1"/>
  <c r="H129" i="4" s="1"/>
  <c r="K128" i="4" a="1"/>
  <c r="K128" i="4" s="1"/>
  <c r="J128" i="4" a="1"/>
  <c r="J128" i="4" s="1"/>
  <c r="I128" i="4" a="1"/>
  <c r="I128" i="4" s="1"/>
  <c r="H128" i="4" a="1"/>
  <c r="H128" i="4" s="1"/>
  <c r="K127" i="4" a="1"/>
  <c r="K127" i="4" s="1"/>
  <c r="J127" i="4" a="1"/>
  <c r="J127" i="4" s="1"/>
  <c r="I127" i="4" a="1"/>
  <c r="I127" i="4" s="1"/>
  <c r="H127" i="4" a="1"/>
  <c r="H127" i="4" s="1"/>
  <c r="K126" i="4" a="1"/>
  <c r="K126" i="4" s="1"/>
  <c r="J126" i="4" a="1"/>
  <c r="J126" i="4" s="1"/>
  <c r="I126" i="4" a="1"/>
  <c r="I126" i="4" s="1"/>
  <c r="H126" i="4" a="1"/>
  <c r="H126" i="4" s="1"/>
  <c r="K125" i="4" a="1"/>
  <c r="K125" i="4" s="1"/>
  <c r="J125" i="4" a="1"/>
  <c r="J125" i="4" s="1"/>
  <c r="I125" i="4" a="1"/>
  <c r="I125" i="4" s="1"/>
  <c r="H125" i="4" a="1"/>
  <c r="H125" i="4" s="1"/>
  <c r="K124" i="4" a="1"/>
  <c r="K124" i="4" s="1"/>
  <c r="J124" i="4" a="1"/>
  <c r="J124" i="4" s="1"/>
  <c r="I124" i="4" a="1"/>
  <c r="I124" i="4" s="1"/>
  <c r="H124" i="4" a="1"/>
  <c r="H124" i="4" s="1"/>
  <c r="K123" i="4" a="1"/>
  <c r="K123" i="4" s="1"/>
  <c r="J123" i="4" a="1"/>
  <c r="J123" i="4" s="1"/>
  <c r="I123" i="4" a="1"/>
  <c r="I123" i="4" s="1"/>
  <c r="H123" i="4" a="1"/>
  <c r="H123" i="4" s="1"/>
  <c r="K122" i="4" a="1"/>
  <c r="K122" i="4" s="1"/>
  <c r="J122" i="4" a="1"/>
  <c r="J122" i="4" s="1"/>
  <c r="I122" i="4" a="1"/>
  <c r="I122" i="4" s="1"/>
  <c r="H122" i="4" a="1"/>
  <c r="H122" i="4" s="1"/>
  <c r="K121" i="4" a="1"/>
  <c r="K121" i="4" s="1"/>
  <c r="J121" i="4" a="1"/>
  <c r="J121" i="4" s="1"/>
  <c r="I121" i="4" a="1"/>
  <c r="I121" i="4" s="1"/>
  <c r="H121" i="4" a="1"/>
  <c r="H121" i="4" s="1"/>
  <c r="K120" i="4" a="1"/>
  <c r="K120" i="4" s="1"/>
  <c r="J120" i="4" a="1"/>
  <c r="J120" i="4" s="1"/>
  <c r="I120" i="4" a="1"/>
  <c r="I120" i="4" s="1"/>
  <c r="H120" i="4" a="1"/>
  <c r="H120" i="4" s="1"/>
  <c r="K119" i="4" a="1"/>
  <c r="K119" i="4" s="1"/>
  <c r="J119" i="4" a="1"/>
  <c r="J119" i="4" s="1"/>
  <c r="I119" i="4" a="1"/>
  <c r="I119" i="4" s="1"/>
  <c r="H119" i="4" a="1"/>
  <c r="H119" i="4" s="1"/>
  <c r="K118" i="4" a="1"/>
  <c r="K118" i="4" s="1"/>
  <c r="J118" i="4" a="1"/>
  <c r="J118" i="4" s="1"/>
  <c r="I118" i="4" a="1"/>
  <c r="I118" i="4" s="1"/>
  <c r="H118" i="4" a="1"/>
  <c r="H118" i="4" s="1"/>
  <c r="K117" i="4" a="1"/>
  <c r="K117" i="4" s="1"/>
  <c r="J117" i="4" a="1"/>
  <c r="J117" i="4" s="1"/>
  <c r="I117" i="4" a="1"/>
  <c r="I117" i="4" s="1"/>
  <c r="H117" i="4" a="1"/>
  <c r="H117" i="4" s="1"/>
  <c r="K116" i="4" a="1"/>
  <c r="K116" i="4" s="1"/>
  <c r="J116" i="4" a="1"/>
  <c r="J116" i="4" s="1"/>
  <c r="I116" i="4" a="1"/>
  <c r="I116" i="4" s="1"/>
  <c r="H116" i="4" a="1"/>
  <c r="H116" i="4" s="1"/>
  <c r="K115" i="4" a="1"/>
  <c r="K115" i="4" s="1"/>
  <c r="J115" i="4" a="1"/>
  <c r="J115" i="4" s="1"/>
  <c r="I115" i="4" a="1"/>
  <c r="I115" i="4" s="1"/>
  <c r="H115" i="4" a="1"/>
  <c r="H115" i="4" s="1"/>
  <c r="K114" i="4" a="1"/>
  <c r="K114" i="4" s="1"/>
  <c r="J114" i="4" a="1"/>
  <c r="J114" i="4" s="1"/>
  <c r="I114" i="4" a="1"/>
  <c r="I114" i="4" s="1"/>
  <c r="H114" i="4" a="1"/>
  <c r="H114" i="4" s="1"/>
  <c r="K113" i="4" a="1"/>
  <c r="K113" i="4" s="1"/>
  <c r="J113" i="4" a="1"/>
  <c r="J113" i="4" s="1"/>
  <c r="I113" i="4" a="1"/>
  <c r="I113" i="4" s="1"/>
  <c r="H113" i="4" a="1"/>
  <c r="H113" i="4" s="1"/>
  <c r="K112" i="4" a="1"/>
  <c r="K112" i="4" s="1"/>
  <c r="J112" i="4" a="1"/>
  <c r="J112" i="4" s="1"/>
  <c r="I112" i="4" a="1"/>
  <c r="I112" i="4" s="1"/>
  <c r="H112" i="4" a="1"/>
  <c r="H112" i="4" s="1"/>
  <c r="K111" i="4" a="1"/>
  <c r="K111" i="4" s="1"/>
  <c r="J111" i="4" a="1"/>
  <c r="J111" i="4" s="1"/>
  <c r="I111" i="4" a="1"/>
  <c r="I111" i="4" s="1"/>
  <c r="H111" i="4" a="1"/>
  <c r="H111" i="4" s="1"/>
  <c r="K106" i="4" a="1"/>
  <c r="K106" i="4" s="1"/>
  <c r="J106" i="4" a="1"/>
  <c r="J106" i="4" s="1"/>
  <c r="I106" i="4" a="1"/>
  <c r="I106" i="4" s="1"/>
  <c r="H106" i="4" a="1"/>
  <c r="H106" i="4" s="1"/>
  <c r="K105" i="4" a="1"/>
  <c r="K105" i="4" s="1"/>
  <c r="J105" i="4" a="1"/>
  <c r="J105" i="4" s="1"/>
  <c r="I105" i="4" a="1"/>
  <c r="I105" i="4" s="1"/>
  <c r="H105" i="4" a="1"/>
  <c r="H105" i="4" s="1"/>
  <c r="K104" i="4" a="1"/>
  <c r="K104" i="4" s="1"/>
  <c r="J104" i="4" a="1"/>
  <c r="J104" i="4" s="1"/>
  <c r="I104" i="4" a="1"/>
  <c r="I104" i="4" s="1"/>
  <c r="H104" i="4" a="1"/>
  <c r="H104" i="4" s="1"/>
  <c r="K103" i="4" a="1"/>
  <c r="K103" i="4" s="1"/>
  <c r="J103" i="4" a="1"/>
  <c r="J103" i="4" s="1"/>
  <c r="I103" i="4" a="1"/>
  <c r="I103" i="4" s="1"/>
  <c r="H103" i="4" a="1"/>
  <c r="H103" i="4" s="1"/>
  <c r="K102" i="4" a="1"/>
  <c r="K102" i="4" s="1"/>
  <c r="J102" i="4" a="1"/>
  <c r="J102" i="4" s="1"/>
  <c r="I102" i="4" a="1"/>
  <c r="I102" i="4" s="1"/>
  <c r="H102" i="4" a="1"/>
  <c r="H102" i="4" s="1"/>
  <c r="K101" i="4" a="1"/>
  <c r="K101" i="4" s="1"/>
  <c r="J101" i="4" a="1"/>
  <c r="J101" i="4" s="1"/>
  <c r="I101" i="4" a="1"/>
  <c r="I101" i="4" s="1"/>
  <c r="H101" i="4" a="1"/>
  <c r="H101" i="4" s="1"/>
  <c r="K100" i="4" a="1"/>
  <c r="K100" i="4" s="1"/>
  <c r="J100" i="4" a="1"/>
  <c r="J100" i="4" s="1"/>
  <c r="I100" i="4" a="1"/>
  <c r="I100" i="4" s="1"/>
  <c r="H100" i="4" a="1"/>
  <c r="H100" i="4" s="1"/>
  <c r="K99" i="4" a="1"/>
  <c r="K99" i="4" s="1"/>
  <c r="J99" i="4" a="1"/>
  <c r="J99" i="4" s="1"/>
  <c r="I99" i="4" a="1"/>
  <c r="I99" i="4" s="1"/>
  <c r="H99" i="4" a="1"/>
  <c r="H99" i="4" s="1"/>
  <c r="K98" i="4" a="1"/>
  <c r="K98" i="4" s="1"/>
  <c r="J98" i="4" a="1"/>
  <c r="J98" i="4" s="1"/>
  <c r="I98" i="4" a="1"/>
  <c r="I98" i="4" s="1"/>
  <c r="H98" i="4" a="1"/>
  <c r="H98" i="4" s="1"/>
  <c r="K97" i="4" a="1"/>
  <c r="K97" i="4" s="1"/>
  <c r="J97" i="4" a="1"/>
  <c r="J97" i="4" s="1"/>
  <c r="I97" i="4" a="1"/>
  <c r="I97" i="4" s="1"/>
  <c r="H97" i="4" a="1"/>
  <c r="H97" i="4" s="1"/>
  <c r="K96" i="4" a="1"/>
  <c r="K96" i="4" s="1"/>
  <c r="J96" i="4" a="1"/>
  <c r="J96" i="4" s="1"/>
  <c r="I96" i="4" a="1"/>
  <c r="I96" i="4" s="1"/>
  <c r="H96" i="4" a="1"/>
  <c r="H96" i="4" s="1"/>
  <c r="K95" i="4" a="1"/>
  <c r="K95" i="4" s="1"/>
  <c r="J95" i="4" a="1"/>
  <c r="J95" i="4" s="1"/>
  <c r="I95" i="4" a="1"/>
  <c r="I95" i="4" s="1"/>
  <c r="H95" i="4" a="1"/>
  <c r="H95" i="4" s="1"/>
  <c r="K94" i="4" a="1"/>
  <c r="K94" i="4" s="1"/>
  <c r="J94" i="4" a="1"/>
  <c r="J94" i="4" s="1"/>
  <c r="I94" i="4" a="1"/>
  <c r="I94" i="4" s="1"/>
  <c r="H94" i="4" a="1"/>
  <c r="H94" i="4" s="1"/>
  <c r="K93" i="4" a="1"/>
  <c r="K93" i="4" s="1"/>
  <c r="J93" i="4" a="1"/>
  <c r="J93" i="4" s="1"/>
  <c r="I93" i="4" a="1"/>
  <c r="I93" i="4" s="1"/>
  <c r="H93" i="4" a="1"/>
  <c r="H93" i="4" s="1"/>
  <c r="K92" i="4" a="1"/>
  <c r="K92" i="4" s="1"/>
  <c r="J92" i="4" a="1"/>
  <c r="J92" i="4" s="1"/>
  <c r="I92" i="4" a="1"/>
  <c r="I92" i="4" s="1"/>
  <c r="H92" i="4" a="1"/>
  <c r="H92" i="4" s="1"/>
  <c r="K91" i="4" a="1"/>
  <c r="K91" i="4" s="1"/>
  <c r="J91" i="4" a="1"/>
  <c r="J91" i="4" s="1"/>
  <c r="I91" i="4" a="1"/>
  <c r="I91" i="4" s="1"/>
  <c r="H91" i="4" a="1"/>
  <c r="H91" i="4" s="1"/>
  <c r="K90" i="4" a="1"/>
  <c r="K90" i="4" s="1"/>
  <c r="J90" i="4" a="1"/>
  <c r="J90" i="4" s="1"/>
  <c r="I90" i="4" a="1"/>
  <c r="I90" i="4" s="1"/>
  <c r="H90" i="4" a="1"/>
  <c r="H90" i="4" s="1"/>
  <c r="K88" i="4" a="1"/>
  <c r="K88" i="4" s="1"/>
  <c r="J88" i="4" a="1"/>
  <c r="J88" i="4" s="1"/>
  <c r="I88" i="4" a="1"/>
  <c r="I88" i="4" s="1"/>
  <c r="H88" i="4" a="1"/>
  <c r="H88" i="4" s="1"/>
  <c r="K87" i="4" a="1"/>
  <c r="K87" i="4" s="1"/>
  <c r="J87" i="4" a="1"/>
  <c r="J87" i="4" s="1"/>
  <c r="I87" i="4" a="1"/>
  <c r="I87" i="4" s="1"/>
  <c r="H87" i="4" a="1"/>
  <c r="H87" i="4" s="1"/>
  <c r="K86" i="4" a="1"/>
  <c r="K86" i="4" s="1"/>
  <c r="J86" i="4" a="1"/>
  <c r="J86" i="4" s="1"/>
  <c r="I86" i="4" a="1"/>
  <c r="I86" i="4" s="1"/>
  <c r="H86" i="4" a="1"/>
  <c r="H86" i="4" s="1"/>
  <c r="K85" i="4" a="1"/>
  <c r="K85" i="4" s="1"/>
  <c r="J85" i="4" a="1"/>
  <c r="J85" i="4" s="1"/>
  <c r="I85" i="4" a="1"/>
  <c r="I85" i="4" s="1"/>
  <c r="H85" i="4" a="1"/>
  <c r="H85" i="4" s="1"/>
  <c r="K84" i="4" a="1"/>
  <c r="K84" i="4" s="1"/>
  <c r="J84" i="4" a="1"/>
  <c r="J84" i="4" s="1"/>
  <c r="I84" i="4" a="1"/>
  <c r="I84" i="4" s="1"/>
  <c r="H84" i="4" a="1"/>
  <c r="H84" i="4" s="1"/>
  <c r="K83" i="4" a="1"/>
  <c r="K83" i="4" s="1"/>
  <c r="J83" i="4" a="1"/>
  <c r="J83" i="4" s="1"/>
  <c r="I83" i="4" a="1"/>
  <c r="I83" i="4" s="1"/>
  <c r="H83" i="4" a="1"/>
  <c r="H83" i="4" s="1"/>
  <c r="K82" i="4" a="1"/>
  <c r="K82" i="4" s="1"/>
  <c r="J82" i="4" a="1"/>
  <c r="J82" i="4" s="1"/>
  <c r="I82" i="4" a="1"/>
  <c r="I82" i="4" s="1"/>
  <c r="H82" i="4" a="1"/>
  <c r="H82" i="4" s="1"/>
  <c r="K81" i="4" a="1"/>
  <c r="K81" i="4" s="1"/>
  <c r="J81" i="4" a="1"/>
  <c r="J81" i="4" s="1"/>
  <c r="I81" i="4" a="1"/>
  <c r="I81" i="4" s="1"/>
  <c r="H81" i="4" a="1"/>
  <c r="H81" i="4" s="1"/>
  <c r="K80" i="4" a="1"/>
  <c r="K80" i="4" s="1"/>
  <c r="J80" i="4" a="1"/>
  <c r="J80" i="4" s="1"/>
  <c r="I80" i="4" a="1"/>
  <c r="I80" i="4" s="1"/>
  <c r="H80" i="4" a="1"/>
  <c r="H80" i="4" s="1"/>
  <c r="K79" i="4" a="1"/>
  <c r="K79" i="4" s="1"/>
  <c r="J79" i="4" a="1"/>
  <c r="J79" i="4" s="1"/>
  <c r="I79" i="4" a="1"/>
  <c r="I79" i="4" s="1"/>
  <c r="H79" i="4" a="1"/>
  <c r="H79" i="4" s="1"/>
  <c r="K78" i="4" a="1"/>
  <c r="K78" i="4" s="1"/>
  <c r="J78" i="4" a="1"/>
  <c r="J78" i="4" s="1"/>
  <c r="I78" i="4" a="1"/>
  <c r="I78" i="4" s="1"/>
  <c r="H78" i="4" a="1"/>
  <c r="H78" i="4" s="1"/>
  <c r="K77" i="4" a="1"/>
  <c r="K77" i="4" s="1"/>
  <c r="J77" i="4" a="1"/>
  <c r="J77" i="4" s="1"/>
  <c r="I77" i="4" a="1"/>
  <c r="I77" i="4" s="1"/>
  <c r="H77" i="4" a="1"/>
  <c r="H77" i="4" s="1"/>
  <c r="K76" i="4" a="1"/>
  <c r="K76" i="4" s="1"/>
  <c r="J76" i="4" a="1"/>
  <c r="J76" i="4" s="1"/>
  <c r="I76" i="4" a="1"/>
  <c r="I76" i="4" s="1"/>
  <c r="H76" i="4" a="1"/>
  <c r="H76" i="4" s="1"/>
  <c r="K75" i="4" a="1"/>
  <c r="K75" i="4" s="1"/>
  <c r="J75" i="4" a="1"/>
  <c r="J75" i="4" s="1"/>
  <c r="I75" i="4" a="1"/>
  <c r="I75" i="4" s="1"/>
  <c r="H75" i="4" a="1"/>
  <c r="H75" i="4" s="1"/>
  <c r="K74" i="4" a="1"/>
  <c r="K74" i="4" s="1"/>
  <c r="J74" i="4" a="1"/>
  <c r="J74" i="4" s="1"/>
  <c r="I74" i="4" a="1"/>
  <c r="I74" i="4" s="1"/>
  <c r="H74" i="4" a="1"/>
  <c r="H74" i="4" s="1"/>
  <c r="K73" i="4" a="1"/>
  <c r="K73" i="4" s="1"/>
  <c r="J73" i="4" a="1"/>
  <c r="J73" i="4" s="1"/>
  <c r="I73" i="4" a="1"/>
  <c r="I73" i="4" s="1"/>
  <c r="H73" i="4" a="1"/>
  <c r="H73" i="4" s="1"/>
  <c r="F758" i="4" a="1"/>
  <c r="F758" i="4" s="1"/>
  <c r="F757" i="4" a="1"/>
  <c r="F757" i="4" s="1"/>
  <c r="F756" i="4" a="1"/>
  <c r="F756" i="4" s="1"/>
  <c r="F754" i="4" a="1"/>
  <c r="F754" i="4" s="1"/>
  <c r="F753" i="4" a="1"/>
  <c r="F753" i="4" s="1"/>
  <c r="F752" i="4" a="1"/>
  <c r="F752" i="4" s="1"/>
  <c r="F749" i="4" a="1"/>
  <c r="F749" i="4" s="1"/>
  <c r="F748" i="4" a="1"/>
  <c r="F748" i="4" s="1"/>
  <c r="F747" i="4" a="1"/>
  <c r="F747" i="4" s="1"/>
  <c r="F746" i="4" a="1"/>
  <c r="F746" i="4" s="1"/>
  <c r="F745" i="4" a="1"/>
  <c r="F745" i="4" s="1"/>
  <c r="F744" i="4" a="1"/>
  <c r="F744" i="4" s="1"/>
  <c r="F743" i="4" a="1"/>
  <c r="F743" i="4" s="1"/>
  <c r="F736" i="4" a="1"/>
  <c r="F736" i="4" s="1"/>
  <c r="F735" i="4" a="1"/>
  <c r="F735" i="4" s="1"/>
  <c r="F734" i="4" a="1"/>
  <c r="F734" i="4" s="1"/>
  <c r="F730" i="4" a="1"/>
  <c r="F730" i="4" s="1"/>
  <c r="F729" i="4" a="1"/>
  <c r="F729" i="4" s="1"/>
  <c r="F728" i="4" a="1"/>
  <c r="F728" i="4" s="1"/>
  <c r="F727" i="4" a="1"/>
  <c r="F727" i="4" s="1"/>
  <c r="F726" i="4" a="1"/>
  <c r="F726" i="4" s="1"/>
  <c r="F725" i="4" a="1"/>
  <c r="F725" i="4" s="1"/>
  <c r="F724" i="4" a="1"/>
  <c r="F724" i="4" s="1"/>
  <c r="F722" i="4" a="1"/>
  <c r="F722" i="4" s="1"/>
  <c r="F721" i="4" a="1"/>
  <c r="F721" i="4" s="1"/>
  <c r="F720" i="4" a="1"/>
  <c r="F720" i="4" s="1"/>
  <c r="F719" i="4" a="1"/>
  <c r="F719" i="4" s="1"/>
  <c r="F718" i="4" a="1"/>
  <c r="F718" i="4" s="1"/>
  <c r="F716" i="4" a="1"/>
  <c r="F716" i="4" s="1"/>
  <c r="F715" i="4" a="1"/>
  <c r="F715" i="4" s="1"/>
  <c r="F714" i="4" a="1"/>
  <c r="F714" i="4" s="1"/>
  <c r="F713" i="4" a="1"/>
  <c r="F713" i="4" s="1"/>
  <c r="F712" i="4" a="1"/>
  <c r="F712" i="4" s="1"/>
  <c r="F711" i="4" a="1"/>
  <c r="F711" i="4" s="1"/>
  <c r="F710" i="4" a="1"/>
  <c r="F710" i="4" s="1"/>
  <c r="F709" i="4" a="1"/>
  <c r="F709" i="4" s="1"/>
  <c r="F708" i="4" a="1"/>
  <c r="F708" i="4" s="1"/>
  <c r="F707" i="4" a="1"/>
  <c r="F707" i="4" s="1"/>
  <c r="F706" i="4" a="1"/>
  <c r="F706" i="4" s="1"/>
  <c r="F705" i="4" a="1"/>
  <c r="F705" i="4" s="1"/>
  <c r="F701" i="4" a="1"/>
  <c r="F701" i="4" s="1"/>
  <c r="F700" i="4" a="1"/>
  <c r="F700" i="4" s="1"/>
  <c r="F699" i="4" a="1"/>
  <c r="F699" i="4" s="1"/>
  <c r="F698" i="4" a="1"/>
  <c r="F698" i="4" s="1"/>
  <c r="F697" i="4" a="1"/>
  <c r="F697" i="4" s="1"/>
  <c r="F696" i="4" a="1"/>
  <c r="F696" i="4" s="1"/>
  <c r="F695" i="4" a="1"/>
  <c r="F695" i="4" s="1"/>
  <c r="F694" i="4" a="1"/>
  <c r="F694" i="4" s="1"/>
  <c r="F693" i="4" a="1"/>
  <c r="F693" i="4" s="1"/>
  <c r="F692" i="4" a="1"/>
  <c r="F692" i="4" s="1"/>
  <c r="F691" i="4" a="1"/>
  <c r="F691" i="4" s="1"/>
  <c r="F690" i="4" a="1"/>
  <c r="F690" i="4" s="1"/>
  <c r="F689" i="4" a="1"/>
  <c r="F689" i="4" s="1"/>
  <c r="F686" i="4" a="1"/>
  <c r="F686" i="4" s="1"/>
  <c r="F684" i="4" a="1"/>
  <c r="F684" i="4" s="1"/>
  <c r="F683" i="4" a="1"/>
  <c r="F683" i="4" s="1"/>
  <c r="F682" i="4" a="1"/>
  <c r="F682" i="4" s="1"/>
  <c r="F681" i="4" a="1"/>
  <c r="F681" i="4" s="1"/>
  <c r="F680" i="4" a="1"/>
  <c r="F680" i="4" s="1"/>
  <c r="F679" i="4" a="1"/>
  <c r="F679" i="4" s="1"/>
  <c r="F678" i="4" a="1"/>
  <c r="F678" i="4" s="1"/>
  <c r="F677" i="4" a="1"/>
  <c r="F677" i="4" s="1"/>
  <c r="F676" i="4" a="1"/>
  <c r="F676" i="4" s="1"/>
  <c r="F675" i="4" a="1"/>
  <c r="F675" i="4" s="1"/>
  <c r="F674" i="4" a="1"/>
  <c r="F674" i="4" s="1"/>
  <c r="F673" i="4" a="1"/>
  <c r="F673" i="4" s="1"/>
  <c r="F672" i="4" a="1"/>
  <c r="F672" i="4" s="1"/>
  <c r="F671" i="4" a="1"/>
  <c r="F671" i="4" s="1"/>
  <c r="F670" i="4" a="1"/>
  <c r="F670" i="4" s="1"/>
  <c r="F669" i="4" a="1"/>
  <c r="F669" i="4" s="1"/>
  <c r="F668" i="4" a="1"/>
  <c r="F668" i="4" s="1"/>
  <c r="F667" i="4" a="1"/>
  <c r="F667" i="4" s="1"/>
  <c r="F666" i="4" a="1"/>
  <c r="F666" i="4" s="1"/>
  <c r="F665" i="4" a="1"/>
  <c r="F665" i="4" s="1"/>
  <c r="F664" i="4" a="1"/>
  <c r="F664" i="4" s="1"/>
  <c r="F663" i="4" a="1"/>
  <c r="F663" i="4" s="1"/>
  <c r="F662" i="4" a="1"/>
  <c r="F662" i="4" s="1"/>
  <c r="F661" i="4" a="1"/>
  <c r="F661" i="4" s="1"/>
  <c r="F660" i="4" a="1"/>
  <c r="F660" i="4" s="1"/>
  <c r="F659" i="4" a="1"/>
  <c r="F659" i="4" s="1"/>
  <c r="F658" i="4" a="1"/>
  <c r="F658" i="4" s="1"/>
  <c r="F657" i="4" a="1"/>
  <c r="F657" i="4" s="1"/>
  <c r="F656" i="4" a="1"/>
  <c r="F656" i="4" s="1"/>
  <c r="F655" i="4" a="1"/>
  <c r="F655" i="4" s="1"/>
  <c r="F654" i="4" a="1"/>
  <c r="F654" i="4" s="1"/>
  <c r="F653" i="4" a="1"/>
  <c r="F653" i="4" s="1"/>
  <c r="F652" i="4" a="1"/>
  <c r="F652" i="4" s="1"/>
  <c r="F651" i="4" a="1"/>
  <c r="F651" i="4" s="1"/>
  <c r="F650" i="4" a="1"/>
  <c r="F650" i="4" s="1"/>
  <c r="F649" i="4" a="1"/>
  <c r="F649" i="4" s="1"/>
  <c r="F648" i="4" a="1"/>
  <c r="F648" i="4" s="1"/>
  <c r="F647" i="4" a="1"/>
  <c r="F647" i="4" s="1"/>
  <c r="F646" i="4" a="1"/>
  <c r="F646" i="4" s="1"/>
  <c r="F645" i="4" a="1"/>
  <c r="F645" i="4" s="1"/>
  <c r="F600" i="4" a="1"/>
  <c r="F600" i="4" s="1"/>
  <c r="F599" i="4" a="1"/>
  <c r="F599" i="4" s="1"/>
  <c r="F598" i="4" a="1"/>
  <c r="F598" i="4" s="1"/>
  <c r="F597" i="4" a="1"/>
  <c r="F597" i="4" s="1"/>
  <c r="F596" i="4" a="1"/>
  <c r="F596" i="4" s="1"/>
  <c r="F595" i="4" a="1"/>
  <c r="F595" i="4" s="1"/>
  <c r="F594" i="4" a="1"/>
  <c r="F594" i="4" s="1"/>
  <c r="F593" i="4" a="1"/>
  <c r="F593" i="4" s="1"/>
  <c r="F592" i="4" a="1"/>
  <c r="F592" i="4" s="1"/>
  <c r="F591" i="4" a="1"/>
  <c r="F591" i="4" s="1"/>
  <c r="F590" i="4" a="1"/>
  <c r="F590" i="4" s="1"/>
  <c r="F589" i="4" a="1"/>
  <c r="F589" i="4" s="1"/>
  <c r="F588" i="4" a="1"/>
  <c r="F588" i="4" s="1"/>
  <c r="F587" i="4" a="1"/>
  <c r="F587" i="4" s="1"/>
  <c r="F586" i="4" a="1"/>
  <c r="F586" i="4" s="1"/>
  <c r="F585" i="4" a="1"/>
  <c r="F585" i="4" s="1"/>
  <c r="F584" i="4" a="1"/>
  <c r="F584" i="4" s="1"/>
  <c r="F583" i="4" a="1"/>
  <c r="F583" i="4" s="1"/>
  <c r="F582" i="4" a="1"/>
  <c r="F582" i="4" s="1"/>
  <c r="F581" i="4" a="1"/>
  <c r="F581" i="4" s="1"/>
  <c r="F580" i="4" a="1"/>
  <c r="F580" i="4" s="1"/>
  <c r="F579" i="4" a="1"/>
  <c r="F579" i="4" s="1"/>
  <c r="F578" i="4" a="1"/>
  <c r="F578" i="4" s="1"/>
  <c r="F577" i="4" a="1"/>
  <c r="F577" i="4" s="1"/>
  <c r="F576" i="4" a="1"/>
  <c r="F576" i="4" s="1"/>
  <c r="F575" i="4" a="1"/>
  <c r="F575" i="4" s="1"/>
  <c r="F574" i="4" a="1"/>
  <c r="F574" i="4" s="1"/>
  <c r="F573" i="4" a="1"/>
  <c r="F573" i="4" s="1"/>
  <c r="F572" i="4" a="1"/>
  <c r="F572" i="4" s="1"/>
  <c r="F571" i="4" a="1"/>
  <c r="F571" i="4" s="1"/>
  <c r="F570" i="4" a="1"/>
  <c r="F570" i="4" s="1"/>
  <c r="F569" i="4" a="1"/>
  <c r="F569" i="4" s="1"/>
  <c r="F568" i="4" a="1"/>
  <c r="F568" i="4" s="1"/>
  <c r="F567" i="4" a="1"/>
  <c r="F567" i="4" s="1"/>
  <c r="F566" i="4" a="1"/>
  <c r="F566" i="4" s="1"/>
  <c r="F565" i="4" a="1"/>
  <c r="F565" i="4" s="1"/>
  <c r="F564" i="4" a="1"/>
  <c r="F564" i="4" s="1"/>
  <c r="F563" i="4" a="1"/>
  <c r="F563" i="4" s="1"/>
  <c r="F562" i="4" a="1"/>
  <c r="F562" i="4" s="1"/>
  <c r="F561" i="4" a="1"/>
  <c r="F561" i="4" s="1"/>
  <c r="F560" i="4" a="1"/>
  <c r="F560" i="4" s="1"/>
  <c r="F559" i="4" a="1"/>
  <c r="F559" i="4" s="1"/>
  <c r="F558" i="4" a="1"/>
  <c r="F558" i="4" s="1"/>
  <c r="F557" i="4" a="1"/>
  <c r="F557" i="4" s="1"/>
  <c r="F556" i="4" a="1"/>
  <c r="F556" i="4" s="1"/>
  <c r="F555" i="4" a="1"/>
  <c r="F555" i="4" s="1"/>
  <c r="F554" i="4" a="1"/>
  <c r="F554" i="4" s="1"/>
  <c r="F553" i="4" a="1"/>
  <c r="F553" i="4" s="1"/>
  <c r="F552" i="4" a="1"/>
  <c r="F552" i="4" s="1"/>
  <c r="F551" i="4" a="1"/>
  <c r="F551" i="4" s="1"/>
  <c r="F550" i="4" a="1"/>
  <c r="F550" i="4" s="1"/>
  <c r="F549" i="4" a="1"/>
  <c r="F549" i="4" s="1"/>
  <c r="F548" i="4" a="1"/>
  <c r="F548" i="4" s="1"/>
  <c r="F547" i="4" a="1"/>
  <c r="F547" i="4" s="1"/>
  <c r="F546" i="4" a="1"/>
  <c r="F546" i="4" s="1"/>
  <c r="F545" i="4" a="1"/>
  <c r="F545" i="4" s="1"/>
  <c r="F544" i="4" a="1"/>
  <c r="F544" i="4" s="1"/>
  <c r="F543" i="4" a="1"/>
  <c r="F543" i="4" s="1"/>
  <c r="F542" i="4" a="1"/>
  <c r="F542" i="4" s="1"/>
  <c r="F541" i="4" a="1"/>
  <c r="F541" i="4" s="1"/>
  <c r="F540" i="4" a="1"/>
  <c r="F540" i="4" s="1"/>
  <c r="F539" i="4" a="1"/>
  <c r="F539" i="4" s="1"/>
  <c r="F538" i="4" a="1"/>
  <c r="F538" i="4" s="1"/>
  <c r="F537" i="4" a="1"/>
  <c r="F537" i="4" s="1"/>
  <c r="F536" i="4" a="1"/>
  <c r="F536" i="4" s="1"/>
  <c r="F535" i="4" a="1"/>
  <c r="F535" i="4" s="1"/>
  <c r="F534" i="4" a="1"/>
  <c r="F534" i="4" s="1"/>
  <c r="F533" i="4" a="1"/>
  <c r="F533" i="4" s="1"/>
  <c r="F532" i="4" a="1"/>
  <c r="F532" i="4" s="1"/>
  <c r="F531" i="4" a="1"/>
  <c r="F531" i="4" s="1"/>
  <c r="F530" i="4" a="1"/>
  <c r="F530" i="4" s="1"/>
  <c r="F529" i="4" a="1"/>
  <c r="F529" i="4" s="1"/>
  <c r="F528" i="4" a="1"/>
  <c r="F528" i="4" s="1"/>
  <c r="F527" i="4" a="1"/>
  <c r="F527" i="4" s="1"/>
  <c r="F526" i="4" a="1"/>
  <c r="F526" i="4" s="1"/>
  <c r="F525" i="4" a="1"/>
  <c r="F525" i="4" s="1"/>
  <c r="F524" i="4" a="1"/>
  <c r="F524" i="4" s="1"/>
  <c r="F523" i="4" a="1"/>
  <c r="F523" i="4" s="1"/>
  <c r="F522" i="4" a="1"/>
  <c r="F522" i="4" s="1"/>
  <c r="F521" i="4" a="1"/>
  <c r="F521" i="4" s="1"/>
  <c r="F519" i="4" a="1"/>
  <c r="F519" i="4" s="1"/>
  <c r="F518" i="4" a="1"/>
  <c r="F518" i="4" s="1"/>
  <c r="F517" i="4" a="1"/>
  <c r="F517" i="4" s="1"/>
  <c r="F516" i="4" a="1"/>
  <c r="F516" i="4" s="1"/>
  <c r="F515" i="4" a="1"/>
  <c r="F515" i="4" s="1"/>
  <c r="F514" i="4" a="1"/>
  <c r="F514" i="4" s="1"/>
  <c r="F513" i="4" a="1"/>
  <c r="F513" i="4" s="1"/>
  <c r="F512" i="4" a="1"/>
  <c r="F512" i="4" s="1"/>
  <c r="F511" i="4" a="1"/>
  <c r="F511" i="4" s="1"/>
  <c r="F510" i="4" a="1"/>
  <c r="F510" i="4" s="1"/>
  <c r="F509" i="4" a="1"/>
  <c r="F509" i="4" s="1"/>
  <c r="F508" i="4" a="1"/>
  <c r="F508" i="4" s="1"/>
  <c r="F507" i="4" a="1"/>
  <c r="F507" i="4" s="1"/>
  <c r="F506" i="4" a="1"/>
  <c r="F506" i="4" s="1"/>
  <c r="F505" i="4" a="1"/>
  <c r="F505" i="4" s="1"/>
  <c r="F504" i="4" a="1"/>
  <c r="F504" i="4" s="1"/>
  <c r="F503" i="4" a="1"/>
  <c r="F503" i="4" s="1"/>
  <c r="F502" i="4" a="1"/>
  <c r="F502" i="4" s="1"/>
  <c r="F501" i="4" a="1"/>
  <c r="F501" i="4" s="1"/>
  <c r="F500" i="4" a="1"/>
  <c r="F500" i="4" s="1"/>
  <c r="F499" i="4" a="1"/>
  <c r="F499" i="4" s="1"/>
  <c r="F498" i="4" a="1"/>
  <c r="F498" i="4" s="1"/>
  <c r="F497" i="4" a="1"/>
  <c r="F497" i="4" s="1"/>
  <c r="F496" i="4" a="1"/>
  <c r="F496" i="4" s="1"/>
  <c r="F495" i="4" a="1"/>
  <c r="F495" i="4" s="1"/>
  <c r="F494" i="4" a="1"/>
  <c r="F494" i="4" s="1"/>
  <c r="F493" i="4" a="1"/>
  <c r="F493" i="4" s="1"/>
  <c r="F492" i="4" a="1"/>
  <c r="F492" i="4" s="1"/>
  <c r="F491" i="4" a="1"/>
  <c r="F491" i="4" s="1"/>
  <c r="F490" i="4" a="1"/>
  <c r="F490" i="4" s="1"/>
  <c r="F489" i="4" a="1"/>
  <c r="F489" i="4" s="1"/>
  <c r="F486" i="4" a="1"/>
  <c r="F486" i="4" s="1"/>
  <c r="F485" i="4" a="1"/>
  <c r="F485" i="4" s="1"/>
  <c r="F484" i="4" a="1"/>
  <c r="F484" i="4" s="1"/>
  <c r="F483" i="4" a="1"/>
  <c r="F483" i="4" s="1"/>
  <c r="F482" i="4" a="1"/>
  <c r="F482" i="4" s="1"/>
  <c r="F481" i="4" a="1"/>
  <c r="F481" i="4" s="1"/>
  <c r="F480" i="4" a="1"/>
  <c r="F480" i="4" s="1"/>
  <c r="F479" i="4" a="1"/>
  <c r="F479" i="4" s="1"/>
  <c r="F478" i="4" a="1"/>
  <c r="F478" i="4" s="1"/>
  <c r="F476" i="4" a="1"/>
  <c r="F476" i="4" s="1"/>
  <c r="F475" i="4" a="1"/>
  <c r="F475" i="4" s="1"/>
  <c r="F474" i="4" a="1"/>
  <c r="F474" i="4" s="1"/>
  <c r="F473" i="4" a="1"/>
  <c r="F473" i="4" s="1"/>
  <c r="F472" i="4" a="1"/>
  <c r="F472" i="4" s="1"/>
  <c r="F471" i="4" a="1"/>
  <c r="F471" i="4" s="1"/>
  <c r="F470" i="4" a="1"/>
  <c r="F470" i="4" s="1"/>
  <c r="F469" i="4" a="1"/>
  <c r="F469" i="4" s="1"/>
  <c r="F468" i="4" a="1"/>
  <c r="F468" i="4" s="1"/>
  <c r="F467" i="4" a="1"/>
  <c r="F467" i="4" s="1"/>
  <c r="F466" i="4" a="1"/>
  <c r="F466" i="4" s="1"/>
  <c r="F465" i="4" a="1"/>
  <c r="F465" i="4" s="1"/>
  <c r="F464" i="4" a="1"/>
  <c r="F464" i="4" s="1"/>
  <c r="F463" i="4" a="1"/>
  <c r="F463" i="4" s="1"/>
  <c r="F462" i="4" a="1"/>
  <c r="F462" i="4" s="1"/>
  <c r="F461" i="4" a="1"/>
  <c r="F461" i="4" s="1"/>
  <c r="F460" i="4" a="1"/>
  <c r="F460" i="4" s="1"/>
  <c r="F459" i="4" a="1"/>
  <c r="F459" i="4" s="1"/>
  <c r="F458" i="4" a="1"/>
  <c r="F458" i="4" s="1"/>
  <c r="F457" i="4" a="1"/>
  <c r="F457" i="4" s="1"/>
  <c r="F456" i="4" a="1"/>
  <c r="F456" i="4" s="1"/>
  <c r="F455" i="4" a="1"/>
  <c r="F455" i="4" s="1"/>
  <c r="F454" i="4" a="1"/>
  <c r="F454" i="4" s="1"/>
  <c r="F453" i="4" a="1"/>
  <c r="F453" i="4" s="1"/>
  <c r="F452" i="4" a="1"/>
  <c r="F452" i="4" s="1"/>
  <c r="F451" i="4" a="1"/>
  <c r="F451" i="4" s="1"/>
  <c r="F450" i="4" a="1"/>
  <c r="F450" i="4" s="1"/>
  <c r="F415" i="4" a="1"/>
  <c r="F415" i="4" s="1"/>
  <c r="F414" i="4" a="1"/>
  <c r="F414" i="4" s="1"/>
  <c r="F413" i="4" a="1"/>
  <c r="F413" i="4" s="1"/>
  <c r="F412" i="4" a="1"/>
  <c r="F412" i="4" s="1"/>
  <c r="F411" i="4" a="1"/>
  <c r="F411" i="4" s="1"/>
  <c r="F407" i="4" a="1"/>
  <c r="F407" i="4" s="1"/>
  <c r="F406" i="4" a="1"/>
  <c r="F406" i="4" s="1"/>
  <c r="F405" i="4" a="1"/>
  <c r="F405" i="4" s="1"/>
  <c r="F404" i="4" a="1"/>
  <c r="F404" i="4" s="1"/>
  <c r="F403" i="4" a="1"/>
  <c r="F403" i="4" s="1"/>
  <c r="F402" i="4" a="1"/>
  <c r="F402" i="4" s="1"/>
  <c r="F401" i="4" a="1"/>
  <c r="F401" i="4" s="1"/>
  <c r="F400" i="4" a="1"/>
  <c r="F400" i="4" s="1"/>
  <c r="F399" i="4" a="1"/>
  <c r="F399" i="4" s="1"/>
  <c r="F398" i="4" a="1"/>
  <c r="F398" i="4" s="1"/>
  <c r="F397" i="4" a="1"/>
  <c r="F397" i="4" s="1"/>
  <c r="F396" i="4" a="1"/>
  <c r="F396" i="4" s="1"/>
  <c r="F395" i="4" a="1"/>
  <c r="F395" i="4" s="1"/>
  <c r="F394" i="4" a="1"/>
  <c r="F394" i="4" s="1"/>
  <c r="F393" i="4" a="1"/>
  <c r="F393" i="4" s="1"/>
  <c r="F392" i="4" a="1"/>
  <c r="F392" i="4" s="1"/>
  <c r="F391" i="4" a="1"/>
  <c r="F391" i="4" s="1"/>
  <c r="F390" i="4" a="1"/>
  <c r="F390" i="4" s="1"/>
  <c r="F389" i="4" a="1"/>
  <c r="F389" i="4" s="1"/>
  <c r="F388" i="4" a="1"/>
  <c r="F388" i="4" s="1"/>
  <c r="F387" i="4" a="1"/>
  <c r="F387" i="4" s="1"/>
  <c r="F386" i="4" a="1"/>
  <c r="F386" i="4" s="1"/>
  <c r="F385" i="4" a="1"/>
  <c r="F385" i="4" s="1"/>
  <c r="F384" i="4" a="1"/>
  <c r="F384" i="4" s="1"/>
  <c r="F383" i="4" a="1"/>
  <c r="F383" i="4" s="1"/>
  <c r="F382" i="4" a="1"/>
  <c r="F382" i="4" s="1"/>
  <c r="F381" i="4" a="1"/>
  <c r="F381" i="4" s="1"/>
  <c r="F380" i="4" a="1"/>
  <c r="F380" i="4" s="1"/>
  <c r="F379" i="4" a="1"/>
  <c r="F379" i="4" s="1"/>
  <c r="F378" i="4" a="1"/>
  <c r="F378" i="4" s="1"/>
  <c r="F377" i="4" a="1"/>
  <c r="F377" i="4" s="1"/>
  <c r="F370" i="4" a="1"/>
  <c r="F370" i="4" s="1"/>
  <c r="F369" i="4" a="1"/>
  <c r="F369" i="4" s="1"/>
  <c r="F368" i="4" a="1"/>
  <c r="F368" i="4" s="1"/>
  <c r="F367" i="4" a="1"/>
  <c r="F367" i="4" s="1"/>
  <c r="F366" i="4" a="1"/>
  <c r="F366" i="4" s="1"/>
  <c r="F365" i="4" a="1"/>
  <c r="F365" i="4" s="1"/>
  <c r="F363" i="4" a="1"/>
  <c r="F363" i="4" s="1"/>
  <c r="F362" i="4" a="1"/>
  <c r="F362" i="4" s="1"/>
  <c r="F361" i="4" a="1"/>
  <c r="F361" i="4" s="1"/>
  <c r="F360" i="4" a="1"/>
  <c r="F360" i="4" s="1"/>
  <c r="F359" i="4" a="1"/>
  <c r="F359" i="4" s="1"/>
  <c r="F358" i="4" a="1"/>
  <c r="F358" i="4" s="1"/>
  <c r="F357" i="4" a="1"/>
  <c r="F357" i="4" s="1"/>
  <c r="F356" i="4" a="1"/>
  <c r="F356" i="4" s="1"/>
  <c r="F355" i="4" a="1"/>
  <c r="F355" i="4" s="1"/>
  <c r="F354" i="4" a="1"/>
  <c r="F354" i="4" s="1"/>
  <c r="F353" i="4" a="1"/>
  <c r="F353" i="4" s="1"/>
  <c r="F352" i="4" a="1"/>
  <c r="F352" i="4" s="1"/>
  <c r="F351" i="4" a="1"/>
  <c r="F351" i="4" s="1"/>
  <c r="F350" i="4" a="1"/>
  <c r="F350" i="4" s="1"/>
  <c r="F349" i="4" a="1"/>
  <c r="F349" i="4" s="1"/>
  <c r="F348" i="4" a="1"/>
  <c r="F348" i="4" s="1"/>
  <c r="F347" i="4" a="1"/>
  <c r="F347" i="4" s="1"/>
  <c r="F320" i="4" a="1"/>
  <c r="F320" i="4" s="1"/>
  <c r="F319" i="4" a="1"/>
  <c r="F319" i="4" s="1"/>
  <c r="F318" i="4" a="1"/>
  <c r="F318" i="4" s="1"/>
  <c r="F317" i="4" a="1"/>
  <c r="F317" i="4" s="1"/>
  <c r="F316" i="4" a="1"/>
  <c r="F316" i="4" s="1"/>
  <c r="F315" i="4" a="1"/>
  <c r="F315" i="4" s="1"/>
  <c r="F314" i="4" a="1"/>
  <c r="F314" i="4" s="1"/>
  <c r="F313" i="4" a="1"/>
  <c r="F313" i="4" s="1"/>
  <c r="F312" i="4" a="1"/>
  <c r="F312" i="4" s="1"/>
  <c r="F310" i="4" a="1"/>
  <c r="F310" i="4" s="1"/>
  <c r="F309" i="4" a="1"/>
  <c r="F309" i="4" s="1"/>
  <c r="F308" i="4" a="1"/>
  <c r="F308" i="4" s="1"/>
  <c r="F307" i="4" a="1"/>
  <c r="F307" i="4" s="1"/>
  <c r="F306" i="4" a="1"/>
  <c r="F306" i="4" s="1"/>
  <c r="F305" i="4" a="1"/>
  <c r="F305" i="4" s="1"/>
  <c r="F304" i="4" a="1"/>
  <c r="F304" i="4" s="1"/>
  <c r="F303" i="4" a="1"/>
  <c r="F303" i="4" s="1"/>
  <c r="F302" i="4" a="1"/>
  <c r="F302" i="4" s="1"/>
  <c r="F301" i="4" a="1"/>
  <c r="F301" i="4" s="1"/>
  <c r="F300" i="4" a="1"/>
  <c r="F300" i="4" s="1"/>
  <c r="F299" i="4" a="1"/>
  <c r="F299" i="4" s="1"/>
  <c r="F298" i="4" a="1"/>
  <c r="F298" i="4" s="1"/>
  <c r="F297" i="4" a="1"/>
  <c r="F297" i="4" s="1"/>
  <c r="F296" i="4" a="1"/>
  <c r="F296" i="4" s="1"/>
  <c r="F295" i="4" a="1"/>
  <c r="F295" i="4" s="1"/>
  <c r="F294" i="4" a="1"/>
  <c r="F294" i="4" s="1"/>
  <c r="F293" i="4" a="1"/>
  <c r="F293" i="4" s="1"/>
  <c r="F292" i="4" a="1"/>
  <c r="F292" i="4" s="1"/>
  <c r="F291" i="4" a="1"/>
  <c r="F291" i="4" s="1"/>
  <c r="F290" i="4" a="1"/>
  <c r="F290" i="4" s="1"/>
  <c r="F289" i="4" a="1"/>
  <c r="F289" i="4" s="1"/>
  <c r="F286" i="4" a="1"/>
  <c r="F286" i="4" s="1"/>
  <c r="F285" i="4" a="1"/>
  <c r="F285" i="4" s="1"/>
  <c r="F284" i="4" a="1"/>
  <c r="F284" i="4" s="1"/>
  <c r="F283" i="4" a="1"/>
  <c r="F283" i="4" s="1"/>
  <c r="F282" i="4" a="1"/>
  <c r="F282" i="4" s="1"/>
  <c r="F281" i="4" a="1"/>
  <c r="F281" i="4" s="1"/>
  <c r="F280" i="4" a="1"/>
  <c r="F280" i="4" s="1"/>
  <c r="F279" i="4" a="1"/>
  <c r="F279" i="4" s="1"/>
  <c r="F278" i="4" a="1"/>
  <c r="F278" i="4" s="1"/>
  <c r="F277" i="4" a="1"/>
  <c r="F277" i="4" s="1"/>
  <c r="F276" i="4" a="1"/>
  <c r="F276" i="4" s="1"/>
  <c r="F275" i="4" a="1"/>
  <c r="F275" i="4" s="1"/>
  <c r="F274" i="4" a="1"/>
  <c r="F274" i="4" s="1"/>
  <c r="F273" i="4" a="1"/>
  <c r="F273" i="4" s="1"/>
  <c r="F272" i="4" a="1"/>
  <c r="F272" i="4" s="1"/>
  <c r="F271" i="4" a="1"/>
  <c r="F271" i="4" s="1"/>
  <c r="F270" i="4" a="1"/>
  <c r="F270" i="4" s="1"/>
  <c r="F269" i="4" a="1"/>
  <c r="F269" i="4" s="1"/>
  <c r="F268" i="4" a="1"/>
  <c r="F268" i="4" s="1"/>
  <c r="F267" i="4" a="1"/>
  <c r="F267" i="4" s="1"/>
  <c r="F266" i="4" a="1"/>
  <c r="F266" i="4" s="1"/>
  <c r="F265" i="4" a="1"/>
  <c r="F265" i="4" s="1"/>
  <c r="F263" i="4" a="1"/>
  <c r="F263" i="4" s="1"/>
  <c r="F262" i="4" a="1"/>
  <c r="F262" i="4" s="1"/>
  <c r="F261" i="4" a="1"/>
  <c r="F261" i="4" s="1"/>
  <c r="F260" i="4" a="1"/>
  <c r="F260" i="4" s="1"/>
  <c r="F259" i="4" a="1"/>
  <c r="F259" i="4" s="1"/>
  <c r="F258" i="4" a="1"/>
  <c r="F258" i="4" s="1"/>
  <c r="F257" i="4" a="1"/>
  <c r="F257" i="4" s="1"/>
  <c r="F256" i="4" a="1"/>
  <c r="F256" i="4" s="1"/>
  <c r="F255" i="4" a="1"/>
  <c r="F255" i="4" s="1"/>
  <c r="F254" i="4" a="1"/>
  <c r="F254" i="4" s="1"/>
  <c r="F253" i="4" a="1"/>
  <c r="F253" i="4" s="1"/>
  <c r="F252" i="4" a="1"/>
  <c r="F252" i="4" s="1"/>
  <c r="F251" i="4" a="1"/>
  <c r="F251" i="4" s="1"/>
  <c r="F250" i="4" a="1"/>
  <c r="F250" i="4" s="1"/>
  <c r="F249" i="4" a="1"/>
  <c r="F249" i="4" s="1"/>
  <c r="F248" i="4" a="1"/>
  <c r="F248" i="4" s="1"/>
  <c r="F247" i="4" a="1"/>
  <c r="F247" i="4" s="1"/>
  <c r="F246" i="4" a="1"/>
  <c r="F246" i="4" s="1"/>
  <c r="F245" i="4" a="1"/>
  <c r="F245" i="4" s="1"/>
  <c r="F244" i="4" a="1"/>
  <c r="F244" i="4" s="1"/>
  <c r="F243" i="4" a="1"/>
  <c r="F243" i="4" s="1"/>
  <c r="F242" i="4" a="1"/>
  <c r="F242" i="4" s="1"/>
  <c r="F241" i="4" a="1"/>
  <c r="F241" i="4" s="1"/>
  <c r="F240" i="4" a="1"/>
  <c r="F240" i="4" s="1"/>
  <c r="F239" i="4" a="1"/>
  <c r="F239" i="4" s="1"/>
  <c r="F238" i="4" a="1"/>
  <c r="F238" i="4" s="1"/>
  <c r="F237" i="4" a="1"/>
  <c r="F237" i="4" s="1"/>
  <c r="F236" i="4" a="1"/>
  <c r="F236" i="4" s="1"/>
  <c r="F235" i="4" a="1"/>
  <c r="F235" i="4" s="1"/>
  <c r="F234" i="4" a="1"/>
  <c r="F234" i="4" s="1"/>
  <c r="F233" i="4" a="1"/>
  <c r="F233" i="4" s="1"/>
  <c r="F232" i="4" a="1"/>
  <c r="F232" i="4" s="1"/>
  <c r="F231" i="4" a="1"/>
  <c r="F231" i="4" s="1"/>
  <c r="F230" i="4" a="1"/>
  <c r="F230" i="4" s="1"/>
  <c r="F229" i="4" a="1"/>
  <c r="F229" i="4" s="1"/>
  <c r="F228" i="4" a="1"/>
  <c r="F228" i="4" s="1"/>
  <c r="F227" i="4" a="1"/>
  <c r="F227" i="4" s="1"/>
  <c r="F226" i="4" a="1"/>
  <c r="F226" i="4" s="1"/>
  <c r="F225" i="4" a="1"/>
  <c r="F225" i="4" s="1"/>
  <c r="F224" i="4" a="1"/>
  <c r="F224" i="4" s="1"/>
  <c r="F223" i="4" a="1"/>
  <c r="F223" i="4" s="1"/>
  <c r="F221" i="4" a="1"/>
  <c r="F221" i="4" s="1"/>
  <c r="F214" i="4" a="1"/>
  <c r="F214" i="4" s="1"/>
  <c r="F213" i="4" a="1"/>
  <c r="F213" i="4" s="1"/>
  <c r="F212" i="4" a="1"/>
  <c r="F212" i="4" s="1"/>
  <c r="F211" i="4" a="1"/>
  <c r="F211" i="4" s="1"/>
  <c r="F210" i="4" a="1"/>
  <c r="F210" i="4" s="1"/>
  <c r="F209" i="4" a="1"/>
  <c r="F209" i="4" s="1"/>
  <c r="F208" i="4" a="1"/>
  <c r="F208" i="4" s="1"/>
  <c r="F207" i="4" a="1"/>
  <c r="F207" i="4" s="1"/>
  <c r="F206" i="4" a="1"/>
  <c r="F206" i="4" s="1"/>
  <c r="F205" i="4" a="1"/>
  <c r="F205" i="4" s="1"/>
  <c r="F204" i="4" a="1"/>
  <c r="F204" i="4" s="1"/>
  <c r="F203" i="4" a="1"/>
  <c r="F203" i="4" s="1"/>
  <c r="F202" i="4" a="1"/>
  <c r="F202" i="4" s="1"/>
  <c r="F201" i="4" a="1"/>
  <c r="F201" i="4" s="1"/>
  <c r="F200" i="4" a="1"/>
  <c r="F200" i="4" s="1"/>
  <c r="F199" i="4" a="1"/>
  <c r="F199" i="4" s="1"/>
  <c r="F198" i="4" a="1"/>
  <c r="F198" i="4" s="1"/>
  <c r="F197" i="4" a="1"/>
  <c r="F197" i="4" s="1"/>
  <c r="F196" i="4" a="1"/>
  <c r="F196" i="4" s="1"/>
  <c r="F195" i="4" a="1"/>
  <c r="F195" i="4" s="1"/>
  <c r="F194" i="4" a="1"/>
  <c r="F194" i="4" s="1"/>
  <c r="F193" i="4" a="1"/>
  <c r="F193" i="4" s="1"/>
  <c r="F192" i="4" a="1"/>
  <c r="F192" i="4" s="1"/>
  <c r="F191" i="4" a="1"/>
  <c r="F191" i="4" s="1"/>
  <c r="F190" i="4" a="1"/>
  <c r="F190" i="4" s="1"/>
  <c r="F189" i="4" a="1"/>
  <c r="F189" i="4" s="1"/>
  <c r="F188" i="4" a="1"/>
  <c r="F188" i="4" s="1"/>
  <c r="F187" i="4" a="1"/>
  <c r="F187" i="4" s="1"/>
  <c r="F186" i="4" a="1"/>
  <c r="F186" i="4" s="1"/>
  <c r="F184" i="4" a="1"/>
  <c r="F184" i="4" s="1"/>
  <c r="F169" i="4" a="1"/>
  <c r="F169" i="4" s="1"/>
  <c r="F147" i="4" a="1"/>
  <c r="F147" i="4" s="1"/>
  <c r="F146" i="4" a="1"/>
  <c r="F146" i="4" s="1"/>
  <c r="F145" i="4" a="1"/>
  <c r="F145" i="4" s="1"/>
  <c r="F139" i="4" a="1"/>
  <c r="F139" i="4" s="1"/>
  <c r="F138" i="4" a="1"/>
  <c r="F138" i="4" s="1"/>
  <c r="F137" i="4" a="1"/>
  <c r="F137" i="4" s="1"/>
  <c r="F136" i="4" a="1"/>
  <c r="F136" i="4" s="1"/>
  <c r="F135" i="4" a="1"/>
  <c r="F135" i="4" s="1"/>
  <c r="F134" i="4" a="1"/>
  <c r="F134" i="4" s="1"/>
  <c r="F133" i="4" a="1"/>
  <c r="F133" i="4" s="1"/>
  <c r="F132" i="4" a="1"/>
  <c r="F132" i="4" s="1"/>
  <c r="F131" i="4" a="1"/>
  <c r="F131" i="4" s="1"/>
  <c r="F130" i="4" a="1"/>
  <c r="F130" i="4" s="1"/>
  <c r="F129" i="4" a="1"/>
  <c r="F129" i="4" s="1"/>
  <c r="F128" i="4" a="1"/>
  <c r="F128" i="4" s="1"/>
  <c r="F127" i="4" a="1"/>
  <c r="F127" i="4" s="1"/>
  <c r="F126" i="4" a="1"/>
  <c r="F126" i="4" s="1"/>
  <c r="F125" i="4" a="1"/>
  <c r="F125" i="4" s="1"/>
  <c r="F124" i="4" a="1"/>
  <c r="F124" i="4" s="1"/>
  <c r="F123" i="4" a="1"/>
  <c r="F123" i="4" s="1"/>
  <c r="F122" i="4" a="1"/>
  <c r="F122" i="4" s="1"/>
  <c r="F121" i="4" a="1"/>
  <c r="F121" i="4" s="1"/>
  <c r="F120" i="4" a="1"/>
  <c r="F120" i="4" s="1"/>
  <c r="F119" i="4" a="1"/>
  <c r="F119" i="4" s="1"/>
  <c r="F118" i="4" a="1"/>
  <c r="F118" i="4" s="1"/>
  <c r="F117" i="4" a="1"/>
  <c r="F117" i="4" s="1"/>
  <c r="F116" i="4" a="1"/>
  <c r="F116" i="4" s="1"/>
  <c r="F115" i="4" a="1"/>
  <c r="F115" i="4" s="1"/>
  <c r="F114" i="4" a="1"/>
  <c r="F114" i="4" s="1"/>
  <c r="F113" i="4" a="1"/>
  <c r="F113" i="4" s="1"/>
  <c r="F112" i="4" a="1"/>
  <c r="F112" i="4" s="1"/>
  <c r="F111" i="4" a="1"/>
  <c r="F111" i="4" s="1"/>
  <c r="F106" i="4" a="1"/>
  <c r="F106" i="4" s="1"/>
  <c r="F105" i="4" a="1"/>
  <c r="F105" i="4" s="1"/>
  <c r="F104" i="4" a="1"/>
  <c r="F104" i="4" s="1"/>
  <c r="F103" i="4" a="1"/>
  <c r="F103" i="4" s="1"/>
  <c r="F102" i="4" a="1"/>
  <c r="F102" i="4" s="1"/>
  <c r="F101" i="4" a="1"/>
  <c r="F101" i="4" s="1"/>
  <c r="F100" i="4" a="1"/>
  <c r="F100" i="4" s="1"/>
  <c r="F99" i="4" a="1"/>
  <c r="F99" i="4" s="1"/>
  <c r="F98" i="4" a="1"/>
  <c r="F98" i="4" s="1"/>
  <c r="F97" i="4" a="1"/>
  <c r="F97" i="4" s="1"/>
  <c r="F96" i="4" a="1"/>
  <c r="F96" i="4" s="1"/>
  <c r="F95" i="4" a="1"/>
  <c r="F95" i="4" s="1"/>
  <c r="F94" i="4" a="1"/>
  <c r="F94" i="4" s="1"/>
  <c r="F93" i="4" a="1"/>
  <c r="F93" i="4" s="1"/>
  <c r="F92" i="4" a="1"/>
  <c r="F92" i="4" s="1"/>
  <c r="F91" i="4" a="1"/>
  <c r="F91" i="4" s="1"/>
  <c r="F90" i="4" a="1"/>
  <c r="F90" i="4" s="1"/>
  <c r="F88" i="4" a="1"/>
  <c r="F88" i="4" s="1"/>
  <c r="F87" i="4" a="1"/>
  <c r="F87" i="4" s="1"/>
  <c r="F86" i="4" a="1"/>
  <c r="F86" i="4" s="1"/>
  <c r="F85" i="4" a="1"/>
  <c r="F85" i="4" s="1"/>
  <c r="F84" i="4" a="1"/>
  <c r="F84" i="4" s="1"/>
  <c r="F83" i="4" a="1"/>
  <c r="F83" i="4" s="1"/>
  <c r="F82" i="4" a="1"/>
  <c r="F82" i="4" s="1"/>
  <c r="F81" i="4" a="1"/>
  <c r="F81" i="4" s="1"/>
  <c r="F80" i="4" a="1"/>
  <c r="F80" i="4" s="1"/>
  <c r="F79" i="4" a="1"/>
  <c r="F79" i="4" s="1"/>
  <c r="F78" i="4" a="1"/>
  <c r="F78" i="4" s="1"/>
  <c r="F77" i="4" a="1"/>
  <c r="F77" i="4" s="1"/>
  <c r="F76" i="4" a="1"/>
  <c r="F76" i="4" s="1"/>
  <c r="F75" i="4" a="1"/>
  <c r="F75" i="4" s="1"/>
  <c r="F74" i="4" a="1"/>
  <c r="F74" i="4" s="1"/>
  <c r="F73" i="4" a="1"/>
  <c r="F73" i="4" s="1"/>
  <c r="AB184" i="4" l="1"/>
  <c r="AE184" i="4"/>
  <c r="AE752" i="4"/>
  <c r="AB752" i="4"/>
  <c r="AE756" i="4"/>
  <c r="AB756" i="4"/>
  <c r="AE717" i="4"/>
  <c r="AB717" i="4"/>
  <c r="AE757" i="4"/>
  <c r="AB757" i="4"/>
  <c r="AE5" i="4"/>
  <c r="AA203" i="4"/>
  <c r="AA692" i="4"/>
  <c r="AA212" i="4"/>
  <c r="AE212" i="4" l="1"/>
  <c r="AB212" i="4"/>
  <c r="AE692" i="4"/>
  <c r="AB692" i="4"/>
  <c r="AE203" i="4"/>
  <c r="AB20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u183027</author>
    <author>tc={1513C26E-9D83-469D-AEA1-E4117B724080}</author>
    <author>tc={F090AB76-8BCC-436E-977F-63FE5FA221CF}</author>
    <author>tc={27CD660F-7AB8-4FF8-B9C7-1C17D29D0740}</author>
    <author>tc={C9113B70-1A85-470D-AF7E-B266EAE42F3A}</author>
    <author>tc={27B27E12-6704-441A-BCD1-6EF3FB424810}</author>
    <author>tc={C4E48D58-8D58-40C0-ACCF-0E4C43F1AB5E}</author>
    <author>tc={0154BD79-A23C-4FA6-AA83-67162C3055F2}</author>
  </authors>
  <commentList>
    <comment ref="J29" authorId="0" shapeId="0" xr:uid="{D14323FF-E34A-4241-AF00-EB913271344D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A l'alçada del mapa li sumo l'alçada d'1 pis pq la trampa està a la terrassa del 1r pis. </t>
        </r>
      </text>
    </comment>
    <comment ref="J30" authorId="0" shapeId="0" xr:uid="{CA37D053-2583-4CA2-AE44-1AF47620DFA2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A l'alçada del mapa li sumo l'alçada d'1 pis pq la trampa està a la terrassa del 1r pis. </t>
        </r>
      </text>
    </comment>
    <comment ref="F107" authorId="1" shapeId="0" xr:uid="{1513C26E-9D83-469D-AEA1-E4117B7240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1r cop dades trampa - no formula</t>
      </text>
    </comment>
    <comment ref="P140" authorId="2" shapeId="0" xr:uid="{F090AB76-8BCC-436E-977F-63FE5FA221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 with John</t>
      </text>
    </comment>
    <comment ref="P142" authorId="3" shapeId="0" xr:uid="{27CD660F-7AB8-4FF8-B9C7-1C17D29D0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la dada - John</t>
      </text>
    </comment>
    <comment ref="P181" authorId="4" shapeId="0" xr:uid="{C9113B70-1A85-470D-AF7E-B266EAE42F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data - John
</t>
      </text>
    </comment>
    <comment ref="T252" authorId="5" shapeId="0" xr:uid="{27B27E12-6704-441A-BCD1-6EF3FB4248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hora aprox - no anotada</t>
      </text>
    </comment>
    <comment ref="T322" authorId="6" shapeId="0" xr:uid="{C4E48D58-8D58-40C0-ACCF-0E4C43F1AB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Hora no anotada - aprox</t>
      </text>
    </comment>
    <comment ref="T610" authorId="7" shapeId="0" xr:uid="{0154BD79-A23C-4FA6-AA83-67162C3055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Hora no anotada - aprox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<sst xmlns="http://schemas.openxmlformats.org/spreadsheetml/2006/main" count="5617" uniqueCount="210">
  <si>
    <t>TO BE COMPLETED BEFORE THE FIELD TRIP - information about the location</t>
  </si>
  <si>
    <t>TO BE COMPLETED IN THE FIELD</t>
  </si>
  <si>
    <t>TO BE COMPLETED IN THE LAB</t>
  </si>
  <si>
    <t>THE FIRST FIELD TRIP - information about the trap</t>
  </si>
  <si>
    <t>EVERY FIELD TRIP - information about the sample</t>
  </si>
  <si>
    <t>Location Name</t>
  </si>
  <si>
    <t>Country</t>
  </si>
  <si>
    <t>Admin. unit (e.g. District NUTS3)</t>
  </si>
  <si>
    <t>Place (e.g. town, village)</t>
  </si>
  <si>
    <t>postal code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</si>
  <si>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</si>
  <si>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</si>
  <si>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</si>
  <si>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</si>
  <si>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</si>
  <si>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</si>
  <si>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</si>
  <si>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</si>
  <si>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</si>
  <si>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</si>
  <si>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</si>
  <si>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</si>
  <si>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</si>
  <si>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</si>
  <si>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</si>
  <si>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</si>
  <si>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</si>
  <si>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Mosquito species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</si>
  <si>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</si>
  <si>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</si>
  <si>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</si>
  <si>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</si>
  <si>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</si>
  <si>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</si>
  <si>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</si>
  <si>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</si>
  <si>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</si>
  <si>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</si>
  <si>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</si>
  <si>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</si>
  <si>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</si>
  <si>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</si>
  <si>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</si>
  <si>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</si>
  <si>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</si>
  <si>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</si>
  <si>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</si>
  <si>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</si>
  <si>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</si>
  <si>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</si>
  <si>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</si>
  <si>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</si>
  <si>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</si>
  <si>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</si>
  <si>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</si>
  <si>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Comments classification</t>
  </si>
  <si>
    <t>SP_BCN</t>
  </si>
  <si>
    <t>Spain</t>
  </si>
  <si>
    <t>Barcelona</t>
  </si>
  <si>
    <t>BG sentinel + BG lure7</t>
  </si>
  <si>
    <t>Aedes albopictus</t>
  </si>
  <si>
    <t>A_SP_BCN_2</t>
  </si>
  <si>
    <t>A_SP_BCN_3</t>
  </si>
  <si>
    <t>A_SP_BCN_4</t>
  </si>
  <si>
    <t>A_SP_BCN_5</t>
  </si>
  <si>
    <t>A_SP_BCN_6</t>
  </si>
  <si>
    <t>Other</t>
  </si>
  <si>
    <t>Public garden</t>
  </si>
  <si>
    <t>A_SP_BCN_10</t>
  </si>
  <si>
    <t>A_SP_BCN_12</t>
  </si>
  <si>
    <t>A_SP_BCN_13</t>
  </si>
  <si>
    <t>A_SP_BCN_14</t>
  </si>
  <si>
    <t>A_SP_BCN_15</t>
  </si>
  <si>
    <t>A_SP_BCN_16</t>
  </si>
  <si>
    <t>A_SP_BCN_17</t>
  </si>
  <si>
    <t>A_SP_BCN_18</t>
  </si>
  <si>
    <t>A_SP_BCN_19</t>
  </si>
  <si>
    <t>A_SP_BCN_22</t>
  </si>
  <si>
    <t>A_SP_BCN_24</t>
  </si>
  <si>
    <t>A_SP_BCN_23</t>
  </si>
  <si>
    <t>some ants and spiders</t>
  </si>
  <si>
    <t>some ants</t>
  </si>
  <si>
    <t>Example</t>
  </si>
  <si>
    <t>trap ID [E (ovitraps) or A (BGS traps)  + location name + numbering]</t>
  </si>
  <si>
    <t>Total number of  eggs on tongue depressor</t>
  </si>
  <si>
    <t>Number per species  [EGGS: Total no. E x No. specimens hatched-analysed (subsample) / total no. hatched-analysed individuals]</t>
  </si>
  <si>
    <t>Good</t>
  </si>
  <si>
    <t>funnel out of the trap - no valid sample</t>
  </si>
  <si>
    <t>1 spider</t>
  </si>
  <si>
    <t>1 ant - legs and parts of Ae. Albopictus</t>
  </si>
  <si>
    <t>1 spider, mosquito 'pieces'</t>
  </si>
  <si>
    <t>a lot of phlebotoms - 1 full of blood</t>
  </si>
  <si>
    <t>1 ant</t>
  </si>
  <si>
    <t>2 spiders and some ants - legs and parts of insects</t>
  </si>
  <si>
    <t>2 ants and 1 spider</t>
  </si>
  <si>
    <t>1 small spider</t>
  </si>
  <si>
    <t>snails and 1 small spider</t>
  </si>
  <si>
    <t>Premal_1</t>
  </si>
  <si>
    <t>ants and spiders - few mosquito legs</t>
  </si>
  <si>
    <t>mosquitoes were a bit broken (legs ...)</t>
  </si>
  <si>
    <t>some small spiders - no broken mosquitoes</t>
  </si>
  <si>
    <t>some small spiders - no broken mosquitoes; 2 albopictus kept apart for blood meal analysis</t>
  </si>
  <si>
    <t>big flying ants</t>
  </si>
  <si>
    <t>lots of mycetophylidae</t>
  </si>
  <si>
    <t>A_SP_BCN_26</t>
  </si>
  <si>
    <t>2 big spiders</t>
  </si>
  <si>
    <t>ants - fragmented mosquitoes</t>
  </si>
  <si>
    <t>1 spider had made a nest in the 'door' of the trap</t>
  </si>
  <si>
    <t>1 spider, 1 ant - can not see a lot of mosquito pieces</t>
  </si>
  <si>
    <t>1 small and 1 big spider</t>
  </si>
  <si>
    <t>1 big and 1 small ants - pieces of at least 1 Ae. Albopictus - not able to determine sex</t>
  </si>
  <si>
    <t>4-5 spiders</t>
  </si>
  <si>
    <t>a lot of ants, spider web and mosquito pieces</t>
  </si>
  <si>
    <t>most of the mosquitoes were without legs</t>
  </si>
  <si>
    <t>2 phlebotoms, 1 spider - sample cleaner than BGs</t>
  </si>
  <si>
    <t>1 spider and a lot of phlebotoms</t>
  </si>
  <si>
    <t>a lot of ants - remains of eaten mosquitoes</t>
  </si>
  <si>
    <t>V4</t>
  </si>
  <si>
    <t>a lot of ants - a lot of Ae. Albopictus legs left but any other part</t>
  </si>
  <si>
    <t>a lot of ants - mosquito pieces --&gt; not stored sample</t>
  </si>
  <si>
    <t>more than 5 spiders - 1 Ae. albopictus wrapped in a spider's web</t>
  </si>
  <si>
    <t xml:space="preserve">more than 5 spiders </t>
  </si>
  <si>
    <t>A_SP_BCN_25</t>
  </si>
  <si>
    <t>funnel found upside down</t>
  </si>
  <si>
    <t>2 spider - mosquitoes do not seem to been eaten</t>
  </si>
  <si>
    <t>1 female with 2 eggs</t>
  </si>
  <si>
    <t>1 spider - spider web</t>
  </si>
  <si>
    <t>1 ant - no insect pieces</t>
  </si>
  <si>
    <t>quite a lot of ants - only insect wings remain, they do not look like being from mosquitoes</t>
  </si>
  <si>
    <t>a big spider and a small one</t>
  </si>
  <si>
    <t>a lot of micetophilids, 2 small ants - 1 female only abdomen was found</t>
  </si>
  <si>
    <t>a lot of micetophilids, 2 small ants</t>
  </si>
  <si>
    <t>3 spider</t>
  </si>
  <si>
    <t>ants - mosquito pieces, Ae. Albopictus legs and also partially eaten butterflies. Sample not kept, only heads from the counted individuals were found</t>
  </si>
  <si>
    <t>all mosquitoes eaten - only toraxes remainig - impossible to count per species and per sex</t>
  </si>
  <si>
    <t>2 small spiders</t>
  </si>
  <si>
    <t>some ants - mosquito pieces</t>
  </si>
  <si>
    <t>ants, spiders, phlebotoms</t>
  </si>
  <si>
    <t>more than 50 phlebotoms</t>
  </si>
  <si>
    <t>disconnected</t>
  </si>
  <si>
    <t>ants!</t>
  </si>
  <si>
    <t>ants! Crematogaster scutellaris - usually in this site this end of the season, very agressive ants</t>
  </si>
  <si>
    <t>Mtego</t>
  </si>
  <si>
    <t>BG sentinel</t>
  </si>
  <si>
    <t>sample used for the Lab suitcase training</t>
  </si>
  <si>
    <t>sample used for the lab suitcase training (22-2-23)</t>
  </si>
  <si>
    <t>2 ants and 1 spider - 2 legs of Ae. Albopictus</t>
  </si>
  <si>
    <t>funnel out of place, wet trap - sample kept but it's not valid</t>
  </si>
  <si>
    <t>2 spiders</t>
  </si>
  <si>
    <t>lots of micetophilids</t>
  </si>
  <si>
    <t>micetophilids</t>
  </si>
  <si>
    <t>trap disconnected - no valid sample. Trap left connected</t>
  </si>
  <si>
    <t>no sample - trap disconnected, very few captures</t>
  </si>
  <si>
    <t>funnel a bit out of position</t>
  </si>
  <si>
    <t>no acces on 09/11 - sample from 2 weeks</t>
  </si>
  <si>
    <t>no sample</t>
  </si>
  <si>
    <t>fragmented individuals in the sample - no rests of ants, 1 spider</t>
  </si>
  <si>
    <t>snail in the sample</t>
  </si>
  <si>
    <t>trap disconnected; sample of 2 weeks because on 22/11 the park was closed due to strong wind events; lots of micetophilids</t>
  </si>
  <si>
    <t>urban habitat</t>
  </si>
  <si>
    <t>Fallen trap</t>
  </si>
  <si>
    <t>no sample - funnel out of the trap</t>
  </si>
  <si>
    <t>bag out of the trap</t>
  </si>
  <si>
    <t>Culiseta longiareolata</t>
  </si>
  <si>
    <t>Culex pipiens</t>
  </si>
  <si>
    <t>in the same place as in 2021 (a little more towards the corner - maybe it has had more shade)</t>
  </si>
  <si>
    <t>in the same place as in 2021 (maybe more in the sunny side)</t>
  </si>
  <si>
    <t xml:space="preserve">in the same place as in 2021 </t>
  </si>
  <si>
    <t>in the same place as in 2021 - they are doing works in the square where the center is located</t>
  </si>
  <si>
    <t>in the same place as in 2021 but vegetation density has been decreased</t>
  </si>
  <si>
    <t>in the same place as in 2021</t>
  </si>
  <si>
    <t>trap set a little lower (this trap has been installed hanging to prevent wild boars from damaging it)</t>
  </si>
  <si>
    <t>full of tiger mosquito</t>
  </si>
  <si>
    <t>the trap was quite exposed to the sun, moved to the shade</t>
  </si>
  <si>
    <t>the staff comments that they have a lot of mosquitoes</t>
  </si>
  <si>
    <t>trap was found moved and exposed to the sun; ants</t>
  </si>
  <si>
    <t>trap a bit moved and more exposed to the sun</t>
  </si>
  <si>
    <t>5 days ago the trap dropped, bag and funnel burned - changed and left working</t>
  </si>
  <si>
    <t>some ants, trap was found moved</t>
  </si>
  <si>
    <t>the trap gets quite a lot of sun, large spider removed, spider web</t>
  </si>
  <si>
    <t>breeding site besides the trap (container), same as in July</t>
  </si>
  <si>
    <t>no sample - trap dropped by the works</t>
  </si>
  <si>
    <t>funnel fallen to the ground - sample kept</t>
  </si>
  <si>
    <t>trap fallen, no sample - stones put in the bottom to avoit it</t>
  </si>
  <si>
    <t>trap fallen and funnel outside of the trap - there is sample (less quality)</t>
  </si>
  <si>
    <t>funnel fallen - there is sample (less quality)</t>
  </si>
  <si>
    <t>a spider had made a nest in the trap</t>
  </si>
  <si>
    <t>no sample - fallen trap despite the stones placed at the bottom</t>
  </si>
  <si>
    <t>no sample - fallen trap and funnel outside the trap</t>
  </si>
  <si>
    <t>many big ants</t>
  </si>
  <si>
    <t>there was no electricity - I change the bag but there is no electricity yet</t>
  </si>
  <si>
    <t>trap full of ants, full of tiger mosquito around, biting</t>
  </si>
  <si>
    <t>breeding site besides the trap (container)</t>
  </si>
  <si>
    <t>seems to have been working for all or most of the period - individuals lost at sampling moment (probably 2 Culex)</t>
  </si>
  <si>
    <t>commented to the principal they have a breeding site</t>
  </si>
  <si>
    <t>4/10 - 18h cable cut by a mower - I don't put a bag because the plug needs to be changed. 5/10 - 11:15h it is back in operation</t>
  </si>
  <si>
    <t>no sample - funnel upside down</t>
  </si>
  <si>
    <t>container (breeding site) removed</t>
  </si>
  <si>
    <t>they tell me they have had power cuts during the day</t>
  </si>
  <si>
    <t>breeding site (container with water) nearby the trap</t>
  </si>
  <si>
    <t>no electricity - trap stopped. It seems to be a one-off failure from this afternoon</t>
  </si>
  <si>
    <t>no electricity - trap stopped. It seems to be a one-off failure from this afternoon. A spider</t>
  </si>
  <si>
    <t>no active breeding focus observed since a few days ago</t>
  </si>
  <si>
    <t>big spider over the trap</t>
  </si>
  <si>
    <t>no sample - bag out of the trap</t>
  </si>
  <si>
    <t>there is low volume sample - it looks as if the trap has been stopped</t>
  </si>
  <si>
    <t>1 ant, no acces on 22/11 - sample from 2 weeks, trap fallen and funnel outside</t>
  </si>
  <si>
    <t>no sample - bag outside the trap and all insects were dead</t>
  </si>
  <si>
    <t>no acces due to works (same on 09/11, 15/11, 22/11 &amp; 29/11)</t>
  </si>
  <si>
    <t>phlebotoms - big longhorn beetle in the bag (released)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</si>
</sst>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0000"/>
    <numFmt numFmtId="166" formatCode="yyyy\-mm\-dd;@"/>
    <numFmt numFmtId="167" formatCode="[$-1241A]dd/mm/yyyy;@"/>
    <numFmt numFmtId="168" formatCode="h:mm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9" fillId="3" borderId="2" applyNumberFormat="0" applyAlignment="0" applyProtection="0"/>
  </cellStyleXfs>
  <cellXfs count="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6" fillId="0" borderId="0" xfId="1"/>
    <xf numFmtId="0" fontId="10" fillId="0" borderId="3" xfId="1" applyFont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center" vertical="center" wrapText="1"/>
    </xf>
    <xf numFmtId="166" fontId="7" fillId="4" borderId="3" xfId="2" applyNumberFormat="1" applyFont="1" applyFill="1" applyBorder="1" applyAlignment="1">
      <alignment horizontal="center" vertical="center" wrapText="1"/>
    </xf>
    <xf numFmtId="167" fontId="7" fillId="4" borderId="3" xfId="2" applyNumberFormat="1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0" fontId="6" fillId="0" borderId="0" xfId="1" applyAlignment="1">
      <alignment horizontal="center" vertical="center"/>
    </xf>
    <xf numFmtId="166" fontId="6" fillId="0" borderId="0" xfId="1" applyNumberFormat="1" applyAlignment="1">
      <alignment horizontal="center" vertical="center"/>
    </xf>
    <xf numFmtId="0" fontId="6" fillId="0" borderId="0" xfId="1" applyAlignment="1">
      <alignment horizontal="left" vertical="center"/>
    </xf>
    <xf numFmtId="0" fontId="8" fillId="0" borderId="0" xfId="0" applyFont="1"/>
    <xf numFmtId="165" fontId="7" fillId="0" borderId="3" xfId="1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/>
    </xf>
    <xf numFmtId="168" fontId="6" fillId="0" borderId="0" xfId="1" applyNumberFormat="1" applyAlignment="1">
      <alignment horizontal="center" vertical="center"/>
    </xf>
    <xf numFmtId="1" fontId="6" fillId="0" borderId="0" xfId="1" applyNumberFormat="1" applyAlignment="1">
      <alignment horizontal="center" vertical="center"/>
    </xf>
    <xf numFmtId="1" fontId="6" fillId="8" borderId="0" xfId="1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166" fontId="6" fillId="8" borderId="0" xfId="1" applyNumberFormat="1" applyFill="1" applyAlignment="1">
      <alignment horizontal="center" vertical="center"/>
    </xf>
    <xf numFmtId="168" fontId="6" fillId="8" borderId="0" xfId="1" applyNumberFormat="1" applyFill="1" applyAlignment="1">
      <alignment horizontal="center" vertical="center"/>
    </xf>
    <xf numFmtId="168" fontId="0" fillId="8" borderId="0" xfId="0" applyNumberFormat="1" applyFill="1" applyAlignment="1">
      <alignment horizontal="center"/>
    </xf>
    <xf numFmtId="1" fontId="8" fillId="0" borderId="0" xfId="0" applyNumberFormat="1" applyFont="1" applyAlignment="1">
      <alignment horizontal="right" vertical="center" wrapText="1"/>
    </xf>
    <xf numFmtId="166" fontId="0" fillId="8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8" borderId="0" xfId="1" applyFill="1" applyAlignment="1">
      <alignment horizontal="center" vertical="center"/>
    </xf>
    <xf numFmtId="0" fontId="8" fillId="0" borderId="0" xfId="0" applyFont="1" applyAlignment="1">
      <alignment horizontal="right"/>
    </xf>
    <xf numFmtId="165" fontId="6" fillId="0" borderId="0" xfId="1" applyNumberFormat="1" applyAlignment="1">
      <alignment horizontal="center" vertical="center"/>
    </xf>
    <xf numFmtId="168" fontId="8" fillId="8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6" fillId="7" borderId="0" xfId="1" applyFill="1" applyAlignment="1">
      <alignment horizontal="center" vertical="center"/>
    </xf>
    <xf numFmtId="164" fontId="5" fillId="7" borderId="0" xfId="0" applyNumberFormat="1" applyFont="1" applyFill="1" applyAlignment="1">
      <alignment horizontal="right" vertical="center" wrapText="1"/>
    </xf>
    <xf numFmtId="166" fontId="6" fillId="6" borderId="0" xfId="1" applyNumberFormat="1" applyFill="1" applyAlignment="1">
      <alignment horizontal="center" vertical="center"/>
    </xf>
    <xf numFmtId="0" fontId="6" fillId="8" borderId="0" xfId="1" applyFill="1" applyAlignment="1">
      <alignment horizontal="center"/>
    </xf>
    <xf numFmtId="166" fontId="8" fillId="8" borderId="0" xfId="0" applyNumberFormat="1" applyFont="1" applyFill="1" applyAlignment="1">
      <alignment horizontal="center"/>
    </xf>
    <xf numFmtId="0" fontId="8" fillId="8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166" fontId="8" fillId="8" borderId="0" xfId="1" applyNumberFormat="1" applyFont="1" applyFill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6" fillId="0" borderId="0" xfId="1" applyAlignment="1">
      <alignment horizontal="center"/>
    </xf>
    <xf numFmtId="0" fontId="0" fillId="8" borderId="0" xfId="0" applyFill="1" applyAlignment="1">
      <alignment horizontal="center"/>
    </xf>
    <xf numFmtId="14" fontId="8" fillId="0" borderId="0" xfId="0" applyNumberFormat="1" applyFont="1" applyAlignment="1">
      <alignment horizontal="left"/>
    </xf>
    <xf numFmtId="0" fontId="1" fillId="2" borderId="12" xfId="0" applyFont="1" applyFill="1" applyBorder="1" applyAlignment="1">
      <alignment horizontal="center" vertical="center" wrapText="1"/>
    </xf>
    <xf numFmtId="0" fontId="6" fillId="0" borderId="0" xfId="1" applyAlignment="1">
      <alignment horizontal="right" vertical="center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0" fontId="8" fillId="7" borderId="0" xfId="0" applyFont="1" applyFill="1" applyAlignment="1">
      <alignment horizontal="right"/>
    </xf>
    <xf numFmtId="0" fontId="11" fillId="5" borderId="0" xfId="1" applyFont="1" applyFill="1" applyAlignment="1">
      <alignment vertical="center" wrapText="1"/>
    </xf>
    <xf numFmtId="0" fontId="11" fillId="5" borderId="4" xfId="1" applyFont="1" applyFill="1" applyBorder="1" applyAlignment="1">
      <alignment vertical="center" wrapText="1"/>
    </xf>
    <xf numFmtId="0" fontId="11" fillId="4" borderId="5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11" fillId="4" borderId="7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4" borderId="5" xfId="1" applyFont="1" applyFill="1" applyBorder="1" applyAlignment="1">
      <alignment vertical="center"/>
    </xf>
    <xf numFmtId="0" fontId="11" fillId="4" borderId="6" xfId="1" applyFont="1" applyFill="1" applyBorder="1" applyAlignment="1">
      <alignment vertical="center"/>
    </xf>
    <xf numFmtId="0" fontId="11" fillId="4" borderId="7" xfId="1" applyFont="1" applyFill="1" applyBorder="1" applyAlignment="1">
      <alignment vertical="center"/>
    </xf>
  </cellXfs>
  <cellStyles count="3">
    <cellStyle name="Celda de comprobación 2" xfId="2" xr:uid="{52E168AD-7395-4968-8EBB-C04561EB507E}"/>
    <cellStyle name="Normal" xfId="0" builtinId="0"/>
    <cellStyle name="Normal 2" xfId="1" xr:uid="{00CE4681-F6FC-488C-909E-4ECB8EE36F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is Sanpera Calbet" id="{BDB7BFAC-31F3-4193-8B10-15B0B82DD3A7}" userId="2dc9aff2a9b6fa9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7" dT="2023-02-18T10:46:48.27" personId="{BDB7BFAC-31F3-4193-8B10-15B0B82DD3A7}" id="{1513C26E-9D83-469D-AEA1-E4117B724080}">
    <text>1r cop dades trampa - no formula</text>
  </threadedComment>
  <threadedComment ref="P140" dT="2023-02-17T14:30:25.82" personId="{BDB7BFAC-31F3-4193-8B10-15B0B82DD3A7}" id="{F090AB76-8BCC-436E-977F-63FE5FA221CF}">
    <text>Confirm with John</text>
  </threadedComment>
  <threadedComment ref="P142" dT="2023-01-22T20:48:39.31" personId="{BDB7BFAC-31F3-4193-8B10-15B0B82DD3A7}" id="{27CD660F-7AB8-4FF8-B9C7-1C17D29D0740}">
    <text>Falta la dada - John</text>
  </threadedComment>
  <threadedComment ref="P181" dT="2023-03-13T13:04:10.33" personId="{BDB7BFAC-31F3-4193-8B10-15B0B82DD3A7}" id="{C9113B70-1A85-470D-AF7E-B266EAE42F3A}">
    <text xml:space="preserve">Falta data - John
</text>
  </threadedComment>
  <threadedComment ref="T252" dT="2023-03-13T20:32:11.38" personId="{BDB7BFAC-31F3-4193-8B10-15B0B82DD3A7}" id="{27B27E12-6704-441A-BCD1-6EF3FB424810}">
    <text>hora aprox - no anotada</text>
  </threadedComment>
  <threadedComment ref="T322" dT="2023-03-13T20:19:49.92" personId="{BDB7BFAC-31F3-4193-8B10-15B0B82DD3A7}" id="{C4E48D58-8D58-40C0-ACCF-0E4C43F1AB5E}">
    <text>Hora no anotada - aprox</text>
  </threadedComment>
  <threadedComment ref="T610" dT="2023-03-14T01:07:34.96" personId="{BDB7BFAC-31F3-4193-8B10-15B0B82DD3A7}" id="{0154BD79-A23C-4FA6-AA83-67162C3055F2}">
    <text>Hora no anotada - aprox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FAF3-F170-4069-B8F3-C00C91580F45}">
  <dimension ref="A1:AF759"/>
  <sheetViews>
    <sheetView tabSelected="1" zoomScale="95" zoomScaleNormal="95" workbookViewId="0">
      <selection activeCell="W752" sqref="W752"/>
    </sheetView>
  </sheetViews>
  <sheetFormatPr baseColWidth="10" defaultColWidth="8.85546875" defaultRowHeight="15" x14ac:dyDescent="0.25"/>
  <cols>
    <col min="1" max="1" width="8.85546875" style="2"/>
    <col min="2" max="2" width="14.28515625" style="2" bestFit="1" customWidth="1"/>
    <col min="3" max="3" width="8.140625" style="13" customWidth="1"/>
    <col min="4" max="6" width="11.7109375" style="13" customWidth="1"/>
    <col min="7" max="10" width="13.42578125" style="13" customWidth="1"/>
    <col min="11" max="11" width="20.42578125" style="13" customWidth="1"/>
    <col min="12" max="12" width="14.7109375" style="13" customWidth="1"/>
    <col min="13" max="13" width="10" style="13" customWidth="1"/>
    <col min="14" max="14" width="18.28515625" style="13" customWidth="1"/>
    <col min="15" max="15" width="20.42578125" style="13" customWidth="1"/>
    <col min="16" max="16" width="14.5703125" style="14" customWidth="1"/>
    <col min="17" max="17" width="10.28515625" style="13" customWidth="1"/>
    <col min="18" max="18" width="9.5703125" style="13" bestFit="1" customWidth="1"/>
    <col min="19" max="19" width="13.42578125" style="14" customWidth="1"/>
    <col min="20" max="20" width="10.5703125" style="13" customWidth="1"/>
    <col min="21" max="21" width="8.85546875" style="13" bestFit="1" customWidth="1"/>
    <col min="22" max="22" width="18.140625" style="13" customWidth="1"/>
    <col min="23" max="23" width="10.5703125" style="15" customWidth="1"/>
    <col min="24" max="24" width="12.28515625" style="13" customWidth="1"/>
    <col min="25" max="25" width="7.85546875" style="13" customWidth="1"/>
    <col min="26" max="26" width="20.140625" style="13" customWidth="1"/>
    <col min="27" max="27" width="20" style="13" customWidth="1"/>
    <col min="28" max="29" width="11.140625" style="13" customWidth="1"/>
    <col min="30" max="30" width="10.85546875" style="13" customWidth="1"/>
    <col min="31" max="31" width="13.5703125" style="13" customWidth="1"/>
    <col min="32" max="16384" width="8.85546875" style="2"/>
  </cols>
  <sheetData>
    <row r="1" spans="1:32" ht="14.45" customHeight="1" x14ac:dyDescent="0.25">
      <c r="A1" s="55" t="s">
        <v>0</v>
      </c>
      <c r="B1" s="55"/>
      <c r="C1" s="55"/>
      <c r="D1" s="55"/>
      <c r="E1" s="55"/>
      <c r="F1" s="55"/>
      <c r="G1" s="57" t="s">
        <v>1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9"/>
      <c r="X1" s="4"/>
      <c r="Y1" s="60" t="s">
        <v>2</v>
      </c>
      <c r="Z1" s="61"/>
      <c r="AA1" s="61"/>
      <c r="AB1" s="61"/>
      <c r="AC1" s="61"/>
      <c r="AD1" s="61"/>
      <c r="AE1" s="62"/>
    </row>
    <row r="2" spans="1:32" ht="24" customHeight="1" thickBot="1" x14ac:dyDescent="0.3">
      <c r="A2" s="56"/>
      <c r="B2" s="56"/>
      <c r="C2" s="56"/>
      <c r="D2" s="56"/>
      <c r="E2" s="56"/>
      <c r="F2" s="56"/>
      <c r="G2" s="66" t="s">
        <v>3</v>
      </c>
      <c r="H2" s="67"/>
      <c r="I2" s="67"/>
      <c r="J2" s="67"/>
      <c r="K2" s="67"/>
      <c r="L2" s="67"/>
      <c r="M2" s="67"/>
      <c r="N2" s="68"/>
      <c r="O2" s="57" t="s">
        <v>4</v>
      </c>
      <c r="P2" s="58"/>
      <c r="Q2" s="58"/>
      <c r="R2" s="58"/>
      <c r="S2" s="58"/>
      <c r="T2" s="58"/>
      <c r="U2" s="58"/>
      <c r="V2" s="58"/>
      <c r="W2" s="59"/>
      <c r="X2" s="5"/>
      <c r="Y2" s="63"/>
      <c r="Z2" s="64"/>
      <c r="AA2" s="64"/>
      <c r="AB2" s="64"/>
      <c r="AC2" s="64"/>
      <c r="AD2" s="64"/>
      <c r="AE2" s="65"/>
    </row>
    <row r="3" spans="1:32" ht="117.75" customHeight="1" thickBot="1" x14ac:dyDescent="0.3">
      <c r="A3" s="6" t="s">
        <v>82</v>
      </c>
      <c r="B3" s="7" t="s">
        <v>5</v>
      </c>
      <c r="C3" s="6" t="s">
        <v>6</v>
      </c>
      <c r="D3" s="7" t="s">
        <v>7</v>
      </c>
      <c r="E3" s="7" t="s">
        <v>8</v>
      </c>
      <c r="F3" s="17" t="s">
        <v>9</v>
      </c>
      <c r="G3" s="8" t="s">
        <v>83</v>
      </c>
      <c r="H3" s="8" t="s">
        <v>10</v>
      </c>
      <c r="I3" s="8" t="s">
        <v>11</v>
      </c>
      <c r="J3" s="9" t="s">
        <v>12</v>
      </c>
      <c r="K3" s="8" t="s">
        <v>13</v>
      </c>
      <c r="L3" s="9" t="s">
        <v>14</v>
      </c>
      <c r="M3" s="8" t="s">
        <v>15</v>
      </c>
      <c r="N3" s="9" t="s">
        <v>16</v>
      </c>
      <c r="O3" s="8" t="s">
        <v>17</v>
      </c>
      <c r="P3" s="10" t="s">
        <v>18</v>
      </c>
      <c r="Q3" s="11" t="s">
        <v>19</v>
      </c>
      <c r="R3" s="11" t="s">
        <v>20</v>
      </c>
      <c r="S3" s="10" t="s">
        <v>21</v>
      </c>
      <c r="T3" s="11" t="s">
        <v>22</v>
      </c>
      <c r="U3" s="11" t="s">
        <v>23</v>
      </c>
      <c r="V3" s="11" t="s">
        <v>24</v>
      </c>
      <c r="W3" s="11" t="s">
        <v>25</v>
      </c>
      <c r="X3" s="11" t="s">
        <v>26</v>
      </c>
      <c r="Y3" s="3" t="s">
        <v>84</v>
      </c>
      <c r="Z3" s="12" t="s">
        <v>27</v>
      </c>
      <c r="AA3" s="3" t="s">
        <v>85</v>
      </c>
      <c r="AB3" s="3" t="s">
        <v>28</v>
      </c>
      <c r="AC3" s="3" t="s">
        <v>29</v>
      </c>
      <c r="AD3" s="3" t="s">
        <v>30</v>
      </c>
      <c r="AE3" s="3" t="s">
        <v>31</v>
      </c>
      <c r="AF3" s="1" t="s">
        <v>32</v>
      </c>
    </row>
    <row r="4" spans="1:32" ht="27" customHeight="1" x14ac:dyDescent="0.25">
      <c r="A4" s="6"/>
      <c r="B4" s="7" t="s">
        <v>33</v>
      </c>
      <c r="C4" s="6" t="s">
        <v>34</v>
      </c>
      <c r="D4" s="7" t="s">
        <v>35</v>
      </c>
      <c r="E4" s="7" t="s">
        <v>36</v>
      </c>
      <c r="F4" s="17" t="s">
        <v>9</v>
      </c>
      <c r="G4" s="8" t="s">
        <v>37</v>
      </c>
      <c r="H4" s="8" t="s">
        <v>10</v>
      </c>
      <c r="I4" s="8" t="s">
        <v>11</v>
      </c>
      <c r="J4" s="9" t="s">
        <v>12</v>
      </c>
      <c r="K4" s="8" t="s">
        <v>38</v>
      </c>
      <c r="L4" s="9" t="s">
        <v>39</v>
      </c>
      <c r="M4" s="8" t="s">
        <v>40</v>
      </c>
      <c r="N4" s="9" t="s">
        <v>41</v>
      </c>
      <c r="O4" s="8" t="s">
        <v>42</v>
      </c>
      <c r="P4" s="10" t="s">
        <v>18</v>
      </c>
      <c r="Q4" s="11" t="s">
        <v>19</v>
      </c>
      <c r="R4" s="11" t="s">
        <v>43</v>
      </c>
      <c r="S4" s="10" t="s">
        <v>21</v>
      </c>
      <c r="T4" s="11" t="s">
        <v>22</v>
      </c>
      <c r="U4" s="11" t="s">
        <v>44</v>
      </c>
      <c r="V4" s="11" t="s">
        <v>45</v>
      </c>
      <c r="W4" s="11" t="s">
        <v>46</v>
      </c>
      <c r="X4" s="11" t="s">
        <v>47</v>
      </c>
      <c r="Y4" s="3" t="s">
        <v>48</v>
      </c>
      <c r="Z4" s="12" t="s">
        <v>49</v>
      </c>
      <c r="AA4" s="3" t="s">
        <v>50</v>
      </c>
      <c r="AB4" s="3" t="s">
        <v>51</v>
      </c>
      <c r="AC4" s="3" t="s">
        <v>52</v>
      </c>
      <c r="AD4" s="3" t="s">
        <v>53</v>
      </c>
      <c r="AE4" s="3" t="s">
        <v>54</v>
      </c>
      <c r="AF4" s="50" t="s">
        <v>55</v>
      </c>
    </row>
    <row r="5" spans="1:32" x14ac:dyDescent="0.25">
      <c r="A5" s="13">
        <v>1</v>
      </c>
      <c r="B5" s="23" t="s">
        <v>56</v>
      </c>
      <c r="C5" s="23" t="s">
        <v>57</v>
      </c>
      <c r="D5" s="23" t="s">
        <v>58</v>
      </c>
      <c r="E5" s="23" t="s">
        <v>58</v>
      </c>
      <c r="F5" s="24">
        <v>8035</v>
      </c>
      <c r="G5" s="13" t="s">
        <v>61</v>
      </c>
      <c r="H5" s="25">
        <v>41.424387000000003</v>
      </c>
      <c r="I5" s="25">
        <v>2.1431439999999999</v>
      </c>
      <c r="J5" s="26">
        <v>160</v>
      </c>
      <c r="K5" s="13" t="s">
        <v>59</v>
      </c>
      <c r="L5" s="13" t="s">
        <v>159</v>
      </c>
      <c r="N5" s="15" t="s">
        <v>165</v>
      </c>
      <c r="O5" s="13" t="str">
        <f>G5&amp;"_"&amp;TEXT(P5, "AAMMDD")</f>
        <v>A_SP_BCN_2_220621</v>
      </c>
      <c r="P5" s="27">
        <v>44733</v>
      </c>
      <c r="Q5" s="28">
        <v>0.61805555555555558</v>
      </c>
      <c r="R5" s="22"/>
      <c r="S5" s="27">
        <v>44740</v>
      </c>
      <c r="T5" s="29">
        <v>0.76041666666666663</v>
      </c>
      <c r="U5" s="21"/>
      <c r="V5" s="13" t="s">
        <v>86</v>
      </c>
      <c r="X5" s="13">
        <f>S5-P5</f>
        <v>7</v>
      </c>
      <c r="Z5" s="13" t="s">
        <v>60</v>
      </c>
      <c r="AA5" s="13">
        <f>SUM(AC5:AD5)</f>
        <v>1</v>
      </c>
      <c r="AB5" s="13" t="str">
        <f>IF(AA5=0,"",IF(AA5="","",IF(AA5&gt;0,"Adult")))</f>
        <v>Adult</v>
      </c>
      <c r="AC5" s="13">
        <v>1</v>
      </c>
      <c r="AD5" s="13">
        <v>0</v>
      </c>
      <c r="AE5" s="13" t="str">
        <f>IF(AA5=0,"",IF(AA5="","",IF(AA5&gt;0,"Morphological")))</f>
        <v>Morphological</v>
      </c>
      <c r="AF5" s="2">
        <v>4</v>
      </c>
    </row>
    <row r="6" spans="1:32" x14ac:dyDescent="0.25">
      <c r="A6" s="13">
        <v>2</v>
      </c>
      <c r="B6" s="23" t="s">
        <v>56</v>
      </c>
      <c r="C6" s="23" t="s">
        <v>57</v>
      </c>
      <c r="D6" s="23" t="s">
        <v>58</v>
      </c>
      <c r="E6" s="23" t="s">
        <v>58</v>
      </c>
      <c r="F6" s="24">
        <v>8035</v>
      </c>
      <c r="G6" s="13" t="s">
        <v>61</v>
      </c>
      <c r="H6" s="25">
        <v>41.424387000000003</v>
      </c>
      <c r="I6" s="25">
        <v>2.1431439999999999</v>
      </c>
      <c r="J6" s="26">
        <v>160</v>
      </c>
      <c r="K6" s="13" t="s">
        <v>59</v>
      </c>
      <c r="L6" s="13" t="s">
        <v>159</v>
      </c>
      <c r="O6" s="13" t="str">
        <f t="shared" ref="O6:O103" si="0">G6&amp;"_"&amp;TEXT(P6, "AAMMDD")</f>
        <v>A_SP_BCN_2_220621</v>
      </c>
      <c r="P6" s="27">
        <v>44733</v>
      </c>
      <c r="Q6" s="28">
        <v>0.61805555555555558</v>
      </c>
      <c r="R6" s="22"/>
      <c r="S6" s="27">
        <v>44740</v>
      </c>
      <c r="T6" s="29">
        <v>0.76041666666666663</v>
      </c>
      <c r="U6" s="21"/>
      <c r="V6" s="13" t="s">
        <v>86</v>
      </c>
      <c r="X6" s="13">
        <f t="shared" ref="X6:X69" si="1">S6-P6</f>
        <v>7</v>
      </c>
      <c r="Z6" s="13" t="s">
        <v>164</v>
      </c>
      <c r="AA6" s="13">
        <f t="shared" ref="AA6:AA49" si="2">SUM(AC6:AD6)</f>
        <v>1</v>
      </c>
      <c r="AB6" s="13" t="str">
        <f t="shared" ref="AB6:AB69" si="3">IF(AA6=0,"",IF(AA6="","",IF(AA6&gt;0,"Adult")))</f>
        <v>Adult</v>
      </c>
      <c r="AC6" s="13">
        <v>1</v>
      </c>
      <c r="AD6" s="13">
        <v>0</v>
      </c>
      <c r="AE6" s="13" t="str">
        <f t="shared" ref="AE6:AE69" si="4">IF(AA6=0,"",IF(AA6="","",IF(AA6&gt;0,"Morphological")))</f>
        <v>Morphological</v>
      </c>
      <c r="AF6" s="2">
        <v>4</v>
      </c>
    </row>
    <row r="7" spans="1:32" x14ac:dyDescent="0.25">
      <c r="A7" s="13">
        <v>3</v>
      </c>
      <c r="B7" s="23" t="s">
        <v>56</v>
      </c>
      <c r="C7" s="23" t="s">
        <v>57</v>
      </c>
      <c r="D7" s="23" t="s">
        <v>58</v>
      </c>
      <c r="E7" s="23" t="s">
        <v>58</v>
      </c>
      <c r="F7" s="24">
        <v>8016</v>
      </c>
      <c r="G7" s="13" t="s">
        <v>62</v>
      </c>
      <c r="H7" s="25">
        <v>41.437435000000001</v>
      </c>
      <c r="I7" s="25">
        <v>2.1812779999999998</v>
      </c>
      <c r="J7" s="30">
        <v>47</v>
      </c>
      <c r="K7" s="13" t="s">
        <v>59</v>
      </c>
      <c r="L7" s="13" t="s">
        <v>159</v>
      </c>
      <c r="N7" t="s">
        <v>166</v>
      </c>
      <c r="O7" s="13" t="str">
        <f t="shared" si="0"/>
        <v>A_SP_BCN_3_220621</v>
      </c>
      <c r="P7" s="31">
        <v>44733</v>
      </c>
      <c r="Q7" s="29">
        <v>0.64236111111111105</v>
      </c>
      <c r="R7" s="22"/>
      <c r="S7" s="31">
        <v>44741</v>
      </c>
      <c r="T7" s="29">
        <v>0.5625</v>
      </c>
      <c r="U7" s="21"/>
      <c r="V7" s="13" t="s">
        <v>86</v>
      </c>
      <c r="X7" s="13">
        <f t="shared" si="1"/>
        <v>8</v>
      </c>
      <c r="Z7" s="13" t="s">
        <v>60</v>
      </c>
      <c r="AA7" s="13">
        <f t="shared" si="2"/>
        <v>5</v>
      </c>
      <c r="AB7" s="13" t="str">
        <f t="shared" si="3"/>
        <v>Adult</v>
      </c>
      <c r="AC7" s="13">
        <v>4</v>
      </c>
      <c r="AD7" s="13">
        <v>1</v>
      </c>
      <c r="AE7" s="13" t="str">
        <f t="shared" si="4"/>
        <v>Morphological</v>
      </c>
      <c r="AF7" s="2">
        <v>4</v>
      </c>
    </row>
    <row r="8" spans="1:32" x14ac:dyDescent="0.25">
      <c r="A8" s="13">
        <v>4</v>
      </c>
      <c r="B8" s="23" t="s">
        <v>56</v>
      </c>
      <c r="C8" s="23" t="s">
        <v>57</v>
      </c>
      <c r="D8" s="23" t="s">
        <v>58</v>
      </c>
      <c r="E8" s="23" t="s">
        <v>58</v>
      </c>
      <c r="F8" s="24">
        <v>8016</v>
      </c>
      <c r="G8" s="13" t="s">
        <v>62</v>
      </c>
      <c r="H8" s="25">
        <v>41.437435000000001</v>
      </c>
      <c r="I8" s="25">
        <v>2.1812779999999998</v>
      </c>
      <c r="J8" s="30">
        <v>47</v>
      </c>
      <c r="K8" s="13" t="s">
        <v>59</v>
      </c>
      <c r="L8" s="13" t="s">
        <v>159</v>
      </c>
      <c r="O8" s="13" t="str">
        <f t="shared" si="0"/>
        <v>A_SP_BCN_3_220621</v>
      </c>
      <c r="P8" s="31">
        <v>44733</v>
      </c>
      <c r="Q8" s="29">
        <v>0.64236111111111105</v>
      </c>
      <c r="R8" s="22"/>
      <c r="S8" s="31">
        <v>44741</v>
      </c>
      <c r="T8" s="29">
        <v>0.5625</v>
      </c>
      <c r="U8" s="21"/>
      <c r="V8" s="13" t="s">
        <v>86</v>
      </c>
      <c r="X8" s="13">
        <f t="shared" si="1"/>
        <v>8</v>
      </c>
      <c r="Z8" s="13" t="s">
        <v>164</v>
      </c>
      <c r="AA8" s="13">
        <f t="shared" si="2"/>
        <v>3</v>
      </c>
      <c r="AB8" s="13" t="str">
        <f t="shared" si="3"/>
        <v>Adult</v>
      </c>
      <c r="AC8" s="13">
        <v>3</v>
      </c>
      <c r="AD8" s="13">
        <v>0</v>
      </c>
      <c r="AE8" s="13" t="str">
        <f t="shared" si="4"/>
        <v>Morphological</v>
      </c>
      <c r="AF8" s="2">
        <v>4</v>
      </c>
    </row>
    <row r="9" spans="1:32" x14ac:dyDescent="0.25">
      <c r="A9" s="13">
        <v>5</v>
      </c>
      <c r="B9" s="23" t="s">
        <v>56</v>
      </c>
      <c r="C9" s="23" t="s">
        <v>57</v>
      </c>
      <c r="D9" s="23" t="s">
        <v>58</v>
      </c>
      <c r="E9" s="23" t="s">
        <v>58</v>
      </c>
      <c r="F9" s="24">
        <v>8016</v>
      </c>
      <c r="G9" s="13" t="s">
        <v>62</v>
      </c>
      <c r="H9" s="25">
        <v>41.437435000000001</v>
      </c>
      <c r="I9" s="25">
        <v>2.1812779999999998</v>
      </c>
      <c r="J9" s="30">
        <v>47</v>
      </c>
      <c r="K9" s="13" t="s">
        <v>59</v>
      </c>
      <c r="L9" s="13" t="s">
        <v>159</v>
      </c>
      <c r="O9" s="13" t="str">
        <f t="shared" si="0"/>
        <v>A_SP_BCN_3_220621</v>
      </c>
      <c r="P9" s="31">
        <v>44733</v>
      </c>
      <c r="Q9" s="29">
        <v>0.64236111111111105</v>
      </c>
      <c r="R9" s="22"/>
      <c r="S9" s="31">
        <v>44741</v>
      </c>
      <c r="T9" s="29">
        <v>0.5625</v>
      </c>
      <c r="U9" s="21"/>
      <c r="V9" s="13" t="s">
        <v>86</v>
      </c>
      <c r="X9" s="13">
        <f t="shared" si="1"/>
        <v>8</v>
      </c>
      <c r="Z9" s="32" t="s">
        <v>163</v>
      </c>
      <c r="AA9" s="13">
        <f t="shared" si="2"/>
        <v>4</v>
      </c>
      <c r="AB9" s="13" t="str">
        <f t="shared" si="3"/>
        <v>Adult</v>
      </c>
      <c r="AC9" s="13">
        <v>3</v>
      </c>
      <c r="AD9" s="13">
        <v>1</v>
      </c>
      <c r="AE9" s="13" t="str">
        <f t="shared" si="4"/>
        <v>Morphological</v>
      </c>
      <c r="AF9" s="2">
        <v>4</v>
      </c>
    </row>
    <row r="10" spans="1:32" x14ac:dyDescent="0.25">
      <c r="A10" s="13">
        <v>6</v>
      </c>
      <c r="B10" s="23" t="s">
        <v>56</v>
      </c>
      <c r="C10" s="23" t="s">
        <v>57</v>
      </c>
      <c r="D10" s="23" t="s">
        <v>58</v>
      </c>
      <c r="E10" s="23" t="s">
        <v>58</v>
      </c>
      <c r="F10" s="24">
        <v>8018</v>
      </c>
      <c r="G10" s="13" t="s">
        <v>63</v>
      </c>
      <c r="H10" s="25">
        <v>41.404924999999999</v>
      </c>
      <c r="I10" s="25">
        <v>2.1987909999999999</v>
      </c>
      <c r="J10" s="26">
        <v>4</v>
      </c>
      <c r="K10" s="13" t="s">
        <v>59</v>
      </c>
      <c r="L10" s="13" t="s">
        <v>159</v>
      </c>
      <c r="N10" t="s">
        <v>167</v>
      </c>
      <c r="O10" s="13" t="str">
        <f t="shared" si="0"/>
        <v>A_SP_BCN_4_220622</v>
      </c>
      <c r="P10" s="27">
        <v>44734</v>
      </c>
      <c r="Q10" s="29">
        <v>0.76250000000000007</v>
      </c>
      <c r="R10" s="22"/>
      <c r="S10" s="31">
        <v>44741</v>
      </c>
      <c r="T10" s="29">
        <v>0.60416666666666663</v>
      </c>
      <c r="U10" s="21"/>
      <c r="V10" s="13" t="s">
        <v>86</v>
      </c>
      <c r="X10" s="13">
        <f t="shared" si="1"/>
        <v>7</v>
      </c>
      <c r="Z10" s="13" t="s">
        <v>60</v>
      </c>
      <c r="AA10" s="13">
        <f t="shared" si="2"/>
        <v>1</v>
      </c>
      <c r="AB10" s="13" t="str">
        <f t="shared" si="3"/>
        <v>Adult</v>
      </c>
      <c r="AC10" s="13">
        <v>0</v>
      </c>
      <c r="AD10" s="13">
        <v>1</v>
      </c>
      <c r="AE10" s="13" t="str">
        <f t="shared" si="4"/>
        <v>Morphological</v>
      </c>
      <c r="AF10" s="2">
        <v>4</v>
      </c>
    </row>
    <row r="11" spans="1:32" x14ac:dyDescent="0.25">
      <c r="A11" s="13">
        <v>7</v>
      </c>
      <c r="B11" s="23" t="s">
        <v>56</v>
      </c>
      <c r="C11" s="23" t="s">
        <v>57</v>
      </c>
      <c r="D11" s="23" t="s">
        <v>58</v>
      </c>
      <c r="E11" s="23" t="s">
        <v>58</v>
      </c>
      <c r="F11" s="24">
        <v>8018</v>
      </c>
      <c r="G11" s="13" t="s">
        <v>63</v>
      </c>
      <c r="H11" s="25">
        <v>41.404924999999999</v>
      </c>
      <c r="I11" s="25">
        <v>2.1987909999999999</v>
      </c>
      <c r="J11" s="26">
        <v>4</v>
      </c>
      <c r="K11" s="13" t="s">
        <v>59</v>
      </c>
      <c r="L11" s="13" t="s">
        <v>159</v>
      </c>
      <c r="O11" s="13" t="str">
        <f t="shared" si="0"/>
        <v>A_SP_BCN_4_220622</v>
      </c>
      <c r="P11" s="27">
        <v>44734</v>
      </c>
      <c r="Q11" s="29">
        <v>0.76250000000000007</v>
      </c>
      <c r="R11" s="22"/>
      <c r="S11" s="31">
        <v>44741</v>
      </c>
      <c r="T11" s="29">
        <v>0.60416666666666663</v>
      </c>
      <c r="U11" s="21"/>
      <c r="V11" s="13" t="s">
        <v>86</v>
      </c>
      <c r="X11" s="13">
        <f t="shared" si="1"/>
        <v>7</v>
      </c>
      <c r="Z11" s="13" t="s">
        <v>164</v>
      </c>
      <c r="AA11" s="13">
        <f t="shared" si="2"/>
        <v>6</v>
      </c>
      <c r="AB11" s="13" t="str">
        <f t="shared" si="3"/>
        <v>Adult</v>
      </c>
      <c r="AC11" s="13">
        <v>5</v>
      </c>
      <c r="AD11" s="13">
        <v>1</v>
      </c>
      <c r="AE11" s="13" t="str">
        <f t="shared" si="4"/>
        <v>Morphological</v>
      </c>
      <c r="AF11" s="2">
        <v>4</v>
      </c>
    </row>
    <row r="12" spans="1:32" x14ac:dyDescent="0.25">
      <c r="A12" s="13">
        <v>8</v>
      </c>
      <c r="B12" s="23" t="s">
        <v>56</v>
      </c>
      <c r="C12" s="23" t="s">
        <v>57</v>
      </c>
      <c r="D12" s="23" t="s">
        <v>58</v>
      </c>
      <c r="E12" s="23" t="s">
        <v>58</v>
      </c>
      <c r="F12" s="24">
        <v>8018</v>
      </c>
      <c r="G12" s="13" t="s">
        <v>63</v>
      </c>
      <c r="H12" s="25">
        <v>41.404924999999999</v>
      </c>
      <c r="I12" s="25">
        <v>2.1987909999999999</v>
      </c>
      <c r="J12" s="26">
        <v>4</v>
      </c>
      <c r="K12" s="13" t="s">
        <v>59</v>
      </c>
      <c r="L12" s="13" t="s">
        <v>159</v>
      </c>
      <c r="O12" s="13" t="str">
        <f t="shared" si="0"/>
        <v>A_SP_BCN_4_220622</v>
      </c>
      <c r="P12" s="27">
        <v>44734</v>
      </c>
      <c r="Q12" s="29">
        <v>0.76250000000000007</v>
      </c>
      <c r="R12" s="22"/>
      <c r="S12" s="31">
        <v>44741</v>
      </c>
      <c r="T12" s="29">
        <v>0.60416666666666663</v>
      </c>
      <c r="U12" s="21"/>
      <c r="V12" s="13" t="s">
        <v>86</v>
      </c>
      <c r="X12" s="13">
        <f t="shared" si="1"/>
        <v>7</v>
      </c>
      <c r="Z12" s="32" t="s">
        <v>163</v>
      </c>
      <c r="AA12" s="13">
        <f t="shared" si="2"/>
        <v>3</v>
      </c>
      <c r="AB12" s="13" t="str">
        <f t="shared" si="3"/>
        <v>Adult</v>
      </c>
      <c r="AC12" s="13">
        <v>3</v>
      </c>
      <c r="AD12" s="13">
        <v>0</v>
      </c>
      <c r="AE12" s="13" t="str">
        <f t="shared" si="4"/>
        <v>Morphological</v>
      </c>
      <c r="AF12" s="2">
        <v>4</v>
      </c>
    </row>
    <row r="13" spans="1:32" x14ac:dyDescent="0.25">
      <c r="A13" s="13">
        <v>9</v>
      </c>
      <c r="B13" s="23" t="s">
        <v>56</v>
      </c>
      <c r="C13" s="23" t="s">
        <v>57</v>
      </c>
      <c r="D13" s="23" t="s">
        <v>58</v>
      </c>
      <c r="E13" s="23" t="s">
        <v>58</v>
      </c>
      <c r="F13" s="24">
        <v>8019</v>
      </c>
      <c r="G13" s="13" t="s">
        <v>64</v>
      </c>
      <c r="H13" s="25">
        <v>41.410684000000003</v>
      </c>
      <c r="I13" s="25">
        <v>2.2208019999999999</v>
      </c>
      <c r="J13" s="26">
        <v>18</v>
      </c>
      <c r="K13" s="13" t="s">
        <v>59</v>
      </c>
      <c r="L13" s="13" t="s">
        <v>159</v>
      </c>
      <c r="N13" t="s">
        <v>167</v>
      </c>
      <c r="O13" s="13" t="str">
        <f t="shared" si="0"/>
        <v>A_SP_BCN_5_220622</v>
      </c>
      <c r="P13" s="27">
        <v>44734</v>
      </c>
      <c r="Q13" s="29">
        <v>0.73611111111111116</v>
      </c>
      <c r="R13" s="22"/>
      <c r="S13" s="31">
        <v>44741</v>
      </c>
      <c r="T13" s="29">
        <v>0.58680555555555558</v>
      </c>
      <c r="U13" s="21"/>
      <c r="V13" s="13" t="s">
        <v>86</v>
      </c>
      <c r="X13" s="13">
        <f t="shared" si="1"/>
        <v>7</v>
      </c>
      <c r="Z13" s="13" t="s">
        <v>164</v>
      </c>
      <c r="AA13" s="13">
        <f t="shared" si="2"/>
        <v>4</v>
      </c>
      <c r="AB13" s="13" t="str">
        <f t="shared" si="3"/>
        <v>Adult</v>
      </c>
      <c r="AC13" s="13">
        <v>4</v>
      </c>
      <c r="AD13" s="13">
        <v>0</v>
      </c>
      <c r="AE13" s="13" t="str">
        <f t="shared" si="4"/>
        <v>Morphological</v>
      </c>
      <c r="AF13" s="2">
        <v>4</v>
      </c>
    </row>
    <row r="14" spans="1:32" x14ac:dyDescent="0.25">
      <c r="A14" s="13">
        <v>10</v>
      </c>
      <c r="B14" s="23" t="s">
        <v>56</v>
      </c>
      <c r="C14" s="23" t="s">
        <v>57</v>
      </c>
      <c r="D14" s="23" t="s">
        <v>58</v>
      </c>
      <c r="E14" s="23" t="s">
        <v>58</v>
      </c>
      <c r="F14" s="24">
        <v>8002</v>
      </c>
      <c r="G14" s="13" t="s">
        <v>65</v>
      </c>
      <c r="H14" s="25">
        <v>41.382339999999999</v>
      </c>
      <c r="I14" s="25">
        <v>2.1714790000000002</v>
      </c>
      <c r="J14" s="26">
        <v>19</v>
      </c>
      <c r="K14" s="13" t="s">
        <v>59</v>
      </c>
      <c r="L14" s="13" t="s">
        <v>159</v>
      </c>
      <c r="N14" t="s">
        <v>167</v>
      </c>
      <c r="O14" s="13" t="str">
        <f t="shared" si="0"/>
        <v>A_SP_BCN_6_220622</v>
      </c>
      <c r="P14" s="27">
        <v>44734</v>
      </c>
      <c r="Q14" s="29">
        <v>0.80069444444444438</v>
      </c>
      <c r="R14" s="22"/>
      <c r="S14" s="31">
        <v>44741</v>
      </c>
      <c r="T14" s="29">
        <v>0.625</v>
      </c>
      <c r="V14" s="13" t="s">
        <v>86</v>
      </c>
      <c r="X14" s="13">
        <f t="shared" si="1"/>
        <v>7</v>
      </c>
      <c r="Z14" s="13" t="s">
        <v>164</v>
      </c>
      <c r="AA14" s="13">
        <f t="shared" si="2"/>
        <v>1</v>
      </c>
      <c r="AB14" s="13" t="str">
        <f t="shared" si="3"/>
        <v>Adult</v>
      </c>
      <c r="AC14" s="13">
        <v>1</v>
      </c>
      <c r="AD14" s="13">
        <v>0</v>
      </c>
      <c r="AE14" s="13" t="str">
        <f t="shared" si="4"/>
        <v>Morphological</v>
      </c>
      <c r="AF14" s="2">
        <v>4</v>
      </c>
    </row>
    <row r="15" spans="1:32" x14ac:dyDescent="0.25">
      <c r="A15" s="13">
        <v>11</v>
      </c>
      <c r="B15" s="23" t="s">
        <v>56</v>
      </c>
      <c r="C15" s="23" t="s">
        <v>57</v>
      </c>
      <c r="D15" s="23" t="s">
        <v>58</v>
      </c>
      <c r="E15" s="23" t="s">
        <v>58</v>
      </c>
      <c r="F15" s="24">
        <v>8040</v>
      </c>
      <c r="G15" s="13" t="s">
        <v>68</v>
      </c>
      <c r="H15" s="25">
        <v>41.343685000000001</v>
      </c>
      <c r="I15" s="25">
        <v>2.1441490000000001</v>
      </c>
      <c r="J15" s="26">
        <v>4</v>
      </c>
      <c r="K15" s="13" t="s">
        <v>59</v>
      </c>
      <c r="L15" s="13" t="s">
        <v>159</v>
      </c>
      <c r="N15" t="s">
        <v>167</v>
      </c>
      <c r="O15" s="13" t="str">
        <f t="shared" si="0"/>
        <v>A_SP_BCN_10_220622</v>
      </c>
      <c r="P15" s="27">
        <v>44734</v>
      </c>
      <c r="Q15" s="29">
        <v>0.85416666666666663</v>
      </c>
      <c r="R15" s="22"/>
      <c r="S15" s="27">
        <v>44740</v>
      </c>
      <c r="T15" s="29">
        <v>0.57291666666666663</v>
      </c>
      <c r="V15" s="13" t="s">
        <v>86</v>
      </c>
      <c r="X15" s="13">
        <f t="shared" si="1"/>
        <v>6</v>
      </c>
      <c r="Z15" s="13" t="s">
        <v>60</v>
      </c>
      <c r="AA15" s="13">
        <f t="shared" si="2"/>
        <v>2</v>
      </c>
      <c r="AB15" s="13" t="str">
        <f t="shared" si="3"/>
        <v>Adult</v>
      </c>
      <c r="AC15" s="13">
        <v>1</v>
      </c>
      <c r="AD15" s="13">
        <v>1</v>
      </c>
      <c r="AE15" s="13" t="str">
        <f t="shared" si="4"/>
        <v>Morphological</v>
      </c>
      <c r="AF15" s="2">
        <v>4</v>
      </c>
    </row>
    <row r="16" spans="1:32" x14ac:dyDescent="0.25">
      <c r="A16" s="13">
        <v>12</v>
      </c>
      <c r="B16" s="23" t="s">
        <v>56</v>
      </c>
      <c r="C16" s="23" t="s">
        <v>57</v>
      </c>
      <c r="D16" s="23" t="s">
        <v>58</v>
      </c>
      <c r="E16" s="23" t="s">
        <v>58</v>
      </c>
      <c r="F16" s="24">
        <v>8040</v>
      </c>
      <c r="G16" s="13" t="s">
        <v>68</v>
      </c>
      <c r="H16" s="25">
        <v>41.343685000000001</v>
      </c>
      <c r="I16" s="25">
        <v>2.1441490000000001</v>
      </c>
      <c r="J16" s="26">
        <v>4</v>
      </c>
      <c r="K16" s="13" t="s">
        <v>59</v>
      </c>
      <c r="L16" s="13" t="s">
        <v>159</v>
      </c>
      <c r="N16" t="s">
        <v>167</v>
      </c>
      <c r="O16" s="13" t="str">
        <f t="shared" si="0"/>
        <v>A_SP_BCN_10_220622</v>
      </c>
      <c r="P16" s="27">
        <v>44734</v>
      </c>
      <c r="Q16" s="29">
        <v>0.85416666666666663</v>
      </c>
      <c r="R16" s="22"/>
      <c r="S16" s="27">
        <v>44740</v>
      </c>
      <c r="T16" s="29">
        <v>0.57291666666666663</v>
      </c>
      <c r="V16" s="13" t="s">
        <v>86</v>
      </c>
      <c r="X16" s="13">
        <f t="shared" si="1"/>
        <v>6</v>
      </c>
      <c r="Z16" s="13" t="s">
        <v>164</v>
      </c>
      <c r="AA16" s="13">
        <f t="shared" si="2"/>
        <v>9</v>
      </c>
      <c r="AB16" s="13" t="str">
        <f t="shared" si="3"/>
        <v>Adult</v>
      </c>
      <c r="AC16" s="13">
        <v>9</v>
      </c>
      <c r="AD16" s="13">
        <v>0</v>
      </c>
      <c r="AE16" s="13" t="str">
        <f t="shared" si="4"/>
        <v>Morphological</v>
      </c>
      <c r="AF16" s="2">
        <v>4</v>
      </c>
    </row>
    <row r="17" spans="1:32" x14ac:dyDescent="0.25">
      <c r="A17" s="13">
        <v>13</v>
      </c>
      <c r="B17" s="23" t="s">
        <v>56</v>
      </c>
      <c r="C17" s="23" t="s">
        <v>57</v>
      </c>
      <c r="D17" s="23" t="s">
        <v>58</v>
      </c>
      <c r="E17" s="23" t="s">
        <v>58</v>
      </c>
      <c r="F17" s="24">
        <v>8038</v>
      </c>
      <c r="G17" s="13" t="s">
        <v>69</v>
      </c>
      <c r="H17" s="25">
        <v>41.363377999999997</v>
      </c>
      <c r="I17" s="25">
        <v>2.164879</v>
      </c>
      <c r="J17" s="26">
        <v>185</v>
      </c>
      <c r="K17" s="13" t="s">
        <v>59</v>
      </c>
      <c r="L17" s="23" t="s">
        <v>66</v>
      </c>
      <c r="M17" s="32" t="s">
        <v>67</v>
      </c>
      <c r="N17" t="s">
        <v>167</v>
      </c>
      <c r="O17" s="13" t="str">
        <f t="shared" si="0"/>
        <v>A_SP_BCN_12_220622</v>
      </c>
      <c r="P17" s="27">
        <v>44734</v>
      </c>
      <c r="Q17" s="29">
        <v>0.82638888888888884</v>
      </c>
      <c r="R17" s="22"/>
      <c r="S17" s="27">
        <v>44740</v>
      </c>
      <c r="T17" s="29">
        <v>0.60763888888888895</v>
      </c>
      <c r="V17" s="13" t="s">
        <v>86</v>
      </c>
      <c r="X17" s="13">
        <f t="shared" si="1"/>
        <v>6</v>
      </c>
      <c r="Z17" s="13" t="s">
        <v>164</v>
      </c>
      <c r="AA17" s="13">
        <f t="shared" si="2"/>
        <v>64</v>
      </c>
      <c r="AB17" s="13" t="str">
        <f t="shared" si="3"/>
        <v>Adult</v>
      </c>
      <c r="AC17" s="13">
        <v>61</v>
      </c>
      <c r="AD17" s="13">
        <v>3</v>
      </c>
      <c r="AE17" s="13" t="str">
        <f t="shared" si="4"/>
        <v>Morphological</v>
      </c>
      <c r="AF17" s="2">
        <v>4</v>
      </c>
    </row>
    <row r="18" spans="1:32" x14ac:dyDescent="0.25">
      <c r="A18" s="13">
        <v>14</v>
      </c>
      <c r="B18" s="23" t="s">
        <v>56</v>
      </c>
      <c r="C18" s="23" t="s">
        <v>57</v>
      </c>
      <c r="D18" s="23" t="s">
        <v>58</v>
      </c>
      <c r="E18" s="23" t="s">
        <v>58</v>
      </c>
      <c r="F18" s="24">
        <v>8038</v>
      </c>
      <c r="G18" s="13" t="s">
        <v>69</v>
      </c>
      <c r="H18" s="25">
        <v>41.363377999999997</v>
      </c>
      <c r="I18" s="25">
        <v>2.164879</v>
      </c>
      <c r="J18" s="26">
        <v>185</v>
      </c>
      <c r="K18" s="13" t="s">
        <v>59</v>
      </c>
      <c r="L18" s="23" t="s">
        <v>66</v>
      </c>
      <c r="M18" s="32" t="s">
        <v>67</v>
      </c>
      <c r="N18" t="s">
        <v>167</v>
      </c>
      <c r="O18" s="13" t="str">
        <f t="shared" si="0"/>
        <v>A_SP_BCN_12_220622</v>
      </c>
      <c r="P18" s="27">
        <v>44734</v>
      </c>
      <c r="Q18" s="29">
        <v>0.82638888888888884</v>
      </c>
      <c r="R18" s="22"/>
      <c r="S18" s="27">
        <v>44740</v>
      </c>
      <c r="T18" s="29">
        <v>0.60763888888888895</v>
      </c>
      <c r="V18" s="13" t="s">
        <v>86</v>
      </c>
      <c r="X18" s="13">
        <f t="shared" si="1"/>
        <v>6</v>
      </c>
      <c r="Z18" s="32" t="s">
        <v>163</v>
      </c>
      <c r="AA18" s="13">
        <f t="shared" si="2"/>
        <v>1</v>
      </c>
      <c r="AB18" s="13" t="str">
        <f t="shared" si="3"/>
        <v>Adult</v>
      </c>
      <c r="AC18" s="13">
        <v>1</v>
      </c>
      <c r="AD18" s="13">
        <v>0</v>
      </c>
      <c r="AE18" s="13" t="str">
        <f t="shared" si="4"/>
        <v>Morphological</v>
      </c>
      <c r="AF18" s="2">
        <v>4</v>
      </c>
    </row>
    <row r="19" spans="1:32" x14ac:dyDescent="0.25">
      <c r="A19" s="13">
        <v>15</v>
      </c>
      <c r="B19" s="23" t="s">
        <v>56</v>
      </c>
      <c r="C19" s="23" t="s">
        <v>57</v>
      </c>
      <c r="D19" s="23" t="s">
        <v>58</v>
      </c>
      <c r="E19" s="23" t="s">
        <v>58</v>
      </c>
      <c r="F19" s="24">
        <v>8035</v>
      </c>
      <c r="G19" s="13" t="s">
        <v>70</v>
      </c>
      <c r="H19" s="19">
        <v>41.434472</v>
      </c>
      <c r="I19" s="19">
        <v>2.1315789999999999</v>
      </c>
      <c r="J19" s="34">
        <v>365</v>
      </c>
      <c r="K19" s="13" t="s">
        <v>59</v>
      </c>
      <c r="L19" s="23" t="s">
        <v>66</v>
      </c>
      <c r="N19" t="s">
        <v>167</v>
      </c>
      <c r="O19" s="13" t="str">
        <f t="shared" si="0"/>
        <v>A_SP_BCN_13_220621</v>
      </c>
      <c r="P19" s="27">
        <v>44733</v>
      </c>
      <c r="Q19" s="29">
        <v>0.59027777777777779</v>
      </c>
      <c r="R19" s="33"/>
      <c r="S19" s="27">
        <v>44740</v>
      </c>
      <c r="T19" s="29">
        <v>0.75</v>
      </c>
      <c r="V19" s="13" t="s">
        <v>86</v>
      </c>
      <c r="X19" s="13">
        <f t="shared" si="1"/>
        <v>7</v>
      </c>
      <c r="Z19" s="32" t="s">
        <v>163</v>
      </c>
      <c r="AA19" s="13">
        <f t="shared" si="2"/>
        <v>3</v>
      </c>
      <c r="AB19" s="13" t="str">
        <f t="shared" si="3"/>
        <v>Adult</v>
      </c>
      <c r="AC19" s="13">
        <v>2</v>
      </c>
      <c r="AD19" s="13">
        <v>1</v>
      </c>
      <c r="AE19" s="13" t="str">
        <f t="shared" si="4"/>
        <v>Morphological</v>
      </c>
      <c r="AF19" s="2">
        <v>4</v>
      </c>
    </row>
    <row r="20" spans="1:32" x14ac:dyDescent="0.25">
      <c r="A20" s="13">
        <v>16</v>
      </c>
      <c r="B20" s="23" t="s">
        <v>56</v>
      </c>
      <c r="C20" s="23" t="s">
        <v>57</v>
      </c>
      <c r="D20" s="23" t="s">
        <v>58</v>
      </c>
      <c r="E20" s="23" t="s">
        <v>58</v>
      </c>
      <c r="F20" s="24">
        <v>8017</v>
      </c>
      <c r="G20" s="13" t="s">
        <v>71</v>
      </c>
      <c r="H20" s="19">
        <v>41.428533999999999</v>
      </c>
      <c r="I20" s="19">
        <v>2.090954</v>
      </c>
      <c r="J20" s="34">
        <v>215</v>
      </c>
      <c r="K20" s="13" t="s">
        <v>59</v>
      </c>
      <c r="N20" t="s">
        <v>167</v>
      </c>
      <c r="O20" s="13" t="str">
        <f t="shared" si="0"/>
        <v>A_SP_BCN_14_220621</v>
      </c>
      <c r="P20" s="31">
        <v>44733</v>
      </c>
      <c r="Q20" s="29">
        <v>0.79166666666666663</v>
      </c>
      <c r="R20" s="22"/>
      <c r="S20" s="27">
        <v>44740</v>
      </c>
      <c r="T20" s="29">
        <v>0.70833333333333337</v>
      </c>
      <c r="V20" s="13" t="s">
        <v>86</v>
      </c>
      <c r="X20" s="13">
        <f t="shared" si="1"/>
        <v>7</v>
      </c>
      <c r="Z20" s="13" t="s">
        <v>60</v>
      </c>
      <c r="AA20" s="13">
        <f t="shared" si="2"/>
        <v>3</v>
      </c>
      <c r="AB20" s="13" t="str">
        <f t="shared" si="3"/>
        <v>Adult</v>
      </c>
      <c r="AC20" s="13">
        <v>2</v>
      </c>
      <c r="AD20" s="13">
        <v>1</v>
      </c>
      <c r="AE20" s="13" t="str">
        <f t="shared" si="4"/>
        <v>Morphological</v>
      </c>
      <c r="AF20" s="2">
        <v>4</v>
      </c>
    </row>
    <row r="21" spans="1:32" x14ac:dyDescent="0.25">
      <c r="A21" s="13">
        <v>17</v>
      </c>
      <c r="B21" s="23" t="s">
        <v>56</v>
      </c>
      <c r="C21" s="23" t="s">
        <v>57</v>
      </c>
      <c r="D21" s="23" t="s">
        <v>58</v>
      </c>
      <c r="E21" s="23" t="s">
        <v>58</v>
      </c>
      <c r="F21" s="24">
        <v>8017</v>
      </c>
      <c r="G21" s="13" t="s">
        <v>71</v>
      </c>
      <c r="H21" s="19">
        <v>41.428533999999999</v>
      </c>
      <c r="I21" s="19">
        <v>2.090954</v>
      </c>
      <c r="J21" s="34">
        <v>215</v>
      </c>
      <c r="K21" s="13" t="s">
        <v>59</v>
      </c>
      <c r="N21" t="s">
        <v>167</v>
      </c>
      <c r="O21" s="13" t="str">
        <f t="shared" si="0"/>
        <v>A_SP_BCN_14_220621</v>
      </c>
      <c r="P21" s="31">
        <v>44733</v>
      </c>
      <c r="Q21" s="29">
        <v>0.79166666666666663</v>
      </c>
      <c r="R21" s="22"/>
      <c r="S21" s="27">
        <v>44740</v>
      </c>
      <c r="T21" s="29">
        <v>0.70833333333333337</v>
      </c>
      <c r="V21" s="13" t="s">
        <v>86</v>
      </c>
      <c r="X21" s="13">
        <f t="shared" si="1"/>
        <v>7</v>
      </c>
      <c r="Z21" s="13" t="s">
        <v>164</v>
      </c>
      <c r="AA21" s="13">
        <f t="shared" si="2"/>
        <v>1</v>
      </c>
      <c r="AB21" s="13" t="str">
        <f t="shared" si="3"/>
        <v>Adult</v>
      </c>
      <c r="AC21" s="13">
        <v>1</v>
      </c>
      <c r="AD21" s="13">
        <v>0</v>
      </c>
      <c r="AE21" s="13" t="str">
        <f t="shared" si="4"/>
        <v>Morphological</v>
      </c>
      <c r="AF21" s="2">
        <v>4</v>
      </c>
    </row>
    <row r="22" spans="1:32" x14ac:dyDescent="0.25">
      <c r="A22" s="13">
        <v>18</v>
      </c>
      <c r="B22" s="23" t="s">
        <v>56</v>
      </c>
      <c r="C22" s="23" t="s">
        <v>57</v>
      </c>
      <c r="D22" s="23" t="s">
        <v>58</v>
      </c>
      <c r="E22" s="23" t="s">
        <v>58</v>
      </c>
      <c r="F22" s="24">
        <v>8017</v>
      </c>
      <c r="G22" s="13" t="s">
        <v>72</v>
      </c>
      <c r="H22" s="19">
        <v>41.419471000000001</v>
      </c>
      <c r="I22" s="19">
        <v>2.1010149999999999</v>
      </c>
      <c r="J22" s="34">
        <v>284</v>
      </c>
      <c r="K22" s="13" t="s">
        <v>59</v>
      </c>
      <c r="N22" s="15" t="s">
        <v>167</v>
      </c>
      <c r="O22" s="13" t="str">
        <f t="shared" si="0"/>
        <v>A_SP_BCN_15_220622</v>
      </c>
      <c r="P22" s="27">
        <v>44734</v>
      </c>
      <c r="Q22" s="29">
        <v>0.59722222222222221</v>
      </c>
      <c r="R22" s="22"/>
      <c r="S22" s="27">
        <v>44740</v>
      </c>
      <c r="T22" s="29">
        <v>0.63541666666666663</v>
      </c>
      <c r="V22" s="13" t="s">
        <v>86</v>
      </c>
      <c r="X22" s="13">
        <f t="shared" si="1"/>
        <v>6</v>
      </c>
      <c r="Z22" s="13" t="s">
        <v>60</v>
      </c>
      <c r="AA22" s="13">
        <f t="shared" si="2"/>
        <v>1</v>
      </c>
      <c r="AB22" s="13" t="str">
        <f t="shared" si="3"/>
        <v>Adult</v>
      </c>
      <c r="AC22" s="13">
        <v>1</v>
      </c>
      <c r="AD22" s="13">
        <v>0</v>
      </c>
      <c r="AE22" s="13" t="str">
        <f t="shared" si="4"/>
        <v>Morphological</v>
      </c>
      <c r="AF22" s="2">
        <v>4</v>
      </c>
    </row>
    <row r="23" spans="1:32" x14ac:dyDescent="0.25">
      <c r="A23" s="13">
        <v>19</v>
      </c>
      <c r="B23" s="23" t="s">
        <v>56</v>
      </c>
      <c r="C23" s="23" t="s">
        <v>57</v>
      </c>
      <c r="D23" s="23" t="s">
        <v>58</v>
      </c>
      <c r="E23" s="23" t="s">
        <v>58</v>
      </c>
      <c r="F23" s="24">
        <v>8017</v>
      </c>
      <c r="G23" s="13" t="s">
        <v>73</v>
      </c>
      <c r="H23" s="19">
        <v>41.398387</v>
      </c>
      <c r="I23" s="19">
        <v>2.1244429999999999</v>
      </c>
      <c r="J23" s="34">
        <v>106</v>
      </c>
      <c r="K23" s="13" t="s">
        <v>59</v>
      </c>
      <c r="N23" t="s">
        <v>167</v>
      </c>
      <c r="O23" s="13" t="str">
        <f t="shared" si="0"/>
        <v>A_SP_BCN_16_220622</v>
      </c>
      <c r="P23" s="27">
        <v>44734</v>
      </c>
      <c r="Q23" s="29">
        <v>0.64583333333333337</v>
      </c>
      <c r="R23" s="22"/>
      <c r="S23" s="27">
        <v>44740</v>
      </c>
      <c r="T23" s="29">
        <v>0.73263888888888884</v>
      </c>
      <c r="V23" s="13" t="s">
        <v>86</v>
      </c>
      <c r="X23" s="13">
        <f t="shared" si="1"/>
        <v>6</v>
      </c>
      <c r="Z23" s="13" t="s">
        <v>60</v>
      </c>
      <c r="AA23" s="13">
        <f t="shared" si="2"/>
        <v>16</v>
      </c>
      <c r="AB23" s="13" t="str">
        <f t="shared" si="3"/>
        <v>Adult</v>
      </c>
      <c r="AC23" s="13">
        <v>11</v>
      </c>
      <c r="AD23" s="13">
        <v>5</v>
      </c>
      <c r="AE23" s="13" t="str">
        <f t="shared" si="4"/>
        <v>Morphological</v>
      </c>
      <c r="AF23" s="2">
        <v>4</v>
      </c>
    </row>
    <row r="24" spans="1:32" x14ac:dyDescent="0.25">
      <c r="A24" s="13">
        <v>20</v>
      </c>
      <c r="B24" s="23" t="s">
        <v>56</v>
      </c>
      <c r="C24" s="23" t="s">
        <v>57</v>
      </c>
      <c r="D24" s="23" t="s">
        <v>58</v>
      </c>
      <c r="E24" s="23" t="s">
        <v>58</v>
      </c>
      <c r="F24" s="24">
        <v>8017</v>
      </c>
      <c r="G24" s="13" t="s">
        <v>73</v>
      </c>
      <c r="H24" s="19">
        <v>41.398387</v>
      </c>
      <c r="I24" s="19">
        <v>2.1244429999999999</v>
      </c>
      <c r="J24" s="34">
        <v>106</v>
      </c>
      <c r="K24" s="13" t="s">
        <v>59</v>
      </c>
      <c r="N24" t="s">
        <v>167</v>
      </c>
      <c r="O24" s="13" t="str">
        <f t="shared" si="0"/>
        <v>A_SP_BCN_16_220622</v>
      </c>
      <c r="P24" s="27">
        <v>44734</v>
      </c>
      <c r="Q24" s="29">
        <v>0.64583333333333337</v>
      </c>
      <c r="R24" s="22"/>
      <c r="S24" s="27">
        <v>44740</v>
      </c>
      <c r="T24" s="29">
        <v>0.73263888888888884</v>
      </c>
      <c r="V24" s="13" t="s">
        <v>86</v>
      </c>
      <c r="X24" s="13">
        <f t="shared" si="1"/>
        <v>6</v>
      </c>
      <c r="Z24" s="13" t="s">
        <v>164</v>
      </c>
      <c r="AA24" s="13">
        <f t="shared" si="2"/>
        <v>11</v>
      </c>
      <c r="AB24" s="13" t="str">
        <f t="shared" si="3"/>
        <v>Adult</v>
      </c>
      <c r="AC24" s="13">
        <v>10</v>
      </c>
      <c r="AD24" s="13">
        <v>1</v>
      </c>
      <c r="AE24" s="13" t="str">
        <f t="shared" si="4"/>
        <v>Morphological</v>
      </c>
      <c r="AF24" s="2">
        <v>4</v>
      </c>
    </row>
    <row r="25" spans="1:32" x14ac:dyDescent="0.25">
      <c r="A25" s="13">
        <v>21</v>
      </c>
      <c r="B25" s="23" t="s">
        <v>56</v>
      </c>
      <c r="C25" s="23" t="s">
        <v>57</v>
      </c>
      <c r="D25" s="23" t="s">
        <v>58</v>
      </c>
      <c r="E25" s="23" t="s">
        <v>58</v>
      </c>
      <c r="F25" s="24">
        <v>8017</v>
      </c>
      <c r="G25" s="13" t="s">
        <v>73</v>
      </c>
      <c r="H25" s="19">
        <v>41.398387</v>
      </c>
      <c r="I25" s="19">
        <v>2.1244429999999999</v>
      </c>
      <c r="J25" s="34">
        <v>106</v>
      </c>
      <c r="K25" s="13" t="s">
        <v>59</v>
      </c>
      <c r="N25" t="s">
        <v>167</v>
      </c>
      <c r="O25" s="13" t="str">
        <f t="shared" si="0"/>
        <v>A_SP_BCN_16_220622</v>
      </c>
      <c r="P25" s="27">
        <v>44734</v>
      </c>
      <c r="Q25" s="29">
        <v>0.64583333333333337</v>
      </c>
      <c r="R25" s="22"/>
      <c r="S25" s="27">
        <v>44740</v>
      </c>
      <c r="T25" s="29">
        <v>0.73263888888888884</v>
      </c>
      <c r="V25" s="13" t="s">
        <v>86</v>
      </c>
      <c r="X25" s="13">
        <f t="shared" si="1"/>
        <v>6</v>
      </c>
      <c r="Z25" s="32" t="s">
        <v>163</v>
      </c>
      <c r="AA25" s="13">
        <f t="shared" si="2"/>
        <v>3</v>
      </c>
      <c r="AB25" s="13" t="str">
        <f t="shared" si="3"/>
        <v>Adult</v>
      </c>
      <c r="AC25" s="13">
        <v>0</v>
      </c>
      <c r="AD25" s="13">
        <v>3</v>
      </c>
      <c r="AE25" s="13" t="str">
        <f t="shared" si="4"/>
        <v>Morphological</v>
      </c>
      <c r="AF25" s="2">
        <v>4</v>
      </c>
    </row>
    <row r="26" spans="1:32" x14ac:dyDescent="0.25">
      <c r="A26" s="13">
        <v>22</v>
      </c>
      <c r="B26" s="23" t="s">
        <v>56</v>
      </c>
      <c r="C26" s="23" t="s">
        <v>57</v>
      </c>
      <c r="D26" s="23" t="s">
        <v>58</v>
      </c>
      <c r="E26" s="23" t="s">
        <v>58</v>
      </c>
      <c r="F26" s="24">
        <v>8023</v>
      </c>
      <c r="G26" s="13" t="s">
        <v>74</v>
      </c>
      <c r="H26" s="19">
        <v>41.417256000000002</v>
      </c>
      <c r="I26" s="19">
        <v>2.1455709999999999</v>
      </c>
      <c r="J26" s="34">
        <v>186</v>
      </c>
      <c r="K26" s="13" t="s">
        <v>59</v>
      </c>
      <c r="N26" t="s">
        <v>167</v>
      </c>
      <c r="O26" s="13" t="str">
        <f t="shared" si="0"/>
        <v>A_SP_BCN_17_220621</v>
      </c>
      <c r="P26" s="31">
        <v>44733</v>
      </c>
      <c r="Q26" s="29">
        <v>0.69444444444444453</v>
      </c>
      <c r="R26" s="22"/>
      <c r="S26" s="31">
        <v>44741</v>
      </c>
      <c r="T26" s="29">
        <v>0.52083333333333337</v>
      </c>
      <c r="V26" s="13" t="s">
        <v>86</v>
      </c>
      <c r="W26" s="15" t="s">
        <v>172</v>
      </c>
      <c r="X26" s="13">
        <f t="shared" si="1"/>
        <v>8</v>
      </c>
      <c r="Z26" s="13" t="s">
        <v>60</v>
      </c>
      <c r="AA26" s="13">
        <f t="shared" si="2"/>
        <v>9</v>
      </c>
      <c r="AB26" s="13" t="str">
        <f t="shared" si="3"/>
        <v>Adult</v>
      </c>
      <c r="AC26" s="13">
        <v>8</v>
      </c>
      <c r="AD26" s="13">
        <v>1</v>
      </c>
      <c r="AE26" s="13" t="str">
        <f t="shared" si="4"/>
        <v>Morphological</v>
      </c>
      <c r="AF26" s="2">
        <v>4</v>
      </c>
    </row>
    <row r="27" spans="1:32" x14ac:dyDescent="0.25">
      <c r="A27" s="13">
        <v>23</v>
      </c>
      <c r="B27" s="23" t="s">
        <v>56</v>
      </c>
      <c r="C27" s="23" t="s">
        <v>57</v>
      </c>
      <c r="D27" s="23" t="s">
        <v>58</v>
      </c>
      <c r="E27" s="23" t="s">
        <v>58</v>
      </c>
      <c r="F27" s="24">
        <v>8023</v>
      </c>
      <c r="G27" s="13" t="s">
        <v>74</v>
      </c>
      <c r="H27" s="19">
        <v>41.417256000000002</v>
      </c>
      <c r="I27" s="19">
        <v>2.1455709999999999</v>
      </c>
      <c r="J27" s="34">
        <v>186</v>
      </c>
      <c r="K27" s="13" t="s">
        <v>59</v>
      </c>
      <c r="N27" t="s">
        <v>167</v>
      </c>
      <c r="O27" s="13" t="str">
        <f t="shared" si="0"/>
        <v>A_SP_BCN_17_220621</v>
      </c>
      <c r="P27" s="31">
        <v>44733</v>
      </c>
      <c r="Q27" s="29">
        <v>0.69444444444444453</v>
      </c>
      <c r="R27" s="22"/>
      <c r="S27" s="31">
        <v>44741</v>
      </c>
      <c r="T27" s="29">
        <v>0.52083333333333337</v>
      </c>
      <c r="V27" s="13" t="s">
        <v>86</v>
      </c>
      <c r="W27" s="15" t="s">
        <v>172</v>
      </c>
      <c r="X27" s="13">
        <f t="shared" si="1"/>
        <v>8</v>
      </c>
      <c r="Z27" s="13" t="s">
        <v>164</v>
      </c>
      <c r="AA27" s="13">
        <f t="shared" si="2"/>
        <v>1</v>
      </c>
      <c r="AB27" s="13" t="str">
        <f t="shared" si="3"/>
        <v>Adult</v>
      </c>
      <c r="AC27" s="13">
        <v>1</v>
      </c>
      <c r="AD27" s="13">
        <v>0</v>
      </c>
      <c r="AE27" s="13" t="str">
        <f t="shared" si="4"/>
        <v>Morphological</v>
      </c>
      <c r="AF27" s="2">
        <v>4</v>
      </c>
    </row>
    <row r="28" spans="1:32" x14ac:dyDescent="0.25">
      <c r="A28" s="13">
        <v>24</v>
      </c>
      <c r="B28" s="23" t="s">
        <v>56</v>
      </c>
      <c r="C28" s="23" t="s">
        <v>57</v>
      </c>
      <c r="D28" s="23" t="s">
        <v>58</v>
      </c>
      <c r="E28" s="23" t="s">
        <v>58</v>
      </c>
      <c r="F28" s="24">
        <v>8023</v>
      </c>
      <c r="G28" s="13" t="s">
        <v>74</v>
      </c>
      <c r="H28" s="19">
        <v>41.417256000000002</v>
      </c>
      <c r="I28" s="19">
        <v>2.1455709999999999</v>
      </c>
      <c r="J28" s="34">
        <v>186</v>
      </c>
      <c r="K28" s="13" t="s">
        <v>59</v>
      </c>
      <c r="N28" t="s">
        <v>167</v>
      </c>
      <c r="O28" s="13" t="str">
        <f t="shared" si="0"/>
        <v>A_SP_BCN_17_220621</v>
      </c>
      <c r="P28" s="31">
        <v>44733</v>
      </c>
      <c r="Q28" s="29">
        <v>0.69444444444444453</v>
      </c>
      <c r="R28" s="22"/>
      <c r="S28" s="31">
        <v>44741</v>
      </c>
      <c r="T28" s="29">
        <v>0.52083333333333337</v>
      </c>
      <c r="V28" s="13" t="s">
        <v>86</v>
      </c>
      <c r="W28" s="15" t="s">
        <v>172</v>
      </c>
      <c r="X28" s="13">
        <f t="shared" si="1"/>
        <v>8</v>
      </c>
      <c r="Z28" s="32" t="s">
        <v>163</v>
      </c>
      <c r="AA28" s="13">
        <f t="shared" si="2"/>
        <v>2</v>
      </c>
      <c r="AB28" s="13" t="str">
        <f t="shared" si="3"/>
        <v>Adult</v>
      </c>
      <c r="AC28" s="13">
        <v>2</v>
      </c>
      <c r="AD28" s="13">
        <v>0</v>
      </c>
      <c r="AE28" s="13" t="str">
        <f t="shared" si="4"/>
        <v>Morphological</v>
      </c>
      <c r="AF28" s="2">
        <v>4</v>
      </c>
    </row>
    <row r="29" spans="1:32" x14ac:dyDescent="0.25">
      <c r="A29" s="13">
        <v>25</v>
      </c>
      <c r="B29" s="23" t="s">
        <v>56</v>
      </c>
      <c r="C29" s="23" t="s">
        <v>57</v>
      </c>
      <c r="D29" s="23" t="s">
        <v>58</v>
      </c>
      <c r="E29" s="23" t="s">
        <v>58</v>
      </c>
      <c r="F29" s="24">
        <v>8031</v>
      </c>
      <c r="G29" s="13" t="s">
        <v>75</v>
      </c>
      <c r="H29" s="19">
        <v>41.433618000000003</v>
      </c>
      <c r="I29" s="19">
        <v>2.1677469999999999</v>
      </c>
      <c r="J29" s="34">
        <v>96.85</v>
      </c>
      <c r="K29" s="13" t="s">
        <v>59</v>
      </c>
      <c r="N29" t="s">
        <v>168</v>
      </c>
      <c r="O29" s="13" t="str">
        <f t="shared" si="0"/>
        <v>A_SP_BCN_18_220622</v>
      </c>
      <c r="P29" s="27">
        <v>44734</v>
      </c>
      <c r="Q29" s="29">
        <v>0.69444444444444453</v>
      </c>
      <c r="R29" s="22"/>
      <c r="S29" s="31">
        <v>44741</v>
      </c>
      <c r="T29" s="29">
        <v>0.87152777777777779</v>
      </c>
      <c r="V29" s="13" t="s">
        <v>86</v>
      </c>
      <c r="X29" s="13">
        <f t="shared" si="1"/>
        <v>7</v>
      </c>
      <c r="Z29" s="13" t="s">
        <v>60</v>
      </c>
      <c r="AA29" s="13">
        <f t="shared" si="2"/>
        <v>3</v>
      </c>
      <c r="AB29" s="13" t="str">
        <f t="shared" si="3"/>
        <v>Adult</v>
      </c>
      <c r="AC29" s="13">
        <v>3</v>
      </c>
      <c r="AD29" s="13">
        <v>0</v>
      </c>
      <c r="AE29" s="13" t="str">
        <f t="shared" si="4"/>
        <v>Morphological</v>
      </c>
      <c r="AF29" s="2">
        <v>4</v>
      </c>
    </row>
    <row r="30" spans="1:32" x14ac:dyDescent="0.25">
      <c r="A30" s="13">
        <v>26</v>
      </c>
      <c r="B30" s="23" t="s">
        <v>56</v>
      </c>
      <c r="C30" s="23" t="s">
        <v>57</v>
      </c>
      <c r="D30" s="23" t="s">
        <v>58</v>
      </c>
      <c r="E30" s="23" t="s">
        <v>58</v>
      </c>
      <c r="F30" s="24">
        <v>8031</v>
      </c>
      <c r="G30" s="13" t="s">
        <v>75</v>
      </c>
      <c r="H30" s="19">
        <v>41.433618000000003</v>
      </c>
      <c r="I30" s="19">
        <v>2.1677469999999999</v>
      </c>
      <c r="J30" s="34">
        <v>96.85</v>
      </c>
      <c r="K30" s="13" t="s">
        <v>59</v>
      </c>
      <c r="N30" t="s">
        <v>168</v>
      </c>
      <c r="O30" s="13" t="str">
        <f t="shared" si="0"/>
        <v>A_SP_BCN_18_220622</v>
      </c>
      <c r="P30" s="27">
        <v>44734</v>
      </c>
      <c r="Q30" s="29">
        <v>0.69444444444444453</v>
      </c>
      <c r="R30" s="22"/>
      <c r="S30" s="31">
        <v>44741</v>
      </c>
      <c r="T30" s="29">
        <v>0.87152777777777779</v>
      </c>
      <c r="V30" s="13" t="s">
        <v>86</v>
      </c>
      <c r="X30" s="13">
        <f t="shared" si="1"/>
        <v>7</v>
      </c>
      <c r="Z30" s="13" t="s">
        <v>164</v>
      </c>
      <c r="AA30" s="13">
        <f t="shared" si="2"/>
        <v>1</v>
      </c>
      <c r="AB30" s="13" t="str">
        <f t="shared" si="3"/>
        <v>Adult</v>
      </c>
      <c r="AC30" s="13">
        <v>1</v>
      </c>
      <c r="AD30" s="13">
        <v>0</v>
      </c>
      <c r="AE30" s="13" t="str">
        <f t="shared" si="4"/>
        <v>Morphological</v>
      </c>
      <c r="AF30" s="2">
        <v>4</v>
      </c>
    </row>
    <row r="31" spans="1:32" x14ac:dyDescent="0.25">
      <c r="A31" s="13">
        <v>27</v>
      </c>
      <c r="B31" s="23" t="s">
        <v>56</v>
      </c>
      <c r="C31" s="23" t="s">
        <v>57</v>
      </c>
      <c r="D31" s="23" t="s">
        <v>58</v>
      </c>
      <c r="E31" s="23" t="s">
        <v>58</v>
      </c>
      <c r="F31" s="24">
        <v>8038</v>
      </c>
      <c r="G31" s="13" t="s">
        <v>76</v>
      </c>
      <c r="H31" s="19">
        <v>41.359864999999999</v>
      </c>
      <c r="I31" s="19">
        <v>2.1445430000000001</v>
      </c>
      <c r="J31" s="34">
        <v>11.4</v>
      </c>
      <c r="K31" s="13" t="s">
        <v>59</v>
      </c>
      <c r="N31" s="15" t="s">
        <v>169</v>
      </c>
      <c r="O31" s="13" t="str">
        <f t="shared" si="0"/>
        <v>A_SP_BCN_19_220622</v>
      </c>
      <c r="P31" s="27">
        <v>44734</v>
      </c>
      <c r="Q31" s="29">
        <v>0.4826388888888889</v>
      </c>
      <c r="R31" s="22"/>
      <c r="S31" s="27">
        <v>44740</v>
      </c>
      <c r="T31" s="29">
        <v>0.58333333333333337</v>
      </c>
      <c r="V31" s="13" t="s">
        <v>86</v>
      </c>
      <c r="X31" s="13">
        <f t="shared" si="1"/>
        <v>6</v>
      </c>
      <c r="Z31" s="13" t="s">
        <v>60</v>
      </c>
      <c r="AA31" s="13">
        <f t="shared" si="2"/>
        <v>28</v>
      </c>
      <c r="AB31" s="13" t="str">
        <f t="shared" si="3"/>
        <v>Adult</v>
      </c>
      <c r="AC31" s="13">
        <v>23</v>
      </c>
      <c r="AD31" s="13">
        <v>5</v>
      </c>
      <c r="AE31" s="13" t="str">
        <f t="shared" si="4"/>
        <v>Morphological</v>
      </c>
      <c r="AF31" s="2">
        <v>4</v>
      </c>
    </row>
    <row r="32" spans="1:32" x14ac:dyDescent="0.25">
      <c r="A32" s="13">
        <v>28</v>
      </c>
      <c r="B32" s="23" t="s">
        <v>56</v>
      </c>
      <c r="C32" s="23" t="s">
        <v>57</v>
      </c>
      <c r="D32" s="23" t="s">
        <v>58</v>
      </c>
      <c r="E32" s="23" t="s">
        <v>58</v>
      </c>
      <c r="F32" s="24">
        <v>8038</v>
      </c>
      <c r="G32" s="13" t="s">
        <v>76</v>
      </c>
      <c r="H32" s="19">
        <v>41.359864999999999</v>
      </c>
      <c r="I32" s="19">
        <v>2.1445430000000001</v>
      </c>
      <c r="J32" s="34">
        <v>11.4</v>
      </c>
      <c r="K32" s="13" t="s">
        <v>59</v>
      </c>
      <c r="N32" s="15" t="s">
        <v>169</v>
      </c>
      <c r="O32" s="13" t="str">
        <f t="shared" si="0"/>
        <v>A_SP_BCN_19_220622</v>
      </c>
      <c r="P32" s="27">
        <v>44734</v>
      </c>
      <c r="Q32" s="29">
        <v>0.4826388888888889</v>
      </c>
      <c r="R32" s="22"/>
      <c r="S32" s="27">
        <v>44740</v>
      </c>
      <c r="T32" s="29">
        <v>0.58333333333333337</v>
      </c>
      <c r="V32" s="13" t="s">
        <v>86</v>
      </c>
      <c r="X32" s="13">
        <f t="shared" si="1"/>
        <v>6</v>
      </c>
      <c r="Z32" s="13" t="s">
        <v>164</v>
      </c>
      <c r="AA32" s="13">
        <f t="shared" si="2"/>
        <v>25</v>
      </c>
      <c r="AB32" s="13" t="str">
        <f t="shared" si="3"/>
        <v>Adult</v>
      </c>
      <c r="AC32" s="13">
        <v>24</v>
      </c>
      <c r="AD32" s="13">
        <v>1</v>
      </c>
      <c r="AE32" s="13" t="str">
        <f t="shared" si="4"/>
        <v>Morphological</v>
      </c>
      <c r="AF32" s="2">
        <v>4</v>
      </c>
    </row>
    <row r="33" spans="1:32" x14ac:dyDescent="0.25">
      <c r="A33" s="13">
        <v>29</v>
      </c>
      <c r="B33" s="23" t="s">
        <v>56</v>
      </c>
      <c r="C33" s="23" t="s">
        <v>57</v>
      </c>
      <c r="D33" s="23" t="s">
        <v>58</v>
      </c>
      <c r="E33" s="23" t="s">
        <v>58</v>
      </c>
      <c r="F33" s="24">
        <v>8038</v>
      </c>
      <c r="G33" s="13" t="s">
        <v>76</v>
      </c>
      <c r="H33" s="19">
        <v>41.359864999999999</v>
      </c>
      <c r="I33" s="19">
        <v>2.1445430000000001</v>
      </c>
      <c r="J33" s="34">
        <v>11.4</v>
      </c>
      <c r="K33" s="13" t="s">
        <v>59</v>
      </c>
      <c r="N33" s="15" t="s">
        <v>169</v>
      </c>
      <c r="O33" s="13" t="str">
        <f t="shared" si="0"/>
        <v>A_SP_BCN_19_220622</v>
      </c>
      <c r="P33" s="27">
        <v>44734</v>
      </c>
      <c r="Q33" s="29">
        <v>0.4826388888888889</v>
      </c>
      <c r="R33" s="22"/>
      <c r="S33" s="27">
        <v>44740</v>
      </c>
      <c r="T33" s="29">
        <v>0.58333333333333337</v>
      </c>
      <c r="V33" s="13" t="s">
        <v>86</v>
      </c>
      <c r="X33" s="13">
        <f t="shared" si="1"/>
        <v>6</v>
      </c>
      <c r="Z33" s="32" t="s">
        <v>163</v>
      </c>
      <c r="AA33" s="13">
        <f t="shared" si="2"/>
        <v>3</v>
      </c>
      <c r="AB33" s="13" t="str">
        <f t="shared" si="3"/>
        <v>Adult</v>
      </c>
      <c r="AC33" s="13">
        <v>3</v>
      </c>
      <c r="AD33" s="13">
        <v>0</v>
      </c>
      <c r="AE33" s="13" t="str">
        <f t="shared" si="4"/>
        <v>Morphological</v>
      </c>
      <c r="AF33" s="2">
        <v>4</v>
      </c>
    </row>
    <row r="34" spans="1:32" x14ac:dyDescent="0.25">
      <c r="A34" s="13">
        <v>30</v>
      </c>
      <c r="B34" s="23" t="s">
        <v>56</v>
      </c>
      <c r="C34" s="23" t="s">
        <v>57</v>
      </c>
      <c r="D34" s="23" t="s">
        <v>58</v>
      </c>
      <c r="E34" s="23" t="s">
        <v>58</v>
      </c>
      <c r="F34" s="24">
        <v>8017</v>
      </c>
      <c r="G34" s="13" t="s">
        <v>77</v>
      </c>
      <c r="H34" s="18">
        <v>41.430315999999998</v>
      </c>
      <c r="I34" s="19">
        <v>2.077556</v>
      </c>
      <c r="J34" s="34">
        <v>243.3</v>
      </c>
      <c r="K34" s="13" t="s">
        <v>59</v>
      </c>
      <c r="N34" t="s">
        <v>170</v>
      </c>
      <c r="O34" s="13" t="str">
        <f t="shared" si="0"/>
        <v>A_SP_BCN_22_220621</v>
      </c>
      <c r="P34" s="31">
        <v>44733</v>
      </c>
      <c r="Q34" s="29">
        <v>0.76041666666666663</v>
      </c>
      <c r="R34" s="22"/>
      <c r="S34" s="27">
        <v>44740</v>
      </c>
      <c r="T34" s="29">
        <v>0.69097222222222221</v>
      </c>
      <c r="V34" s="13" t="s">
        <v>86</v>
      </c>
      <c r="X34" s="13">
        <f t="shared" si="1"/>
        <v>7</v>
      </c>
      <c r="Z34" s="13" t="s">
        <v>60</v>
      </c>
      <c r="AA34" s="13">
        <f t="shared" si="2"/>
        <v>14</v>
      </c>
      <c r="AB34" s="13" t="str">
        <f t="shared" si="3"/>
        <v>Adult</v>
      </c>
      <c r="AC34" s="13">
        <v>13</v>
      </c>
      <c r="AD34" s="13">
        <v>1</v>
      </c>
      <c r="AE34" s="13" t="str">
        <f t="shared" si="4"/>
        <v>Morphological</v>
      </c>
      <c r="AF34" s="2">
        <v>4</v>
      </c>
    </row>
    <row r="35" spans="1:32" x14ac:dyDescent="0.25">
      <c r="A35" s="13">
        <v>31</v>
      </c>
      <c r="B35" s="23" t="s">
        <v>56</v>
      </c>
      <c r="C35" s="23" t="s">
        <v>57</v>
      </c>
      <c r="D35" s="23" t="s">
        <v>58</v>
      </c>
      <c r="E35" s="23" t="s">
        <v>58</v>
      </c>
      <c r="F35" s="24">
        <v>8017</v>
      </c>
      <c r="G35" s="13" t="s">
        <v>77</v>
      </c>
      <c r="H35" s="18">
        <v>41.430315999999998</v>
      </c>
      <c r="I35" s="19">
        <v>2.077556</v>
      </c>
      <c r="J35" s="34">
        <v>243.3</v>
      </c>
      <c r="K35" s="13" t="s">
        <v>59</v>
      </c>
      <c r="N35" t="s">
        <v>170</v>
      </c>
      <c r="O35" s="13" t="str">
        <f t="shared" si="0"/>
        <v>A_SP_BCN_22_220621</v>
      </c>
      <c r="P35" s="31">
        <v>44733</v>
      </c>
      <c r="Q35" s="29">
        <v>0.76041666666666663</v>
      </c>
      <c r="R35" s="22"/>
      <c r="S35" s="27">
        <v>44740</v>
      </c>
      <c r="T35" s="29">
        <v>0.69097222222222221</v>
      </c>
      <c r="V35" s="13" t="s">
        <v>86</v>
      </c>
      <c r="X35" s="13">
        <f t="shared" si="1"/>
        <v>7</v>
      </c>
      <c r="Z35" s="13" t="s">
        <v>164</v>
      </c>
      <c r="AA35" s="13">
        <f t="shared" si="2"/>
        <v>6</v>
      </c>
      <c r="AB35" s="13" t="str">
        <f t="shared" si="3"/>
        <v>Adult</v>
      </c>
      <c r="AC35" s="13">
        <v>6</v>
      </c>
      <c r="AD35" s="13">
        <v>0</v>
      </c>
      <c r="AE35" s="13" t="str">
        <f t="shared" si="4"/>
        <v>Morphological</v>
      </c>
      <c r="AF35" s="2">
        <v>4</v>
      </c>
    </row>
    <row r="36" spans="1:32" x14ac:dyDescent="0.25">
      <c r="A36" s="13">
        <v>32</v>
      </c>
      <c r="B36" s="23" t="s">
        <v>56</v>
      </c>
      <c r="C36" s="23" t="s">
        <v>57</v>
      </c>
      <c r="D36" s="23" t="s">
        <v>58</v>
      </c>
      <c r="E36" s="23" t="s">
        <v>58</v>
      </c>
      <c r="F36" s="24">
        <v>8017</v>
      </c>
      <c r="G36" s="13" t="s">
        <v>77</v>
      </c>
      <c r="H36" s="18">
        <v>41.430315999999998</v>
      </c>
      <c r="I36" s="19">
        <v>2.077556</v>
      </c>
      <c r="J36" s="34">
        <v>243.3</v>
      </c>
      <c r="K36" s="13" t="s">
        <v>59</v>
      </c>
      <c r="N36" t="s">
        <v>170</v>
      </c>
      <c r="O36" s="13" t="str">
        <f t="shared" si="0"/>
        <v>A_SP_BCN_22_220621</v>
      </c>
      <c r="P36" s="31">
        <v>44733</v>
      </c>
      <c r="Q36" s="29">
        <v>0.76041666666666663</v>
      </c>
      <c r="R36" s="22"/>
      <c r="S36" s="27">
        <v>44740</v>
      </c>
      <c r="T36" s="29">
        <v>0.69097222222222221</v>
      </c>
      <c r="V36" s="13" t="s">
        <v>86</v>
      </c>
      <c r="X36" s="13">
        <f t="shared" si="1"/>
        <v>7</v>
      </c>
      <c r="Z36" s="32" t="s">
        <v>163</v>
      </c>
      <c r="AA36" s="13">
        <f t="shared" si="2"/>
        <v>4</v>
      </c>
      <c r="AB36" s="13" t="str">
        <f t="shared" si="3"/>
        <v>Adult</v>
      </c>
      <c r="AC36" s="13">
        <v>4</v>
      </c>
      <c r="AD36" s="13">
        <v>0</v>
      </c>
      <c r="AE36" s="13" t="str">
        <f t="shared" si="4"/>
        <v>Morphological</v>
      </c>
      <c r="AF36" s="2">
        <v>4</v>
      </c>
    </row>
    <row r="37" spans="1:32" x14ac:dyDescent="0.25">
      <c r="A37" s="13">
        <v>33</v>
      </c>
      <c r="B37" s="23" t="s">
        <v>56</v>
      </c>
      <c r="C37" s="23" t="s">
        <v>57</v>
      </c>
      <c r="D37" s="23" t="s">
        <v>58</v>
      </c>
      <c r="E37" s="23" t="s">
        <v>58</v>
      </c>
      <c r="F37" s="24">
        <v>8038</v>
      </c>
      <c r="G37" s="13" t="s">
        <v>79</v>
      </c>
      <c r="H37" s="18">
        <v>41.367100000000001</v>
      </c>
      <c r="I37" s="19">
        <v>2.1539079999999999</v>
      </c>
      <c r="J37" s="34">
        <v>68</v>
      </c>
      <c r="K37" s="13" t="s">
        <v>59</v>
      </c>
      <c r="L37" s="23" t="s">
        <v>66</v>
      </c>
      <c r="M37" s="32" t="s">
        <v>67</v>
      </c>
      <c r="N37" t="s">
        <v>170</v>
      </c>
      <c r="O37" s="13" t="str">
        <f t="shared" si="0"/>
        <v>A_SP_BCN_23_220622</v>
      </c>
      <c r="P37" s="27">
        <v>44734</v>
      </c>
      <c r="Q37" s="29">
        <v>0.55208333333333337</v>
      </c>
      <c r="R37" s="22"/>
      <c r="S37" s="27">
        <v>44740</v>
      </c>
      <c r="T37" s="29">
        <v>0.59722222222222221</v>
      </c>
      <c r="V37" s="13" t="s">
        <v>86</v>
      </c>
      <c r="W37" s="15" t="s">
        <v>88</v>
      </c>
      <c r="X37" s="13">
        <f t="shared" si="1"/>
        <v>6</v>
      </c>
      <c r="Z37" s="13" t="s">
        <v>60</v>
      </c>
      <c r="AA37" s="13">
        <f t="shared" si="2"/>
        <v>18</v>
      </c>
      <c r="AB37" s="13" t="str">
        <f t="shared" si="3"/>
        <v>Adult</v>
      </c>
      <c r="AC37" s="13">
        <v>14</v>
      </c>
      <c r="AD37" s="13">
        <v>4</v>
      </c>
      <c r="AE37" s="13" t="str">
        <f t="shared" si="4"/>
        <v>Morphological</v>
      </c>
      <c r="AF37" s="2">
        <v>3</v>
      </c>
    </row>
    <row r="38" spans="1:32" x14ac:dyDescent="0.25">
      <c r="A38" s="13">
        <v>34</v>
      </c>
      <c r="B38" s="23" t="s">
        <v>56</v>
      </c>
      <c r="C38" s="23" t="s">
        <v>57</v>
      </c>
      <c r="D38" s="23" t="s">
        <v>58</v>
      </c>
      <c r="E38" s="23" t="s">
        <v>58</v>
      </c>
      <c r="F38" s="24">
        <v>8038</v>
      </c>
      <c r="G38" s="13" t="s">
        <v>79</v>
      </c>
      <c r="H38" s="18">
        <v>41.367100000000001</v>
      </c>
      <c r="I38" s="19">
        <v>2.1539079999999999</v>
      </c>
      <c r="J38" s="34">
        <v>68</v>
      </c>
      <c r="K38" s="13" t="s">
        <v>59</v>
      </c>
      <c r="L38" s="23" t="s">
        <v>66</v>
      </c>
      <c r="M38" s="32" t="s">
        <v>67</v>
      </c>
      <c r="N38" t="s">
        <v>170</v>
      </c>
      <c r="O38" s="13" t="str">
        <f t="shared" si="0"/>
        <v>A_SP_BCN_23_220622</v>
      </c>
      <c r="P38" s="27">
        <v>44734</v>
      </c>
      <c r="Q38" s="29">
        <v>0.55208333333333337</v>
      </c>
      <c r="R38" s="22"/>
      <c r="S38" s="27">
        <v>44740</v>
      </c>
      <c r="T38" s="29">
        <v>0.59722222222222221</v>
      </c>
      <c r="V38" s="13" t="s">
        <v>86</v>
      </c>
      <c r="W38" s="15" t="s">
        <v>88</v>
      </c>
      <c r="X38" s="13">
        <f t="shared" si="1"/>
        <v>6</v>
      </c>
      <c r="Z38" s="13" t="s">
        <v>164</v>
      </c>
      <c r="AA38" s="13">
        <f t="shared" si="2"/>
        <v>50</v>
      </c>
      <c r="AB38" s="13" t="str">
        <f t="shared" si="3"/>
        <v>Adult</v>
      </c>
      <c r="AC38" s="13">
        <v>13</v>
      </c>
      <c r="AD38" s="13">
        <v>37</v>
      </c>
      <c r="AE38" s="13" t="str">
        <f t="shared" si="4"/>
        <v>Morphological</v>
      </c>
      <c r="AF38" s="2">
        <v>3</v>
      </c>
    </row>
    <row r="39" spans="1:32" x14ac:dyDescent="0.25">
      <c r="A39" s="13">
        <v>35</v>
      </c>
      <c r="B39" s="23" t="s">
        <v>56</v>
      </c>
      <c r="C39" s="23" t="s">
        <v>57</v>
      </c>
      <c r="D39" s="23" t="s">
        <v>58</v>
      </c>
      <c r="E39" s="23" t="s">
        <v>58</v>
      </c>
      <c r="F39" s="24">
        <v>8038</v>
      </c>
      <c r="G39" s="13" t="s">
        <v>79</v>
      </c>
      <c r="H39" s="18">
        <v>41.367100000000001</v>
      </c>
      <c r="I39" s="19">
        <v>2.1539079999999999</v>
      </c>
      <c r="J39" s="34">
        <v>68</v>
      </c>
      <c r="K39" s="13" t="s">
        <v>59</v>
      </c>
      <c r="L39" s="23" t="s">
        <v>66</v>
      </c>
      <c r="M39" s="32" t="s">
        <v>67</v>
      </c>
      <c r="N39" t="s">
        <v>170</v>
      </c>
      <c r="O39" s="13" t="str">
        <f t="shared" si="0"/>
        <v>A_SP_BCN_23_220622</v>
      </c>
      <c r="P39" s="27">
        <v>44734</v>
      </c>
      <c r="Q39" s="29">
        <v>0.55208333333333337</v>
      </c>
      <c r="R39" s="22"/>
      <c r="S39" s="27">
        <v>44740</v>
      </c>
      <c r="T39" s="29">
        <v>0.59722222222222221</v>
      </c>
      <c r="V39" s="13" t="s">
        <v>86</v>
      </c>
      <c r="W39" s="15" t="s">
        <v>88</v>
      </c>
      <c r="X39" s="13">
        <f t="shared" si="1"/>
        <v>6</v>
      </c>
      <c r="Z39" s="32" t="s">
        <v>163</v>
      </c>
      <c r="AA39" s="13">
        <f t="shared" si="2"/>
        <v>2</v>
      </c>
      <c r="AB39" s="13" t="str">
        <f t="shared" si="3"/>
        <v>Adult</v>
      </c>
      <c r="AC39" s="13">
        <v>1</v>
      </c>
      <c r="AD39" s="13">
        <v>1</v>
      </c>
      <c r="AE39" s="13" t="str">
        <f t="shared" si="4"/>
        <v>Morphological</v>
      </c>
      <c r="AF39" s="2">
        <v>3</v>
      </c>
    </row>
    <row r="40" spans="1:32" x14ac:dyDescent="0.25">
      <c r="A40" s="13">
        <v>36</v>
      </c>
      <c r="B40" s="23" t="s">
        <v>56</v>
      </c>
      <c r="C40" s="23" t="s">
        <v>57</v>
      </c>
      <c r="D40" s="23" t="s">
        <v>58</v>
      </c>
      <c r="E40" s="23" t="s">
        <v>58</v>
      </c>
      <c r="F40" s="24" cm="1">
        <f t="array" ref="F40">_xlfn.IFS($G40=$G$5,F$5,$G40=$G$7,F$7,$G40=$G$10,F$10,$G40=$G$13,F$13,$G40=$G$14,F$14,$G40=$G$16,F$16,$G40=$G$17,F$17,$G40=$G$19,F$19,$G40=$G$20,F$20,$G40=$G$22,F$22,$G40=$G$23,F$23,$G40=$G$26,F$26,$G40=$G$29,F$29,$G40=$G$31,F$31,$G40=$G$34,F$34,$G40=$G$37,F$37,$G40=$G$107,F$107,$G40=$G$110,F$110,$G40=$G$140,F$140,$G40=$G$142,F$142,$G40=$G$408,F$408)</f>
        <v>8035</v>
      </c>
      <c r="G40" s="13" t="s">
        <v>61</v>
      </c>
      <c r="H40" s="18" cm="1">
        <f t="array" ref="H40">_xlfn.IFS($G40=$G$5,H$5,$G40=$G$7,H$7,$G40=$G$10,H$10,$G40=$G$13,H$13,$G40=$G$14,H$14,$G40=$G$16,H$16,$G40=$G$17,H$17,$G40=$G$19,H$19,$G40=$G$20,H$20,$G40=$G$22,H$22,$G40=$G$23,H$23,$G40=$G$26,H$26,$G40=$G$29,H$29,$G40=$G$31,H$31,$G40=$G$34,H$34,$G40=$G$37,H$37,$G40=$G$107,H$107,$G40=$G$110,H$110,$G40=$G$140,H$140,$G40=$G$142,H$142,$G40=$G$408,H$408)</f>
        <v>41.424387000000003</v>
      </c>
      <c r="I40" s="19" cm="1">
        <f t="array" ref="I40">_xlfn.IFS($G40=$G$5,I$5,$G40=$G$7,I$7,$G40=$G$10,I$10,$G40=$G$13,I$13,$G40=$G$14,I$14,$G40=$G$16,I$16,$G40=$G$17,I$17,$G40=$G$19,I$19,$G40=$G$20,I$20,$G40=$G$22,I$22,$G40=$G$23,I$23,$G40=$G$26,I$26,$G40=$G$29,I$29,$G40=$G$31,I$31,$G40=$G$34,I$34,$G40=$G$37,I$37,$G40=$G$107,I$107,$G40=$G$110,I$110,$G40=$G$140,I$140,$G40=$G$142,I$142,$G40=$G$408,I$408)</f>
        <v>2.1431439999999999</v>
      </c>
      <c r="J40" s="34" cm="1">
        <f t="array" ref="J40">_xlfn.IFS($G40=$G$5,J$5,$G40=$G$7,J$7,$G40=$G$10,J$10,$G40=$G$13,J$13,$G40=$G$14,J$14,$G40=$G$16,J$16,$G40=$G$17,J$17,$G40=$G$19,J$19,$G40=$G$20,J$20,$G40=$G$22,J$22,$G40=$G$23,J$23,$G40=$G$26,J$26,$G40=$G$29,J$29,$G40=$G$31,J$31,$G40=$G$34,J$34,$G40=$G$37,J$37,$G40=$G$107,J$107,$G40=$G$110,J$110,$G40=$G$140,J$140,$G40=$G$142,J$142,$G40=$G$408,J$408)</f>
        <v>160</v>
      </c>
      <c r="K40" s="13" t="str" cm="1">
        <f t="array" ref="K40">_xlfn.IFS($G40=$G$5,K$5,$G40=$G$7,K$7,$G40=$G$10,K$10,$G40=$G$13,K$13,$G40=$G$14,K$14,$G40=$G$16,K$16,$G40=$G$17,K$17,$G40=$G$19,K$19,$G40=$G$20,K$20,$G40=$G$22,K$22,$G40=$G$23,K$23,$G40=$G$26,K$26,$G40=$G$29,K$29,$G40=$G$31,K$31,$G40=$G$34,K$34,$G40=$G$37,K$37,$G40=$G$107,K$107,$G40=$G$110,K$110,$G40=$G$140,K$140,$G40=$G$142,K$142,$G40=$G$408,K$408)</f>
        <v>BG sentinel + BG lure7</v>
      </c>
      <c r="L40" s="13" t="str" cm="1">
        <f t="array" ref="L40">_xlfn.IFS($G40=$G$5,L$5,$G40=$G$7,L$7,$G40=$G$10,L$10,$G40=$G$13,L$13,$G40=$G$14,L$14,$G40=$G$16,L$16,$G40=$G$17,L$17,$G40=$G$19,L$19,$G40=$G$20,L$20,$G40=$G$22,L$22,$G40=$G$23,L$23,$G40=$G$26,L$26,$G40=$G$29,L$29,$G40=$G$31,L$31,$G40=$G$34,L$34,$G40=$G$37,L$37,$G40=$G$107,L$107,$G40=$G$110,L$110,$G40=$G$140,L$140,$G40=$G$142,L$142,$G40=$G$408,L$408)</f>
        <v>urban habitat</v>
      </c>
      <c r="O40" s="13" t="str">
        <f t="shared" si="0"/>
        <v>A_SP_BCN_2_220628</v>
      </c>
      <c r="P40" s="27">
        <v>44740</v>
      </c>
      <c r="Q40" s="29">
        <v>0.76041666666666663</v>
      </c>
      <c r="R40" s="22"/>
      <c r="S40" s="27">
        <v>44747</v>
      </c>
      <c r="T40" s="29">
        <v>0.625</v>
      </c>
      <c r="V40" s="13" t="s">
        <v>86</v>
      </c>
      <c r="W40" t="s">
        <v>173</v>
      </c>
      <c r="X40" s="13">
        <f t="shared" si="1"/>
        <v>7</v>
      </c>
      <c r="Z40" s="13" t="s">
        <v>60</v>
      </c>
      <c r="AA40" s="13">
        <f t="shared" si="2"/>
        <v>7</v>
      </c>
      <c r="AB40" s="13" t="str">
        <f t="shared" si="3"/>
        <v>Adult</v>
      </c>
      <c r="AC40" s="13">
        <v>5</v>
      </c>
      <c r="AD40" s="13">
        <v>2</v>
      </c>
      <c r="AE40" s="13" t="str">
        <f t="shared" si="4"/>
        <v>Morphological</v>
      </c>
      <c r="AF40" s="2">
        <v>4</v>
      </c>
    </row>
    <row r="41" spans="1:32" x14ac:dyDescent="0.25">
      <c r="A41" s="13">
        <v>37</v>
      </c>
      <c r="B41" s="23" t="s">
        <v>56</v>
      </c>
      <c r="C41" s="23" t="s">
        <v>57</v>
      </c>
      <c r="D41" s="23" t="s">
        <v>58</v>
      </c>
      <c r="E41" s="23" t="s">
        <v>58</v>
      </c>
      <c r="F41" s="24" cm="1">
        <f t="array" ref="F41">_xlfn.IFS($G41=$G$5,F$5,$G41=$G$7,F$7,$G41=$G$10,F$10,$G41=$G$13,F$13,$G41=$G$14,F$14,$G41=$G$16,F$16,$G41=$G$17,F$17,$G41=$G$19,F$19,$G41=$G$20,F$20,$G41=$G$22,F$22,$G41=$G$23,F$23,$G41=$G$26,F$26,$G41=$G$29,F$29,$G41=$G$31,F$31,$G41=$G$34,F$34,$G41=$G$37,F$37,$G41=$G$107,F$107,$G41=$G$110,F$110,$G41=$G$140,F$140,$G41=$G$142,F$142,$G41=$G$408,F$408)</f>
        <v>8035</v>
      </c>
      <c r="G41" s="13" t="s">
        <v>61</v>
      </c>
      <c r="H41" s="18" cm="1">
        <f t="array" ref="H41">_xlfn.IFS($G41=$G$5,H$5,$G41=$G$7,H$7,$G41=$G$10,H$10,$G41=$G$13,H$13,$G41=$G$14,H$14,$G41=$G$16,H$16,$G41=$G$17,H$17,$G41=$G$19,H$19,$G41=$G$20,H$20,$G41=$G$22,H$22,$G41=$G$23,H$23,$G41=$G$26,H$26,$G41=$G$29,H$29,$G41=$G$31,H$31,$G41=$G$34,H$34,$G41=$G$37,H$37,$G41=$G$107,H$107,$G41=$G$110,H$110,$G41=$G$140,H$140,$G41=$G$142,H$142,$G41=$G$408,H$408)</f>
        <v>41.424387000000003</v>
      </c>
      <c r="I41" s="19" cm="1">
        <f t="array" ref="I41">_xlfn.IFS($G41=$G$5,I$5,$G41=$G$7,I$7,$G41=$G$10,I$10,$G41=$G$13,I$13,$G41=$G$14,I$14,$G41=$G$16,I$16,$G41=$G$17,I$17,$G41=$G$19,I$19,$G41=$G$20,I$20,$G41=$G$22,I$22,$G41=$G$23,I$23,$G41=$G$26,I$26,$G41=$G$29,I$29,$G41=$G$31,I$31,$G41=$G$34,I$34,$G41=$G$37,I$37,$G41=$G$107,I$107,$G41=$G$110,I$110,$G41=$G$140,I$140,$G41=$G$142,I$142,$G41=$G$408,I$408)</f>
        <v>2.1431439999999999</v>
      </c>
      <c r="J41" s="34" cm="1">
        <f t="array" ref="J41">_xlfn.IFS($G41=$G$5,J$5,$G41=$G$7,J$7,$G41=$G$10,J$10,$G41=$G$13,J$13,$G41=$G$14,J$14,$G41=$G$16,J$16,$G41=$G$17,J$17,$G41=$G$19,J$19,$G41=$G$20,J$20,$G41=$G$22,J$22,$G41=$G$23,J$23,$G41=$G$26,J$26,$G41=$G$29,J$29,$G41=$G$31,J$31,$G41=$G$34,J$34,$G41=$G$37,J$37,$G41=$G$107,J$107,$G41=$G$110,J$110,$G41=$G$140,J$140,$G41=$G$142,J$142,$G41=$G$408,J$408)</f>
        <v>160</v>
      </c>
      <c r="K41" s="13" t="str" cm="1">
        <f t="array" ref="K41">_xlfn.IFS($G41=$G$5,K$5,$G41=$G$7,K$7,$G41=$G$10,K$10,$G41=$G$13,K$13,$G41=$G$14,K$14,$G41=$G$16,K$16,$G41=$G$17,K$17,$G41=$G$19,K$19,$G41=$G$20,K$20,$G41=$G$22,K$22,$G41=$G$23,K$23,$G41=$G$26,K$26,$G41=$G$29,K$29,$G41=$G$31,K$31,$G41=$G$34,K$34,$G41=$G$37,K$37,$G41=$G$107,K$107,$G41=$G$110,K$110,$G41=$G$140,K$140,$G41=$G$142,K$142,$G41=$G$408,K$408)</f>
        <v>BG sentinel + BG lure7</v>
      </c>
      <c r="L41" s="13" t="str" cm="1">
        <f t="array" ref="L41">_xlfn.IFS($G41=$G$5,L$5,$G41=$G$7,L$7,$G41=$G$10,L$10,$G41=$G$13,L$13,$G41=$G$14,L$14,$G41=$G$16,L$16,$G41=$G$17,L$17,$G41=$G$19,L$19,$G41=$G$20,L$20,$G41=$G$22,L$22,$G41=$G$23,L$23,$G41=$G$26,L$26,$G41=$G$29,L$29,$G41=$G$31,L$31,$G41=$G$34,L$34,$G41=$G$37,L$37,$G41=$G$107,L$107,$G41=$G$110,L$110,$G41=$G$140,L$140,$G41=$G$142,L$142,$G41=$G$408,L$408)</f>
        <v>urban habitat</v>
      </c>
      <c r="O41" s="13" t="str">
        <f t="shared" si="0"/>
        <v>A_SP_BCN_2_220628</v>
      </c>
      <c r="P41" s="27">
        <v>44740</v>
      </c>
      <c r="Q41" s="29">
        <v>0.76041666666666663</v>
      </c>
      <c r="R41" s="22"/>
      <c r="S41" s="27">
        <v>44747</v>
      </c>
      <c r="T41" s="29">
        <v>0.625</v>
      </c>
      <c r="V41" s="13" t="s">
        <v>86</v>
      </c>
      <c r="W41" t="s">
        <v>173</v>
      </c>
      <c r="X41" s="13">
        <f t="shared" si="1"/>
        <v>7</v>
      </c>
      <c r="Z41" s="32" t="s">
        <v>163</v>
      </c>
      <c r="AA41" s="13">
        <f t="shared" si="2"/>
        <v>1</v>
      </c>
      <c r="AB41" s="13" t="str">
        <f t="shared" si="3"/>
        <v>Adult</v>
      </c>
      <c r="AC41" s="13">
        <v>1</v>
      </c>
      <c r="AD41" s="13">
        <v>0</v>
      </c>
      <c r="AE41" s="13" t="str">
        <f t="shared" si="4"/>
        <v>Morphological</v>
      </c>
      <c r="AF41" s="2">
        <v>4</v>
      </c>
    </row>
    <row r="42" spans="1:32" x14ac:dyDescent="0.25">
      <c r="A42" s="13">
        <v>38</v>
      </c>
      <c r="B42" s="23" t="s">
        <v>56</v>
      </c>
      <c r="C42" s="23" t="s">
        <v>57</v>
      </c>
      <c r="D42" s="23" t="s">
        <v>58</v>
      </c>
      <c r="E42" s="23" t="s">
        <v>58</v>
      </c>
      <c r="F42" s="24" cm="1">
        <f t="array" ref="F42">_xlfn.IFS($G42=$G$5,F$5,$G42=$G$7,F$7,$G42=$G$10,F$10,$G42=$G$13,F$13,$G42=$G$14,F$14,$G42=$G$16,F$16,$G42=$G$17,F$17,$G42=$G$19,F$19,$G42=$G$20,F$20,$G42=$G$22,F$22,$G42=$G$23,F$23,$G42=$G$26,F$26,$G42=$G$29,F$29,$G42=$G$31,F$31,$G42=$G$34,F$34,$G42=$G$37,F$37,$G42=$G$107,F$107,$G42=$G$110,F$110,$G42=$G$140,F$140,$G42=$G$142,F$142,$G42=$G$408,F$408)</f>
        <v>8016</v>
      </c>
      <c r="G42" s="13" t="s">
        <v>62</v>
      </c>
      <c r="H42" s="18" cm="1">
        <f t="array" ref="H42">_xlfn.IFS($G42=$G$5,H$5,$G42=$G$7,H$7,$G42=$G$10,H$10,$G42=$G$13,H$13,$G42=$G$14,H$14,$G42=$G$16,H$16,$G42=$G$17,H$17,$G42=$G$19,H$19,$G42=$G$20,H$20,$G42=$G$22,H$22,$G42=$G$23,H$23,$G42=$G$26,H$26,$G42=$G$29,H$29,$G42=$G$31,H$31,$G42=$G$34,H$34,$G42=$G$37,H$37,$G42=$G$107,H$107,$G42=$G$110,H$110,$G42=$G$140,H$140,$G42=$G$142,H$142,$G42=$G$408,H$408)</f>
        <v>41.437435000000001</v>
      </c>
      <c r="I42" s="19" cm="1">
        <f t="array" ref="I42">_xlfn.IFS($G42=$G$5,I$5,$G42=$G$7,I$7,$G42=$G$10,I$10,$G42=$G$13,I$13,$G42=$G$14,I$14,$G42=$G$16,I$16,$G42=$G$17,I$17,$G42=$G$19,I$19,$G42=$G$20,I$20,$G42=$G$22,I$22,$G42=$G$23,I$23,$G42=$G$26,I$26,$G42=$G$29,I$29,$G42=$G$31,I$31,$G42=$G$34,I$34,$G42=$G$37,I$37,$G42=$G$107,I$107,$G42=$G$110,I$110,$G42=$G$140,I$140,$G42=$G$142,I$142,$G42=$G$408,I$408)</f>
        <v>2.1812779999999998</v>
      </c>
      <c r="J42" s="34" cm="1">
        <f t="array" ref="J42">_xlfn.IFS($G42=$G$5,J$5,$G42=$G$7,J$7,$G42=$G$10,J$10,$G42=$G$13,J$13,$G42=$G$14,J$14,$G42=$G$16,J$16,$G42=$G$17,J$17,$G42=$G$19,J$19,$G42=$G$20,J$20,$G42=$G$22,J$22,$G42=$G$23,J$23,$G42=$G$26,J$26,$G42=$G$29,J$29,$G42=$G$31,J$31,$G42=$G$34,J$34,$G42=$G$37,J$37,$G42=$G$107,J$107,$G42=$G$110,J$110,$G42=$G$140,J$140,$G42=$G$142,J$142,$G42=$G$408,J$408)</f>
        <v>47</v>
      </c>
      <c r="K42" s="13" t="str" cm="1">
        <f t="array" ref="K42">_xlfn.IFS($G42=$G$5,K$5,$G42=$G$7,K$7,$G42=$G$10,K$10,$G42=$G$13,K$13,$G42=$G$14,K$14,$G42=$G$16,K$16,$G42=$G$17,K$17,$G42=$G$19,K$19,$G42=$G$20,K$20,$G42=$G$22,K$22,$G42=$G$23,K$23,$G42=$G$26,K$26,$G42=$G$29,K$29,$G42=$G$31,K$31,$G42=$G$34,K$34,$G42=$G$37,K$37,$G42=$G$107,K$107,$G42=$G$110,K$110,$G42=$G$140,K$140,$G42=$G$142,K$142,$G42=$G$408,K$408)</f>
        <v>BG sentinel + BG lure7</v>
      </c>
      <c r="L42" s="13" t="str" cm="1">
        <f t="array" ref="L42">_xlfn.IFS($G42=$G$5,L$5,$G42=$G$7,L$7,$G42=$G$10,L$10,$G42=$G$13,L$13,$G42=$G$14,L$14,$G42=$G$16,L$16,$G42=$G$17,L$17,$G42=$G$19,L$19,$G42=$G$20,L$20,$G42=$G$22,L$22,$G42=$G$23,L$23,$G42=$G$26,L$26,$G42=$G$29,L$29,$G42=$G$31,L$31,$G42=$G$34,L$34,$G42=$G$37,L$37,$G42=$G$107,L$107,$G42=$G$110,L$110,$G42=$G$140,L$140,$G42=$G$142,L$142,$G42=$G$408,L$408)</f>
        <v>urban habitat</v>
      </c>
      <c r="O42" s="13" t="str">
        <f t="shared" si="0"/>
        <v>A_SP_BCN_3_220629</v>
      </c>
      <c r="P42" s="31">
        <v>44741</v>
      </c>
      <c r="Q42" s="29">
        <v>0.5625</v>
      </c>
      <c r="R42" s="22"/>
      <c r="S42" s="27">
        <v>44747</v>
      </c>
      <c r="T42" s="29">
        <v>0.76388888888888884</v>
      </c>
      <c r="V42" s="13" t="s">
        <v>86</v>
      </c>
      <c r="X42" s="13">
        <f t="shared" si="1"/>
        <v>6</v>
      </c>
      <c r="Z42" s="13" t="s">
        <v>60</v>
      </c>
      <c r="AA42" s="13">
        <f t="shared" si="2"/>
        <v>5</v>
      </c>
      <c r="AB42" s="13" t="str">
        <f t="shared" si="3"/>
        <v>Adult</v>
      </c>
      <c r="AC42" s="13">
        <v>2</v>
      </c>
      <c r="AD42" s="13">
        <v>3</v>
      </c>
      <c r="AE42" s="13" t="str">
        <f t="shared" si="4"/>
        <v>Morphological</v>
      </c>
      <c r="AF42" s="2">
        <v>4</v>
      </c>
    </row>
    <row r="43" spans="1:32" x14ac:dyDescent="0.25">
      <c r="A43" s="13">
        <v>39</v>
      </c>
      <c r="B43" s="23" t="s">
        <v>56</v>
      </c>
      <c r="C43" s="23" t="s">
        <v>57</v>
      </c>
      <c r="D43" s="23" t="s">
        <v>58</v>
      </c>
      <c r="E43" s="23" t="s">
        <v>58</v>
      </c>
      <c r="F43" s="24" cm="1">
        <f t="array" ref="F43">_xlfn.IFS($G43=$G$5,F$5,$G43=$G$7,F$7,$G43=$G$10,F$10,$G43=$G$13,F$13,$G43=$G$14,F$14,$G43=$G$16,F$16,$G43=$G$17,F$17,$G43=$G$19,F$19,$G43=$G$20,F$20,$G43=$G$22,F$22,$G43=$G$23,F$23,$G43=$G$26,F$26,$G43=$G$29,F$29,$G43=$G$31,F$31,$G43=$G$34,F$34,$G43=$G$37,F$37,$G43=$G$107,F$107,$G43=$G$110,F$110,$G43=$G$140,F$140,$G43=$G$142,F$142,$G43=$G$408,F$408)</f>
        <v>8016</v>
      </c>
      <c r="G43" s="13" t="s">
        <v>62</v>
      </c>
      <c r="H43" s="18" cm="1">
        <f t="array" ref="H43">_xlfn.IFS($G43=$G$5,H$5,$G43=$G$7,H$7,$G43=$G$10,H$10,$G43=$G$13,H$13,$G43=$G$14,H$14,$G43=$G$16,H$16,$G43=$G$17,H$17,$G43=$G$19,H$19,$G43=$G$20,H$20,$G43=$G$22,H$22,$G43=$G$23,H$23,$G43=$G$26,H$26,$G43=$G$29,H$29,$G43=$G$31,H$31,$G43=$G$34,H$34,$G43=$G$37,H$37,$G43=$G$107,H$107,$G43=$G$110,H$110,$G43=$G$140,H$140,$G43=$G$142,H$142,$G43=$G$408,H$408)</f>
        <v>41.437435000000001</v>
      </c>
      <c r="I43" s="19" cm="1">
        <f t="array" ref="I43">_xlfn.IFS($G43=$G$5,I$5,$G43=$G$7,I$7,$G43=$G$10,I$10,$G43=$G$13,I$13,$G43=$G$14,I$14,$G43=$G$16,I$16,$G43=$G$17,I$17,$G43=$G$19,I$19,$G43=$G$20,I$20,$G43=$G$22,I$22,$G43=$G$23,I$23,$G43=$G$26,I$26,$G43=$G$29,I$29,$G43=$G$31,I$31,$G43=$G$34,I$34,$G43=$G$37,I$37,$G43=$G$107,I$107,$G43=$G$110,I$110,$G43=$G$140,I$140,$G43=$G$142,I$142,$G43=$G$408,I$408)</f>
        <v>2.1812779999999998</v>
      </c>
      <c r="J43" s="34" cm="1">
        <f t="array" ref="J43">_xlfn.IFS($G43=$G$5,J$5,$G43=$G$7,J$7,$G43=$G$10,J$10,$G43=$G$13,J$13,$G43=$G$14,J$14,$G43=$G$16,J$16,$G43=$G$17,J$17,$G43=$G$19,J$19,$G43=$G$20,J$20,$G43=$G$22,J$22,$G43=$G$23,J$23,$G43=$G$26,J$26,$G43=$G$29,J$29,$G43=$G$31,J$31,$G43=$G$34,J$34,$G43=$G$37,J$37,$G43=$G$107,J$107,$G43=$G$110,J$110,$G43=$G$140,J$140,$G43=$G$142,J$142,$G43=$G$408,J$408)</f>
        <v>47</v>
      </c>
      <c r="K43" s="13" t="str" cm="1">
        <f t="array" ref="K43">_xlfn.IFS($G43=$G$5,K$5,$G43=$G$7,K$7,$G43=$G$10,K$10,$G43=$G$13,K$13,$G43=$G$14,K$14,$G43=$G$16,K$16,$G43=$G$17,K$17,$G43=$G$19,K$19,$G43=$G$20,K$20,$G43=$G$22,K$22,$G43=$G$23,K$23,$G43=$G$26,K$26,$G43=$G$29,K$29,$G43=$G$31,K$31,$G43=$G$34,K$34,$G43=$G$37,K$37,$G43=$G$107,K$107,$G43=$G$110,K$110,$G43=$G$140,K$140,$G43=$G$142,K$142,$G43=$G$408,K$408)</f>
        <v>BG sentinel + BG lure7</v>
      </c>
      <c r="L43" s="13" t="str" cm="1">
        <f t="array" ref="L43">_xlfn.IFS($G43=$G$5,L$5,$G43=$G$7,L$7,$G43=$G$10,L$10,$G43=$G$13,L$13,$G43=$G$14,L$14,$G43=$G$16,L$16,$G43=$G$17,L$17,$G43=$G$19,L$19,$G43=$G$20,L$20,$G43=$G$22,L$22,$G43=$G$23,L$23,$G43=$G$26,L$26,$G43=$G$29,L$29,$G43=$G$31,L$31,$G43=$G$34,L$34,$G43=$G$37,L$37,$G43=$G$107,L$107,$G43=$G$110,L$110,$G43=$G$140,L$140,$G43=$G$142,L$142,$G43=$G$408,L$408)</f>
        <v>urban habitat</v>
      </c>
      <c r="O43" s="13" t="str">
        <f t="shared" si="0"/>
        <v>A_SP_BCN_3_220629</v>
      </c>
      <c r="P43" s="31">
        <v>44741</v>
      </c>
      <c r="Q43" s="29">
        <v>0.5625</v>
      </c>
      <c r="R43" s="22"/>
      <c r="S43" s="27">
        <v>44747</v>
      </c>
      <c r="T43" s="29">
        <v>0.76388888888888884</v>
      </c>
      <c r="V43" s="13" t="s">
        <v>86</v>
      </c>
      <c r="X43" s="13">
        <f t="shared" si="1"/>
        <v>6</v>
      </c>
      <c r="Z43" s="13" t="s">
        <v>164</v>
      </c>
      <c r="AA43" s="13">
        <f t="shared" si="2"/>
        <v>6</v>
      </c>
      <c r="AB43" s="13" t="str">
        <f t="shared" si="3"/>
        <v>Adult</v>
      </c>
      <c r="AC43" s="13">
        <v>2</v>
      </c>
      <c r="AD43" s="13">
        <v>4</v>
      </c>
      <c r="AE43" s="13" t="str">
        <f t="shared" si="4"/>
        <v>Morphological</v>
      </c>
      <c r="AF43" s="2">
        <v>4</v>
      </c>
    </row>
    <row r="44" spans="1:32" x14ac:dyDescent="0.25">
      <c r="A44" s="13">
        <v>40</v>
      </c>
      <c r="B44" s="23" t="s">
        <v>56</v>
      </c>
      <c r="C44" s="23" t="s">
        <v>57</v>
      </c>
      <c r="D44" s="23" t="s">
        <v>58</v>
      </c>
      <c r="E44" s="23" t="s">
        <v>58</v>
      </c>
      <c r="F44" s="24" cm="1">
        <f t="array" ref="F44">_xlfn.IFS($G44=$G$5,F$5,$G44=$G$7,F$7,$G44=$G$10,F$10,$G44=$G$13,F$13,$G44=$G$14,F$14,$G44=$G$16,F$16,$G44=$G$17,F$17,$G44=$G$19,F$19,$G44=$G$20,F$20,$G44=$G$22,F$22,$G44=$G$23,F$23,$G44=$G$26,F$26,$G44=$G$29,F$29,$G44=$G$31,F$31,$G44=$G$34,F$34,$G44=$G$37,F$37,$G44=$G$107,F$107,$G44=$G$110,F$110,$G44=$G$140,F$140,$G44=$G$142,F$142,$G44=$G$408,F$408)</f>
        <v>8016</v>
      </c>
      <c r="G44" s="13" t="s">
        <v>62</v>
      </c>
      <c r="H44" s="18" cm="1">
        <f t="array" ref="H44">_xlfn.IFS($G44=$G$5,H$5,$G44=$G$7,H$7,$G44=$G$10,H$10,$G44=$G$13,H$13,$G44=$G$14,H$14,$G44=$G$16,H$16,$G44=$G$17,H$17,$G44=$G$19,H$19,$G44=$G$20,H$20,$G44=$G$22,H$22,$G44=$G$23,H$23,$G44=$G$26,H$26,$G44=$G$29,H$29,$G44=$G$31,H$31,$G44=$G$34,H$34,$G44=$G$37,H$37,$G44=$G$107,H$107,$G44=$G$110,H$110,$G44=$G$140,H$140,$G44=$G$142,H$142,$G44=$G$408,H$408)</f>
        <v>41.437435000000001</v>
      </c>
      <c r="I44" s="19" cm="1">
        <f t="array" ref="I44">_xlfn.IFS($G44=$G$5,I$5,$G44=$G$7,I$7,$G44=$G$10,I$10,$G44=$G$13,I$13,$G44=$G$14,I$14,$G44=$G$16,I$16,$G44=$G$17,I$17,$G44=$G$19,I$19,$G44=$G$20,I$20,$G44=$G$22,I$22,$G44=$G$23,I$23,$G44=$G$26,I$26,$G44=$G$29,I$29,$G44=$G$31,I$31,$G44=$G$34,I$34,$G44=$G$37,I$37,$G44=$G$107,I$107,$G44=$G$110,I$110,$G44=$G$140,I$140,$G44=$G$142,I$142,$G44=$G$408,I$408)</f>
        <v>2.1812779999999998</v>
      </c>
      <c r="J44" s="34" cm="1">
        <f t="array" ref="J44">_xlfn.IFS($G44=$G$5,J$5,$G44=$G$7,J$7,$G44=$G$10,J$10,$G44=$G$13,J$13,$G44=$G$14,J$14,$G44=$G$16,J$16,$G44=$G$17,J$17,$G44=$G$19,J$19,$G44=$G$20,J$20,$G44=$G$22,J$22,$G44=$G$23,J$23,$G44=$G$26,J$26,$G44=$G$29,J$29,$G44=$G$31,J$31,$G44=$G$34,J$34,$G44=$G$37,J$37,$G44=$G$107,J$107,$G44=$G$110,J$110,$G44=$G$140,J$140,$G44=$G$142,J$142,$G44=$G$408,J$408)</f>
        <v>47</v>
      </c>
      <c r="K44" s="13" t="str" cm="1">
        <f t="array" ref="K44">_xlfn.IFS($G44=$G$5,K$5,$G44=$G$7,K$7,$G44=$G$10,K$10,$G44=$G$13,K$13,$G44=$G$14,K$14,$G44=$G$16,K$16,$G44=$G$17,K$17,$G44=$G$19,K$19,$G44=$G$20,K$20,$G44=$G$22,K$22,$G44=$G$23,K$23,$G44=$G$26,K$26,$G44=$G$29,K$29,$G44=$G$31,K$31,$G44=$G$34,K$34,$G44=$G$37,K$37,$G44=$G$107,K$107,$G44=$G$110,K$110,$G44=$G$140,K$140,$G44=$G$142,K$142,$G44=$G$408,K$408)</f>
        <v>BG sentinel + BG lure7</v>
      </c>
      <c r="L44" s="13" t="str" cm="1">
        <f t="array" ref="L44">_xlfn.IFS($G44=$G$5,L$5,$G44=$G$7,L$7,$G44=$G$10,L$10,$G44=$G$13,L$13,$G44=$G$14,L$14,$G44=$G$16,L$16,$G44=$G$17,L$17,$G44=$G$19,L$19,$G44=$G$20,L$20,$G44=$G$22,L$22,$G44=$G$23,L$23,$G44=$G$26,L$26,$G44=$G$29,L$29,$G44=$G$31,L$31,$G44=$G$34,L$34,$G44=$G$37,L$37,$G44=$G$107,L$107,$G44=$G$110,L$110,$G44=$G$140,L$140,$G44=$G$142,L$142,$G44=$G$408,L$408)</f>
        <v>urban habitat</v>
      </c>
      <c r="O44" s="13" t="str">
        <f t="shared" si="0"/>
        <v>A_SP_BCN_3_220629</v>
      </c>
      <c r="P44" s="31">
        <v>44741</v>
      </c>
      <c r="Q44" s="29">
        <v>0.5625</v>
      </c>
      <c r="R44" s="22"/>
      <c r="S44" s="27">
        <v>44747</v>
      </c>
      <c r="T44" s="29">
        <v>0.76388888888888884</v>
      </c>
      <c r="V44" s="13" t="s">
        <v>86</v>
      </c>
      <c r="X44" s="13">
        <f t="shared" si="1"/>
        <v>6</v>
      </c>
      <c r="Z44" s="32" t="s">
        <v>163</v>
      </c>
      <c r="AA44" s="13">
        <f t="shared" si="2"/>
        <v>1</v>
      </c>
      <c r="AB44" s="13" t="str">
        <f t="shared" si="3"/>
        <v>Adult</v>
      </c>
      <c r="AC44" s="13">
        <v>1</v>
      </c>
      <c r="AD44" s="13">
        <v>0</v>
      </c>
      <c r="AE44" s="13" t="str">
        <f t="shared" si="4"/>
        <v>Morphological</v>
      </c>
      <c r="AF44" s="2">
        <v>4</v>
      </c>
    </row>
    <row r="45" spans="1:32" x14ac:dyDescent="0.25">
      <c r="A45" s="13">
        <v>41</v>
      </c>
      <c r="B45" s="23" t="s">
        <v>56</v>
      </c>
      <c r="C45" s="23" t="s">
        <v>57</v>
      </c>
      <c r="D45" s="23" t="s">
        <v>58</v>
      </c>
      <c r="E45" s="23" t="s">
        <v>58</v>
      </c>
      <c r="F45" s="24" cm="1">
        <f t="array" ref="F45">_xlfn.IFS($G45=$G$5,F$5,$G45=$G$7,F$7,$G45=$G$10,F$10,$G45=$G$13,F$13,$G45=$G$14,F$14,$G45=$G$16,F$16,$G45=$G$17,F$17,$G45=$G$19,F$19,$G45=$G$20,F$20,$G45=$G$22,F$22,$G45=$G$23,F$23,$G45=$G$26,F$26,$G45=$G$29,F$29,$G45=$G$31,F$31,$G45=$G$34,F$34,$G45=$G$37,F$37,$G45=$G$107,F$107,$G45=$G$110,F$110,$G45=$G$140,F$140,$G45=$G$142,F$142,$G45=$G$408,F$408)</f>
        <v>8018</v>
      </c>
      <c r="G45" s="13" t="s">
        <v>63</v>
      </c>
      <c r="H45" s="18" cm="1">
        <f t="array" ref="H45">_xlfn.IFS($G45=$G$5,H$5,$G45=$G$7,H$7,$G45=$G$10,H$10,$G45=$G$13,H$13,$G45=$G$14,H$14,$G45=$G$16,H$16,$G45=$G$17,H$17,$G45=$G$19,H$19,$G45=$G$20,H$20,$G45=$G$22,H$22,$G45=$G$23,H$23,$G45=$G$26,H$26,$G45=$G$29,H$29,$G45=$G$31,H$31,$G45=$G$34,H$34,$G45=$G$37,H$37,$G45=$G$107,H$107,$G45=$G$110,H$110,$G45=$G$140,H$140,$G45=$G$142,H$142,$G45=$G$408,H$408)</f>
        <v>41.404924999999999</v>
      </c>
      <c r="I45" s="19" cm="1">
        <f t="array" ref="I45">_xlfn.IFS($G45=$G$5,I$5,$G45=$G$7,I$7,$G45=$G$10,I$10,$G45=$G$13,I$13,$G45=$G$14,I$14,$G45=$G$16,I$16,$G45=$G$17,I$17,$G45=$G$19,I$19,$G45=$G$20,I$20,$G45=$G$22,I$22,$G45=$G$23,I$23,$G45=$G$26,I$26,$G45=$G$29,I$29,$G45=$G$31,I$31,$G45=$G$34,I$34,$G45=$G$37,I$37,$G45=$G$107,I$107,$G45=$G$110,I$110,$G45=$G$140,I$140,$G45=$G$142,I$142,$G45=$G$408,I$408)</f>
        <v>2.1987909999999999</v>
      </c>
      <c r="J45" s="34" cm="1">
        <f t="array" ref="J45">_xlfn.IFS($G45=$G$5,J$5,$G45=$G$7,J$7,$G45=$G$10,J$10,$G45=$G$13,J$13,$G45=$G$14,J$14,$G45=$G$16,J$16,$G45=$G$17,J$17,$G45=$G$19,J$19,$G45=$G$20,J$20,$G45=$G$22,J$22,$G45=$G$23,J$23,$G45=$G$26,J$26,$G45=$G$29,J$29,$G45=$G$31,J$31,$G45=$G$34,J$34,$G45=$G$37,J$37,$G45=$G$107,J$107,$G45=$G$110,J$110,$G45=$G$140,J$140,$G45=$G$142,J$142,$G45=$G$408,J$408)</f>
        <v>4</v>
      </c>
      <c r="K45" s="13" t="str" cm="1">
        <f t="array" ref="K45">_xlfn.IFS($G45=$G$5,K$5,$G45=$G$7,K$7,$G45=$G$10,K$10,$G45=$G$13,K$13,$G45=$G$14,K$14,$G45=$G$16,K$16,$G45=$G$17,K$17,$G45=$G$19,K$19,$G45=$G$20,K$20,$G45=$G$22,K$22,$G45=$G$23,K$23,$G45=$G$26,K$26,$G45=$G$29,K$29,$G45=$G$31,K$31,$G45=$G$34,K$34,$G45=$G$37,K$37,$G45=$G$107,K$107,$G45=$G$110,K$110,$G45=$G$140,K$140,$G45=$G$142,K$142,$G45=$G$408,K$408)</f>
        <v>BG sentinel + BG lure7</v>
      </c>
      <c r="L45" s="13" t="str" cm="1">
        <f t="array" ref="L45">_xlfn.IFS($G45=$G$5,L$5,$G45=$G$7,L$7,$G45=$G$10,L$10,$G45=$G$13,L$13,$G45=$G$14,L$14,$G45=$G$16,L$16,$G45=$G$17,L$17,$G45=$G$19,L$19,$G45=$G$20,L$20,$G45=$G$22,L$22,$G45=$G$23,L$23,$G45=$G$26,L$26,$G45=$G$29,L$29,$G45=$G$31,L$31,$G45=$G$34,L$34,$G45=$G$37,L$37,$G45=$G$107,L$107,$G45=$G$110,L$110,$G45=$G$140,L$140,$G45=$G$142,L$142,$G45=$G$408,L$408)</f>
        <v>urban habitat</v>
      </c>
      <c r="O45" s="13" t="str">
        <f t="shared" si="0"/>
        <v>A_SP_BCN_4_220629</v>
      </c>
      <c r="P45" s="31">
        <v>44741</v>
      </c>
      <c r="Q45" s="29">
        <v>0.60416666666666663</v>
      </c>
      <c r="R45" s="22"/>
      <c r="S45" s="27">
        <v>44747</v>
      </c>
      <c r="T45" s="29">
        <v>0.80208333333333337</v>
      </c>
      <c r="V45" s="13" t="s">
        <v>86</v>
      </c>
      <c r="X45" s="13">
        <f t="shared" si="1"/>
        <v>6</v>
      </c>
      <c r="Z45" s="13" t="s">
        <v>60</v>
      </c>
      <c r="AA45" s="13">
        <f t="shared" si="2"/>
        <v>4</v>
      </c>
      <c r="AB45" s="13" t="str">
        <f t="shared" si="3"/>
        <v>Adult</v>
      </c>
      <c r="AC45" s="13">
        <v>3</v>
      </c>
      <c r="AD45" s="13">
        <v>1</v>
      </c>
      <c r="AE45" s="13" t="str">
        <f t="shared" si="4"/>
        <v>Morphological</v>
      </c>
      <c r="AF45" s="2">
        <v>4</v>
      </c>
    </row>
    <row r="46" spans="1:32" x14ac:dyDescent="0.25">
      <c r="A46" s="13">
        <v>42</v>
      </c>
      <c r="B46" s="23" t="s">
        <v>56</v>
      </c>
      <c r="C46" s="23" t="s">
        <v>57</v>
      </c>
      <c r="D46" s="23" t="s">
        <v>58</v>
      </c>
      <c r="E46" s="23" t="s">
        <v>58</v>
      </c>
      <c r="F46" s="24" cm="1">
        <f t="array" ref="F46">_xlfn.IFS($G46=$G$5,F$5,$G46=$G$7,F$7,$G46=$G$10,F$10,$G46=$G$13,F$13,$G46=$G$14,F$14,$G46=$G$16,F$16,$G46=$G$17,F$17,$G46=$G$19,F$19,$G46=$G$20,F$20,$G46=$G$22,F$22,$G46=$G$23,F$23,$G46=$G$26,F$26,$G46=$G$29,F$29,$G46=$G$31,F$31,$G46=$G$34,F$34,$G46=$G$37,F$37,$G46=$G$107,F$107,$G46=$G$110,F$110,$G46=$G$140,F$140,$G46=$G$142,F$142,$G46=$G$408,F$408)</f>
        <v>8018</v>
      </c>
      <c r="G46" s="13" t="s">
        <v>63</v>
      </c>
      <c r="H46" s="18" cm="1">
        <f t="array" ref="H46">_xlfn.IFS($G46=$G$5,H$5,$G46=$G$7,H$7,$G46=$G$10,H$10,$G46=$G$13,H$13,$G46=$G$14,H$14,$G46=$G$16,H$16,$G46=$G$17,H$17,$G46=$G$19,H$19,$G46=$G$20,H$20,$G46=$G$22,H$22,$G46=$G$23,H$23,$G46=$G$26,H$26,$G46=$G$29,H$29,$G46=$G$31,H$31,$G46=$G$34,H$34,$G46=$G$37,H$37,$G46=$G$107,H$107,$G46=$G$110,H$110,$G46=$G$140,H$140,$G46=$G$142,H$142,$G46=$G$408,H$408)</f>
        <v>41.404924999999999</v>
      </c>
      <c r="I46" s="19" cm="1">
        <f t="array" ref="I46">_xlfn.IFS($G46=$G$5,I$5,$G46=$G$7,I$7,$G46=$G$10,I$10,$G46=$G$13,I$13,$G46=$G$14,I$14,$G46=$G$16,I$16,$G46=$G$17,I$17,$G46=$G$19,I$19,$G46=$G$20,I$20,$G46=$G$22,I$22,$G46=$G$23,I$23,$G46=$G$26,I$26,$G46=$G$29,I$29,$G46=$G$31,I$31,$G46=$G$34,I$34,$G46=$G$37,I$37,$G46=$G$107,I$107,$G46=$G$110,I$110,$G46=$G$140,I$140,$G46=$G$142,I$142,$G46=$G$408,I$408)</f>
        <v>2.1987909999999999</v>
      </c>
      <c r="J46" s="34" cm="1">
        <f t="array" ref="J46">_xlfn.IFS($G46=$G$5,J$5,$G46=$G$7,J$7,$G46=$G$10,J$10,$G46=$G$13,J$13,$G46=$G$14,J$14,$G46=$G$16,J$16,$G46=$G$17,J$17,$G46=$G$19,J$19,$G46=$G$20,J$20,$G46=$G$22,J$22,$G46=$G$23,J$23,$G46=$G$26,J$26,$G46=$G$29,J$29,$G46=$G$31,J$31,$G46=$G$34,J$34,$G46=$G$37,J$37,$G46=$G$107,J$107,$G46=$G$110,J$110,$G46=$G$140,J$140,$G46=$G$142,J$142,$G46=$G$408,J$408)</f>
        <v>4</v>
      </c>
      <c r="K46" s="13" t="str" cm="1">
        <f t="array" ref="K46">_xlfn.IFS($G46=$G$5,K$5,$G46=$G$7,K$7,$G46=$G$10,K$10,$G46=$G$13,K$13,$G46=$G$14,K$14,$G46=$G$16,K$16,$G46=$G$17,K$17,$G46=$G$19,K$19,$G46=$G$20,K$20,$G46=$G$22,K$22,$G46=$G$23,K$23,$G46=$G$26,K$26,$G46=$G$29,K$29,$G46=$G$31,K$31,$G46=$G$34,K$34,$G46=$G$37,K$37,$G46=$G$107,K$107,$G46=$G$110,K$110,$G46=$G$140,K$140,$G46=$G$142,K$142,$G46=$G$408,K$408)</f>
        <v>BG sentinel + BG lure7</v>
      </c>
      <c r="L46" s="13" t="str" cm="1">
        <f t="array" ref="L46">_xlfn.IFS($G46=$G$5,L$5,$G46=$G$7,L$7,$G46=$G$10,L$10,$G46=$G$13,L$13,$G46=$G$14,L$14,$G46=$G$16,L$16,$G46=$G$17,L$17,$G46=$G$19,L$19,$G46=$G$20,L$20,$G46=$G$22,L$22,$G46=$G$23,L$23,$G46=$G$26,L$26,$G46=$G$29,L$29,$G46=$G$31,L$31,$G46=$G$34,L$34,$G46=$G$37,L$37,$G46=$G$107,L$107,$G46=$G$110,L$110,$G46=$G$140,L$140,$G46=$G$142,L$142,$G46=$G$408,L$408)</f>
        <v>urban habitat</v>
      </c>
      <c r="O46" s="13" t="str">
        <f t="shared" si="0"/>
        <v>A_SP_BCN_4_220629</v>
      </c>
      <c r="P46" s="31">
        <v>44741</v>
      </c>
      <c r="Q46" s="29">
        <v>0.60416666666666663</v>
      </c>
      <c r="R46" s="22"/>
      <c r="S46" s="27">
        <v>44747</v>
      </c>
      <c r="T46" s="29">
        <v>0.80208333333333337</v>
      </c>
      <c r="V46" s="13" t="s">
        <v>86</v>
      </c>
      <c r="X46" s="13">
        <f t="shared" si="1"/>
        <v>6</v>
      </c>
      <c r="Z46" s="13" t="s">
        <v>164</v>
      </c>
      <c r="AA46" s="13">
        <f t="shared" si="2"/>
        <v>3</v>
      </c>
      <c r="AB46" s="13" t="str">
        <f t="shared" si="3"/>
        <v>Adult</v>
      </c>
      <c r="AC46" s="13">
        <v>3</v>
      </c>
      <c r="AD46" s="13">
        <v>0</v>
      </c>
      <c r="AE46" s="13" t="str">
        <f t="shared" si="4"/>
        <v>Morphological</v>
      </c>
      <c r="AF46" s="2">
        <v>4</v>
      </c>
    </row>
    <row r="47" spans="1:32" x14ac:dyDescent="0.25">
      <c r="A47" s="13">
        <v>43</v>
      </c>
      <c r="B47" s="23" t="s">
        <v>56</v>
      </c>
      <c r="C47" s="23" t="s">
        <v>57</v>
      </c>
      <c r="D47" s="23" t="s">
        <v>58</v>
      </c>
      <c r="E47" s="23" t="s">
        <v>58</v>
      </c>
      <c r="F47" s="24" cm="1">
        <f t="array" ref="F47">_xlfn.IFS($G47=$G$5,F$5,$G47=$G$7,F$7,$G47=$G$10,F$10,$G47=$G$13,F$13,$G47=$G$14,F$14,$G47=$G$16,F$16,$G47=$G$17,F$17,$G47=$G$19,F$19,$G47=$G$20,F$20,$G47=$G$22,F$22,$G47=$G$23,F$23,$G47=$G$26,F$26,$G47=$G$29,F$29,$G47=$G$31,F$31,$G47=$G$34,F$34,$G47=$G$37,F$37,$G47=$G$107,F$107,$G47=$G$110,F$110,$G47=$G$140,F$140,$G47=$G$142,F$142,$G47=$G$408,F$408)</f>
        <v>8018</v>
      </c>
      <c r="G47" s="13" t="s">
        <v>63</v>
      </c>
      <c r="H47" s="18" cm="1">
        <f t="array" ref="H47">_xlfn.IFS($G47=$G$5,H$5,$G47=$G$7,H$7,$G47=$G$10,H$10,$G47=$G$13,H$13,$G47=$G$14,H$14,$G47=$G$16,H$16,$G47=$G$17,H$17,$G47=$G$19,H$19,$G47=$G$20,H$20,$G47=$G$22,H$22,$G47=$G$23,H$23,$G47=$G$26,H$26,$G47=$G$29,H$29,$G47=$G$31,H$31,$G47=$G$34,H$34,$G47=$G$37,H$37,$G47=$G$107,H$107,$G47=$G$110,H$110,$G47=$G$140,H$140,$G47=$G$142,H$142,$G47=$G$408,H$408)</f>
        <v>41.404924999999999</v>
      </c>
      <c r="I47" s="19" cm="1">
        <f t="array" ref="I47">_xlfn.IFS($G47=$G$5,I$5,$G47=$G$7,I$7,$G47=$G$10,I$10,$G47=$G$13,I$13,$G47=$G$14,I$14,$G47=$G$16,I$16,$G47=$G$17,I$17,$G47=$G$19,I$19,$G47=$G$20,I$20,$G47=$G$22,I$22,$G47=$G$23,I$23,$G47=$G$26,I$26,$G47=$G$29,I$29,$G47=$G$31,I$31,$G47=$G$34,I$34,$G47=$G$37,I$37,$G47=$G$107,I$107,$G47=$G$110,I$110,$G47=$G$140,I$140,$G47=$G$142,I$142,$G47=$G$408,I$408)</f>
        <v>2.1987909999999999</v>
      </c>
      <c r="J47" s="34" cm="1">
        <f t="array" ref="J47">_xlfn.IFS($G47=$G$5,J$5,$G47=$G$7,J$7,$G47=$G$10,J$10,$G47=$G$13,J$13,$G47=$G$14,J$14,$G47=$G$16,J$16,$G47=$G$17,J$17,$G47=$G$19,J$19,$G47=$G$20,J$20,$G47=$G$22,J$22,$G47=$G$23,J$23,$G47=$G$26,J$26,$G47=$G$29,J$29,$G47=$G$31,J$31,$G47=$G$34,J$34,$G47=$G$37,J$37,$G47=$G$107,J$107,$G47=$G$110,J$110,$G47=$G$140,J$140,$G47=$G$142,J$142,$G47=$G$408,J$408)</f>
        <v>4</v>
      </c>
      <c r="K47" s="13" t="str" cm="1">
        <f t="array" ref="K47">_xlfn.IFS($G47=$G$5,K$5,$G47=$G$7,K$7,$G47=$G$10,K$10,$G47=$G$13,K$13,$G47=$G$14,K$14,$G47=$G$16,K$16,$G47=$G$17,K$17,$G47=$G$19,K$19,$G47=$G$20,K$20,$G47=$G$22,K$22,$G47=$G$23,K$23,$G47=$G$26,K$26,$G47=$G$29,K$29,$G47=$G$31,K$31,$G47=$G$34,K$34,$G47=$G$37,K$37,$G47=$G$107,K$107,$G47=$G$110,K$110,$G47=$G$140,K$140,$G47=$G$142,K$142,$G47=$G$408,K$408)</f>
        <v>BG sentinel + BG lure7</v>
      </c>
      <c r="L47" s="13" t="str" cm="1">
        <f t="array" ref="L47">_xlfn.IFS($G47=$G$5,L$5,$G47=$G$7,L$7,$G47=$G$10,L$10,$G47=$G$13,L$13,$G47=$G$14,L$14,$G47=$G$16,L$16,$G47=$G$17,L$17,$G47=$G$19,L$19,$G47=$G$20,L$20,$G47=$G$22,L$22,$G47=$G$23,L$23,$G47=$G$26,L$26,$G47=$G$29,L$29,$G47=$G$31,L$31,$G47=$G$34,L$34,$G47=$G$37,L$37,$G47=$G$107,L$107,$G47=$G$110,L$110,$G47=$G$140,L$140,$G47=$G$142,L$142,$G47=$G$408,L$408)</f>
        <v>urban habitat</v>
      </c>
      <c r="O47" s="13" t="str">
        <f t="shared" si="0"/>
        <v>A_SP_BCN_4_220629</v>
      </c>
      <c r="P47" s="31">
        <v>44741</v>
      </c>
      <c r="Q47" s="29">
        <v>0.60416666666666663</v>
      </c>
      <c r="R47" s="22"/>
      <c r="S47" s="27">
        <v>44747</v>
      </c>
      <c r="T47" s="29">
        <v>0.80208333333333337</v>
      </c>
      <c r="V47" s="13" t="s">
        <v>86</v>
      </c>
      <c r="X47" s="13">
        <f t="shared" si="1"/>
        <v>6</v>
      </c>
      <c r="Z47" s="32" t="s">
        <v>163</v>
      </c>
      <c r="AA47" s="13">
        <f t="shared" si="2"/>
        <v>1</v>
      </c>
      <c r="AB47" s="13" t="str">
        <f t="shared" si="3"/>
        <v>Adult</v>
      </c>
      <c r="AC47" s="13">
        <v>0</v>
      </c>
      <c r="AD47" s="13">
        <v>1</v>
      </c>
      <c r="AE47" s="13" t="str">
        <f t="shared" si="4"/>
        <v>Morphological</v>
      </c>
      <c r="AF47" s="2">
        <v>4</v>
      </c>
    </row>
    <row r="48" spans="1:32" x14ac:dyDescent="0.25">
      <c r="A48" s="13">
        <v>44</v>
      </c>
      <c r="B48" s="23" t="s">
        <v>56</v>
      </c>
      <c r="C48" s="23" t="s">
        <v>57</v>
      </c>
      <c r="D48" s="23" t="s">
        <v>58</v>
      </c>
      <c r="E48" s="23" t="s">
        <v>58</v>
      </c>
      <c r="F48" s="24" cm="1">
        <f t="array" ref="F48">_xlfn.IFS($G48=$G$5,F$5,$G48=$G$7,F$7,$G48=$G$10,F$10,$G48=$G$13,F$13,$G48=$G$14,F$14,$G48=$G$16,F$16,$G48=$G$17,F$17,$G48=$G$19,F$19,$G48=$G$20,F$20,$G48=$G$22,F$22,$G48=$G$23,F$23,$G48=$G$26,F$26,$G48=$G$29,F$29,$G48=$G$31,F$31,$G48=$G$34,F$34,$G48=$G$37,F$37,$G48=$G$107,F$107,$G48=$G$110,F$110,$G48=$G$140,F$140,$G48=$G$142,F$142,$G48=$G$408,F$408)</f>
        <v>8019</v>
      </c>
      <c r="G48" s="13" t="s">
        <v>64</v>
      </c>
      <c r="H48" s="18" cm="1">
        <f t="array" ref="H48">_xlfn.IFS($G48=$G$5,H$5,$G48=$G$7,H$7,$G48=$G$10,H$10,$G48=$G$13,H$13,$G48=$G$14,H$14,$G48=$G$16,H$16,$G48=$G$17,H$17,$G48=$G$19,H$19,$G48=$G$20,H$20,$G48=$G$22,H$22,$G48=$G$23,H$23,$G48=$G$26,H$26,$G48=$G$29,H$29,$G48=$G$31,H$31,$G48=$G$34,H$34,$G48=$G$37,H$37,$G48=$G$107,H$107,$G48=$G$110,H$110,$G48=$G$140,H$140,$G48=$G$142,H$142,$G48=$G$408,H$408)</f>
        <v>41.410684000000003</v>
      </c>
      <c r="I48" s="19" cm="1">
        <f t="array" ref="I48">_xlfn.IFS($G48=$G$5,I$5,$G48=$G$7,I$7,$G48=$G$10,I$10,$G48=$G$13,I$13,$G48=$G$14,I$14,$G48=$G$16,I$16,$G48=$G$17,I$17,$G48=$G$19,I$19,$G48=$G$20,I$20,$G48=$G$22,I$22,$G48=$G$23,I$23,$G48=$G$26,I$26,$G48=$G$29,I$29,$G48=$G$31,I$31,$G48=$G$34,I$34,$G48=$G$37,I$37,$G48=$G$107,I$107,$G48=$G$110,I$110,$G48=$G$140,I$140,$G48=$G$142,I$142,$G48=$G$408,I$408)</f>
        <v>2.2208019999999999</v>
      </c>
      <c r="J48" s="34" cm="1">
        <f t="array" ref="J48">_xlfn.IFS($G48=$G$5,J$5,$G48=$G$7,J$7,$G48=$G$10,J$10,$G48=$G$13,J$13,$G48=$G$14,J$14,$G48=$G$16,J$16,$G48=$G$17,J$17,$G48=$G$19,J$19,$G48=$G$20,J$20,$G48=$G$22,J$22,$G48=$G$23,J$23,$G48=$G$26,J$26,$G48=$G$29,J$29,$G48=$G$31,J$31,$G48=$G$34,J$34,$G48=$G$37,J$37,$G48=$G$107,J$107,$G48=$G$110,J$110,$G48=$G$140,J$140,$G48=$G$142,J$142,$G48=$G$408,J$408)</f>
        <v>18</v>
      </c>
      <c r="K48" s="13" t="str" cm="1">
        <f t="array" ref="K48">_xlfn.IFS($G48=$G$5,K$5,$G48=$G$7,K$7,$G48=$G$10,K$10,$G48=$G$13,K$13,$G48=$G$14,K$14,$G48=$G$16,K$16,$G48=$G$17,K$17,$G48=$G$19,K$19,$G48=$G$20,K$20,$G48=$G$22,K$22,$G48=$G$23,K$23,$G48=$G$26,K$26,$G48=$G$29,K$29,$G48=$G$31,K$31,$G48=$G$34,K$34,$G48=$G$37,K$37,$G48=$G$107,K$107,$G48=$G$110,K$110,$G48=$G$140,K$140,$G48=$G$142,K$142,$G48=$G$408,K$408)</f>
        <v>BG sentinel + BG lure7</v>
      </c>
      <c r="L48" s="13" t="str" cm="1">
        <f t="array" ref="L48">_xlfn.IFS($G48=$G$5,L$5,$G48=$G$7,L$7,$G48=$G$10,L$10,$G48=$G$13,L$13,$G48=$G$14,L$14,$G48=$G$16,L$16,$G48=$G$17,L$17,$G48=$G$19,L$19,$G48=$G$20,L$20,$G48=$G$22,L$22,$G48=$G$23,L$23,$G48=$G$26,L$26,$G48=$G$29,L$29,$G48=$G$31,L$31,$G48=$G$34,L$34,$G48=$G$37,L$37,$G48=$G$107,L$107,$G48=$G$110,L$110,$G48=$G$140,L$140,$G48=$G$142,L$142,$G48=$G$408,L$408)</f>
        <v>urban habitat</v>
      </c>
      <c r="O48" s="13" t="str">
        <f t="shared" si="0"/>
        <v>A_SP_BCN_5_220629</v>
      </c>
      <c r="P48" s="31">
        <v>44741</v>
      </c>
      <c r="Q48" s="29">
        <v>0.58680555555555558</v>
      </c>
      <c r="R48" s="22"/>
      <c r="S48" s="27">
        <v>44747</v>
      </c>
      <c r="T48" s="29">
        <v>0.78472222222222221</v>
      </c>
      <c r="V48" s="13" t="s">
        <v>86</v>
      </c>
      <c r="X48" s="13">
        <f t="shared" si="1"/>
        <v>6</v>
      </c>
      <c r="Z48" s="13" t="s">
        <v>60</v>
      </c>
      <c r="AA48" s="13">
        <f t="shared" si="2"/>
        <v>1</v>
      </c>
      <c r="AB48" s="13" t="str">
        <f t="shared" si="3"/>
        <v>Adult</v>
      </c>
      <c r="AC48" s="13">
        <v>0</v>
      </c>
      <c r="AD48" s="13">
        <v>1</v>
      </c>
      <c r="AE48" s="13" t="str">
        <f t="shared" si="4"/>
        <v>Morphological</v>
      </c>
      <c r="AF48" s="2">
        <v>4</v>
      </c>
    </row>
    <row r="49" spans="1:32" x14ac:dyDescent="0.25">
      <c r="A49" s="13">
        <v>45</v>
      </c>
      <c r="B49" s="23" t="s">
        <v>56</v>
      </c>
      <c r="C49" s="23" t="s">
        <v>57</v>
      </c>
      <c r="D49" s="23" t="s">
        <v>58</v>
      </c>
      <c r="E49" s="23" t="s">
        <v>58</v>
      </c>
      <c r="F49" s="24" cm="1">
        <f t="array" ref="F49">_xlfn.IFS($G49=$G$5,F$5,$G49=$G$7,F$7,$G49=$G$10,F$10,$G49=$G$13,F$13,$G49=$G$14,F$14,$G49=$G$16,F$16,$G49=$G$17,F$17,$G49=$G$19,F$19,$G49=$G$20,F$20,$G49=$G$22,F$22,$G49=$G$23,F$23,$G49=$G$26,F$26,$G49=$G$29,F$29,$G49=$G$31,F$31,$G49=$G$34,F$34,$G49=$G$37,F$37,$G49=$G$107,F$107,$G49=$G$110,F$110,$G49=$G$140,F$140,$G49=$G$142,F$142,$G49=$G$408,F$408)</f>
        <v>8019</v>
      </c>
      <c r="G49" s="13" t="s">
        <v>64</v>
      </c>
      <c r="H49" s="18" cm="1">
        <f t="array" ref="H49">_xlfn.IFS($G49=$G$5,H$5,$G49=$G$7,H$7,$G49=$G$10,H$10,$G49=$G$13,H$13,$G49=$G$14,H$14,$G49=$G$16,H$16,$G49=$G$17,H$17,$G49=$G$19,H$19,$G49=$G$20,H$20,$G49=$G$22,H$22,$G49=$G$23,H$23,$G49=$G$26,H$26,$G49=$G$29,H$29,$G49=$G$31,H$31,$G49=$G$34,H$34,$G49=$G$37,H$37,$G49=$G$107,H$107,$G49=$G$110,H$110,$G49=$G$140,H$140,$G49=$G$142,H$142,$G49=$G$408,H$408)</f>
        <v>41.410684000000003</v>
      </c>
      <c r="I49" s="19" cm="1">
        <f t="array" ref="I49">_xlfn.IFS($G49=$G$5,I$5,$G49=$G$7,I$7,$G49=$G$10,I$10,$G49=$G$13,I$13,$G49=$G$14,I$14,$G49=$G$16,I$16,$G49=$G$17,I$17,$G49=$G$19,I$19,$G49=$G$20,I$20,$G49=$G$22,I$22,$G49=$G$23,I$23,$G49=$G$26,I$26,$G49=$G$29,I$29,$G49=$G$31,I$31,$G49=$G$34,I$34,$G49=$G$37,I$37,$G49=$G$107,I$107,$G49=$G$110,I$110,$G49=$G$140,I$140,$G49=$G$142,I$142,$G49=$G$408,I$408)</f>
        <v>2.2208019999999999</v>
      </c>
      <c r="J49" s="34" cm="1">
        <f t="array" ref="J49">_xlfn.IFS($G49=$G$5,J$5,$G49=$G$7,J$7,$G49=$G$10,J$10,$G49=$G$13,J$13,$G49=$G$14,J$14,$G49=$G$16,J$16,$G49=$G$17,J$17,$G49=$G$19,J$19,$G49=$G$20,J$20,$G49=$G$22,J$22,$G49=$G$23,J$23,$G49=$G$26,J$26,$G49=$G$29,J$29,$G49=$G$31,J$31,$G49=$G$34,J$34,$G49=$G$37,J$37,$G49=$G$107,J$107,$G49=$G$110,J$110,$G49=$G$140,J$140,$G49=$G$142,J$142,$G49=$G$408,J$408)</f>
        <v>18</v>
      </c>
      <c r="K49" s="13" t="str" cm="1">
        <f t="array" ref="K49">_xlfn.IFS($G49=$G$5,K$5,$G49=$G$7,K$7,$G49=$G$10,K$10,$G49=$G$13,K$13,$G49=$G$14,K$14,$G49=$G$16,K$16,$G49=$G$17,K$17,$G49=$G$19,K$19,$G49=$G$20,K$20,$G49=$G$22,K$22,$G49=$G$23,K$23,$G49=$G$26,K$26,$G49=$G$29,K$29,$G49=$G$31,K$31,$G49=$G$34,K$34,$G49=$G$37,K$37,$G49=$G$107,K$107,$G49=$G$110,K$110,$G49=$G$140,K$140,$G49=$G$142,K$142,$G49=$G$408,K$408)</f>
        <v>BG sentinel + BG lure7</v>
      </c>
      <c r="L49" s="13" t="str" cm="1">
        <f t="array" ref="L49">_xlfn.IFS($G49=$G$5,L$5,$G49=$G$7,L$7,$G49=$G$10,L$10,$G49=$G$13,L$13,$G49=$G$14,L$14,$G49=$G$16,L$16,$G49=$G$17,L$17,$G49=$G$19,L$19,$G49=$G$20,L$20,$G49=$G$22,L$22,$G49=$G$23,L$23,$G49=$G$26,L$26,$G49=$G$29,L$29,$G49=$G$31,L$31,$G49=$G$34,L$34,$G49=$G$37,L$37,$G49=$G$107,L$107,$G49=$G$110,L$110,$G49=$G$140,L$140,$G49=$G$142,L$142,$G49=$G$408,L$408)</f>
        <v>urban habitat</v>
      </c>
      <c r="O49" s="13" t="str">
        <f t="shared" si="0"/>
        <v>A_SP_BCN_5_220629</v>
      </c>
      <c r="P49" s="31">
        <v>44741</v>
      </c>
      <c r="Q49" s="29">
        <v>0.58680555555555558</v>
      </c>
      <c r="R49" s="22"/>
      <c r="S49" s="27">
        <v>44747</v>
      </c>
      <c r="T49" s="29">
        <v>0.78472222222222221</v>
      </c>
      <c r="V49" s="13" t="s">
        <v>86</v>
      </c>
      <c r="X49" s="13">
        <f t="shared" si="1"/>
        <v>6</v>
      </c>
      <c r="Z49" s="13" t="s">
        <v>164</v>
      </c>
      <c r="AA49" s="13">
        <f t="shared" si="2"/>
        <v>2</v>
      </c>
      <c r="AB49" s="13" t="str">
        <f t="shared" si="3"/>
        <v>Adult</v>
      </c>
      <c r="AC49" s="13">
        <v>1</v>
      </c>
      <c r="AD49" s="13">
        <v>1</v>
      </c>
      <c r="AE49" s="13" t="str">
        <f t="shared" si="4"/>
        <v>Morphological</v>
      </c>
      <c r="AF49" s="2">
        <v>4</v>
      </c>
    </row>
    <row r="50" spans="1:32" x14ac:dyDescent="0.25">
      <c r="A50" s="13">
        <v>46</v>
      </c>
      <c r="B50" s="23" t="s">
        <v>56</v>
      </c>
      <c r="C50" s="23" t="s">
        <v>57</v>
      </c>
      <c r="D50" s="23" t="s">
        <v>58</v>
      </c>
      <c r="E50" s="23" t="s">
        <v>58</v>
      </c>
      <c r="F50" s="24" cm="1">
        <f t="array" ref="F50">_xlfn.IFS($G50=$G$5,F$5,$G50=$G$7,F$7,$G50=$G$10,F$10,$G50=$G$13,F$13,$G50=$G$14,F$14,$G50=$G$16,F$16,$G50=$G$17,F$17,$G50=$G$19,F$19,$G50=$G$20,F$20,$G50=$G$22,F$22,$G50=$G$23,F$23,$G50=$G$26,F$26,$G50=$G$29,F$29,$G50=$G$31,F$31,$G50=$G$34,F$34,$G50=$G$37,F$37,$G50=$G$107,F$107,$G50=$G$110,F$110,$G50=$G$140,F$140,$G50=$G$142,F$142,$G50=$G$408,F$408)</f>
        <v>8002</v>
      </c>
      <c r="G50" s="13" t="s">
        <v>65</v>
      </c>
      <c r="H50" s="18" cm="1">
        <f t="array" ref="H50">_xlfn.IFS($G50=$G$5,H$5,$G50=$G$7,H$7,$G50=$G$10,H$10,$G50=$G$13,H$13,$G50=$G$14,H$14,$G50=$G$16,H$16,$G50=$G$17,H$17,$G50=$G$19,H$19,$G50=$G$20,H$20,$G50=$G$22,H$22,$G50=$G$23,H$23,$G50=$G$26,H$26,$G50=$G$29,H$29,$G50=$G$31,H$31,$G50=$G$34,H$34,$G50=$G$37,H$37,$G50=$G$107,H$107,$G50=$G$110,H$110,$G50=$G$140,H$140,$G50=$G$142,H$142,$G50=$G$408,H$408)</f>
        <v>41.382339999999999</v>
      </c>
      <c r="I50" s="19" cm="1">
        <f t="array" ref="I50">_xlfn.IFS($G50=$G$5,I$5,$G50=$G$7,I$7,$G50=$G$10,I$10,$G50=$G$13,I$13,$G50=$G$14,I$14,$G50=$G$16,I$16,$G50=$G$17,I$17,$G50=$G$19,I$19,$G50=$G$20,I$20,$G50=$G$22,I$22,$G50=$G$23,I$23,$G50=$G$26,I$26,$G50=$G$29,I$29,$G50=$G$31,I$31,$G50=$G$34,I$34,$G50=$G$37,I$37,$G50=$G$107,I$107,$G50=$G$110,I$110,$G50=$G$140,I$140,$G50=$G$142,I$142,$G50=$G$408,I$408)</f>
        <v>2.1714790000000002</v>
      </c>
      <c r="J50" s="34" cm="1">
        <f t="array" ref="J50">_xlfn.IFS($G50=$G$5,J$5,$G50=$G$7,J$7,$G50=$G$10,J$10,$G50=$G$13,J$13,$G50=$G$14,J$14,$G50=$G$16,J$16,$G50=$G$17,J$17,$G50=$G$19,J$19,$G50=$G$20,J$20,$G50=$G$22,J$22,$G50=$G$23,J$23,$G50=$G$26,J$26,$G50=$G$29,J$29,$G50=$G$31,J$31,$G50=$G$34,J$34,$G50=$G$37,J$37,$G50=$G$107,J$107,$G50=$G$110,J$110,$G50=$G$140,J$140,$G50=$G$142,J$142,$G50=$G$408,J$408)</f>
        <v>19</v>
      </c>
      <c r="K50" s="13" t="str" cm="1">
        <f t="array" ref="K50">_xlfn.IFS($G50=$G$5,K$5,$G50=$G$7,K$7,$G50=$G$10,K$10,$G50=$G$13,K$13,$G50=$G$14,K$14,$G50=$G$16,K$16,$G50=$G$17,K$17,$G50=$G$19,K$19,$G50=$G$20,K$20,$G50=$G$22,K$22,$G50=$G$23,K$23,$G50=$G$26,K$26,$G50=$G$29,K$29,$G50=$G$31,K$31,$G50=$G$34,K$34,$G50=$G$37,K$37,$G50=$G$107,K$107,$G50=$G$110,K$110,$G50=$G$140,K$140,$G50=$G$142,K$142,$G50=$G$408,K$408)</f>
        <v>BG sentinel + BG lure7</v>
      </c>
      <c r="L50" s="13" t="str" cm="1">
        <f t="array" ref="L50">_xlfn.IFS($G50=$G$5,L$5,$G50=$G$7,L$7,$G50=$G$10,L$10,$G50=$G$13,L$13,$G50=$G$14,L$14,$G50=$G$16,L$16,$G50=$G$17,L$17,$G50=$G$19,L$19,$G50=$G$20,L$20,$G50=$G$22,L$22,$G50=$G$23,L$23,$G50=$G$26,L$26,$G50=$G$29,L$29,$G50=$G$31,L$31,$G50=$G$34,L$34,$G50=$G$37,L$37,$G50=$G$107,L$107,$G50=$G$110,L$110,$G50=$G$140,L$140,$G50=$G$142,L$142,$G50=$G$408,L$408)</f>
        <v>urban habitat</v>
      </c>
      <c r="O50" s="13" t="str">
        <f t="shared" si="0"/>
        <v>A_SP_BCN_6_220629</v>
      </c>
      <c r="P50" s="31">
        <v>44741</v>
      </c>
      <c r="Q50" s="29">
        <v>0.625</v>
      </c>
      <c r="R50" s="22"/>
      <c r="S50" s="27">
        <v>44747</v>
      </c>
      <c r="T50" s="29">
        <v>0.82986111111111116</v>
      </c>
      <c r="V50" s="13" t="s">
        <v>86</v>
      </c>
      <c r="X50" s="13">
        <f t="shared" si="1"/>
        <v>6</v>
      </c>
      <c r="AA50" s="13">
        <v>0</v>
      </c>
      <c r="AB50" s="13" t="str">
        <f t="shared" si="3"/>
        <v/>
      </c>
      <c r="AE50" s="13" t="str">
        <f t="shared" si="4"/>
        <v/>
      </c>
      <c r="AF50" s="2">
        <v>4</v>
      </c>
    </row>
    <row r="51" spans="1:32" x14ac:dyDescent="0.25">
      <c r="A51" s="13">
        <v>47</v>
      </c>
      <c r="B51" s="23" t="s">
        <v>56</v>
      </c>
      <c r="C51" s="23" t="s">
        <v>57</v>
      </c>
      <c r="D51" s="23" t="s">
        <v>58</v>
      </c>
      <c r="E51" s="23" t="s">
        <v>58</v>
      </c>
      <c r="F51" s="24" cm="1">
        <f t="array" ref="F51">_xlfn.IFS($G51=$G$5,F$5,$G51=$G$7,F$7,$G51=$G$10,F$10,$G51=$G$13,F$13,$G51=$G$14,F$14,$G51=$G$16,F$16,$G51=$G$17,F$17,$G51=$G$19,F$19,$G51=$G$20,F$20,$G51=$G$22,F$22,$G51=$G$23,F$23,$G51=$G$26,F$26,$G51=$G$29,F$29,$G51=$G$31,F$31,$G51=$G$34,F$34,$G51=$G$37,F$37,$G51=$G$107,F$107,$G51=$G$110,F$110,$G51=$G$140,F$140,$G51=$G$142,F$142,$G51=$G$408,F$408)</f>
        <v>8040</v>
      </c>
      <c r="G51" s="13" t="s">
        <v>68</v>
      </c>
      <c r="H51" s="18" cm="1">
        <f t="array" ref="H51">_xlfn.IFS($G51=$G$5,H$5,$G51=$G$7,H$7,$G51=$G$10,H$10,$G51=$G$13,H$13,$G51=$G$14,H$14,$G51=$G$16,H$16,$G51=$G$17,H$17,$G51=$G$19,H$19,$G51=$G$20,H$20,$G51=$G$22,H$22,$G51=$G$23,H$23,$G51=$G$26,H$26,$G51=$G$29,H$29,$G51=$G$31,H$31,$G51=$G$34,H$34,$G51=$G$37,H$37,$G51=$G$107,H$107,$G51=$G$110,H$110,$G51=$G$140,H$140,$G51=$G$142,H$142,$G51=$G$408,H$408)</f>
        <v>41.343685000000001</v>
      </c>
      <c r="I51" s="19" cm="1">
        <f t="array" ref="I51">_xlfn.IFS($G51=$G$5,I$5,$G51=$G$7,I$7,$G51=$G$10,I$10,$G51=$G$13,I$13,$G51=$G$14,I$14,$G51=$G$16,I$16,$G51=$G$17,I$17,$G51=$G$19,I$19,$G51=$G$20,I$20,$G51=$G$22,I$22,$G51=$G$23,I$23,$G51=$G$26,I$26,$G51=$G$29,I$29,$G51=$G$31,I$31,$G51=$G$34,I$34,$G51=$G$37,I$37,$G51=$G$107,I$107,$G51=$G$110,I$110,$G51=$G$140,I$140,$G51=$G$142,I$142,$G51=$G$408,I$408)</f>
        <v>2.1441490000000001</v>
      </c>
      <c r="J51" s="34" cm="1">
        <f t="array" ref="J51">_xlfn.IFS($G51=$G$5,J$5,$G51=$G$7,J$7,$G51=$G$10,J$10,$G51=$G$13,J$13,$G51=$G$14,J$14,$G51=$G$16,J$16,$G51=$G$17,J$17,$G51=$G$19,J$19,$G51=$G$20,J$20,$G51=$G$22,J$22,$G51=$G$23,J$23,$G51=$G$26,J$26,$G51=$G$29,J$29,$G51=$G$31,J$31,$G51=$G$34,J$34,$G51=$G$37,J$37,$G51=$G$107,J$107,$G51=$G$110,J$110,$G51=$G$140,J$140,$G51=$G$142,J$142,$G51=$G$408,J$408)</f>
        <v>4</v>
      </c>
      <c r="K51" s="13" t="str" cm="1">
        <f t="array" ref="K51">_xlfn.IFS($G51=$G$5,K$5,$G51=$G$7,K$7,$G51=$G$10,K$10,$G51=$G$13,K$13,$G51=$G$14,K$14,$G51=$G$16,K$16,$G51=$G$17,K$17,$G51=$G$19,K$19,$G51=$G$20,K$20,$G51=$G$22,K$22,$G51=$G$23,K$23,$G51=$G$26,K$26,$G51=$G$29,K$29,$G51=$G$31,K$31,$G51=$G$34,K$34,$G51=$G$37,K$37,$G51=$G$107,K$107,$G51=$G$110,K$110,$G51=$G$140,K$140,$G51=$G$142,K$142,$G51=$G$408,K$408)</f>
        <v>BG sentinel + BG lure7</v>
      </c>
      <c r="L51" s="13" t="str" cm="1">
        <f t="array" ref="L51">_xlfn.IFS($G51=$G$5,L$5,$G51=$G$7,L$7,$G51=$G$10,L$10,$G51=$G$13,L$13,$G51=$G$14,L$14,$G51=$G$16,L$16,$G51=$G$17,L$17,$G51=$G$19,L$19,$G51=$G$20,L$20,$G51=$G$22,L$22,$G51=$G$23,L$23,$G51=$G$26,L$26,$G51=$G$29,L$29,$G51=$G$31,L$31,$G51=$G$34,L$34,$G51=$G$37,L$37,$G51=$G$107,L$107,$G51=$G$110,L$110,$G51=$G$140,L$140,$G51=$G$142,L$142,$G51=$G$408,L$408)</f>
        <v>urban habitat</v>
      </c>
      <c r="O51" s="13" t="str">
        <f t="shared" si="0"/>
        <v>A_SP_BCN_10_220628</v>
      </c>
      <c r="P51" s="27">
        <v>44740</v>
      </c>
      <c r="Q51" s="29">
        <v>0.57291666666666663</v>
      </c>
      <c r="R51" s="22"/>
      <c r="S51" s="27">
        <v>44747</v>
      </c>
      <c r="T51" s="29">
        <v>0.54166666666666663</v>
      </c>
      <c r="V51" s="13" t="s">
        <v>86</v>
      </c>
      <c r="W51" t="s">
        <v>174</v>
      </c>
      <c r="X51" s="13">
        <f t="shared" si="1"/>
        <v>7</v>
      </c>
      <c r="Z51" s="13" t="s">
        <v>60</v>
      </c>
      <c r="AA51" s="13">
        <f t="shared" ref="AA51:AA56" si="5">SUM(AC51:AD51)</f>
        <v>56</v>
      </c>
      <c r="AB51" s="13" t="str">
        <f t="shared" si="3"/>
        <v>Adult</v>
      </c>
      <c r="AC51" s="13">
        <v>25</v>
      </c>
      <c r="AD51" s="13">
        <v>31</v>
      </c>
      <c r="AE51" s="13" t="str">
        <f t="shared" si="4"/>
        <v>Morphological</v>
      </c>
      <c r="AF51" s="2">
        <v>3</v>
      </c>
    </row>
    <row r="52" spans="1:32" x14ac:dyDescent="0.25">
      <c r="A52" s="13">
        <v>48</v>
      </c>
      <c r="B52" s="23" t="s">
        <v>56</v>
      </c>
      <c r="C52" s="23" t="s">
        <v>57</v>
      </c>
      <c r="D52" s="23" t="s">
        <v>58</v>
      </c>
      <c r="E52" s="23" t="s">
        <v>58</v>
      </c>
      <c r="F52" s="24" cm="1">
        <f t="array" ref="F52">_xlfn.IFS($G52=$G$5,F$5,$G52=$G$7,F$7,$G52=$G$10,F$10,$G52=$G$13,F$13,$G52=$G$14,F$14,$G52=$G$16,F$16,$G52=$G$17,F$17,$G52=$G$19,F$19,$G52=$G$20,F$20,$G52=$G$22,F$22,$G52=$G$23,F$23,$G52=$G$26,F$26,$G52=$G$29,F$29,$G52=$G$31,F$31,$G52=$G$34,F$34,$G52=$G$37,F$37,$G52=$G$107,F$107,$G52=$G$110,F$110,$G52=$G$140,F$140,$G52=$G$142,F$142,$G52=$G$408,F$408)</f>
        <v>8040</v>
      </c>
      <c r="G52" s="13" t="s">
        <v>68</v>
      </c>
      <c r="H52" s="18" cm="1">
        <f t="array" ref="H52">_xlfn.IFS($G52=$G$5,H$5,$G52=$G$7,H$7,$G52=$G$10,H$10,$G52=$G$13,H$13,$G52=$G$14,H$14,$G52=$G$16,H$16,$G52=$G$17,H$17,$G52=$G$19,H$19,$G52=$G$20,H$20,$G52=$G$22,H$22,$G52=$G$23,H$23,$G52=$G$26,H$26,$G52=$G$29,H$29,$G52=$G$31,H$31,$G52=$G$34,H$34,$G52=$G$37,H$37,$G52=$G$107,H$107,$G52=$G$110,H$110,$G52=$G$140,H$140,$G52=$G$142,H$142,$G52=$G$408,H$408)</f>
        <v>41.343685000000001</v>
      </c>
      <c r="I52" s="19" cm="1">
        <f t="array" ref="I52">_xlfn.IFS($G52=$G$5,I$5,$G52=$G$7,I$7,$G52=$G$10,I$10,$G52=$G$13,I$13,$G52=$G$14,I$14,$G52=$G$16,I$16,$G52=$G$17,I$17,$G52=$G$19,I$19,$G52=$G$20,I$20,$G52=$G$22,I$22,$G52=$G$23,I$23,$G52=$G$26,I$26,$G52=$G$29,I$29,$G52=$G$31,I$31,$G52=$G$34,I$34,$G52=$G$37,I$37,$G52=$G$107,I$107,$G52=$G$110,I$110,$G52=$G$140,I$140,$G52=$G$142,I$142,$G52=$G$408,I$408)</f>
        <v>2.1441490000000001</v>
      </c>
      <c r="J52" s="34" cm="1">
        <f t="array" ref="J52">_xlfn.IFS($G52=$G$5,J$5,$G52=$G$7,J$7,$G52=$G$10,J$10,$G52=$G$13,J$13,$G52=$G$14,J$14,$G52=$G$16,J$16,$G52=$G$17,J$17,$G52=$G$19,J$19,$G52=$G$20,J$20,$G52=$G$22,J$22,$G52=$G$23,J$23,$G52=$G$26,J$26,$G52=$G$29,J$29,$G52=$G$31,J$31,$G52=$G$34,J$34,$G52=$G$37,J$37,$G52=$G$107,J$107,$G52=$G$110,J$110,$G52=$G$140,J$140,$G52=$G$142,J$142,$G52=$G$408,J$408)</f>
        <v>4</v>
      </c>
      <c r="K52" s="13" t="str" cm="1">
        <f t="array" ref="K52">_xlfn.IFS($G52=$G$5,K$5,$G52=$G$7,K$7,$G52=$G$10,K$10,$G52=$G$13,K$13,$G52=$G$14,K$14,$G52=$G$16,K$16,$G52=$G$17,K$17,$G52=$G$19,K$19,$G52=$G$20,K$20,$G52=$G$22,K$22,$G52=$G$23,K$23,$G52=$G$26,K$26,$G52=$G$29,K$29,$G52=$G$31,K$31,$G52=$G$34,K$34,$G52=$G$37,K$37,$G52=$G$107,K$107,$G52=$G$110,K$110,$G52=$G$140,K$140,$G52=$G$142,K$142,$G52=$G$408,K$408)</f>
        <v>BG sentinel + BG lure7</v>
      </c>
      <c r="L52" s="13" t="str" cm="1">
        <f t="array" ref="L52">_xlfn.IFS($G52=$G$5,L$5,$G52=$G$7,L$7,$G52=$G$10,L$10,$G52=$G$13,L$13,$G52=$G$14,L$14,$G52=$G$16,L$16,$G52=$G$17,L$17,$G52=$G$19,L$19,$G52=$G$20,L$20,$G52=$G$22,L$22,$G52=$G$23,L$23,$G52=$G$26,L$26,$G52=$G$29,L$29,$G52=$G$31,L$31,$G52=$G$34,L$34,$G52=$G$37,L$37,$G52=$G$107,L$107,$G52=$G$110,L$110,$G52=$G$140,L$140,$G52=$G$142,L$142,$G52=$G$408,L$408)</f>
        <v>urban habitat</v>
      </c>
      <c r="O52" s="13" t="str">
        <f t="shared" si="0"/>
        <v>A_SP_BCN_10_220628</v>
      </c>
      <c r="P52" s="27">
        <v>44740</v>
      </c>
      <c r="Q52" s="29">
        <v>0.57291666666666663</v>
      </c>
      <c r="R52" s="22"/>
      <c r="S52" s="27">
        <v>44747</v>
      </c>
      <c r="T52" s="29">
        <v>0.54166666666666663</v>
      </c>
      <c r="V52" s="13" t="s">
        <v>86</v>
      </c>
      <c r="W52" t="s">
        <v>174</v>
      </c>
      <c r="X52" s="13">
        <f t="shared" si="1"/>
        <v>7</v>
      </c>
      <c r="Z52" s="13" t="s">
        <v>164</v>
      </c>
      <c r="AA52" s="13">
        <f t="shared" si="5"/>
        <v>25</v>
      </c>
      <c r="AB52" s="13" t="str">
        <f t="shared" si="3"/>
        <v>Adult</v>
      </c>
      <c r="AC52" s="13">
        <v>21</v>
      </c>
      <c r="AD52" s="13">
        <v>4</v>
      </c>
      <c r="AE52" s="13" t="str">
        <f t="shared" si="4"/>
        <v>Morphological</v>
      </c>
      <c r="AF52" s="2">
        <v>3</v>
      </c>
    </row>
    <row r="53" spans="1:32" x14ac:dyDescent="0.25">
      <c r="A53" s="13">
        <v>49</v>
      </c>
      <c r="B53" s="23" t="s">
        <v>56</v>
      </c>
      <c r="C53" s="23" t="s">
        <v>57</v>
      </c>
      <c r="D53" s="23" t="s">
        <v>58</v>
      </c>
      <c r="E53" s="23" t="s">
        <v>58</v>
      </c>
      <c r="F53" s="24" cm="1">
        <f t="array" ref="F53">_xlfn.IFS($G53=$G$5,F$5,$G53=$G$7,F$7,$G53=$G$10,F$10,$G53=$G$13,F$13,$G53=$G$14,F$14,$G53=$G$16,F$16,$G53=$G$17,F$17,$G53=$G$19,F$19,$G53=$G$20,F$20,$G53=$G$22,F$22,$G53=$G$23,F$23,$G53=$G$26,F$26,$G53=$G$29,F$29,$G53=$G$31,F$31,$G53=$G$34,F$34,$G53=$G$37,F$37,$G53=$G$107,F$107,$G53=$G$110,F$110,$G53=$G$140,F$140,$G53=$G$142,F$142,$G53=$G$408,F$408)</f>
        <v>8040</v>
      </c>
      <c r="G53" s="13" t="s">
        <v>68</v>
      </c>
      <c r="H53" s="18" cm="1">
        <f t="array" ref="H53">_xlfn.IFS($G53=$G$5,H$5,$G53=$G$7,H$7,$G53=$G$10,H$10,$G53=$G$13,H$13,$G53=$G$14,H$14,$G53=$G$16,H$16,$G53=$G$17,H$17,$G53=$G$19,H$19,$G53=$G$20,H$20,$G53=$G$22,H$22,$G53=$G$23,H$23,$G53=$G$26,H$26,$G53=$G$29,H$29,$G53=$G$31,H$31,$G53=$G$34,H$34,$G53=$G$37,H$37,$G53=$G$107,H$107,$G53=$G$110,H$110,$G53=$G$140,H$140,$G53=$G$142,H$142,$G53=$G$408,H$408)</f>
        <v>41.343685000000001</v>
      </c>
      <c r="I53" s="19" cm="1">
        <f t="array" ref="I53">_xlfn.IFS($G53=$G$5,I$5,$G53=$G$7,I$7,$G53=$G$10,I$10,$G53=$G$13,I$13,$G53=$G$14,I$14,$G53=$G$16,I$16,$G53=$G$17,I$17,$G53=$G$19,I$19,$G53=$G$20,I$20,$G53=$G$22,I$22,$G53=$G$23,I$23,$G53=$G$26,I$26,$G53=$G$29,I$29,$G53=$G$31,I$31,$G53=$G$34,I$34,$G53=$G$37,I$37,$G53=$G$107,I$107,$G53=$G$110,I$110,$G53=$G$140,I$140,$G53=$G$142,I$142,$G53=$G$408,I$408)</f>
        <v>2.1441490000000001</v>
      </c>
      <c r="J53" s="34" cm="1">
        <f t="array" ref="J53">_xlfn.IFS($G53=$G$5,J$5,$G53=$G$7,J$7,$G53=$G$10,J$10,$G53=$G$13,J$13,$G53=$G$14,J$14,$G53=$G$16,J$16,$G53=$G$17,J$17,$G53=$G$19,J$19,$G53=$G$20,J$20,$G53=$G$22,J$22,$G53=$G$23,J$23,$G53=$G$26,J$26,$G53=$G$29,J$29,$G53=$G$31,J$31,$G53=$G$34,J$34,$G53=$G$37,J$37,$G53=$G$107,J$107,$G53=$G$110,J$110,$G53=$G$140,J$140,$G53=$G$142,J$142,$G53=$G$408,J$408)</f>
        <v>4</v>
      </c>
      <c r="K53" s="13" t="str" cm="1">
        <f t="array" ref="K53">_xlfn.IFS($G53=$G$5,K$5,$G53=$G$7,K$7,$G53=$G$10,K$10,$G53=$G$13,K$13,$G53=$G$14,K$14,$G53=$G$16,K$16,$G53=$G$17,K$17,$G53=$G$19,K$19,$G53=$G$20,K$20,$G53=$G$22,K$22,$G53=$G$23,K$23,$G53=$G$26,K$26,$G53=$G$29,K$29,$G53=$G$31,K$31,$G53=$G$34,K$34,$G53=$G$37,K$37,$G53=$G$107,K$107,$G53=$G$110,K$110,$G53=$G$140,K$140,$G53=$G$142,K$142,$G53=$G$408,K$408)</f>
        <v>BG sentinel + BG lure7</v>
      </c>
      <c r="L53" s="13" t="str" cm="1">
        <f t="array" ref="L53">_xlfn.IFS($G53=$G$5,L$5,$G53=$G$7,L$7,$G53=$G$10,L$10,$G53=$G$13,L$13,$G53=$G$14,L$14,$G53=$G$16,L$16,$G53=$G$17,L$17,$G53=$G$19,L$19,$G53=$G$20,L$20,$G53=$G$22,L$22,$G53=$G$23,L$23,$G53=$G$26,L$26,$G53=$G$29,L$29,$G53=$G$31,L$31,$G53=$G$34,L$34,$G53=$G$37,L$37,$G53=$G$107,L$107,$G53=$G$110,L$110,$G53=$G$140,L$140,$G53=$G$142,L$142,$G53=$G$408,L$408)</f>
        <v>urban habitat</v>
      </c>
      <c r="O53" s="13" t="str">
        <f t="shared" si="0"/>
        <v>A_SP_BCN_10_220628</v>
      </c>
      <c r="P53" s="27">
        <v>44740</v>
      </c>
      <c r="Q53" s="29">
        <v>0.57291666666666663</v>
      </c>
      <c r="R53" s="22"/>
      <c r="S53" s="27">
        <v>44747</v>
      </c>
      <c r="T53" s="29">
        <v>0.54166666666666663</v>
      </c>
      <c r="V53" s="13" t="s">
        <v>86</v>
      </c>
      <c r="W53" t="s">
        <v>174</v>
      </c>
      <c r="X53" s="13">
        <f t="shared" si="1"/>
        <v>7</v>
      </c>
      <c r="Z53" s="32" t="s">
        <v>163</v>
      </c>
      <c r="AA53" s="13">
        <f t="shared" si="5"/>
        <v>2</v>
      </c>
      <c r="AB53" s="13" t="str">
        <f t="shared" si="3"/>
        <v>Adult</v>
      </c>
      <c r="AC53" s="13">
        <v>2</v>
      </c>
      <c r="AD53" s="13">
        <v>0</v>
      </c>
      <c r="AE53" s="13" t="str">
        <f t="shared" si="4"/>
        <v>Morphological</v>
      </c>
      <c r="AF53" s="2">
        <v>3</v>
      </c>
    </row>
    <row r="54" spans="1:32" x14ac:dyDescent="0.25">
      <c r="A54" s="13">
        <v>50</v>
      </c>
      <c r="B54" s="23" t="s">
        <v>56</v>
      </c>
      <c r="C54" s="23" t="s">
        <v>57</v>
      </c>
      <c r="D54" s="23" t="s">
        <v>58</v>
      </c>
      <c r="E54" s="23" t="s">
        <v>58</v>
      </c>
      <c r="F54" s="24" cm="1">
        <f t="array" ref="F54">_xlfn.IFS($G54=$G$5,F$5,$G54=$G$7,F$7,$G54=$G$10,F$10,$G54=$G$13,F$13,$G54=$G$14,F$14,$G54=$G$16,F$16,$G54=$G$17,F$17,$G54=$G$19,F$19,$G54=$G$20,F$20,$G54=$G$22,F$22,$G54=$G$23,F$23,$G54=$G$26,F$26,$G54=$G$29,F$29,$G54=$G$31,F$31,$G54=$G$34,F$34,$G54=$G$37,F$37,$G54=$G$107,F$107,$G54=$G$110,F$110,$G54=$G$140,F$140,$G54=$G$142,F$142,$G54=$G$408,F$408)</f>
        <v>8038</v>
      </c>
      <c r="G54" s="13" t="s">
        <v>69</v>
      </c>
      <c r="H54" s="18" cm="1">
        <f t="array" ref="H54">_xlfn.IFS($G54=$G$5,H$5,$G54=$G$7,H$7,$G54=$G$10,H$10,$G54=$G$13,H$13,$G54=$G$14,H$14,$G54=$G$16,H$16,$G54=$G$17,H$17,$G54=$G$19,H$19,$G54=$G$20,H$20,$G54=$G$22,H$22,$G54=$G$23,H$23,$G54=$G$26,H$26,$G54=$G$29,H$29,$G54=$G$31,H$31,$G54=$G$34,H$34,$G54=$G$37,H$37,$G54=$G$107,H$107,$G54=$G$110,H$110,$G54=$G$140,H$140,$G54=$G$142,H$142,$G54=$G$408,H$408)</f>
        <v>41.363377999999997</v>
      </c>
      <c r="I54" s="19" cm="1">
        <f t="array" ref="I54">_xlfn.IFS($G54=$G$5,I$5,$G54=$G$7,I$7,$G54=$G$10,I$10,$G54=$G$13,I$13,$G54=$G$14,I$14,$G54=$G$16,I$16,$G54=$G$17,I$17,$G54=$G$19,I$19,$G54=$G$20,I$20,$G54=$G$22,I$22,$G54=$G$23,I$23,$G54=$G$26,I$26,$G54=$G$29,I$29,$G54=$G$31,I$31,$G54=$G$34,I$34,$G54=$G$37,I$37,$G54=$G$107,I$107,$G54=$G$110,I$110,$G54=$G$140,I$140,$G54=$G$142,I$142,$G54=$G$408,I$408)</f>
        <v>2.164879</v>
      </c>
      <c r="J54" s="34" cm="1">
        <f t="array" ref="J54">_xlfn.IFS($G54=$G$5,J$5,$G54=$G$7,J$7,$G54=$G$10,J$10,$G54=$G$13,J$13,$G54=$G$14,J$14,$G54=$G$16,J$16,$G54=$G$17,J$17,$G54=$G$19,J$19,$G54=$G$20,J$20,$G54=$G$22,J$22,$G54=$G$23,J$23,$G54=$G$26,J$26,$G54=$G$29,J$29,$G54=$G$31,J$31,$G54=$G$34,J$34,$G54=$G$37,J$37,$G54=$G$107,J$107,$G54=$G$110,J$110,$G54=$G$140,J$140,$G54=$G$142,J$142,$G54=$G$408,J$408)</f>
        <v>185</v>
      </c>
      <c r="K54" s="13" t="str" cm="1">
        <f t="array" ref="K54">_xlfn.IFS($G54=$G$5,K$5,$G54=$G$7,K$7,$G54=$G$10,K$10,$G54=$G$13,K$13,$G54=$G$14,K$14,$G54=$G$16,K$16,$G54=$G$17,K$17,$G54=$G$19,K$19,$G54=$G$20,K$20,$G54=$G$22,K$22,$G54=$G$23,K$23,$G54=$G$26,K$26,$G54=$G$29,K$29,$G54=$G$31,K$31,$G54=$G$34,K$34,$G54=$G$37,K$37,$G54=$G$107,K$107,$G54=$G$110,K$110,$G54=$G$140,K$140,$G54=$G$142,K$142,$G54=$G$408,K$408)</f>
        <v>BG sentinel + BG lure7</v>
      </c>
      <c r="L54" s="13" t="str" cm="1">
        <f t="array" ref="L54">_xlfn.IFS($G54=$G$5,L$5,$G54=$G$7,L$7,$G54=$G$10,L$10,$G54=$G$13,L$13,$G54=$G$14,L$14,$G54=$G$16,L$16,$G54=$G$17,L$17,$G54=$G$19,L$19,$G54=$G$20,L$20,$G54=$G$22,L$22,$G54=$G$23,L$23,$G54=$G$26,L$26,$G54=$G$29,L$29,$G54=$G$31,L$31,$G54=$G$34,L$34,$G54=$G$37,L$37,$G54=$G$107,L$107,$G54=$G$110,L$110,$G54=$G$140,L$140,$G54=$G$142,L$142,$G54=$G$408,L$408)</f>
        <v>Other</v>
      </c>
      <c r="M54" s="13" t="str" cm="1">
        <f t="array" ref="M54">_xlfn.IFS($G54=$G$5,M$5,$G54=$G$7,M$7,$G54=$G$10,M$10,$G54=$G$13,M$13,$G54=$G$14,M$14,$G54=$G$16,M$16,$G54=$G$17,M$17,$G54=$G$19,M$19,$G54=$G$20,M$20,$G54=$G$22,M$22,$G54=$G$23,M$23,$G54=$G$26,M$26,$G54=$G$29,M$29,$G54=$G$31,M$31,$G54=$G$34,M$34,$G54=$G$37,M$37,$G54=$G$107,M$107,$G54=$G$110,M$110,$G54=$G$140,M$140,$G54=$G$142,M$142,$G54=$G$408,M$408)</f>
        <v>Public garden</v>
      </c>
      <c r="O54" s="13" t="str">
        <f t="shared" si="0"/>
        <v>A_SP_BCN_12_220628</v>
      </c>
      <c r="P54" s="27">
        <v>44740</v>
      </c>
      <c r="Q54" s="29">
        <v>0.60763888888888895</v>
      </c>
      <c r="R54" s="22"/>
      <c r="S54" s="27">
        <v>44747</v>
      </c>
      <c r="T54" s="29">
        <v>0.58333333333333337</v>
      </c>
      <c r="V54" s="13" t="s">
        <v>86</v>
      </c>
      <c r="X54" s="13">
        <f t="shared" si="1"/>
        <v>7</v>
      </c>
      <c r="Z54" s="13" t="s">
        <v>60</v>
      </c>
      <c r="AA54" s="13">
        <f t="shared" si="5"/>
        <v>13</v>
      </c>
      <c r="AB54" s="13" t="str">
        <f t="shared" si="3"/>
        <v>Adult</v>
      </c>
      <c r="AC54" s="13">
        <v>4</v>
      </c>
      <c r="AD54" s="13">
        <v>9</v>
      </c>
      <c r="AE54" s="13" t="str">
        <f t="shared" si="4"/>
        <v>Morphological</v>
      </c>
      <c r="AF54" s="2">
        <v>4</v>
      </c>
    </row>
    <row r="55" spans="1:32" x14ac:dyDescent="0.25">
      <c r="A55" s="13">
        <v>51</v>
      </c>
      <c r="B55" s="23" t="s">
        <v>56</v>
      </c>
      <c r="C55" s="23" t="s">
        <v>57</v>
      </c>
      <c r="D55" s="23" t="s">
        <v>58</v>
      </c>
      <c r="E55" s="23" t="s">
        <v>58</v>
      </c>
      <c r="F55" s="24" cm="1">
        <f t="array" ref="F55">_xlfn.IFS($G55=$G$5,F$5,$G55=$G$7,F$7,$G55=$G$10,F$10,$G55=$G$13,F$13,$G55=$G$14,F$14,$G55=$G$16,F$16,$G55=$G$17,F$17,$G55=$G$19,F$19,$G55=$G$20,F$20,$G55=$G$22,F$22,$G55=$G$23,F$23,$G55=$G$26,F$26,$G55=$G$29,F$29,$G55=$G$31,F$31,$G55=$G$34,F$34,$G55=$G$37,F$37,$G55=$G$107,F$107,$G55=$G$110,F$110,$G55=$G$140,F$140,$G55=$G$142,F$142,$G55=$G$408,F$408)</f>
        <v>8038</v>
      </c>
      <c r="G55" s="13" t="s">
        <v>69</v>
      </c>
      <c r="H55" s="18" cm="1">
        <f t="array" ref="H55">_xlfn.IFS($G55=$G$5,H$5,$G55=$G$7,H$7,$G55=$G$10,H$10,$G55=$G$13,H$13,$G55=$G$14,H$14,$G55=$G$16,H$16,$G55=$G$17,H$17,$G55=$G$19,H$19,$G55=$G$20,H$20,$G55=$G$22,H$22,$G55=$G$23,H$23,$G55=$G$26,H$26,$G55=$G$29,H$29,$G55=$G$31,H$31,$G55=$G$34,H$34,$G55=$G$37,H$37,$G55=$G$107,H$107,$G55=$G$110,H$110,$G55=$G$140,H$140,$G55=$G$142,H$142,$G55=$G$408,H$408)</f>
        <v>41.363377999999997</v>
      </c>
      <c r="I55" s="19" cm="1">
        <f t="array" ref="I55">_xlfn.IFS($G55=$G$5,I$5,$G55=$G$7,I$7,$G55=$G$10,I$10,$G55=$G$13,I$13,$G55=$G$14,I$14,$G55=$G$16,I$16,$G55=$G$17,I$17,$G55=$G$19,I$19,$G55=$G$20,I$20,$G55=$G$22,I$22,$G55=$G$23,I$23,$G55=$G$26,I$26,$G55=$G$29,I$29,$G55=$G$31,I$31,$G55=$G$34,I$34,$G55=$G$37,I$37,$G55=$G$107,I$107,$G55=$G$110,I$110,$G55=$G$140,I$140,$G55=$G$142,I$142,$G55=$G$408,I$408)</f>
        <v>2.164879</v>
      </c>
      <c r="J55" s="34" cm="1">
        <f t="array" ref="J55">_xlfn.IFS($G55=$G$5,J$5,$G55=$G$7,J$7,$G55=$G$10,J$10,$G55=$G$13,J$13,$G55=$G$14,J$14,$G55=$G$16,J$16,$G55=$G$17,J$17,$G55=$G$19,J$19,$G55=$G$20,J$20,$G55=$G$22,J$22,$G55=$G$23,J$23,$G55=$G$26,J$26,$G55=$G$29,J$29,$G55=$G$31,J$31,$G55=$G$34,J$34,$G55=$G$37,J$37,$G55=$G$107,J$107,$G55=$G$110,J$110,$G55=$G$140,J$140,$G55=$G$142,J$142,$G55=$G$408,J$408)</f>
        <v>185</v>
      </c>
      <c r="K55" s="13" t="str" cm="1">
        <f t="array" ref="K55">_xlfn.IFS($G55=$G$5,K$5,$G55=$G$7,K$7,$G55=$G$10,K$10,$G55=$G$13,K$13,$G55=$G$14,K$14,$G55=$G$16,K$16,$G55=$G$17,K$17,$G55=$G$19,K$19,$G55=$G$20,K$20,$G55=$G$22,K$22,$G55=$G$23,K$23,$G55=$G$26,K$26,$G55=$G$29,K$29,$G55=$G$31,K$31,$G55=$G$34,K$34,$G55=$G$37,K$37,$G55=$G$107,K$107,$G55=$G$110,K$110,$G55=$G$140,K$140,$G55=$G$142,K$142,$G55=$G$408,K$408)</f>
        <v>BG sentinel + BG lure7</v>
      </c>
      <c r="L55" s="13" t="str" cm="1">
        <f t="array" ref="L55">_xlfn.IFS($G55=$G$5,L$5,$G55=$G$7,L$7,$G55=$G$10,L$10,$G55=$G$13,L$13,$G55=$G$14,L$14,$G55=$G$16,L$16,$G55=$G$17,L$17,$G55=$G$19,L$19,$G55=$G$20,L$20,$G55=$G$22,L$22,$G55=$G$23,L$23,$G55=$G$26,L$26,$G55=$G$29,L$29,$G55=$G$31,L$31,$G55=$G$34,L$34,$G55=$G$37,L$37,$G55=$G$107,L$107,$G55=$G$110,L$110,$G55=$G$140,L$140,$G55=$G$142,L$142,$G55=$G$408,L$408)</f>
        <v>Other</v>
      </c>
      <c r="M55" s="13" t="str" cm="1">
        <f t="array" ref="M55">_xlfn.IFS($G55=$G$5,M$5,$G55=$G$7,M$7,$G55=$G$10,M$10,$G55=$G$13,M$13,$G55=$G$14,M$14,$G55=$G$16,M$16,$G55=$G$17,M$17,$G55=$G$19,M$19,$G55=$G$20,M$20,$G55=$G$22,M$22,$G55=$G$23,M$23,$G55=$G$26,M$26,$G55=$G$29,M$29,$G55=$G$31,M$31,$G55=$G$34,M$34,$G55=$G$37,M$37,$G55=$G$107,M$107,$G55=$G$110,M$110,$G55=$G$140,M$140,$G55=$G$142,M$142,$G55=$G$408,M$408)</f>
        <v>Public garden</v>
      </c>
      <c r="O55" s="13" t="str">
        <f t="shared" si="0"/>
        <v>A_SP_BCN_12_220628</v>
      </c>
      <c r="P55" s="27">
        <v>44740</v>
      </c>
      <c r="Q55" s="29">
        <v>0.60763888888888895</v>
      </c>
      <c r="R55" s="22"/>
      <c r="S55" s="27">
        <v>44747</v>
      </c>
      <c r="T55" s="29">
        <v>0.58333333333333337</v>
      </c>
      <c r="V55" s="13" t="s">
        <v>86</v>
      </c>
      <c r="X55" s="13">
        <f t="shared" si="1"/>
        <v>7</v>
      </c>
      <c r="Z55" s="13" t="s">
        <v>164</v>
      </c>
      <c r="AA55" s="13">
        <f t="shared" si="5"/>
        <v>46</v>
      </c>
      <c r="AB55" s="13" t="str">
        <f t="shared" si="3"/>
        <v>Adult</v>
      </c>
      <c r="AC55" s="13">
        <v>45</v>
      </c>
      <c r="AD55" s="13">
        <v>1</v>
      </c>
      <c r="AE55" s="13" t="str">
        <f t="shared" si="4"/>
        <v>Morphological</v>
      </c>
      <c r="AF55" s="2">
        <v>4</v>
      </c>
    </row>
    <row r="56" spans="1:32" x14ac:dyDescent="0.25">
      <c r="A56" s="13">
        <v>52</v>
      </c>
      <c r="B56" s="23" t="s">
        <v>56</v>
      </c>
      <c r="C56" s="23" t="s">
        <v>57</v>
      </c>
      <c r="D56" s="23" t="s">
        <v>58</v>
      </c>
      <c r="E56" s="23" t="s">
        <v>58</v>
      </c>
      <c r="F56" s="24" cm="1">
        <f t="array" ref="F56">_xlfn.IFS($G56=$G$5,F$5,$G56=$G$7,F$7,$G56=$G$10,F$10,$G56=$G$13,F$13,$G56=$G$14,F$14,$G56=$G$16,F$16,$G56=$G$17,F$17,$G56=$G$19,F$19,$G56=$G$20,F$20,$G56=$G$22,F$22,$G56=$G$23,F$23,$G56=$G$26,F$26,$G56=$G$29,F$29,$G56=$G$31,F$31,$G56=$G$34,F$34,$G56=$G$37,F$37,$G56=$G$107,F$107,$G56=$G$110,F$110,$G56=$G$140,F$140,$G56=$G$142,F$142,$G56=$G$408,F$408)</f>
        <v>8038</v>
      </c>
      <c r="G56" s="13" t="s">
        <v>69</v>
      </c>
      <c r="H56" s="18" cm="1">
        <f t="array" ref="H56">_xlfn.IFS($G56=$G$5,H$5,$G56=$G$7,H$7,$G56=$G$10,H$10,$G56=$G$13,H$13,$G56=$G$14,H$14,$G56=$G$16,H$16,$G56=$G$17,H$17,$G56=$G$19,H$19,$G56=$G$20,H$20,$G56=$G$22,H$22,$G56=$G$23,H$23,$G56=$G$26,H$26,$G56=$G$29,H$29,$G56=$G$31,H$31,$G56=$G$34,H$34,$G56=$G$37,H$37,$G56=$G$107,H$107,$G56=$G$110,H$110,$G56=$G$140,H$140,$G56=$G$142,H$142,$G56=$G$408,H$408)</f>
        <v>41.363377999999997</v>
      </c>
      <c r="I56" s="19" cm="1">
        <f t="array" ref="I56">_xlfn.IFS($G56=$G$5,I$5,$G56=$G$7,I$7,$G56=$G$10,I$10,$G56=$G$13,I$13,$G56=$G$14,I$14,$G56=$G$16,I$16,$G56=$G$17,I$17,$G56=$G$19,I$19,$G56=$G$20,I$20,$G56=$G$22,I$22,$G56=$G$23,I$23,$G56=$G$26,I$26,$G56=$G$29,I$29,$G56=$G$31,I$31,$G56=$G$34,I$34,$G56=$G$37,I$37,$G56=$G$107,I$107,$G56=$G$110,I$110,$G56=$G$140,I$140,$G56=$G$142,I$142,$G56=$G$408,I$408)</f>
        <v>2.164879</v>
      </c>
      <c r="J56" s="34" cm="1">
        <f t="array" ref="J56">_xlfn.IFS($G56=$G$5,J$5,$G56=$G$7,J$7,$G56=$G$10,J$10,$G56=$G$13,J$13,$G56=$G$14,J$14,$G56=$G$16,J$16,$G56=$G$17,J$17,$G56=$G$19,J$19,$G56=$G$20,J$20,$G56=$G$22,J$22,$G56=$G$23,J$23,$G56=$G$26,J$26,$G56=$G$29,J$29,$G56=$G$31,J$31,$G56=$G$34,J$34,$G56=$G$37,J$37,$G56=$G$107,J$107,$G56=$G$110,J$110,$G56=$G$140,J$140,$G56=$G$142,J$142,$G56=$G$408,J$408)</f>
        <v>185</v>
      </c>
      <c r="K56" s="13" t="str" cm="1">
        <f t="array" ref="K56">_xlfn.IFS($G56=$G$5,K$5,$G56=$G$7,K$7,$G56=$G$10,K$10,$G56=$G$13,K$13,$G56=$G$14,K$14,$G56=$G$16,K$16,$G56=$G$17,K$17,$G56=$G$19,K$19,$G56=$G$20,K$20,$G56=$G$22,K$22,$G56=$G$23,K$23,$G56=$G$26,K$26,$G56=$G$29,K$29,$G56=$G$31,K$31,$G56=$G$34,K$34,$G56=$G$37,K$37,$G56=$G$107,K$107,$G56=$G$110,K$110,$G56=$G$140,K$140,$G56=$G$142,K$142,$G56=$G$408,K$408)</f>
        <v>BG sentinel + BG lure7</v>
      </c>
      <c r="L56" s="13" t="str" cm="1">
        <f t="array" ref="L56">_xlfn.IFS($G56=$G$5,L$5,$G56=$G$7,L$7,$G56=$G$10,L$10,$G56=$G$13,L$13,$G56=$G$14,L$14,$G56=$G$16,L$16,$G56=$G$17,L$17,$G56=$G$19,L$19,$G56=$G$20,L$20,$G56=$G$22,L$22,$G56=$G$23,L$23,$G56=$G$26,L$26,$G56=$G$29,L$29,$G56=$G$31,L$31,$G56=$G$34,L$34,$G56=$G$37,L$37,$G56=$G$107,L$107,$G56=$G$110,L$110,$G56=$G$140,L$140,$G56=$G$142,L$142,$G56=$G$408,L$408)</f>
        <v>Other</v>
      </c>
      <c r="M56" s="13" t="str" cm="1">
        <f t="array" ref="M56">_xlfn.IFS($G56=$G$5,M$5,$G56=$G$7,M$7,$G56=$G$10,M$10,$G56=$G$13,M$13,$G56=$G$14,M$14,$G56=$G$16,M$16,$G56=$G$17,M$17,$G56=$G$19,M$19,$G56=$G$20,M$20,$G56=$G$22,M$22,$G56=$G$23,M$23,$G56=$G$26,M$26,$G56=$G$29,M$29,$G56=$G$31,M$31,$G56=$G$34,M$34,$G56=$G$37,M$37,$G56=$G$107,M$107,$G56=$G$110,M$110,$G56=$G$140,M$140,$G56=$G$142,M$142,$G56=$G$408,M$408)</f>
        <v>Public garden</v>
      </c>
      <c r="O56" s="13" t="str">
        <f t="shared" si="0"/>
        <v>A_SP_BCN_12_220628</v>
      </c>
      <c r="P56" s="27">
        <v>44740</v>
      </c>
      <c r="Q56" s="29">
        <v>0.60763888888888895</v>
      </c>
      <c r="R56" s="22"/>
      <c r="S56" s="27">
        <v>44747</v>
      </c>
      <c r="T56" s="29">
        <v>0.58333333333333337</v>
      </c>
      <c r="V56" s="13" t="s">
        <v>86</v>
      </c>
      <c r="X56" s="13">
        <f t="shared" si="1"/>
        <v>7</v>
      </c>
      <c r="Z56" s="32" t="s">
        <v>163</v>
      </c>
      <c r="AA56" s="13">
        <f t="shared" si="5"/>
        <v>6</v>
      </c>
      <c r="AB56" s="13" t="str">
        <f t="shared" si="3"/>
        <v>Adult</v>
      </c>
      <c r="AC56" s="13">
        <v>4</v>
      </c>
      <c r="AD56" s="13">
        <v>2</v>
      </c>
      <c r="AE56" s="13" t="str">
        <f t="shared" si="4"/>
        <v>Morphological</v>
      </c>
      <c r="AF56" s="2">
        <v>4</v>
      </c>
    </row>
    <row r="57" spans="1:32" x14ac:dyDescent="0.25">
      <c r="A57" s="13">
        <v>53</v>
      </c>
      <c r="B57" s="23" t="s">
        <v>56</v>
      </c>
      <c r="C57" s="23" t="s">
        <v>57</v>
      </c>
      <c r="D57" s="23" t="s">
        <v>58</v>
      </c>
      <c r="E57" s="23" t="s">
        <v>58</v>
      </c>
      <c r="F57" s="24" cm="1">
        <f t="array" ref="F57">_xlfn.IFS($G57=$G$5,F$5,$G57=$G$7,F$7,$G57=$G$10,F$10,$G57=$G$13,F$13,$G57=$G$14,F$14,$G57=$G$16,F$16,$G57=$G$17,F$17,$G57=$G$19,F$19,$G57=$G$20,F$20,$G57=$G$22,F$22,$G57=$G$23,F$23,$G57=$G$26,F$26,$G57=$G$29,F$29,$G57=$G$31,F$31,$G57=$G$34,F$34,$G57=$G$37,F$37,$G57=$G$107,F$107,$G57=$G$110,F$110,$G57=$G$140,F$140,$G57=$G$142,F$142,$G57=$G$408,F$408)</f>
        <v>8035</v>
      </c>
      <c r="G57" s="13" t="s">
        <v>70</v>
      </c>
      <c r="H57" s="18" cm="1">
        <f t="array" ref="H57">_xlfn.IFS($G57=$G$5,H$5,$G57=$G$7,H$7,$G57=$G$10,H$10,$G57=$G$13,H$13,$G57=$G$14,H$14,$G57=$G$16,H$16,$G57=$G$17,H$17,$G57=$G$19,H$19,$G57=$G$20,H$20,$G57=$G$22,H$22,$G57=$G$23,H$23,$G57=$G$26,H$26,$G57=$G$29,H$29,$G57=$G$31,H$31,$G57=$G$34,H$34,$G57=$G$37,H$37,$G57=$G$107,H$107,$G57=$G$110,H$110,$G57=$G$140,H$140,$G57=$G$142,H$142,$G57=$G$408,H$408)</f>
        <v>41.434472</v>
      </c>
      <c r="I57" s="19" cm="1">
        <f t="array" ref="I57">_xlfn.IFS($G57=$G$5,I$5,$G57=$G$7,I$7,$G57=$G$10,I$10,$G57=$G$13,I$13,$G57=$G$14,I$14,$G57=$G$16,I$16,$G57=$G$17,I$17,$G57=$G$19,I$19,$G57=$G$20,I$20,$G57=$G$22,I$22,$G57=$G$23,I$23,$G57=$G$26,I$26,$G57=$G$29,I$29,$G57=$G$31,I$31,$G57=$G$34,I$34,$G57=$G$37,I$37,$G57=$G$107,I$107,$G57=$G$110,I$110,$G57=$G$140,I$140,$G57=$G$142,I$142,$G57=$G$408,I$408)</f>
        <v>2.1315789999999999</v>
      </c>
      <c r="J57" s="34" cm="1">
        <f t="array" ref="J57">_xlfn.IFS($G57=$G$5,J$5,$G57=$G$7,J$7,$G57=$G$10,J$10,$G57=$G$13,J$13,$G57=$G$14,J$14,$G57=$G$16,J$16,$G57=$G$17,J$17,$G57=$G$19,J$19,$G57=$G$20,J$20,$G57=$G$22,J$22,$G57=$G$23,J$23,$G57=$G$26,J$26,$G57=$G$29,J$29,$G57=$G$31,J$31,$G57=$G$34,J$34,$G57=$G$37,J$37,$G57=$G$107,J$107,$G57=$G$110,J$110,$G57=$G$140,J$140,$G57=$G$142,J$142,$G57=$G$408,J$408)</f>
        <v>365</v>
      </c>
      <c r="K57" s="13" t="str" cm="1">
        <f t="array" ref="K57">_xlfn.IFS($G57=$G$5,K$5,$G57=$G$7,K$7,$G57=$G$10,K$10,$G57=$G$13,K$13,$G57=$G$14,K$14,$G57=$G$16,K$16,$G57=$G$17,K$17,$G57=$G$19,K$19,$G57=$G$20,K$20,$G57=$G$22,K$22,$G57=$G$23,K$23,$G57=$G$26,K$26,$G57=$G$29,K$29,$G57=$G$31,K$31,$G57=$G$34,K$34,$G57=$G$37,K$37,$G57=$G$107,K$107,$G57=$G$110,K$110,$G57=$G$140,K$140,$G57=$G$142,K$142,$G57=$G$408,K$408)</f>
        <v>BG sentinel + BG lure7</v>
      </c>
      <c r="L57" s="13" t="str" cm="1">
        <f t="array" ref="L57">_xlfn.IFS($G57=$G$5,L$5,$G57=$G$7,L$7,$G57=$G$10,L$10,$G57=$G$13,L$13,$G57=$G$14,L$14,$G57=$G$16,L$16,$G57=$G$17,L$17,$G57=$G$19,L$19,$G57=$G$20,L$20,$G57=$G$22,L$22,$G57=$G$23,L$23,$G57=$G$26,L$26,$G57=$G$29,L$29,$G57=$G$31,L$31,$G57=$G$34,L$34,$G57=$G$37,L$37,$G57=$G$107,L$107,$G57=$G$110,L$110,$G57=$G$140,L$140,$G57=$G$142,L$142,$G57=$G$408,L$408)</f>
        <v>Other</v>
      </c>
      <c r="O57" s="13" t="str">
        <f t="shared" si="0"/>
        <v>A_SP_BCN_13_220628</v>
      </c>
      <c r="P57" s="27">
        <v>44740</v>
      </c>
      <c r="Q57" s="29">
        <v>0.75</v>
      </c>
      <c r="R57" s="22"/>
      <c r="S57" s="27">
        <v>44747</v>
      </c>
      <c r="T57" s="29">
        <v>0.63888888888888895</v>
      </c>
      <c r="V57" s="13" t="s">
        <v>86</v>
      </c>
      <c r="X57" s="13">
        <f t="shared" si="1"/>
        <v>7</v>
      </c>
      <c r="AA57" s="13">
        <v>0</v>
      </c>
      <c r="AB57" s="13" t="str">
        <f t="shared" si="3"/>
        <v/>
      </c>
      <c r="AE57" s="13" t="str">
        <f t="shared" si="4"/>
        <v/>
      </c>
      <c r="AF57" s="2">
        <v>4</v>
      </c>
    </row>
    <row r="58" spans="1:32" x14ac:dyDescent="0.25">
      <c r="A58" s="13">
        <v>54</v>
      </c>
      <c r="B58" s="23" t="s">
        <v>56</v>
      </c>
      <c r="C58" s="23" t="s">
        <v>57</v>
      </c>
      <c r="D58" s="23" t="s">
        <v>58</v>
      </c>
      <c r="E58" s="23" t="s">
        <v>58</v>
      </c>
      <c r="F58" s="24" cm="1">
        <f t="array" ref="F58">_xlfn.IFS($G58=$G$5,F$5,$G58=$G$7,F$7,$G58=$G$10,F$10,$G58=$G$13,F$13,$G58=$G$14,F$14,$G58=$G$16,F$16,$G58=$G$17,F$17,$G58=$G$19,F$19,$G58=$G$20,F$20,$G58=$G$22,F$22,$G58=$G$23,F$23,$G58=$G$26,F$26,$G58=$G$29,F$29,$G58=$G$31,F$31,$G58=$G$34,F$34,$G58=$G$37,F$37,$G58=$G$107,F$107,$G58=$G$110,F$110,$G58=$G$140,F$140,$G58=$G$142,F$142,$G58=$G$408,F$408)</f>
        <v>8017</v>
      </c>
      <c r="G58" s="13" t="s">
        <v>71</v>
      </c>
      <c r="H58" s="18" cm="1">
        <f t="array" ref="H58">_xlfn.IFS($G58=$G$5,H$5,$G58=$G$7,H$7,$G58=$G$10,H$10,$G58=$G$13,H$13,$G58=$G$14,H$14,$G58=$G$16,H$16,$G58=$G$17,H$17,$G58=$G$19,H$19,$G58=$G$20,H$20,$G58=$G$22,H$22,$G58=$G$23,H$23,$G58=$G$26,H$26,$G58=$G$29,H$29,$G58=$G$31,H$31,$G58=$G$34,H$34,$G58=$G$37,H$37,$G58=$G$107,H$107,$G58=$G$110,H$110,$G58=$G$140,H$140,$G58=$G$142,H$142,$G58=$G$408,H$408)</f>
        <v>41.428533999999999</v>
      </c>
      <c r="I58" s="19" cm="1">
        <f t="array" ref="I58">_xlfn.IFS($G58=$G$5,I$5,$G58=$G$7,I$7,$G58=$G$10,I$10,$G58=$G$13,I$13,$G58=$G$14,I$14,$G58=$G$16,I$16,$G58=$G$17,I$17,$G58=$G$19,I$19,$G58=$G$20,I$20,$G58=$G$22,I$22,$G58=$G$23,I$23,$G58=$G$26,I$26,$G58=$G$29,I$29,$G58=$G$31,I$31,$G58=$G$34,I$34,$G58=$G$37,I$37,$G58=$G$107,I$107,$G58=$G$110,I$110,$G58=$G$140,I$140,$G58=$G$142,I$142,$G58=$G$408,I$408)</f>
        <v>2.090954</v>
      </c>
      <c r="J58" s="34" cm="1">
        <f t="array" ref="J58">_xlfn.IFS($G58=$G$5,J$5,$G58=$G$7,J$7,$G58=$G$10,J$10,$G58=$G$13,J$13,$G58=$G$14,J$14,$G58=$G$16,J$16,$G58=$G$17,J$17,$G58=$G$19,J$19,$G58=$G$20,J$20,$G58=$G$22,J$22,$G58=$G$23,J$23,$G58=$G$26,J$26,$G58=$G$29,J$29,$G58=$G$31,J$31,$G58=$G$34,J$34,$G58=$G$37,J$37,$G58=$G$107,J$107,$G58=$G$110,J$110,$G58=$G$140,J$140,$G58=$G$142,J$142,$G58=$G$408,J$408)</f>
        <v>215</v>
      </c>
      <c r="K58" s="13" t="str" cm="1">
        <f t="array" ref="K58">_xlfn.IFS($G58=$G$5,K$5,$G58=$G$7,K$7,$G58=$G$10,K$10,$G58=$G$13,K$13,$G58=$G$14,K$14,$G58=$G$16,K$16,$G58=$G$17,K$17,$G58=$G$19,K$19,$G58=$G$20,K$20,$G58=$G$22,K$22,$G58=$G$23,K$23,$G58=$G$26,K$26,$G58=$G$29,K$29,$G58=$G$31,K$31,$G58=$G$34,K$34,$G58=$G$37,K$37,$G58=$G$107,K$107,$G58=$G$110,K$110,$G58=$G$140,K$140,$G58=$G$142,K$142,$G58=$G$408,K$408)</f>
        <v>BG sentinel + BG lure7</v>
      </c>
      <c r="O58" s="13" t="str">
        <f t="shared" si="0"/>
        <v>A_SP_BCN_14_220628</v>
      </c>
      <c r="P58" s="27">
        <v>44740</v>
      </c>
      <c r="Q58" s="29">
        <v>0.70833333333333337</v>
      </c>
      <c r="R58" s="22"/>
      <c r="S58" s="27">
        <v>44747</v>
      </c>
      <c r="T58" s="29">
        <v>0.70138888888888884</v>
      </c>
      <c r="V58" s="13" t="s">
        <v>86</v>
      </c>
      <c r="X58" s="13">
        <f t="shared" si="1"/>
        <v>7</v>
      </c>
      <c r="Z58" s="13" t="s">
        <v>60</v>
      </c>
      <c r="AA58" s="13">
        <f t="shared" ref="AA58:AA64" si="6">SUM(AC58:AD58)</f>
        <v>1</v>
      </c>
      <c r="AB58" s="13" t="str">
        <f t="shared" si="3"/>
        <v>Adult</v>
      </c>
      <c r="AC58" s="13">
        <v>1</v>
      </c>
      <c r="AD58" s="13">
        <v>0</v>
      </c>
      <c r="AE58" s="13" t="str">
        <f t="shared" si="4"/>
        <v>Morphological</v>
      </c>
      <c r="AF58" s="2">
        <v>4</v>
      </c>
    </row>
    <row r="59" spans="1:32" x14ac:dyDescent="0.25">
      <c r="A59" s="13">
        <v>55</v>
      </c>
      <c r="B59" s="23" t="s">
        <v>56</v>
      </c>
      <c r="C59" s="23" t="s">
        <v>57</v>
      </c>
      <c r="D59" s="23" t="s">
        <v>58</v>
      </c>
      <c r="E59" s="23" t="s">
        <v>58</v>
      </c>
      <c r="F59" s="24" cm="1">
        <f t="array" ref="F59">_xlfn.IFS($G59=$G$5,F$5,$G59=$G$7,F$7,$G59=$G$10,F$10,$G59=$G$13,F$13,$G59=$G$14,F$14,$G59=$G$16,F$16,$G59=$G$17,F$17,$G59=$G$19,F$19,$G59=$G$20,F$20,$G59=$G$22,F$22,$G59=$G$23,F$23,$G59=$G$26,F$26,$G59=$G$29,F$29,$G59=$G$31,F$31,$G59=$G$34,F$34,$G59=$G$37,F$37,$G59=$G$107,F$107,$G59=$G$110,F$110,$G59=$G$140,F$140,$G59=$G$142,F$142,$G59=$G$408,F$408)</f>
        <v>8017</v>
      </c>
      <c r="G59" s="13" t="s">
        <v>72</v>
      </c>
      <c r="H59" s="18" cm="1">
        <f t="array" ref="H59">_xlfn.IFS($G59=$G$5,H$5,$G59=$G$7,H$7,$G59=$G$10,H$10,$G59=$G$13,H$13,$G59=$G$14,H$14,$G59=$G$16,H$16,$G59=$G$17,H$17,$G59=$G$19,H$19,$G59=$G$20,H$20,$G59=$G$22,H$22,$G59=$G$23,H$23,$G59=$G$26,H$26,$G59=$G$29,H$29,$G59=$G$31,H$31,$G59=$G$34,H$34,$G59=$G$37,H$37,$G59=$G$107,H$107,$G59=$G$110,H$110,$G59=$G$140,H$140,$G59=$G$142,H$142,$G59=$G$408,H$408)</f>
        <v>41.419471000000001</v>
      </c>
      <c r="I59" s="19" cm="1">
        <f t="array" ref="I59">_xlfn.IFS($G59=$G$5,I$5,$G59=$G$7,I$7,$G59=$G$10,I$10,$G59=$G$13,I$13,$G59=$G$14,I$14,$G59=$G$16,I$16,$G59=$G$17,I$17,$G59=$G$19,I$19,$G59=$G$20,I$20,$G59=$G$22,I$22,$G59=$G$23,I$23,$G59=$G$26,I$26,$G59=$G$29,I$29,$G59=$G$31,I$31,$G59=$G$34,I$34,$G59=$G$37,I$37,$G59=$G$107,I$107,$G59=$G$110,I$110,$G59=$G$140,I$140,$G59=$G$142,I$142,$G59=$G$408,I$408)</f>
        <v>2.1010149999999999</v>
      </c>
      <c r="J59" s="34" cm="1">
        <f t="array" ref="J59">_xlfn.IFS($G59=$G$5,J$5,$G59=$G$7,J$7,$G59=$G$10,J$10,$G59=$G$13,J$13,$G59=$G$14,J$14,$G59=$G$16,J$16,$G59=$G$17,J$17,$G59=$G$19,J$19,$G59=$G$20,J$20,$G59=$G$22,J$22,$G59=$G$23,J$23,$G59=$G$26,J$26,$G59=$G$29,J$29,$G59=$G$31,J$31,$G59=$G$34,J$34,$G59=$G$37,J$37,$G59=$G$107,J$107,$G59=$G$110,J$110,$G59=$G$140,J$140,$G59=$G$142,J$142,$G59=$G$408,J$408)</f>
        <v>284</v>
      </c>
      <c r="K59" s="13" t="str" cm="1">
        <f t="array" ref="K59">_xlfn.IFS($G59=$G$5,K$5,$G59=$G$7,K$7,$G59=$G$10,K$10,$G59=$G$13,K$13,$G59=$G$14,K$14,$G59=$G$16,K$16,$G59=$G$17,K$17,$G59=$G$19,K$19,$G59=$G$20,K$20,$G59=$G$22,K$22,$G59=$G$23,K$23,$G59=$G$26,K$26,$G59=$G$29,K$29,$G59=$G$31,K$31,$G59=$G$34,K$34,$G59=$G$37,K$37,$G59=$G$107,K$107,$G59=$G$110,K$110,$G59=$G$140,K$140,$G59=$G$142,K$142,$G59=$G$408,K$408)</f>
        <v>BG sentinel + BG lure7</v>
      </c>
      <c r="O59" s="13" t="str">
        <f t="shared" si="0"/>
        <v>A_SP_BCN_15_220628</v>
      </c>
      <c r="P59" s="27">
        <v>44740</v>
      </c>
      <c r="Q59" s="29">
        <v>0.63541666666666663</v>
      </c>
      <c r="R59" s="22"/>
      <c r="S59" s="27">
        <v>44747</v>
      </c>
      <c r="T59" s="29">
        <v>0.64930555555555558</v>
      </c>
      <c r="V59" s="13" t="s">
        <v>86</v>
      </c>
      <c r="X59" s="13">
        <f t="shared" si="1"/>
        <v>7</v>
      </c>
      <c r="Z59" s="13" t="s">
        <v>60</v>
      </c>
      <c r="AA59" s="13">
        <f t="shared" si="6"/>
        <v>8</v>
      </c>
      <c r="AB59" s="13" t="str">
        <f t="shared" si="3"/>
        <v>Adult</v>
      </c>
      <c r="AC59" s="13">
        <v>8</v>
      </c>
      <c r="AD59" s="13">
        <v>0</v>
      </c>
      <c r="AE59" s="13" t="str">
        <f t="shared" si="4"/>
        <v>Morphological</v>
      </c>
      <c r="AF59" s="2">
        <v>4</v>
      </c>
    </row>
    <row r="60" spans="1:32" x14ac:dyDescent="0.25">
      <c r="A60" s="13">
        <v>56</v>
      </c>
      <c r="B60" s="23" t="s">
        <v>56</v>
      </c>
      <c r="C60" s="23" t="s">
        <v>57</v>
      </c>
      <c r="D60" s="23" t="s">
        <v>58</v>
      </c>
      <c r="E60" s="23" t="s">
        <v>58</v>
      </c>
      <c r="F60" s="24" cm="1">
        <f t="array" ref="F60">_xlfn.IFS($G60=$G$5,F$5,$G60=$G$7,F$7,$G60=$G$10,F$10,$G60=$G$13,F$13,$G60=$G$14,F$14,$G60=$G$16,F$16,$G60=$G$17,F$17,$G60=$G$19,F$19,$G60=$G$20,F$20,$G60=$G$22,F$22,$G60=$G$23,F$23,$G60=$G$26,F$26,$G60=$G$29,F$29,$G60=$G$31,F$31,$G60=$G$34,F$34,$G60=$G$37,F$37,$G60=$G$107,F$107,$G60=$G$110,F$110,$G60=$G$140,F$140,$G60=$G$142,F$142,$G60=$G$408,F$408)</f>
        <v>8017</v>
      </c>
      <c r="G60" s="13" t="s">
        <v>73</v>
      </c>
      <c r="H60" s="18" cm="1">
        <f t="array" ref="H60">_xlfn.IFS($G60=$G$5,H$5,$G60=$G$7,H$7,$G60=$G$10,H$10,$G60=$G$13,H$13,$G60=$G$14,H$14,$G60=$G$16,H$16,$G60=$G$17,H$17,$G60=$G$19,H$19,$G60=$G$20,H$20,$G60=$G$22,H$22,$G60=$G$23,H$23,$G60=$G$26,H$26,$G60=$G$29,H$29,$G60=$G$31,H$31,$G60=$G$34,H$34,$G60=$G$37,H$37,$G60=$G$107,H$107,$G60=$G$110,H$110,$G60=$G$140,H$140,$G60=$G$142,H$142,$G60=$G$408,H$408)</f>
        <v>41.398387</v>
      </c>
      <c r="I60" s="19" cm="1">
        <f t="array" ref="I60">_xlfn.IFS($G60=$G$5,I$5,$G60=$G$7,I$7,$G60=$G$10,I$10,$G60=$G$13,I$13,$G60=$G$14,I$14,$G60=$G$16,I$16,$G60=$G$17,I$17,$G60=$G$19,I$19,$G60=$G$20,I$20,$G60=$G$22,I$22,$G60=$G$23,I$23,$G60=$G$26,I$26,$G60=$G$29,I$29,$G60=$G$31,I$31,$G60=$G$34,I$34,$G60=$G$37,I$37,$G60=$G$107,I$107,$G60=$G$110,I$110,$G60=$G$140,I$140,$G60=$G$142,I$142,$G60=$G$408,I$408)</f>
        <v>2.1244429999999999</v>
      </c>
      <c r="J60" s="34" cm="1">
        <f t="array" ref="J60">_xlfn.IFS($G60=$G$5,J$5,$G60=$G$7,J$7,$G60=$G$10,J$10,$G60=$G$13,J$13,$G60=$G$14,J$14,$G60=$G$16,J$16,$G60=$G$17,J$17,$G60=$G$19,J$19,$G60=$G$20,J$20,$G60=$G$22,J$22,$G60=$G$23,J$23,$G60=$G$26,J$26,$G60=$G$29,J$29,$G60=$G$31,J$31,$G60=$G$34,J$34,$G60=$G$37,J$37,$G60=$G$107,J$107,$G60=$G$110,J$110,$G60=$G$140,J$140,$G60=$G$142,J$142,$G60=$G$408,J$408)</f>
        <v>106</v>
      </c>
      <c r="K60" s="13" t="str" cm="1">
        <f t="array" ref="K60">_xlfn.IFS($G60=$G$5,K$5,$G60=$G$7,K$7,$G60=$G$10,K$10,$G60=$G$13,K$13,$G60=$G$14,K$14,$G60=$G$16,K$16,$G60=$G$17,K$17,$G60=$G$19,K$19,$G60=$G$20,K$20,$G60=$G$22,K$22,$G60=$G$23,K$23,$G60=$G$26,K$26,$G60=$G$29,K$29,$G60=$G$31,K$31,$G60=$G$34,K$34,$G60=$G$37,K$37,$G60=$G$107,K$107,$G60=$G$110,K$110,$G60=$G$140,K$140,$G60=$G$142,K$142,$G60=$G$408,K$408)</f>
        <v>BG sentinel + BG lure7</v>
      </c>
      <c r="O60" s="13" t="str">
        <f t="shared" si="0"/>
        <v>A_SP_BCN_16_220628</v>
      </c>
      <c r="P60" s="27">
        <v>44740</v>
      </c>
      <c r="Q60" s="29">
        <v>0.73263888888888884</v>
      </c>
      <c r="R60" s="22"/>
      <c r="S60" s="27">
        <v>44747</v>
      </c>
      <c r="T60" s="29">
        <v>0.72569444444444453</v>
      </c>
      <c r="V60" s="13" t="s">
        <v>86</v>
      </c>
      <c r="X60" s="13">
        <f t="shared" si="1"/>
        <v>7</v>
      </c>
      <c r="Z60" s="13" t="s">
        <v>60</v>
      </c>
      <c r="AA60" s="13">
        <f t="shared" si="6"/>
        <v>22</v>
      </c>
      <c r="AB60" s="13" t="str">
        <f t="shared" si="3"/>
        <v>Adult</v>
      </c>
      <c r="AC60" s="13">
        <v>9</v>
      </c>
      <c r="AD60" s="13">
        <v>13</v>
      </c>
      <c r="AE60" s="13" t="str">
        <f t="shared" si="4"/>
        <v>Morphological</v>
      </c>
      <c r="AF60" s="2">
        <v>4</v>
      </c>
    </row>
    <row r="61" spans="1:32" x14ac:dyDescent="0.25">
      <c r="A61" s="13">
        <v>57</v>
      </c>
      <c r="B61" s="23" t="s">
        <v>56</v>
      </c>
      <c r="C61" s="23" t="s">
        <v>57</v>
      </c>
      <c r="D61" s="23" t="s">
        <v>58</v>
      </c>
      <c r="E61" s="23" t="s">
        <v>58</v>
      </c>
      <c r="F61" s="24" cm="1">
        <f t="array" ref="F61">_xlfn.IFS($G61=$G$5,F$5,$G61=$G$7,F$7,$G61=$G$10,F$10,$G61=$G$13,F$13,$G61=$G$14,F$14,$G61=$G$16,F$16,$G61=$G$17,F$17,$G61=$G$19,F$19,$G61=$G$20,F$20,$G61=$G$22,F$22,$G61=$G$23,F$23,$G61=$G$26,F$26,$G61=$G$29,F$29,$G61=$G$31,F$31,$G61=$G$34,F$34,$G61=$G$37,F$37,$G61=$G$107,F$107,$G61=$G$110,F$110,$G61=$G$140,F$140,$G61=$G$142,F$142,$G61=$G$408,F$408)</f>
        <v>8017</v>
      </c>
      <c r="G61" s="13" t="s">
        <v>73</v>
      </c>
      <c r="H61" s="18" cm="1">
        <f t="array" ref="H61">_xlfn.IFS($G61=$G$5,H$5,$G61=$G$7,H$7,$G61=$G$10,H$10,$G61=$G$13,H$13,$G61=$G$14,H$14,$G61=$G$16,H$16,$G61=$G$17,H$17,$G61=$G$19,H$19,$G61=$G$20,H$20,$G61=$G$22,H$22,$G61=$G$23,H$23,$G61=$G$26,H$26,$G61=$G$29,H$29,$G61=$G$31,H$31,$G61=$G$34,H$34,$G61=$G$37,H$37,$G61=$G$107,H$107,$G61=$G$110,H$110,$G61=$G$140,H$140,$G61=$G$142,H$142,$G61=$G$408,H$408)</f>
        <v>41.398387</v>
      </c>
      <c r="I61" s="19" cm="1">
        <f t="array" ref="I61">_xlfn.IFS($G61=$G$5,I$5,$G61=$G$7,I$7,$G61=$G$10,I$10,$G61=$G$13,I$13,$G61=$G$14,I$14,$G61=$G$16,I$16,$G61=$G$17,I$17,$G61=$G$19,I$19,$G61=$G$20,I$20,$G61=$G$22,I$22,$G61=$G$23,I$23,$G61=$G$26,I$26,$G61=$G$29,I$29,$G61=$G$31,I$31,$G61=$G$34,I$34,$G61=$G$37,I$37,$G61=$G$107,I$107,$G61=$G$110,I$110,$G61=$G$140,I$140,$G61=$G$142,I$142,$G61=$G$408,I$408)</f>
        <v>2.1244429999999999</v>
      </c>
      <c r="J61" s="34" cm="1">
        <f t="array" ref="J61">_xlfn.IFS($G61=$G$5,J$5,$G61=$G$7,J$7,$G61=$G$10,J$10,$G61=$G$13,J$13,$G61=$G$14,J$14,$G61=$G$16,J$16,$G61=$G$17,J$17,$G61=$G$19,J$19,$G61=$G$20,J$20,$G61=$G$22,J$22,$G61=$G$23,J$23,$G61=$G$26,J$26,$G61=$G$29,J$29,$G61=$G$31,J$31,$G61=$G$34,J$34,$G61=$G$37,J$37,$G61=$G$107,J$107,$G61=$G$110,J$110,$G61=$G$140,J$140,$G61=$G$142,J$142,$G61=$G$408,J$408)</f>
        <v>106</v>
      </c>
      <c r="K61" s="13" t="str" cm="1">
        <f t="array" ref="K61">_xlfn.IFS($G61=$G$5,K$5,$G61=$G$7,K$7,$G61=$G$10,K$10,$G61=$G$13,K$13,$G61=$G$14,K$14,$G61=$G$16,K$16,$G61=$G$17,K$17,$G61=$G$19,K$19,$G61=$G$20,K$20,$G61=$G$22,K$22,$G61=$G$23,K$23,$G61=$G$26,K$26,$G61=$G$29,K$29,$G61=$G$31,K$31,$G61=$G$34,K$34,$G61=$G$37,K$37,$G61=$G$107,K$107,$G61=$G$110,K$110,$G61=$G$140,K$140,$G61=$G$142,K$142,$G61=$G$408,K$408)</f>
        <v>BG sentinel + BG lure7</v>
      </c>
      <c r="O61" s="13" t="str">
        <f t="shared" si="0"/>
        <v>A_SP_BCN_16_220628</v>
      </c>
      <c r="P61" s="27">
        <v>44740</v>
      </c>
      <c r="Q61" s="29">
        <v>0.73263888888888884</v>
      </c>
      <c r="R61" s="22"/>
      <c r="S61" s="27">
        <v>44747</v>
      </c>
      <c r="T61" s="29">
        <v>0.72569444444444453</v>
      </c>
      <c r="V61" s="13" t="s">
        <v>86</v>
      </c>
      <c r="X61" s="13">
        <f t="shared" si="1"/>
        <v>7</v>
      </c>
      <c r="Z61" s="13" t="s">
        <v>164</v>
      </c>
      <c r="AA61" s="13">
        <f t="shared" si="6"/>
        <v>17</v>
      </c>
      <c r="AB61" s="13" t="str">
        <f t="shared" si="3"/>
        <v>Adult</v>
      </c>
      <c r="AC61" s="13">
        <v>6</v>
      </c>
      <c r="AD61" s="13">
        <v>11</v>
      </c>
      <c r="AE61" s="13" t="str">
        <f t="shared" si="4"/>
        <v>Morphological</v>
      </c>
      <c r="AF61" s="2">
        <v>4</v>
      </c>
    </row>
    <row r="62" spans="1:32" x14ac:dyDescent="0.25">
      <c r="A62" s="13">
        <v>58</v>
      </c>
      <c r="B62" s="23" t="s">
        <v>56</v>
      </c>
      <c r="C62" s="23" t="s">
        <v>57</v>
      </c>
      <c r="D62" s="23" t="s">
        <v>58</v>
      </c>
      <c r="E62" s="23" t="s">
        <v>58</v>
      </c>
      <c r="F62" s="24" cm="1">
        <f t="array" ref="F62">_xlfn.IFS($G62=$G$5,F$5,$G62=$G$7,F$7,$G62=$G$10,F$10,$G62=$G$13,F$13,$G62=$G$14,F$14,$G62=$G$16,F$16,$G62=$G$17,F$17,$G62=$G$19,F$19,$G62=$G$20,F$20,$G62=$G$22,F$22,$G62=$G$23,F$23,$G62=$G$26,F$26,$G62=$G$29,F$29,$G62=$G$31,F$31,$G62=$G$34,F$34,$G62=$G$37,F$37,$G62=$G$107,F$107,$G62=$G$110,F$110,$G62=$G$140,F$140,$G62=$G$142,F$142,$G62=$G$408,F$408)</f>
        <v>8017</v>
      </c>
      <c r="G62" s="13" t="s">
        <v>73</v>
      </c>
      <c r="H62" s="18" cm="1">
        <f t="array" ref="H62">_xlfn.IFS($G62=$G$5,H$5,$G62=$G$7,H$7,$G62=$G$10,H$10,$G62=$G$13,H$13,$G62=$G$14,H$14,$G62=$G$16,H$16,$G62=$G$17,H$17,$G62=$G$19,H$19,$G62=$G$20,H$20,$G62=$G$22,H$22,$G62=$G$23,H$23,$G62=$G$26,H$26,$G62=$G$29,H$29,$G62=$G$31,H$31,$G62=$G$34,H$34,$G62=$G$37,H$37,$G62=$G$107,H$107,$G62=$G$110,H$110,$G62=$G$140,H$140,$G62=$G$142,H$142,$G62=$G$408,H$408)</f>
        <v>41.398387</v>
      </c>
      <c r="I62" s="19" cm="1">
        <f t="array" ref="I62">_xlfn.IFS($G62=$G$5,I$5,$G62=$G$7,I$7,$G62=$G$10,I$10,$G62=$G$13,I$13,$G62=$G$14,I$14,$G62=$G$16,I$16,$G62=$G$17,I$17,$G62=$G$19,I$19,$G62=$G$20,I$20,$G62=$G$22,I$22,$G62=$G$23,I$23,$G62=$G$26,I$26,$G62=$G$29,I$29,$G62=$G$31,I$31,$G62=$G$34,I$34,$G62=$G$37,I$37,$G62=$G$107,I$107,$G62=$G$110,I$110,$G62=$G$140,I$140,$G62=$G$142,I$142,$G62=$G$408,I$408)</f>
        <v>2.1244429999999999</v>
      </c>
      <c r="J62" s="34" cm="1">
        <f t="array" ref="J62">_xlfn.IFS($G62=$G$5,J$5,$G62=$G$7,J$7,$G62=$G$10,J$10,$G62=$G$13,J$13,$G62=$G$14,J$14,$G62=$G$16,J$16,$G62=$G$17,J$17,$G62=$G$19,J$19,$G62=$G$20,J$20,$G62=$G$22,J$22,$G62=$G$23,J$23,$G62=$G$26,J$26,$G62=$G$29,J$29,$G62=$G$31,J$31,$G62=$G$34,J$34,$G62=$G$37,J$37,$G62=$G$107,J$107,$G62=$G$110,J$110,$G62=$G$140,J$140,$G62=$G$142,J$142,$G62=$G$408,J$408)</f>
        <v>106</v>
      </c>
      <c r="K62" s="13" t="str" cm="1">
        <f t="array" ref="K62">_xlfn.IFS($G62=$G$5,K$5,$G62=$G$7,K$7,$G62=$G$10,K$10,$G62=$G$13,K$13,$G62=$G$14,K$14,$G62=$G$16,K$16,$G62=$G$17,K$17,$G62=$G$19,K$19,$G62=$G$20,K$20,$G62=$G$22,K$22,$G62=$G$23,K$23,$G62=$G$26,K$26,$G62=$G$29,K$29,$G62=$G$31,K$31,$G62=$G$34,K$34,$G62=$G$37,K$37,$G62=$G$107,K$107,$G62=$G$110,K$110,$G62=$G$140,K$140,$G62=$G$142,K$142,$G62=$G$408,K$408)</f>
        <v>BG sentinel + BG lure7</v>
      </c>
      <c r="O62" s="13" t="str">
        <f t="shared" si="0"/>
        <v>A_SP_BCN_16_220628</v>
      </c>
      <c r="P62" s="27">
        <v>44740</v>
      </c>
      <c r="Q62" s="29">
        <v>0.73263888888888884</v>
      </c>
      <c r="R62" s="22"/>
      <c r="S62" s="27">
        <v>44747</v>
      </c>
      <c r="T62" s="29">
        <v>0.72569444444444453</v>
      </c>
      <c r="V62" s="13" t="s">
        <v>86</v>
      </c>
      <c r="X62" s="13">
        <f t="shared" si="1"/>
        <v>7</v>
      </c>
      <c r="Z62" s="32" t="s">
        <v>163</v>
      </c>
      <c r="AA62" s="13">
        <f t="shared" si="6"/>
        <v>2</v>
      </c>
      <c r="AB62" s="13" t="str">
        <f t="shared" si="3"/>
        <v>Adult</v>
      </c>
      <c r="AC62" s="13">
        <v>2</v>
      </c>
      <c r="AD62" s="13">
        <v>0</v>
      </c>
      <c r="AE62" s="13" t="str">
        <f t="shared" si="4"/>
        <v>Morphological</v>
      </c>
      <c r="AF62" s="2">
        <v>4</v>
      </c>
    </row>
    <row r="63" spans="1:32" x14ac:dyDescent="0.25">
      <c r="A63" s="13">
        <v>59</v>
      </c>
      <c r="B63" s="23" t="s">
        <v>56</v>
      </c>
      <c r="C63" s="23" t="s">
        <v>57</v>
      </c>
      <c r="D63" s="23" t="s">
        <v>58</v>
      </c>
      <c r="E63" s="23" t="s">
        <v>58</v>
      </c>
      <c r="F63" s="24" cm="1">
        <f t="array" ref="F63">_xlfn.IFS($G63=$G$5,F$5,$G63=$G$7,F$7,$G63=$G$10,F$10,$G63=$G$13,F$13,$G63=$G$14,F$14,$G63=$G$16,F$16,$G63=$G$17,F$17,$G63=$G$19,F$19,$G63=$G$20,F$20,$G63=$G$22,F$22,$G63=$G$23,F$23,$G63=$G$26,F$26,$G63=$G$29,F$29,$G63=$G$31,F$31,$G63=$G$34,F$34,$G63=$G$37,F$37,$G63=$G$107,F$107,$G63=$G$110,F$110,$G63=$G$140,F$140,$G63=$G$142,F$142,$G63=$G$408,F$408)</f>
        <v>8023</v>
      </c>
      <c r="G63" s="13" t="s">
        <v>74</v>
      </c>
      <c r="H63" s="18" cm="1">
        <f t="array" ref="H63">_xlfn.IFS($G63=$G$5,H$5,$G63=$G$7,H$7,$G63=$G$10,H$10,$G63=$G$13,H$13,$G63=$G$14,H$14,$G63=$G$16,H$16,$G63=$G$17,H$17,$G63=$G$19,H$19,$G63=$G$20,H$20,$G63=$G$22,H$22,$G63=$G$23,H$23,$G63=$G$26,H$26,$G63=$G$29,H$29,$G63=$G$31,H$31,$G63=$G$34,H$34,$G63=$G$37,H$37,$G63=$G$107,H$107,$G63=$G$110,H$110,$G63=$G$140,H$140,$G63=$G$142,H$142,$G63=$G$408,H$408)</f>
        <v>41.417256000000002</v>
      </c>
      <c r="I63" s="19" cm="1">
        <f t="array" ref="I63">_xlfn.IFS($G63=$G$5,I$5,$G63=$G$7,I$7,$G63=$G$10,I$10,$G63=$G$13,I$13,$G63=$G$14,I$14,$G63=$G$16,I$16,$G63=$G$17,I$17,$G63=$G$19,I$19,$G63=$G$20,I$20,$G63=$G$22,I$22,$G63=$G$23,I$23,$G63=$G$26,I$26,$G63=$G$29,I$29,$G63=$G$31,I$31,$G63=$G$34,I$34,$G63=$G$37,I$37,$G63=$G$107,I$107,$G63=$G$110,I$110,$G63=$G$140,I$140,$G63=$G$142,I$142,$G63=$G$408,I$408)</f>
        <v>2.1455709999999999</v>
      </c>
      <c r="J63" s="34" cm="1">
        <f t="array" ref="J63">_xlfn.IFS($G63=$G$5,J$5,$G63=$G$7,J$7,$G63=$G$10,J$10,$G63=$G$13,J$13,$G63=$G$14,J$14,$G63=$G$16,J$16,$G63=$G$17,J$17,$G63=$G$19,J$19,$G63=$G$20,J$20,$G63=$G$22,J$22,$G63=$G$23,J$23,$G63=$G$26,J$26,$G63=$G$29,J$29,$G63=$G$31,J$31,$G63=$G$34,J$34,$G63=$G$37,J$37,$G63=$G$107,J$107,$G63=$G$110,J$110,$G63=$G$140,J$140,$G63=$G$142,J$142,$G63=$G$408,J$408)</f>
        <v>186</v>
      </c>
      <c r="K63" s="13" t="str" cm="1">
        <f t="array" ref="K63">_xlfn.IFS($G63=$G$5,K$5,$G63=$G$7,K$7,$G63=$G$10,K$10,$G63=$G$13,K$13,$G63=$G$14,K$14,$G63=$G$16,K$16,$G63=$G$17,K$17,$G63=$G$19,K$19,$G63=$G$20,K$20,$G63=$G$22,K$22,$G63=$G$23,K$23,$G63=$G$26,K$26,$G63=$G$29,K$29,$G63=$G$31,K$31,$G63=$G$34,K$34,$G63=$G$37,K$37,$G63=$G$107,K$107,$G63=$G$110,K$110,$G63=$G$140,K$140,$G63=$G$142,K$142,$G63=$G$408,K$408)</f>
        <v>BG sentinel + BG lure7</v>
      </c>
      <c r="O63" s="13" t="str">
        <f t="shared" si="0"/>
        <v>A_SP_BCN_17_220629</v>
      </c>
      <c r="P63" s="31">
        <v>44741</v>
      </c>
      <c r="Q63" s="29">
        <v>0.52083333333333337</v>
      </c>
      <c r="R63" s="22"/>
      <c r="S63" s="27">
        <v>44747</v>
      </c>
      <c r="T63" s="29">
        <v>0.61805555555555558</v>
      </c>
      <c r="V63" s="13" t="s">
        <v>86</v>
      </c>
      <c r="X63" s="13">
        <f t="shared" si="1"/>
        <v>6</v>
      </c>
      <c r="Z63" s="13" t="s">
        <v>60</v>
      </c>
      <c r="AA63" s="13">
        <f t="shared" si="6"/>
        <v>30</v>
      </c>
      <c r="AB63" s="13" t="str">
        <f t="shared" si="3"/>
        <v>Adult</v>
      </c>
      <c r="AC63" s="13">
        <v>10</v>
      </c>
      <c r="AD63" s="13">
        <v>20</v>
      </c>
      <c r="AE63" s="13" t="str">
        <f t="shared" si="4"/>
        <v>Morphological</v>
      </c>
      <c r="AF63" s="2">
        <v>4</v>
      </c>
    </row>
    <row r="64" spans="1:32" x14ac:dyDescent="0.25">
      <c r="A64" s="13">
        <v>60</v>
      </c>
      <c r="B64" s="23" t="s">
        <v>56</v>
      </c>
      <c r="C64" s="23" t="s">
        <v>57</v>
      </c>
      <c r="D64" s="23" t="s">
        <v>58</v>
      </c>
      <c r="E64" s="23" t="s">
        <v>58</v>
      </c>
      <c r="F64" s="24" cm="1">
        <f t="array" ref="F64">_xlfn.IFS($G64=$G$5,F$5,$G64=$G$7,F$7,$G64=$G$10,F$10,$G64=$G$13,F$13,$G64=$G$14,F$14,$G64=$G$16,F$16,$G64=$G$17,F$17,$G64=$G$19,F$19,$G64=$G$20,F$20,$G64=$G$22,F$22,$G64=$G$23,F$23,$G64=$G$26,F$26,$G64=$G$29,F$29,$G64=$G$31,F$31,$G64=$G$34,F$34,$G64=$G$37,F$37,$G64=$G$107,F$107,$G64=$G$110,F$110,$G64=$G$140,F$140,$G64=$G$142,F$142,$G64=$G$408,F$408)</f>
        <v>8023</v>
      </c>
      <c r="G64" s="13" t="s">
        <v>74</v>
      </c>
      <c r="H64" s="18" cm="1">
        <f t="array" ref="H64">_xlfn.IFS($G64=$G$5,H$5,$G64=$G$7,H$7,$G64=$G$10,H$10,$G64=$G$13,H$13,$G64=$G$14,H$14,$G64=$G$16,H$16,$G64=$G$17,H$17,$G64=$G$19,H$19,$G64=$G$20,H$20,$G64=$G$22,H$22,$G64=$G$23,H$23,$G64=$G$26,H$26,$G64=$G$29,H$29,$G64=$G$31,H$31,$G64=$G$34,H$34,$G64=$G$37,H$37,$G64=$G$107,H$107,$G64=$G$110,H$110,$G64=$G$140,H$140,$G64=$G$142,H$142,$G64=$G$408,H$408)</f>
        <v>41.417256000000002</v>
      </c>
      <c r="I64" s="19" cm="1">
        <f t="array" ref="I64">_xlfn.IFS($G64=$G$5,I$5,$G64=$G$7,I$7,$G64=$G$10,I$10,$G64=$G$13,I$13,$G64=$G$14,I$14,$G64=$G$16,I$16,$G64=$G$17,I$17,$G64=$G$19,I$19,$G64=$G$20,I$20,$G64=$G$22,I$22,$G64=$G$23,I$23,$G64=$G$26,I$26,$G64=$G$29,I$29,$G64=$G$31,I$31,$G64=$G$34,I$34,$G64=$G$37,I$37,$G64=$G$107,I$107,$G64=$G$110,I$110,$G64=$G$140,I$140,$G64=$G$142,I$142,$G64=$G$408,I$408)</f>
        <v>2.1455709999999999</v>
      </c>
      <c r="J64" s="34" cm="1">
        <f t="array" ref="J64">_xlfn.IFS($G64=$G$5,J$5,$G64=$G$7,J$7,$G64=$G$10,J$10,$G64=$G$13,J$13,$G64=$G$14,J$14,$G64=$G$16,J$16,$G64=$G$17,J$17,$G64=$G$19,J$19,$G64=$G$20,J$20,$G64=$G$22,J$22,$G64=$G$23,J$23,$G64=$G$26,J$26,$G64=$G$29,J$29,$G64=$G$31,J$31,$G64=$G$34,J$34,$G64=$G$37,J$37,$G64=$G$107,J$107,$G64=$G$110,J$110,$G64=$G$140,J$140,$G64=$G$142,J$142,$G64=$G$408,J$408)</f>
        <v>186</v>
      </c>
      <c r="K64" s="13" t="str" cm="1">
        <f t="array" ref="K64">_xlfn.IFS($G64=$G$5,K$5,$G64=$G$7,K$7,$G64=$G$10,K$10,$G64=$G$13,K$13,$G64=$G$14,K$14,$G64=$G$16,K$16,$G64=$G$17,K$17,$G64=$G$19,K$19,$G64=$G$20,K$20,$G64=$G$22,K$22,$G64=$G$23,K$23,$G64=$G$26,K$26,$G64=$G$29,K$29,$G64=$G$31,K$31,$G64=$G$34,K$34,$G64=$G$37,K$37,$G64=$G$107,K$107,$G64=$G$110,K$110,$G64=$G$140,K$140,$G64=$G$142,K$142,$G64=$G$408,K$408)</f>
        <v>BG sentinel + BG lure7</v>
      </c>
      <c r="O64" s="13" t="str">
        <f t="shared" si="0"/>
        <v>A_SP_BCN_17_220629</v>
      </c>
      <c r="P64" s="31">
        <v>44741</v>
      </c>
      <c r="Q64" s="29">
        <v>0.52083333333333337</v>
      </c>
      <c r="R64" s="22"/>
      <c r="S64" s="27">
        <v>44747</v>
      </c>
      <c r="T64" s="29">
        <v>0.61805555555555558</v>
      </c>
      <c r="V64" s="13" t="s">
        <v>86</v>
      </c>
      <c r="X64" s="13">
        <f t="shared" si="1"/>
        <v>6</v>
      </c>
      <c r="Z64" s="32" t="s">
        <v>163</v>
      </c>
      <c r="AA64" s="13">
        <f t="shared" si="6"/>
        <v>1</v>
      </c>
      <c r="AB64" s="13" t="str">
        <f t="shared" si="3"/>
        <v>Adult</v>
      </c>
      <c r="AC64" s="13">
        <v>0</v>
      </c>
      <c r="AD64" s="13">
        <v>1</v>
      </c>
      <c r="AE64" s="13" t="str">
        <f t="shared" si="4"/>
        <v>Morphological</v>
      </c>
      <c r="AF64" s="2">
        <v>4</v>
      </c>
    </row>
    <row r="65" spans="1:32" x14ac:dyDescent="0.25">
      <c r="A65" s="13">
        <v>61</v>
      </c>
      <c r="B65" s="23" t="s">
        <v>56</v>
      </c>
      <c r="C65" s="23" t="s">
        <v>57</v>
      </c>
      <c r="D65" s="23" t="s">
        <v>58</v>
      </c>
      <c r="E65" s="23" t="s">
        <v>58</v>
      </c>
      <c r="F65" s="24" cm="1">
        <f t="array" ref="F65">_xlfn.IFS($G65=$G$5,F$5,$G65=$G$7,F$7,$G65=$G$10,F$10,$G65=$G$13,F$13,$G65=$G$14,F$14,$G65=$G$16,F$16,$G65=$G$17,F$17,$G65=$G$19,F$19,$G65=$G$20,F$20,$G65=$G$22,F$22,$G65=$G$23,F$23,$G65=$G$26,F$26,$G65=$G$29,F$29,$G65=$G$31,F$31,$G65=$G$34,F$34,$G65=$G$37,F$37,$G65=$G$107,F$107,$G65=$G$110,F$110,$G65=$G$140,F$140,$G65=$G$142,F$142,$G65=$G$408,F$408)</f>
        <v>8031</v>
      </c>
      <c r="G65" s="13" t="s">
        <v>75</v>
      </c>
      <c r="H65" s="18" cm="1">
        <f t="array" ref="H65">_xlfn.IFS($G65=$G$5,H$5,$G65=$G$7,H$7,$G65=$G$10,H$10,$G65=$G$13,H$13,$G65=$G$14,H$14,$G65=$G$16,H$16,$G65=$G$17,H$17,$G65=$G$19,H$19,$G65=$G$20,H$20,$G65=$G$22,H$22,$G65=$G$23,H$23,$G65=$G$26,H$26,$G65=$G$29,H$29,$G65=$G$31,H$31,$G65=$G$34,H$34,$G65=$G$37,H$37,$G65=$G$107,H$107,$G65=$G$110,H$110,$G65=$G$140,H$140,$G65=$G$142,H$142,$G65=$G$408,H$408)</f>
        <v>41.433618000000003</v>
      </c>
      <c r="I65" s="19" cm="1">
        <f t="array" ref="I65">_xlfn.IFS($G65=$G$5,I$5,$G65=$G$7,I$7,$G65=$G$10,I$10,$G65=$G$13,I$13,$G65=$G$14,I$14,$G65=$G$16,I$16,$G65=$G$17,I$17,$G65=$G$19,I$19,$G65=$G$20,I$20,$G65=$G$22,I$22,$G65=$G$23,I$23,$G65=$G$26,I$26,$G65=$G$29,I$29,$G65=$G$31,I$31,$G65=$G$34,I$34,$G65=$G$37,I$37,$G65=$G$107,I$107,$G65=$G$110,I$110,$G65=$G$140,I$140,$G65=$G$142,I$142,$G65=$G$408,I$408)</f>
        <v>2.1677469999999999</v>
      </c>
      <c r="J65" s="34" cm="1">
        <f t="array" ref="J65">_xlfn.IFS($G65=$G$5,J$5,$G65=$G$7,J$7,$G65=$G$10,J$10,$G65=$G$13,J$13,$G65=$G$14,J$14,$G65=$G$16,J$16,$G65=$G$17,J$17,$G65=$G$19,J$19,$G65=$G$20,J$20,$G65=$G$22,J$22,$G65=$G$23,J$23,$G65=$G$26,J$26,$G65=$G$29,J$29,$G65=$G$31,J$31,$G65=$G$34,J$34,$G65=$G$37,J$37,$G65=$G$107,J$107,$G65=$G$110,J$110,$G65=$G$140,J$140,$G65=$G$142,J$142,$G65=$G$408,J$408)</f>
        <v>96.85</v>
      </c>
      <c r="K65" s="13" t="str" cm="1">
        <f t="array" ref="K65">_xlfn.IFS($G65=$G$5,K$5,$G65=$G$7,K$7,$G65=$G$10,K$10,$G65=$G$13,K$13,$G65=$G$14,K$14,$G65=$G$16,K$16,$G65=$G$17,K$17,$G65=$G$19,K$19,$G65=$G$20,K$20,$G65=$G$22,K$22,$G65=$G$23,K$23,$G65=$G$26,K$26,$G65=$G$29,K$29,$G65=$G$31,K$31,$G65=$G$34,K$34,$G65=$G$37,K$37,$G65=$G$107,K$107,$G65=$G$110,K$110,$G65=$G$140,K$140,$G65=$G$142,K$142,$G65=$G$408,K$408)</f>
        <v>BG sentinel + BG lure7</v>
      </c>
      <c r="O65" s="13" t="str">
        <f t="shared" si="0"/>
        <v>A_SP_BCN_18_220629</v>
      </c>
      <c r="P65" s="31">
        <v>44741</v>
      </c>
      <c r="Q65" s="29">
        <v>0.87152777777777779</v>
      </c>
      <c r="R65" s="22"/>
      <c r="S65" s="27">
        <v>44747</v>
      </c>
      <c r="T65" s="29">
        <v>0.75347222222222221</v>
      </c>
      <c r="V65" s="13" t="s">
        <v>86</v>
      </c>
      <c r="X65" s="13">
        <f t="shared" si="1"/>
        <v>6</v>
      </c>
      <c r="AA65" s="13">
        <v>0</v>
      </c>
      <c r="AB65" s="13" t="str">
        <f t="shared" si="3"/>
        <v/>
      </c>
      <c r="AE65" s="13" t="str">
        <f t="shared" si="4"/>
        <v/>
      </c>
      <c r="AF65" s="2">
        <v>4</v>
      </c>
    </row>
    <row r="66" spans="1:32" x14ac:dyDescent="0.25">
      <c r="A66" s="13">
        <v>62</v>
      </c>
      <c r="B66" s="23" t="s">
        <v>56</v>
      </c>
      <c r="C66" s="23" t="s">
        <v>57</v>
      </c>
      <c r="D66" s="23" t="s">
        <v>58</v>
      </c>
      <c r="E66" s="23" t="s">
        <v>58</v>
      </c>
      <c r="F66" s="24" cm="1">
        <f t="array" ref="F66">_xlfn.IFS($G66=$G$5,F$5,$G66=$G$7,F$7,$G66=$G$10,F$10,$G66=$G$13,F$13,$G66=$G$14,F$14,$G66=$G$16,F$16,$G66=$G$17,F$17,$G66=$G$19,F$19,$G66=$G$20,F$20,$G66=$G$22,F$22,$G66=$G$23,F$23,$G66=$G$26,F$26,$G66=$G$29,F$29,$G66=$G$31,F$31,$G66=$G$34,F$34,$G66=$G$37,F$37,$G66=$G$107,F$107,$G66=$G$110,F$110,$G66=$G$140,F$140,$G66=$G$142,F$142,$G66=$G$408,F$408)</f>
        <v>8038</v>
      </c>
      <c r="G66" s="13" t="s">
        <v>76</v>
      </c>
      <c r="H66" s="18" cm="1">
        <f t="array" ref="H66">_xlfn.IFS($G66=$G$5,H$5,$G66=$G$7,H$7,$G66=$G$10,H$10,$G66=$G$13,H$13,$G66=$G$14,H$14,$G66=$G$16,H$16,$G66=$G$17,H$17,$G66=$G$19,H$19,$G66=$G$20,H$20,$G66=$G$22,H$22,$G66=$G$23,H$23,$G66=$G$26,H$26,$G66=$G$29,H$29,$G66=$G$31,H$31,$G66=$G$34,H$34,$G66=$G$37,H$37,$G66=$G$107,H$107,$G66=$G$110,H$110,$G66=$G$140,H$140,$G66=$G$142,H$142,$G66=$G$408,H$408)</f>
        <v>41.359864999999999</v>
      </c>
      <c r="I66" s="19" cm="1">
        <f t="array" ref="I66">_xlfn.IFS($G66=$G$5,I$5,$G66=$G$7,I$7,$G66=$G$10,I$10,$G66=$G$13,I$13,$G66=$G$14,I$14,$G66=$G$16,I$16,$G66=$G$17,I$17,$G66=$G$19,I$19,$G66=$G$20,I$20,$G66=$G$22,I$22,$G66=$G$23,I$23,$G66=$G$26,I$26,$G66=$G$29,I$29,$G66=$G$31,I$31,$G66=$G$34,I$34,$G66=$G$37,I$37,$G66=$G$107,I$107,$G66=$G$110,I$110,$G66=$G$140,I$140,$G66=$G$142,I$142,$G66=$G$408,I$408)</f>
        <v>2.1445430000000001</v>
      </c>
      <c r="J66" s="34" cm="1">
        <f t="array" ref="J66">_xlfn.IFS($G66=$G$5,J$5,$G66=$G$7,J$7,$G66=$G$10,J$10,$G66=$G$13,J$13,$G66=$G$14,J$14,$G66=$G$16,J$16,$G66=$G$17,J$17,$G66=$G$19,J$19,$G66=$G$20,J$20,$G66=$G$22,J$22,$G66=$G$23,J$23,$G66=$G$26,J$26,$G66=$G$29,J$29,$G66=$G$31,J$31,$G66=$G$34,J$34,$G66=$G$37,J$37,$G66=$G$107,J$107,$G66=$G$110,J$110,$G66=$G$140,J$140,$G66=$G$142,J$142,$G66=$G$408,J$408)</f>
        <v>11.4</v>
      </c>
      <c r="K66" s="13" t="str" cm="1">
        <f t="array" ref="K66">_xlfn.IFS($G66=$G$5,K$5,$G66=$G$7,K$7,$G66=$G$10,K$10,$G66=$G$13,K$13,$G66=$G$14,K$14,$G66=$G$16,K$16,$G66=$G$17,K$17,$G66=$G$19,K$19,$G66=$G$20,K$20,$G66=$G$22,K$22,$G66=$G$23,K$23,$G66=$G$26,K$26,$G66=$G$29,K$29,$G66=$G$31,K$31,$G66=$G$34,K$34,$G66=$G$37,K$37,$G66=$G$107,K$107,$G66=$G$110,K$110,$G66=$G$140,K$140,$G66=$G$142,K$142,$G66=$G$408,K$408)</f>
        <v>BG sentinel + BG lure7</v>
      </c>
      <c r="O66" s="13" t="str">
        <f t="shared" si="0"/>
        <v>A_SP_BCN_19_220628</v>
      </c>
      <c r="P66" s="27">
        <v>44740</v>
      </c>
      <c r="Q66" s="29">
        <v>0.58333333333333337</v>
      </c>
      <c r="R66" s="22"/>
      <c r="S66" s="27">
        <v>44747</v>
      </c>
      <c r="T66" s="29">
        <v>0.55555555555555558</v>
      </c>
      <c r="V66" s="13" t="s">
        <v>86</v>
      </c>
      <c r="W66" t="s">
        <v>175</v>
      </c>
      <c r="X66" s="13">
        <f t="shared" si="1"/>
        <v>7</v>
      </c>
      <c r="Z66" s="13" t="s">
        <v>164</v>
      </c>
      <c r="AA66" s="13">
        <f t="shared" ref="AA66:AA88" si="7">SUM(AC66:AD66)</f>
        <v>9</v>
      </c>
      <c r="AB66" s="13" t="str">
        <f t="shared" si="3"/>
        <v>Adult</v>
      </c>
      <c r="AC66" s="13">
        <v>9</v>
      </c>
      <c r="AD66" s="13">
        <v>0</v>
      </c>
      <c r="AE66" s="13" t="str">
        <f t="shared" si="4"/>
        <v>Morphological</v>
      </c>
      <c r="AF66" s="2">
        <v>3</v>
      </c>
    </row>
    <row r="67" spans="1:32" x14ac:dyDescent="0.25">
      <c r="A67" s="13">
        <v>63</v>
      </c>
      <c r="B67" s="23" t="s">
        <v>56</v>
      </c>
      <c r="C67" s="23" t="s">
        <v>57</v>
      </c>
      <c r="D67" s="23" t="s">
        <v>58</v>
      </c>
      <c r="E67" s="23" t="s">
        <v>58</v>
      </c>
      <c r="F67" s="24" cm="1">
        <f t="array" ref="F67">_xlfn.IFS($G67=$G$5,F$5,$G67=$G$7,F$7,$G67=$G$10,F$10,$G67=$G$13,F$13,$G67=$G$14,F$14,$G67=$G$16,F$16,$G67=$G$17,F$17,$G67=$G$19,F$19,$G67=$G$20,F$20,$G67=$G$22,F$22,$G67=$G$23,F$23,$G67=$G$26,F$26,$G67=$G$29,F$29,$G67=$G$31,F$31,$G67=$G$34,F$34,$G67=$G$37,F$37,$G67=$G$107,F$107,$G67=$G$110,F$110,$G67=$G$140,F$140,$G67=$G$142,F$142,$G67=$G$408,F$408)</f>
        <v>8038</v>
      </c>
      <c r="G67" s="13" t="s">
        <v>76</v>
      </c>
      <c r="H67" s="18" cm="1">
        <f t="array" ref="H67">_xlfn.IFS($G67=$G$5,H$5,$G67=$G$7,H$7,$G67=$G$10,H$10,$G67=$G$13,H$13,$G67=$G$14,H$14,$G67=$G$16,H$16,$G67=$G$17,H$17,$G67=$G$19,H$19,$G67=$G$20,H$20,$G67=$G$22,H$22,$G67=$G$23,H$23,$G67=$G$26,H$26,$G67=$G$29,H$29,$G67=$G$31,H$31,$G67=$G$34,H$34,$G67=$G$37,H$37,$G67=$G$107,H$107,$G67=$G$110,H$110,$G67=$G$140,H$140,$G67=$G$142,H$142,$G67=$G$408,H$408)</f>
        <v>41.359864999999999</v>
      </c>
      <c r="I67" s="19" cm="1">
        <f t="array" ref="I67">_xlfn.IFS($G67=$G$5,I$5,$G67=$G$7,I$7,$G67=$G$10,I$10,$G67=$G$13,I$13,$G67=$G$14,I$14,$G67=$G$16,I$16,$G67=$G$17,I$17,$G67=$G$19,I$19,$G67=$G$20,I$20,$G67=$G$22,I$22,$G67=$G$23,I$23,$G67=$G$26,I$26,$G67=$G$29,I$29,$G67=$G$31,I$31,$G67=$G$34,I$34,$G67=$G$37,I$37,$G67=$G$107,I$107,$G67=$G$110,I$110,$G67=$G$140,I$140,$G67=$G$142,I$142,$G67=$G$408,I$408)</f>
        <v>2.1445430000000001</v>
      </c>
      <c r="J67" s="34" cm="1">
        <f t="array" ref="J67">_xlfn.IFS($G67=$G$5,J$5,$G67=$G$7,J$7,$G67=$G$10,J$10,$G67=$G$13,J$13,$G67=$G$14,J$14,$G67=$G$16,J$16,$G67=$G$17,J$17,$G67=$G$19,J$19,$G67=$G$20,J$20,$G67=$G$22,J$22,$G67=$G$23,J$23,$G67=$G$26,J$26,$G67=$G$29,J$29,$G67=$G$31,J$31,$G67=$G$34,J$34,$G67=$G$37,J$37,$G67=$G$107,J$107,$G67=$G$110,J$110,$G67=$G$140,J$140,$G67=$G$142,J$142,$G67=$G$408,J$408)</f>
        <v>11.4</v>
      </c>
      <c r="K67" s="13" t="str" cm="1">
        <f t="array" ref="K67">_xlfn.IFS($G67=$G$5,K$5,$G67=$G$7,K$7,$G67=$G$10,K$10,$G67=$G$13,K$13,$G67=$G$14,K$14,$G67=$G$16,K$16,$G67=$G$17,K$17,$G67=$G$19,K$19,$G67=$G$20,K$20,$G67=$G$22,K$22,$G67=$G$23,K$23,$G67=$G$26,K$26,$G67=$G$29,K$29,$G67=$G$31,K$31,$G67=$G$34,K$34,$G67=$G$37,K$37,$G67=$G$107,K$107,$G67=$G$110,K$110,$G67=$G$140,K$140,$G67=$G$142,K$142,$G67=$G$408,K$408)</f>
        <v>BG sentinel + BG lure7</v>
      </c>
      <c r="O67" s="13" t="str">
        <f t="shared" si="0"/>
        <v>A_SP_BCN_19_220628</v>
      </c>
      <c r="P67" s="27">
        <v>44740</v>
      </c>
      <c r="Q67" s="29">
        <v>0.58333333333333337</v>
      </c>
      <c r="R67" s="22"/>
      <c r="S67" s="27">
        <v>44747</v>
      </c>
      <c r="T67" s="29">
        <v>0.55555555555555558</v>
      </c>
      <c r="V67" s="13" t="s">
        <v>86</v>
      </c>
      <c r="W67" t="s">
        <v>175</v>
      </c>
      <c r="X67" s="13">
        <f t="shared" si="1"/>
        <v>7</v>
      </c>
      <c r="Z67" s="32" t="s">
        <v>163</v>
      </c>
      <c r="AA67" s="13">
        <f t="shared" si="7"/>
        <v>1</v>
      </c>
      <c r="AB67" s="13" t="str">
        <f t="shared" si="3"/>
        <v>Adult</v>
      </c>
      <c r="AC67" s="13">
        <v>1</v>
      </c>
      <c r="AD67" s="13">
        <v>0</v>
      </c>
      <c r="AE67" s="13" t="str">
        <f t="shared" si="4"/>
        <v>Morphological</v>
      </c>
      <c r="AF67" s="2">
        <v>3</v>
      </c>
    </row>
    <row r="68" spans="1:32" x14ac:dyDescent="0.25">
      <c r="A68" s="13">
        <v>64</v>
      </c>
      <c r="B68" s="23" t="s">
        <v>56</v>
      </c>
      <c r="C68" s="23" t="s">
        <v>57</v>
      </c>
      <c r="D68" s="23" t="s">
        <v>58</v>
      </c>
      <c r="E68" s="23" t="s">
        <v>58</v>
      </c>
      <c r="F68" s="24" cm="1">
        <f t="array" ref="F68">_xlfn.IFS($G68=$G$5,F$5,$G68=$G$7,F$7,$G68=$G$10,F$10,$G68=$G$13,F$13,$G68=$G$14,F$14,$G68=$G$16,F$16,$G68=$G$17,F$17,$G68=$G$19,F$19,$G68=$G$20,F$20,$G68=$G$22,F$22,$G68=$G$23,F$23,$G68=$G$26,F$26,$G68=$G$29,F$29,$G68=$G$31,F$31,$G68=$G$34,F$34,$G68=$G$37,F$37,$G68=$G$107,F$107,$G68=$G$110,F$110,$G68=$G$140,F$140,$G68=$G$142,F$142,$G68=$G$408,F$408)</f>
        <v>8017</v>
      </c>
      <c r="G68" s="13" t="s">
        <v>77</v>
      </c>
      <c r="H68" s="18" cm="1">
        <f t="array" ref="H68">_xlfn.IFS($G68=$G$5,H$5,$G68=$G$7,H$7,$G68=$G$10,H$10,$G68=$G$13,H$13,$G68=$G$14,H$14,$G68=$G$16,H$16,$G68=$G$17,H$17,$G68=$G$19,H$19,$G68=$G$20,H$20,$G68=$G$22,H$22,$G68=$G$23,H$23,$G68=$G$26,H$26,$G68=$G$29,H$29,$G68=$G$31,H$31,$G68=$G$34,H$34,$G68=$G$37,H$37,$G68=$G$107,H$107,$G68=$G$110,H$110,$G68=$G$140,H$140,$G68=$G$142,H$142,$G68=$G$408,H$408)</f>
        <v>41.430315999999998</v>
      </c>
      <c r="I68" s="19" cm="1">
        <f t="array" ref="I68">_xlfn.IFS($G68=$G$5,I$5,$G68=$G$7,I$7,$G68=$G$10,I$10,$G68=$G$13,I$13,$G68=$G$14,I$14,$G68=$G$16,I$16,$G68=$G$17,I$17,$G68=$G$19,I$19,$G68=$G$20,I$20,$G68=$G$22,I$22,$G68=$G$23,I$23,$G68=$G$26,I$26,$G68=$G$29,I$29,$G68=$G$31,I$31,$G68=$G$34,I$34,$G68=$G$37,I$37,$G68=$G$107,I$107,$G68=$G$110,I$110,$G68=$G$140,I$140,$G68=$G$142,I$142,$G68=$G$408,I$408)</f>
        <v>2.077556</v>
      </c>
      <c r="J68" s="34" cm="1">
        <f t="array" ref="J68">_xlfn.IFS($G68=$G$5,J$5,$G68=$G$7,J$7,$G68=$G$10,J$10,$G68=$G$13,J$13,$G68=$G$14,J$14,$G68=$G$16,J$16,$G68=$G$17,J$17,$G68=$G$19,J$19,$G68=$G$20,J$20,$G68=$G$22,J$22,$G68=$G$23,J$23,$G68=$G$26,J$26,$G68=$G$29,J$29,$G68=$G$31,J$31,$G68=$G$34,J$34,$G68=$G$37,J$37,$G68=$G$107,J$107,$G68=$G$110,J$110,$G68=$G$140,J$140,$G68=$G$142,J$142,$G68=$G$408,J$408)</f>
        <v>243.3</v>
      </c>
      <c r="K68" s="13" t="str" cm="1">
        <f t="array" ref="K68">_xlfn.IFS($G68=$G$5,K$5,$G68=$G$7,K$7,$G68=$G$10,K$10,$G68=$G$13,K$13,$G68=$G$14,K$14,$G68=$G$16,K$16,$G68=$G$17,K$17,$G68=$G$19,K$19,$G68=$G$20,K$20,$G68=$G$22,K$22,$G68=$G$23,K$23,$G68=$G$26,K$26,$G68=$G$29,K$29,$G68=$G$31,K$31,$G68=$G$34,K$34,$G68=$G$37,K$37,$G68=$G$107,K$107,$G68=$G$110,K$110,$G68=$G$140,K$140,$G68=$G$142,K$142,$G68=$G$408,K$408)</f>
        <v>BG sentinel + BG lure7</v>
      </c>
      <c r="O68" s="13" t="str">
        <f t="shared" si="0"/>
        <v>A_SP_BCN_22_220628</v>
      </c>
      <c r="P68" s="27">
        <v>44740</v>
      </c>
      <c r="Q68" s="29">
        <v>0.69097222222222221</v>
      </c>
      <c r="R68" s="22"/>
      <c r="S68" s="27">
        <v>44747</v>
      </c>
      <c r="T68" s="29">
        <v>0.69097222222222221</v>
      </c>
      <c r="V68" s="13" t="s">
        <v>86</v>
      </c>
      <c r="X68" s="13">
        <f t="shared" si="1"/>
        <v>7</v>
      </c>
      <c r="Z68" s="13" t="s">
        <v>60</v>
      </c>
      <c r="AA68" s="13">
        <f t="shared" si="7"/>
        <v>12</v>
      </c>
      <c r="AB68" s="13" t="str">
        <f t="shared" si="3"/>
        <v>Adult</v>
      </c>
      <c r="AC68" s="13">
        <v>12</v>
      </c>
      <c r="AD68" s="13">
        <v>0</v>
      </c>
      <c r="AE68" s="13" t="str">
        <f t="shared" si="4"/>
        <v>Morphological</v>
      </c>
      <c r="AF68" s="2">
        <v>4</v>
      </c>
    </row>
    <row r="69" spans="1:32" x14ac:dyDescent="0.25">
      <c r="A69" s="13">
        <v>65</v>
      </c>
      <c r="B69" s="23" t="s">
        <v>56</v>
      </c>
      <c r="C69" s="23" t="s">
        <v>57</v>
      </c>
      <c r="D69" s="23" t="s">
        <v>58</v>
      </c>
      <c r="E69" s="23" t="s">
        <v>58</v>
      </c>
      <c r="F69" s="24" cm="1">
        <f t="array" ref="F69">_xlfn.IFS($G69=$G$5,F$5,$G69=$G$7,F$7,$G69=$G$10,F$10,$G69=$G$13,F$13,$G69=$G$14,F$14,$G69=$G$16,F$16,$G69=$G$17,F$17,$G69=$G$19,F$19,$G69=$G$20,F$20,$G69=$G$22,F$22,$G69=$G$23,F$23,$G69=$G$26,F$26,$G69=$G$29,F$29,$G69=$G$31,F$31,$G69=$G$34,F$34,$G69=$G$37,F$37,$G69=$G$107,F$107,$G69=$G$110,F$110,$G69=$G$140,F$140,$G69=$G$142,F$142,$G69=$G$408,F$408)</f>
        <v>8017</v>
      </c>
      <c r="G69" s="13" t="s">
        <v>77</v>
      </c>
      <c r="H69" s="18" cm="1">
        <f t="array" ref="H69">_xlfn.IFS($G69=$G$5,H$5,$G69=$G$7,H$7,$G69=$G$10,H$10,$G69=$G$13,H$13,$G69=$G$14,H$14,$G69=$G$16,H$16,$G69=$G$17,H$17,$G69=$G$19,H$19,$G69=$G$20,H$20,$G69=$G$22,H$22,$G69=$G$23,H$23,$G69=$G$26,H$26,$G69=$G$29,H$29,$G69=$G$31,H$31,$G69=$G$34,H$34,$G69=$G$37,H$37,$G69=$G$107,H$107,$G69=$G$110,H$110,$G69=$G$140,H$140,$G69=$G$142,H$142,$G69=$G$408,H$408)</f>
        <v>41.430315999999998</v>
      </c>
      <c r="I69" s="19" cm="1">
        <f t="array" ref="I69">_xlfn.IFS($G69=$G$5,I$5,$G69=$G$7,I$7,$G69=$G$10,I$10,$G69=$G$13,I$13,$G69=$G$14,I$14,$G69=$G$16,I$16,$G69=$G$17,I$17,$G69=$G$19,I$19,$G69=$G$20,I$20,$G69=$G$22,I$22,$G69=$G$23,I$23,$G69=$G$26,I$26,$G69=$G$29,I$29,$G69=$G$31,I$31,$G69=$G$34,I$34,$G69=$G$37,I$37,$G69=$G$107,I$107,$G69=$G$110,I$110,$G69=$G$140,I$140,$G69=$G$142,I$142,$G69=$G$408,I$408)</f>
        <v>2.077556</v>
      </c>
      <c r="J69" s="34" cm="1">
        <f t="array" ref="J69">_xlfn.IFS($G69=$G$5,J$5,$G69=$G$7,J$7,$G69=$G$10,J$10,$G69=$G$13,J$13,$G69=$G$14,J$14,$G69=$G$16,J$16,$G69=$G$17,J$17,$G69=$G$19,J$19,$G69=$G$20,J$20,$G69=$G$22,J$22,$G69=$G$23,J$23,$G69=$G$26,J$26,$G69=$G$29,J$29,$G69=$G$31,J$31,$G69=$G$34,J$34,$G69=$G$37,J$37,$G69=$G$107,J$107,$G69=$G$110,J$110,$G69=$G$140,J$140,$G69=$G$142,J$142,$G69=$G$408,J$408)</f>
        <v>243.3</v>
      </c>
      <c r="K69" s="13" t="str" cm="1">
        <f t="array" ref="K69">_xlfn.IFS($G69=$G$5,K$5,$G69=$G$7,K$7,$G69=$G$10,K$10,$G69=$G$13,K$13,$G69=$G$14,K$14,$G69=$G$16,K$16,$G69=$G$17,K$17,$G69=$G$19,K$19,$G69=$G$20,K$20,$G69=$G$22,K$22,$G69=$G$23,K$23,$G69=$G$26,K$26,$G69=$G$29,K$29,$G69=$G$31,K$31,$G69=$G$34,K$34,$G69=$G$37,K$37,$G69=$G$107,K$107,$G69=$G$110,K$110,$G69=$G$140,K$140,$G69=$G$142,K$142,$G69=$G$408,K$408)</f>
        <v>BG sentinel + BG lure7</v>
      </c>
      <c r="O69" s="13" t="str">
        <f t="shared" si="0"/>
        <v>A_SP_BCN_22_220628</v>
      </c>
      <c r="P69" s="27">
        <v>44740</v>
      </c>
      <c r="Q69" s="29">
        <v>0.69097222222222221</v>
      </c>
      <c r="R69" s="22"/>
      <c r="S69" s="27">
        <v>44747</v>
      </c>
      <c r="T69" s="29">
        <v>0.69097222222222221</v>
      </c>
      <c r="V69" s="13" t="s">
        <v>86</v>
      </c>
      <c r="X69" s="13">
        <f t="shared" si="1"/>
        <v>7</v>
      </c>
      <c r="Z69" s="13" t="s">
        <v>164</v>
      </c>
      <c r="AA69" s="13">
        <f t="shared" si="7"/>
        <v>1</v>
      </c>
      <c r="AB69" s="13" t="str">
        <f t="shared" si="3"/>
        <v>Adult</v>
      </c>
      <c r="AC69" s="13">
        <v>1</v>
      </c>
      <c r="AD69" s="13">
        <v>0</v>
      </c>
      <c r="AE69" s="13" t="str">
        <f t="shared" si="4"/>
        <v>Morphological</v>
      </c>
      <c r="AF69" s="2">
        <v>4</v>
      </c>
    </row>
    <row r="70" spans="1:32" x14ac:dyDescent="0.25">
      <c r="A70" s="13">
        <v>66</v>
      </c>
      <c r="B70" s="23" t="s">
        <v>56</v>
      </c>
      <c r="C70" s="23" t="s">
        <v>57</v>
      </c>
      <c r="D70" s="23" t="s">
        <v>58</v>
      </c>
      <c r="E70" s="23" t="s">
        <v>58</v>
      </c>
      <c r="F70" s="24" cm="1">
        <f t="array" ref="F70">_xlfn.IFS($G70=$G$5,F$5,$G70=$G$7,F$7,$G70=$G$10,F$10,$G70=$G$13,F$13,$G70=$G$14,F$14,$G70=$G$16,F$16,$G70=$G$17,F$17,$G70=$G$19,F$19,$G70=$G$20,F$20,$G70=$G$22,F$22,$G70=$G$23,F$23,$G70=$G$26,F$26,$G70=$G$29,F$29,$G70=$G$31,F$31,$G70=$G$34,F$34,$G70=$G$37,F$37,$G70=$G$107,F$107,$G70=$G$110,F$110,$G70=$G$140,F$140,$G70=$G$142,F$142,$G70=$G$408,F$408)</f>
        <v>8017</v>
      </c>
      <c r="G70" s="13" t="s">
        <v>77</v>
      </c>
      <c r="H70" s="18" cm="1">
        <f t="array" ref="H70">_xlfn.IFS($G70=$G$5,H$5,$G70=$G$7,H$7,$G70=$G$10,H$10,$G70=$G$13,H$13,$G70=$G$14,H$14,$G70=$G$16,H$16,$G70=$G$17,H$17,$G70=$G$19,H$19,$G70=$G$20,H$20,$G70=$G$22,H$22,$G70=$G$23,H$23,$G70=$G$26,H$26,$G70=$G$29,H$29,$G70=$G$31,H$31,$G70=$G$34,H$34,$G70=$G$37,H$37,$G70=$G$107,H$107,$G70=$G$110,H$110,$G70=$G$140,H$140,$G70=$G$142,H$142,$G70=$G$408,H$408)</f>
        <v>41.430315999999998</v>
      </c>
      <c r="I70" s="19" cm="1">
        <f t="array" ref="I70">_xlfn.IFS($G70=$G$5,I$5,$G70=$G$7,I$7,$G70=$G$10,I$10,$G70=$G$13,I$13,$G70=$G$14,I$14,$G70=$G$16,I$16,$G70=$G$17,I$17,$G70=$G$19,I$19,$G70=$G$20,I$20,$G70=$G$22,I$22,$G70=$G$23,I$23,$G70=$G$26,I$26,$G70=$G$29,I$29,$G70=$G$31,I$31,$G70=$G$34,I$34,$G70=$G$37,I$37,$G70=$G$107,I$107,$G70=$G$110,I$110,$G70=$G$140,I$140,$G70=$G$142,I$142,$G70=$G$408,I$408)</f>
        <v>2.077556</v>
      </c>
      <c r="J70" s="34" cm="1">
        <f t="array" ref="J70">_xlfn.IFS($G70=$G$5,J$5,$G70=$G$7,J$7,$G70=$G$10,J$10,$G70=$G$13,J$13,$G70=$G$14,J$14,$G70=$G$16,J$16,$G70=$G$17,J$17,$G70=$G$19,J$19,$G70=$G$20,J$20,$G70=$G$22,J$22,$G70=$G$23,J$23,$G70=$G$26,J$26,$G70=$G$29,J$29,$G70=$G$31,J$31,$G70=$G$34,J$34,$G70=$G$37,J$37,$G70=$G$107,J$107,$G70=$G$110,J$110,$G70=$G$140,J$140,$G70=$G$142,J$142,$G70=$G$408,J$408)</f>
        <v>243.3</v>
      </c>
      <c r="K70" s="13" t="str" cm="1">
        <f t="array" ref="K70">_xlfn.IFS($G70=$G$5,K$5,$G70=$G$7,K$7,$G70=$G$10,K$10,$G70=$G$13,K$13,$G70=$G$14,K$14,$G70=$G$16,K$16,$G70=$G$17,K$17,$G70=$G$19,K$19,$G70=$G$20,K$20,$G70=$G$22,K$22,$G70=$G$23,K$23,$G70=$G$26,K$26,$G70=$G$29,K$29,$G70=$G$31,K$31,$G70=$G$34,K$34,$G70=$G$37,K$37,$G70=$G$107,K$107,$G70=$G$110,K$110,$G70=$G$140,K$140,$G70=$G$142,K$142,$G70=$G$408,K$408)</f>
        <v>BG sentinel + BG lure7</v>
      </c>
      <c r="O70" s="13" t="str">
        <f t="shared" si="0"/>
        <v>A_SP_BCN_22_220628</v>
      </c>
      <c r="P70" s="27">
        <v>44740</v>
      </c>
      <c r="Q70" s="29">
        <v>0.69097222222222221</v>
      </c>
      <c r="R70" s="22"/>
      <c r="S70" s="27">
        <v>44747</v>
      </c>
      <c r="T70" s="29">
        <v>0.69097222222222221</v>
      </c>
      <c r="V70" s="13" t="s">
        <v>86</v>
      </c>
      <c r="X70" s="13">
        <f t="shared" ref="X70:X133" si="8">S70-P70</f>
        <v>7</v>
      </c>
      <c r="Z70" s="32" t="s">
        <v>163</v>
      </c>
      <c r="AA70" s="13">
        <f t="shared" si="7"/>
        <v>1</v>
      </c>
      <c r="AB70" s="13" t="str">
        <f t="shared" ref="AB70:AB133" si="9">IF(AA70=0,"",IF(AA70="","",IF(AA70&gt;0,"Adult")))</f>
        <v>Adult</v>
      </c>
      <c r="AC70" s="13">
        <v>1</v>
      </c>
      <c r="AD70" s="13">
        <v>0</v>
      </c>
      <c r="AE70" s="13" t="str">
        <f t="shared" ref="AE70:AE133" si="10">IF(AA70=0,"",IF(AA70="","",IF(AA70&gt;0,"Morphological")))</f>
        <v>Morphological</v>
      </c>
      <c r="AF70" s="2">
        <v>4</v>
      </c>
    </row>
    <row r="71" spans="1:32" x14ac:dyDescent="0.25">
      <c r="A71" s="13">
        <v>67</v>
      </c>
      <c r="B71" s="23" t="s">
        <v>56</v>
      </c>
      <c r="C71" s="23" t="s">
        <v>57</v>
      </c>
      <c r="D71" s="23" t="s">
        <v>58</v>
      </c>
      <c r="E71" s="23" t="s">
        <v>58</v>
      </c>
      <c r="F71" s="24" cm="1">
        <f t="array" ref="F71">_xlfn.IFS($G71=$G$5,F$5,$G71=$G$7,F$7,$G71=$G$10,F$10,$G71=$G$13,F$13,$G71=$G$14,F$14,$G71=$G$16,F$16,$G71=$G$17,F$17,$G71=$G$19,F$19,$G71=$G$20,F$20,$G71=$G$22,F$22,$G71=$G$23,F$23,$G71=$G$26,F$26,$G71=$G$29,F$29,$G71=$G$31,F$31,$G71=$G$34,F$34,$G71=$G$37,F$37,$G71=$G$107,F$107,$G71=$G$110,F$110,$G71=$G$140,F$140,$G71=$G$142,F$142,$G71=$G$408,F$408)</f>
        <v>8038</v>
      </c>
      <c r="G71" s="13" t="s">
        <v>79</v>
      </c>
      <c r="H71" s="18" cm="1">
        <f t="array" ref="H71">_xlfn.IFS($G71=$G$5,H$5,$G71=$G$7,H$7,$G71=$G$10,H$10,$G71=$G$13,H$13,$G71=$G$14,H$14,$G71=$G$16,H$16,$G71=$G$17,H$17,$G71=$G$19,H$19,$G71=$G$20,H$20,$G71=$G$22,H$22,$G71=$G$23,H$23,$G71=$G$26,H$26,$G71=$G$29,H$29,$G71=$G$31,H$31,$G71=$G$34,H$34,$G71=$G$37,H$37,$G71=$G$107,H$107,$G71=$G$110,H$110,$G71=$G$140,H$140,$G71=$G$142,H$142,$G71=$G$408,H$408)</f>
        <v>41.367100000000001</v>
      </c>
      <c r="I71" s="19" cm="1">
        <f t="array" ref="I71">_xlfn.IFS($G71=$G$5,I$5,$G71=$G$7,I$7,$G71=$G$10,I$10,$G71=$G$13,I$13,$G71=$G$14,I$14,$G71=$G$16,I$16,$G71=$G$17,I$17,$G71=$G$19,I$19,$G71=$G$20,I$20,$G71=$G$22,I$22,$G71=$G$23,I$23,$G71=$G$26,I$26,$G71=$G$29,I$29,$G71=$G$31,I$31,$G71=$G$34,I$34,$G71=$G$37,I$37,$G71=$G$107,I$107,$G71=$G$110,I$110,$G71=$G$140,I$140,$G71=$G$142,I$142,$G71=$G$408,I$408)</f>
        <v>2.1539079999999999</v>
      </c>
      <c r="J71" s="34" cm="1">
        <f t="array" ref="J71">_xlfn.IFS($G71=$G$5,J$5,$G71=$G$7,J$7,$G71=$G$10,J$10,$G71=$G$13,J$13,$G71=$G$14,J$14,$G71=$G$16,J$16,$G71=$G$17,J$17,$G71=$G$19,J$19,$G71=$G$20,J$20,$G71=$G$22,J$22,$G71=$G$23,J$23,$G71=$G$26,J$26,$G71=$G$29,J$29,$G71=$G$31,J$31,$G71=$G$34,J$34,$G71=$G$37,J$37,$G71=$G$107,J$107,$G71=$G$110,J$110,$G71=$G$140,J$140,$G71=$G$142,J$142,$G71=$G$408,J$408)</f>
        <v>68</v>
      </c>
      <c r="K71" s="13" t="str" cm="1">
        <f t="array" ref="K71">_xlfn.IFS($G71=$G$5,K$5,$G71=$G$7,K$7,$G71=$G$10,K$10,$G71=$G$13,K$13,$G71=$G$14,K$14,$G71=$G$16,K$16,$G71=$G$17,K$17,$G71=$G$19,K$19,$G71=$G$20,K$20,$G71=$G$22,K$22,$G71=$G$23,K$23,$G71=$G$26,K$26,$G71=$G$29,K$29,$G71=$G$31,K$31,$G71=$G$34,K$34,$G71=$G$37,K$37,$G71=$G$107,K$107,$G71=$G$110,K$110,$G71=$G$140,K$140,$G71=$G$142,K$142,$G71=$G$408,K$408)</f>
        <v>BG sentinel + BG lure7</v>
      </c>
      <c r="L71" s="13" t="str" cm="1">
        <f t="array" ref="L71">_xlfn.IFS($G71=$G$5,L$5,$G71=$G$7,L$7,$G71=$G$10,L$10,$G71=$G$13,L$13,$G71=$G$14,L$14,$G71=$G$16,L$16,$G71=$G$17,L$17,$G71=$G$19,L$19,$G71=$G$20,L$20,$G71=$G$22,L$22,$G71=$G$23,L$23,$G71=$G$26,L$26,$G71=$G$29,L$29,$G71=$G$31,L$31,$G71=$G$34,L$34,$G71=$G$37,L$37,$G71=$G$107,L$107,$G71=$G$110,L$110,$G71=$G$140,L$140,$G71=$G$142,L$142,$G71=$G$408,L$408)</f>
        <v>Other</v>
      </c>
      <c r="M71" s="13" t="str" cm="1">
        <f t="array" ref="M71">_xlfn.IFS($G71=$G$5,M$5,$G71=$G$7,M$7,$G71=$G$10,M$10,$G71=$G$13,M$13,$G71=$G$14,M$14,$G71=$G$16,M$16,$G71=$G$17,M$17,$G71=$G$19,M$19,$G71=$G$20,M$20,$G71=$G$22,M$22,$G71=$G$23,M$23,$G71=$G$26,M$26,$G71=$G$29,M$29,$G71=$G$31,M$31,$G71=$G$34,M$34,$G71=$G$37,M$37,$G71=$G$107,M$107,$G71=$G$110,M$110,$G71=$G$140,M$140,$G71=$G$142,M$142,$G71=$G$408,M$408)</f>
        <v>Public garden</v>
      </c>
      <c r="O71" s="13" t="str">
        <f t="shared" si="0"/>
        <v>A_SP_BCN_23_220628</v>
      </c>
      <c r="P71" s="27">
        <v>44740</v>
      </c>
      <c r="Q71" s="29">
        <v>0.59722222222222221</v>
      </c>
      <c r="R71" s="22"/>
      <c r="S71" s="27">
        <v>44747</v>
      </c>
      <c r="T71" s="29">
        <v>0.57291666666666663</v>
      </c>
      <c r="V71" s="13" t="s">
        <v>86</v>
      </c>
      <c r="X71" s="13">
        <f t="shared" si="8"/>
        <v>7</v>
      </c>
      <c r="Z71" s="13" t="s">
        <v>60</v>
      </c>
      <c r="AA71" s="13">
        <f t="shared" si="7"/>
        <v>33</v>
      </c>
      <c r="AB71" s="13" t="str">
        <f t="shared" si="9"/>
        <v>Adult</v>
      </c>
      <c r="AC71" s="13">
        <v>19</v>
      </c>
      <c r="AD71" s="13">
        <v>14</v>
      </c>
      <c r="AE71" s="13" t="str">
        <f t="shared" si="10"/>
        <v>Morphological</v>
      </c>
      <c r="AF71" s="2">
        <v>4</v>
      </c>
    </row>
    <row r="72" spans="1:32" x14ac:dyDescent="0.25">
      <c r="A72" s="13">
        <v>68</v>
      </c>
      <c r="B72" s="23" t="s">
        <v>56</v>
      </c>
      <c r="C72" s="23" t="s">
        <v>57</v>
      </c>
      <c r="D72" s="23" t="s">
        <v>58</v>
      </c>
      <c r="E72" s="23" t="s">
        <v>58</v>
      </c>
      <c r="F72" s="24" cm="1">
        <f t="array" ref="F72">_xlfn.IFS($G72=$G$5,F$5,$G72=$G$7,F$7,$G72=$G$10,F$10,$G72=$G$13,F$13,$G72=$G$14,F$14,$G72=$G$16,F$16,$G72=$G$17,F$17,$G72=$G$19,F$19,$G72=$G$20,F$20,$G72=$G$22,F$22,$G72=$G$23,F$23,$G72=$G$26,F$26,$G72=$G$29,F$29,$G72=$G$31,F$31,$G72=$G$34,F$34,$G72=$G$37,F$37,$G72=$G$107,F$107,$G72=$G$110,F$110,$G72=$G$140,F$140,$G72=$G$142,F$142,$G72=$G$408,F$408)</f>
        <v>8038</v>
      </c>
      <c r="G72" s="13" t="s">
        <v>79</v>
      </c>
      <c r="H72" s="18" cm="1">
        <f t="array" ref="H72">_xlfn.IFS($G72=$G$5,H$5,$G72=$G$7,H$7,$G72=$G$10,H$10,$G72=$G$13,H$13,$G72=$G$14,H$14,$G72=$G$16,H$16,$G72=$G$17,H$17,$G72=$G$19,H$19,$G72=$G$20,H$20,$G72=$G$22,H$22,$G72=$G$23,H$23,$G72=$G$26,H$26,$G72=$G$29,H$29,$G72=$G$31,H$31,$G72=$G$34,H$34,$G72=$G$37,H$37,$G72=$G$107,H$107,$G72=$G$110,H$110,$G72=$G$140,H$140,$G72=$G$142,H$142,$G72=$G$408,H$408)</f>
        <v>41.367100000000001</v>
      </c>
      <c r="I72" s="19" cm="1">
        <f t="array" ref="I72">_xlfn.IFS($G72=$G$5,I$5,$G72=$G$7,I$7,$G72=$G$10,I$10,$G72=$G$13,I$13,$G72=$G$14,I$14,$G72=$G$16,I$16,$G72=$G$17,I$17,$G72=$G$19,I$19,$G72=$G$20,I$20,$G72=$G$22,I$22,$G72=$G$23,I$23,$G72=$G$26,I$26,$G72=$G$29,I$29,$G72=$G$31,I$31,$G72=$G$34,I$34,$G72=$G$37,I$37,$G72=$G$107,I$107,$G72=$G$110,I$110,$G72=$G$140,I$140,$G72=$G$142,I$142,$G72=$G$408,I$408)</f>
        <v>2.1539079999999999</v>
      </c>
      <c r="J72" s="34" cm="1">
        <f t="array" ref="J72">_xlfn.IFS($G72=$G$5,J$5,$G72=$G$7,J$7,$G72=$G$10,J$10,$G72=$G$13,J$13,$G72=$G$14,J$14,$G72=$G$16,J$16,$G72=$G$17,J$17,$G72=$G$19,J$19,$G72=$G$20,J$20,$G72=$G$22,J$22,$G72=$G$23,J$23,$G72=$G$26,J$26,$G72=$G$29,J$29,$G72=$G$31,J$31,$G72=$G$34,J$34,$G72=$G$37,J$37,$G72=$G$107,J$107,$G72=$G$110,J$110,$G72=$G$140,J$140,$G72=$G$142,J$142,$G72=$G$408,J$408)</f>
        <v>68</v>
      </c>
      <c r="K72" s="13" t="str" cm="1">
        <f t="array" ref="K72">_xlfn.IFS($G72=$G$5,K$5,$G72=$G$7,K$7,$G72=$G$10,K$10,$G72=$G$13,K$13,$G72=$G$14,K$14,$G72=$G$16,K$16,$G72=$G$17,K$17,$G72=$G$19,K$19,$G72=$G$20,K$20,$G72=$G$22,K$22,$G72=$G$23,K$23,$G72=$G$26,K$26,$G72=$G$29,K$29,$G72=$G$31,K$31,$G72=$G$34,K$34,$G72=$G$37,K$37,$G72=$G$107,K$107,$G72=$G$110,K$110,$G72=$G$140,K$140,$G72=$G$142,K$142,$G72=$G$408,K$408)</f>
        <v>BG sentinel + BG lure7</v>
      </c>
      <c r="L72" s="13" t="str" cm="1">
        <f t="array" ref="L72">_xlfn.IFS($G72=$G$5,L$5,$G72=$G$7,L$7,$G72=$G$10,L$10,$G72=$G$13,L$13,$G72=$G$14,L$14,$G72=$G$16,L$16,$G72=$G$17,L$17,$G72=$G$19,L$19,$G72=$G$20,L$20,$G72=$G$22,L$22,$G72=$G$23,L$23,$G72=$G$26,L$26,$G72=$G$29,L$29,$G72=$G$31,L$31,$G72=$G$34,L$34,$G72=$G$37,L$37,$G72=$G$107,L$107,$G72=$G$110,L$110,$G72=$G$140,L$140,$G72=$G$142,L$142,$G72=$G$408,L$408)</f>
        <v>Other</v>
      </c>
      <c r="M72" s="13" t="str" cm="1">
        <f t="array" ref="M72">_xlfn.IFS($G72=$G$5,M$5,$G72=$G$7,M$7,$G72=$G$10,M$10,$G72=$G$13,M$13,$G72=$G$14,M$14,$G72=$G$16,M$16,$G72=$G$17,M$17,$G72=$G$19,M$19,$G72=$G$20,M$20,$G72=$G$22,M$22,$G72=$G$23,M$23,$G72=$G$26,M$26,$G72=$G$29,M$29,$G72=$G$31,M$31,$G72=$G$34,M$34,$G72=$G$37,M$37,$G72=$G$107,M$107,$G72=$G$110,M$110,$G72=$G$140,M$140,$G72=$G$142,M$142,$G72=$G$408,M$408)</f>
        <v>Public garden</v>
      </c>
      <c r="O72" s="13" t="str">
        <f t="shared" si="0"/>
        <v>A_SP_BCN_23_220628</v>
      </c>
      <c r="P72" s="27">
        <v>44740</v>
      </c>
      <c r="Q72" s="29">
        <v>0.59722222222222221</v>
      </c>
      <c r="R72" s="22"/>
      <c r="S72" s="27">
        <v>44747</v>
      </c>
      <c r="T72" s="29">
        <v>0.57291666666666663</v>
      </c>
      <c r="V72" s="13" t="s">
        <v>86</v>
      </c>
      <c r="X72" s="13">
        <f t="shared" si="8"/>
        <v>7</v>
      </c>
      <c r="Z72" s="13" t="s">
        <v>164</v>
      </c>
      <c r="AA72" s="13">
        <f t="shared" si="7"/>
        <v>18</v>
      </c>
      <c r="AB72" s="13" t="str">
        <f t="shared" si="9"/>
        <v>Adult</v>
      </c>
      <c r="AC72" s="13">
        <v>11</v>
      </c>
      <c r="AD72" s="13">
        <v>7</v>
      </c>
      <c r="AE72" s="13" t="str">
        <f t="shared" si="10"/>
        <v>Morphological</v>
      </c>
      <c r="AF72" s="2">
        <v>4</v>
      </c>
    </row>
    <row r="73" spans="1:32" x14ac:dyDescent="0.25">
      <c r="A73" s="13">
        <v>69</v>
      </c>
      <c r="B73" s="23" t="s">
        <v>56</v>
      </c>
      <c r="C73" s="23" t="s">
        <v>57</v>
      </c>
      <c r="D73" s="23" t="s">
        <v>58</v>
      </c>
      <c r="E73" s="23" t="s">
        <v>58</v>
      </c>
      <c r="F73" s="35" cm="1">
        <f t="array" ref="F73">_xlfn.IFS($G73=$G$5,F$5,$G73=$G$7,F$7,$G73=$G$10,F$10,$G73=$G$13,F$13,$G73=$G$14,F$14,$G73=$G$16,F$16,$G73=$G$17,F$17,$G73=$G$19,F$19,$G73=$G$20,F$20,$G73=$G$22,F$22,$G73=$G$23,F$23,$G73=$G$26,F$26,$G73=$G$29,F$29,$G73=$G$31,F$31,$G73=$G$34,F$34,$G73=$G$37,F$37,$G73=$G$107,F$107,$G73=$G$110,F$110,$G73=$G$140,F$140,$G73=$G$142,F$142,$G73=$G$408,F$408)</f>
        <v>8035</v>
      </c>
      <c r="G73" s="13" t="s">
        <v>61</v>
      </c>
      <c r="H73" s="51" cm="1">
        <f t="array" ref="H73">_xlfn.IFS($G73=$G$5,H$5,$G73=$G$7,H$7,$G73=$G$10,H$10,$G73=$G$13,H$13,$G73=$G$14,H$14,$G73=$G$16,H$16,$G73=$G$17,H$17,$G73=$G$19,H$19,$G73=$G$20,H$20,$G73=$G$22,H$22,$G73=$G$23,H$23,$G73=$G$26,H$26,$G73=$G$29,H$29,$G73=$G$31,H$31,$G73=$G$34,H$34,$G73=$G$37,H$37,$G73=$G$107,H$107,$G73=$G$110,H$110,$G73=$G$140,H$140,$G73=$G$142,H$142,$G73=$G$408,H$408)</f>
        <v>41.424387000000003</v>
      </c>
      <c r="I73" s="51" cm="1">
        <f t="array" ref="I73">_xlfn.IFS($G73=$G$5,I$5,$G73=$G$7,I$7,$G73=$G$10,I$10,$G73=$G$13,I$13,$G73=$G$14,I$14,$G73=$G$16,I$16,$G73=$G$17,I$17,$G73=$G$19,I$19,$G73=$G$20,I$20,$G73=$G$22,I$22,$G73=$G$23,I$23,$G73=$G$26,I$26,$G73=$G$29,I$29,$G73=$G$31,I$31,$G73=$G$34,I$34,$G73=$G$37,I$37,$G73=$G$107,I$107,$G73=$G$110,I$110,$G73=$G$140,I$140,$G73=$G$142,I$142,$G73=$G$408,I$408)</f>
        <v>2.1431439999999999</v>
      </c>
      <c r="J73" s="51" cm="1">
        <f t="array" ref="J73">_xlfn.IFS($G73=$G$5,J$5,$G73=$G$7,J$7,$G73=$G$10,J$10,$G73=$G$13,J$13,$G73=$G$14,J$14,$G73=$G$16,J$16,$G73=$G$17,J$17,$G73=$G$19,J$19,$G73=$G$20,J$20,$G73=$G$22,J$22,$G73=$G$23,J$23,$G73=$G$26,J$26,$G73=$G$29,J$29,$G73=$G$31,J$31,$G73=$G$34,J$34,$G73=$G$37,J$37,$G73=$G$107,J$107,$G73=$G$110,J$110,$G73=$G$140,J$140,$G73=$G$142,J$142,$G73=$G$408,J$408)</f>
        <v>160</v>
      </c>
      <c r="K73" s="13" t="str" cm="1">
        <f t="array" ref="K73">_xlfn.IFS($G73=$G$5,K$5,$G73=$G$7,K$7,$G73=$G$10,K$10,$G73=$G$13,K$13,$G73=$G$14,K$14,$G73=$G$16,K$16,$G73=$G$17,K$17,$G73=$G$19,K$19,$G73=$G$20,K$20,$G73=$G$22,K$22,$G73=$G$23,K$23,$G73=$G$26,K$26,$G73=$G$29,K$29,$G73=$G$31,K$31,$G73=$G$34,K$34,$G73=$G$37,K$37,$G73=$G$107,K$107,$G73=$G$110,K$110,$G73=$G$140,K$140,$G73=$G$142,K$142,$G73=$G$408,K$408)</f>
        <v>BG sentinel + BG lure7</v>
      </c>
      <c r="O73" s="13" t="str">
        <f t="shared" si="0"/>
        <v>A_SP_BCN_2_220705</v>
      </c>
      <c r="P73" s="27">
        <v>44747</v>
      </c>
      <c r="Q73" s="29">
        <v>0.625</v>
      </c>
      <c r="R73" s="22"/>
      <c r="S73" s="27">
        <v>44754</v>
      </c>
      <c r="T73" s="29">
        <v>0.62152777777777779</v>
      </c>
      <c r="V73" s="13" t="s">
        <v>86</v>
      </c>
      <c r="W73" t="s">
        <v>176</v>
      </c>
      <c r="X73" s="13">
        <f t="shared" si="8"/>
        <v>7</v>
      </c>
      <c r="Z73" s="13" t="s">
        <v>60</v>
      </c>
      <c r="AA73" s="13">
        <f t="shared" si="7"/>
        <v>3</v>
      </c>
      <c r="AB73" s="13" t="str">
        <f t="shared" si="9"/>
        <v>Adult</v>
      </c>
      <c r="AC73" s="13">
        <v>3</v>
      </c>
      <c r="AD73" s="13">
        <v>0</v>
      </c>
      <c r="AE73" s="13" t="str">
        <f t="shared" si="10"/>
        <v>Morphological</v>
      </c>
      <c r="AF73" s="2">
        <v>4</v>
      </c>
    </row>
    <row r="74" spans="1:32" x14ac:dyDescent="0.25">
      <c r="A74" s="13">
        <v>70</v>
      </c>
      <c r="B74" s="23" t="s">
        <v>56</v>
      </c>
      <c r="C74" s="23" t="s">
        <v>57</v>
      </c>
      <c r="D74" s="23" t="s">
        <v>58</v>
      </c>
      <c r="E74" s="23" t="s">
        <v>58</v>
      </c>
      <c r="F74" s="35" cm="1">
        <f t="array" ref="F74">_xlfn.IFS($G74=$G$5,F$5,$G74=$G$7,F$7,$G74=$G$10,F$10,$G74=$G$13,F$13,$G74=$G$14,F$14,$G74=$G$16,F$16,$G74=$G$17,F$17,$G74=$G$19,F$19,$G74=$G$20,F$20,$G74=$G$22,F$22,$G74=$G$23,F$23,$G74=$G$26,F$26,$G74=$G$29,F$29,$G74=$G$31,F$31,$G74=$G$34,F$34,$G74=$G$37,F$37,$G74=$G$107,F$107,$G74=$G$110,F$110,$G74=$G$140,F$140,$G74=$G$142,F$142,$G74=$G$408,F$408)</f>
        <v>8016</v>
      </c>
      <c r="G74" s="13" t="s">
        <v>62</v>
      </c>
      <c r="H74" s="51" cm="1">
        <f t="array" ref="H74">_xlfn.IFS($G74=$G$5,H$5,$G74=$G$7,H$7,$G74=$G$10,H$10,$G74=$G$13,H$13,$G74=$G$14,H$14,$G74=$G$16,H$16,$G74=$G$17,H$17,$G74=$G$19,H$19,$G74=$G$20,H$20,$G74=$G$22,H$22,$G74=$G$23,H$23,$G74=$G$26,H$26,$G74=$G$29,H$29,$G74=$G$31,H$31,$G74=$G$34,H$34,$G74=$G$37,H$37,$G74=$G$107,H$107,$G74=$G$110,H$110,$G74=$G$140,H$140,$G74=$G$142,H$142,$G74=$G$408,H$408)</f>
        <v>41.437435000000001</v>
      </c>
      <c r="I74" s="51" cm="1">
        <f t="array" ref="I74">_xlfn.IFS($G74=$G$5,I$5,$G74=$G$7,I$7,$G74=$G$10,I$10,$G74=$G$13,I$13,$G74=$G$14,I$14,$G74=$G$16,I$16,$G74=$G$17,I$17,$G74=$G$19,I$19,$G74=$G$20,I$20,$G74=$G$22,I$22,$G74=$G$23,I$23,$G74=$G$26,I$26,$G74=$G$29,I$29,$G74=$G$31,I$31,$G74=$G$34,I$34,$G74=$G$37,I$37,$G74=$G$107,I$107,$G74=$G$110,I$110,$G74=$G$140,I$140,$G74=$G$142,I$142,$G74=$G$408,I$408)</f>
        <v>2.1812779999999998</v>
      </c>
      <c r="J74" s="51" cm="1">
        <f t="array" ref="J74">_xlfn.IFS($G74=$G$5,J$5,$G74=$G$7,J$7,$G74=$G$10,J$10,$G74=$G$13,J$13,$G74=$G$14,J$14,$G74=$G$16,J$16,$G74=$G$17,J$17,$G74=$G$19,J$19,$G74=$G$20,J$20,$G74=$G$22,J$22,$G74=$G$23,J$23,$G74=$G$26,J$26,$G74=$G$29,J$29,$G74=$G$31,J$31,$G74=$G$34,J$34,$G74=$G$37,J$37,$G74=$G$107,J$107,$G74=$G$110,J$110,$G74=$G$140,J$140,$G74=$G$142,J$142,$G74=$G$408,J$408)</f>
        <v>47</v>
      </c>
      <c r="K74" s="13" t="str" cm="1">
        <f t="array" ref="K74">_xlfn.IFS($G74=$G$5,K$5,$G74=$G$7,K$7,$G74=$G$10,K$10,$G74=$G$13,K$13,$G74=$G$14,K$14,$G74=$G$16,K$16,$G74=$G$17,K$17,$G74=$G$19,K$19,$G74=$G$20,K$20,$G74=$G$22,K$22,$G74=$G$23,K$23,$G74=$G$26,K$26,$G74=$G$29,K$29,$G74=$G$31,K$31,$G74=$G$34,K$34,$G74=$G$37,K$37,$G74=$G$107,K$107,$G74=$G$110,K$110,$G74=$G$140,K$140,$G74=$G$142,K$142,$G74=$G$408,K$408)</f>
        <v>BG sentinel + BG lure7</v>
      </c>
      <c r="O74" s="13" t="str">
        <f t="shared" si="0"/>
        <v>A_SP_BCN_3_220705</v>
      </c>
      <c r="P74" s="27">
        <v>44747</v>
      </c>
      <c r="Q74" s="29">
        <v>0.76388888888888884</v>
      </c>
      <c r="R74" s="22"/>
      <c r="S74" s="27">
        <v>44754</v>
      </c>
      <c r="T74" s="29">
        <v>0.81944444444444453</v>
      </c>
      <c r="V74" s="13" t="s">
        <v>86</v>
      </c>
      <c r="X74" s="13">
        <f t="shared" si="8"/>
        <v>7</v>
      </c>
      <c r="Z74" s="13" t="s">
        <v>60</v>
      </c>
      <c r="AA74" s="13">
        <f t="shared" si="7"/>
        <v>23</v>
      </c>
      <c r="AB74" s="13" t="str">
        <f t="shared" si="9"/>
        <v>Adult</v>
      </c>
      <c r="AC74" s="13">
        <v>14</v>
      </c>
      <c r="AD74" s="13">
        <v>9</v>
      </c>
      <c r="AE74" s="13" t="str">
        <f t="shared" si="10"/>
        <v>Morphological</v>
      </c>
      <c r="AF74" s="2">
        <v>4</v>
      </c>
    </row>
    <row r="75" spans="1:32" x14ac:dyDescent="0.25">
      <c r="A75" s="13">
        <v>71</v>
      </c>
      <c r="B75" s="23" t="s">
        <v>56</v>
      </c>
      <c r="C75" s="23" t="s">
        <v>57</v>
      </c>
      <c r="D75" s="23" t="s">
        <v>58</v>
      </c>
      <c r="E75" s="23" t="s">
        <v>58</v>
      </c>
      <c r="F75" s="35" cm="1">
        <f t="array" ref="F75">_xlfn.IFS($G75=$G$5,F$5,$G75=$G$7,F$7,$G75=$G$10,F$10,$G75=$G$13,F$13,$G75=$G$14,F$14,$G75=$G$16,F$16,$G75=$G$17,F$17,$G75=$G$19,F$19,$G75=$G$20,F$20,$G75=$G$22,F$22,$G75=$G$23,F$23,$G75=$G$26,F$26,$G75=$G$29,F$29,$G75=$G$31,F$31,$G75=$G$34,F$34,$G75=$G$37,F$37,$G75=$G$107,F$107,$G75=$G$110,F$110,$G75=$G$140,F$140,$G75=$G$142,F$142,$G75=$G$408,F$408)</f>
        <v>8016</v>
      </c>
      <c r="G75" s="13" t="s">
        <v>62</v>
      </c>
      <c r="H75" s="51" cm="1">
        <f t="array" ref="H75">_xlfn.IFS($G75=$G$5,H$5,$G75=$G$7,H$7,$G75=$G$10,H$10,$G75=$G$13,H$13,$G75=$G$14,H$14,$G75=$G$16,H$16,$G75=$G$17,H$17,$G75=$G$19,H$19,$G75=$G$20,H$20,$G75=$G$22,H$22,$G75=$G$23,H$23,$G75=$G$26,H$26,$G75=$G$29,H$29,$G75=$G$31,H$31,$G75=$G$34,H$34,$G75=$G$37,H$37,$G75=$G$107,H$107,$G75=$G$110,H$110,$G75=$G$140,H$140,$G75=$G$142,H$142,$G75=$G$408,H$408)</f>
        <v>41.437435000000001</v>
      </c>
      <c r="I75" s="51" cm="1">
        <f t="array" ref="I75">_xlfn.IFS($G75=$G$5,I$5,$G75=$G$7,I$7,$G75=$G$10,I$10,$G75=$G$13,I$13,$G75=$G$14,I$14,$G75=$G$16,I$16,$G75=$G$17,I$17,$G75=$G$19,I$19,$G75=$G$20,I$20,$G75=$G$22,I$22,$G75=$G$23,I$23,$G75=$G$26,I$26,$G75=$G$29,I$29,$G75=$G$31,I$31,$G75=$G$34,I$34,$G75=$G$37,I$37,$G75=$G$107,I$107,$G75=$G$110,I$110,$G75=$G$140,I$140,$G75=$G$142,I$142,$G75=$G$408,I$408)</f>
        <v>2.1812779999999998</v>
      </c>
      <c r="J75" s="51" cm="1">
        <f t="array" ref="J75">_xlfn.IFS($G75=$G$5,J$5,$G75=$G$7,J$7,$G75=$G$10,J$10,$G75=$G$13,J$13,$G75=$G$14,J$14,$G75=$G$16,J$16,$G75=$G$17,J$17,$G75=$G$19,J$19,$G75=$G$20,J$20,$G75=$G$22,J$22,$G75=$G$23,J$23,$G75=$G$26,J$26,$G75=$G$29,J$29,$G75=$G$31,J$31,$G75=$G$34,J$34,$G75=$G$37,J$37,$G75=$G$107,J$107,$G75=$G$110,J$110,$G75=$G$140,J$140,$G75=$G$142,J$142,$G75=$G$408,J$408)</f>
        <v>47</v>
      </c>
      <c r="K75" s="13" t="str" cm="1">
        <f t="array" ref="K75">_xlfn.IFS($G75=$G$5,K$5,$G75=$G$7,K$7,$G75=$G$10,K$10,$G75=$G$13,K$13,$G75=$G$14,K$14,$G75=$G$16,K$16,$G75=$G$17,K$17,$G75=$G$19,K$19,$G75=$G$20,K$20,$G75=$G$22,K$22,$G75=$G$23,K$23,$G75=$G$26,K$26,$G75=$G$29,K$29,$G75=$G$31,K$31,$G75=$G$34,K$34,$G75=$G$37,K$37,$G75=$G$107,K$107,$G75=$G$110,K$110,$G75=$G$140,K$140,$G75=$G$142,K$142,$G75=$G$408,K$408)</f>
        <v>BG sentinel + BG lure7</v>
      </c>
      <c r="O75" s="13" t="str">
        <f t="shared" si="0"/>
        <v>A_SP_BCN_3_220705</v>
      </c>
      <c r="P75" s="27">
        <v>44747</v>
      </c>
      <c r="Q75" s="29">
        <v>0.76388888888888884</v>
      </c>
      <c r="R75" s="22"/>
      <c r="S75" s="27">
        <v>44754</v>
      </c>
      <c r="T75" s="29">
        <v>0.81944444444444453</v>
      </c>
      <c r="V75" s="13" t="s">
        <v>86</v>
      </c>
      <c r="X75" s="13">
        <f t="shared" si="8"/>
        <v>7</v>
      </c>
      <c r="Z75" s="13" t="s">
        <v>164</v>
      </c>
      <c r="AA75" s="13">
        <f t="shared" si="7"/>
        <v>9</v>
      </c>
      <c r="AB75" s="13" t="str">
        <f t="shared" si="9"/>
        <v>Adult</v>
      </c>
      <c r="AC75" s="13">
        <v>6</v>
      </c>
      <c r="AD75" s="13">
        <v>3</v>
      </c>
      <c r="AE75" s="13" t="str">
        <f t="shared" si="10"/>
        <v>Morphological</v>
      </c>
      <c r="AF75" s="2">
        <v>4</v>
      </c>
    </row>
    <row r="76" spans="1:32" x14ac:dyDescent="0.25">
      <c r="A76" s="13">
        <v>72</v>
      </c>
      <c r="B76" s="23" t="s">
        <v>56</v>
      </c>
      <c r="C76" s="23" t="s">
        <v>57</v>
      </c>
      <c r="D76" s="23" t="s">
        <v>58</v>
      </c>
      <c r="E76" s="23" t="s">
        <v>58</v>
      </c>
      <c r="F76" s="35" cm="1">
        <f t="array" ref="F76">_xlfn.IFS($G76=$G$5,F$5,$G76=$G$7,F$7,$G76=$G$10,F$10,$G76=$G$13,F$13,$G76=$G$14,F$14,$G76=$G$16,F$16,$G76=$G$17,F$17,$G76=$G$19,F$19,$G76=$G$20,F$20,$G76=$G$22,F$22,$G76=$G$23,F$23,$G76=$G$26,F$26,$G76=$G$29,F$29,$G76=$G$31,F$31,$G76=$G$34,F$34,$G76=$G$37,F$37,$G76=$G$107,F$107,$G76=$G$110,F$110,$G76=$G$140,F$140,$G76=$G$142,F$142,$G76=$G$408,F$408)</f>
        <v>8016</v>
      </c>
      <c r="G76" s="13" t="s">
        <v>62</v>
      </c>
      <c r="H76" s="51" cm="1">
        <f t="array" ref="H76">_xlfn.IFS($G76=$G$5,H$5,$G76=$G$7,H$7,$G76=$G$10,H$10,$G76=$G$13,H$13,$G76=$G$14,H$14,$G76=$G$16,H$16,$G76=$G$17,H$17,$G76=$G$19,H$19,$G76=$G$20,H$20,$G76=$G$22,H$22,$G76=$G$23,H$23,$G76=$G$26,H$26,$G76=$G$29,H$29,$G76=$G$31,H$31,$G76=$G$34,H$34,$G76=$G$37,H$37,$G76=$G$107,H$107,$G76=$G$110,H$110,$G76=$G$140,H$140,$G76=$G$142,H$142,$G76=$G$408,H$408)</f>
        <v>41.437435000000001</v>
      </c>
      <c r="I76" s="51" cm="1">
        <f t="array" ref="I76">_xlfn.IFS($G76=$G$5,I$5,$G76=$G$7,I$7,$G76=$G$10,I$10,$G76=$G$13,I$13,$G76=$G$14,I$14,$G76=$G$16,I$16,$G76=$G$17,I$17,$G76=$G$19,I$19,$G76=$G$20,I$20,$G76=$G$22,I$22,$G76=$G$23,I$23,$G76=$G$26,I$26,$G76=$G$29,I$29,$G76=$G$31,I$31,$G76=$G$34,I$34,$G76=$G$37,I$37,$G76=$G$107,I$107,$G76=$G$110,I$110,$G76=$G$140,I$140,$G76=$G$142,I$142,$G76=$G$408,I$408)</f>
        <v>2.1812779999999998</v>
      </c>
      <c r="J76" s="51" cm="1">
        <f t="array" ref="J76">_xlfn.IFS($G76=$G$5,J$5,$G76=$G$7,J$7,$G76=$G$10,J$10,$G76=$G$13,J$13,$G76=$G$14,J$14,$G76=$G$16,J$16,$G76=$G$17,J$17,$G76=$G$19,J$19,$G76=$G$20,J$20,$G76=$G$22,J$22,$G76=$G$23,J$23,$G76=$G$26,J$26,$G76=$G$29,J$29,$G76=$G$31,J$31,$G76=$G$34,J$34,$G76=$G$37,J$37,$G76=$G$107,J$107,$G76=$G$110,J$110,$G76=$G$140,J$140,$G76=$G$142,J$142,$G76=$G$408,J$408)</f>
        <v>47</v>
      </c>
      <c r="K76" s="13" t="str" cm="1">
        <f t="array" ref="K76">_xlfn.IFS($G76=$G$5,K$5,$G76=$G$7,K$7,$G76=$G$10,K$10,$G76=$G$13,K$13,$G76=$G$14,K$14,$G76=$G$16,K$16,$G76=$G$17,K$17,$G76=$G$19,K$19,$G76=$G$20,K$20,$G76=$G$22,K$22,$G76=$G$23,K$23,$G76=$G$26,K$26,$G76=$G$29,K$29,$G76=$G$31,K$31,$G76=$G$34,K$34,$G76=$G$37,K$37,$G76=$G$107,K$107,$G76=$G$110,K$110,$G76=$G$140,K$140,$G76=$G$142,K$142,$G76=$G$408,K$408)</f>
        <v>BG sentinel + BG lure7</v>
      </c>
      <c r="O76" s="13" t="str">
        <f t="shared" si="0"/>
        <v>A_SP_BCN_3_220705</v>
      </c>
      <c r="P76" s="27">
        <v>44747</v>
      </c>
      <c r="Q76" s="29">
        <v>0.76388888888888884</v>
      </c>
      <c r="R76" s="22"/>
      <c r="S76" s="27">
        <v>44754</v>
      </c>
      <c r="T76" s="29">
        <v>0.81944444444444453</v>
      </c>
      <c r="V76" s="13" t="s">
        <v>86</v>
      </c>
      <c r="X76" s="13">
        <f t="shared" si="8"/>
        <v>7</v>
      </c>
      <c r="Z76" s="32" t="s">
        <v>163</v>
      </c>
      <c r="AA76" s="13">
        <f t="shared" si="7"/>
        <v>4</v>
      </c>
      <c r="AB76" s="13" t="str">
        <f t="shared" si="9"/>
        <v>Adult</v>
      </c>
      <c r="AC76" s="13">
        <v>3</v>
      </c>
      <c r="AD76" s="13">
        <v>1</v>
      </c>
      <c r="AE76" s="13" t="str">
        <f t="shared" si="10"/>
        <v>Morphological</v>
      </c>
      <c r="AF76" s="2">
        <v>4</v>
      </c>
    </row>
    <row r="77" spans="1:32" x14ac:dyDescent="0.25">
      <c r="A77" s="13">
        <v>73</v>
      </c>
      <c r="B77" s="23" t="s">
        <v>56</v>
      </c>
      <c r="C77" s="23" t="s">
        <v>57</v>
      </c>
      <c r="D77" s="23" t="s">
        <v>58</v>
      </c>
      <c r="E77" s="23" t="s">
        <v>58</v>
      </c>
      <c r="F77" s="35" cm="1">
        <f t="array" ref="F77">_xlfn.IFS($G77=$G$5,F$5,$G77=$G$7,F$7,$G77=$G$10,F$10,$G77=$G$13,F$13,$G77=$G$14,F$14,$G77=$G$16,F$16,$G77=$G$17,F$17,$G77=$G$19,F$19,$G77=$G$20,F$20,$G77=$G$22,F$22,$G77=$G$23,F$23,$G77=$G$26,F$26,$G77=$G$29,F$29,$G77=$G$31,F$31,$G77=$G$34,F$34,$G77=$G$37,F$37,$G77=$G$107,F$107,$G77=$G$110,F$110,$G77=$G$140,F$140,$G77=$G$142,F$142,$G77=$G$408,F$408)</f>
        <v>8018</v>
      </c>
      <c r="G77" s="13" t="s">
        <v>63</v>
      </c>
      <c r="H77" s="51" cm="1">
        <f t="array" ref="H77">_xlfn.IFS($G77=$G$5,H$5,$G77=$G$7,H$7,$G77=$G$10,H$10,$G77=$G$13,H$13,$G77=$G$14,H$14,$G77=$G$16,H$16,$G77=$G$17,H$17,$G77=$G$19,H$19,$G77=$G$20,H$20,$G77=$G$22,H$22,$G77=$G$23,H$23,$G77=$G$26,H$26,$G77=$G$29,H$29,$G77=$G$31,H$31,$G77=$G$34,H$34,$G77=$G$37,H$37,$G77=$G$107,H$107,$G77=$G$110,H$110,$G77=$G$140,H$140,$G77=$G$142,H$142,$G77=$G$408,H$408)</f>
        <v>41.404924999999999</v>
      </c>
      <c r="I77" s="51" cm="1">
        <f t="array" ref="I77">_xlfn.IFS($G77=$G$5,I$5,$G77=$G$7,I$7,$G77=$G$10,I$10,$G77=$G$13,I$13,$G77=$G$14,I$14,$G77=$G$16,I$16,$G77=$G$17,I$17,$G77=$G$19,I$19,$G77=$G$20,I$20,$G77=$G$22,I$22,$G77=$G$23,I$23,$G77=$G$26,I$26,$G77=$G$29,I$29,$G77=$G$31,I$31,$G77=$G$34,I$34,$G77=$G$37,I$37,$G77=$G$107,I$107,$G77=$G$110,I$110,$G77=$G$140,I$140,$G77=$G$142,I$142,$G77=$G$408,I$408)</f>
        <v>2.1987909999999999</v>
      </c>
      <c r="J77" s="51" cm="1">
        <f t="array" ref="J77">_xlfn.IFS($G77=$G$5,J$5,$G77=$G$7,J$7,$G77=$G$10,J$10,$G77=$G$13,J$13,$G77=$G$14,J$14,$G77=$G$16,J$16,$G77=$G$17,J$17,$G77=$G$19,J$19,$G77=$G$20,J$20,$G77=$G$22,J$22,$G77=$G$23,J$23,$G77=$G$26,J$26,$G77=$G$29,J$29,$G77=$G$31,J$31,$G77=$G$34,J$34,$G77=$G$37,J$37,$G77=$G$107,J$107,$G77=$G$110,J$110,$G77=$G$140,J$140,$G77=$G$142,J$142,$G77=$G$408,J$408)</f>
        <v>4</v>
      </c>
      <c r="K77" s="13" t="str" cm="1">
        <f t="array" ref="K77">_xlfn.IFS($G77=$G$5,K$5,$G77=$G$7,K$7,$G77=$G$10,K$10,$G77=$G$13,K$13,$G77=$G$14,K$14,$G77=$G$16,K$16,$G77=$G$17,K$17,$G77=$G$19,K$19,$G77=$G$20,K$20,$G77=$G$22,K$22,$G77=$G$23,K$23,$G77=$G$26,K$26,$G77=$G$29,K$29,$G77=$G$31,K$31,$G77=$G$34,K$34,$G77=$G$37,K$37,$G77=$G$107,K$107,$G77=$G$110,K$110,$G77=$G$140,K$140,$G77=$G$142,K$142,$G77=$G$408,K$408)</f>
        <v>BG sentinel + BG lure7</v>
      </c>
      <c r="O77" s="13" t="str">
        <f t="shared" si="0"/>
        <v>A_SP_BCN_4_220705</v>
      </c>
      <c r="P77" s="27">
        <v>44747</v>
      </c>
      <c r="Q77" s="29">
        <v>0.80208333333333337</v>
      </c>
      <c r="R77" s="22"/>
      <c r="S77" s="27">
        <v>44754</v>
      </c>
      <c r="T77" s="29">
        <v>0.84375</v>
      </c>
      <c r="V77" s="13" t="s">
        <v>86</v>
      </c>
      <c r="X77" s="13">
        <f t="shared" si="8"/>
        <v>7</v>
      </c>
      <c r="Z77" s="13" t="s">
        <v>60</v>
      </c>
      <c r="AA77" s="13">
        <f t="shared" si="7"/>
        <v>5</v>
      </c>
      <c r="AB77" s="13" t="str">
        <f t="shared" si="9"/>
        <v>Adult</v>
      </c>
      <c r="AC77" s="13">
        <v>4</v>
      </c>
      <c r="AD77" s="13">
        <v>1</v>
      </c>
      <c r="AE77" s="13" t="str">
        <f t="shared" si="10"/>
        <v>Morphological</v>
      </c>
      <c r="AF77" s="2">
        <v>4</v>
      </c>
    </row>
    <row r="78" spans="1:32" x14ac:dyDescent="0.25">
      <c r="A78" s="13">
        <v>74</v>
      </c>
      <c r="B78" s="23" t="s">
        <v>56</v>
      </c>
      <c r="C78" s="23" t="s">
        <v>57</v>
      </c>
      <c r="D78" s="23" t="s">
        <v>58</v>
      </c>
      <c r="E78" s="23" t="s">
        <v>58</v>
      </c>
      <c r="F78" s="35" cm="1">
        <f t="array" ref="F78">_xlfn.IFS($G78=$G$5,F$5,$G78=$G$7,F$7,$G78=$G$10,F$10,$G78=$G$13,F$13,$G78=$G$14,F$14,$G78=$G$16,F$16,$G78=$G$17,F$17,$G78=$G$19,F$19,$G78=$G$20,F$20,$G78=$G$22,F$22,$G78=$G$23,F$23,$G78=$G$26,F$26,$G78=$G$29,F$29,$G78=$G$31,F$31,$G78=$G$34,F$34,$G78=$G$37,F$37,$G78=$G$107,F$107,$G78=$G$110,F$110,$G78=$G$140,F$140,$G78=$G$142,F$142,$G78=$G$408,F$408)</f>
        <v>8018</v>
      </c>
      <c r="G78" s="13" t="s">
        <v>63</v>
      </c>
      <c r="H78" s="51" cm="1">
        <f t="array" ref="H78">_xlfn.IFS($G78=$G$5,H$5,$G78=$G$7,H$7,$G78=$G$10,H$10,$G78=$G$13,H$13,$G78=$G$14,H$14,$G78=$G$16,H$16,$G78=$G$17,H$17,$G78=$G$19,H$19,$G78=$G$20,H$20,$G78=$G$22,H$22,$G78=$G$23,H$23,$G78=$G$26,H$26,$G78=$G$29,H$29,$G78=$G$31,H$31,$G78=$G$34,H$34,$G78=$G$37,H$37,$G78=$G$107,H$107,$G78=$G$110,H$110,$G78=$G$140,H$140,$G78=$G$142,H$142,$G78=$G$408,H$408)</f>
        <v>41.404924999999999</v>
      </c>
      <c r="I78" s="51" cm="1">
        <f t="array" ref="I78">_xlfn.IFS($G78=$G$5,I$5,$G78=$G$7,I$7,$G78=$G$10,I$10,$G78=$G$13,I$13,$G78=$G$14,I$14,$G78=$G$16,I$16,$G78=$G$17,I$17,$G78=$G$19,I$19,$G78=$G$20,I$20,$G78=$G$22,I$22,$G78=$G$23,I$23,$G78=$G$26,I$26,$G78=$G$29,I$29,$G78=$G$31,I$31,$G78=$G$34,I$34,$G78=$G$37,I$37,$G78=$G$107,I$107,$G78=$G$110,I$110,$G78=$G$140,I$140,$G78=$G$142,I$142,$G78=$G$408,I$408)</f>
        <v>2.1987909999999999</v>
      </c>
      <c r="J78" s="51" cm="1">
        <f t="array" ref="J78">_xlfn.IFS($G78=$G$5,J$5,$G78=$G$7,J$7,$G78=$G$10,J$10,$G78=$G$13,J$13,$G78=$G$14,J$14,$G78=$G$16,J$16,$G78=$G$17,J$17,$G78=$G$19,J$19,$G78=$G$20,J$20,$G78=$G$22,J$22,$G78=$G$23,J$23,$G78=$G$26,J$26,$G78=$G$29,J$29,$G78=$G$31,J$31,$G78=$G$34,J$34,$G78=$G$37,J$37,$G78=$G$107,J$107,$G78=$G$110,J$110,$G78=$G$140,J$140,$G78=$G$142,J$142,$G78=$G$408,J$408)</f>
        <v>4</v>
      </c>
      <c r="K78" s="13" t="str" cm="1">
        <f t="array" ref="K78">_xlfn.IFS($G78=$G$5,K$5,$G78=$G$7,K$7,$G78=$G$10,K$10,$G78=$G$13,K$13,$G78=$G$14,K$14,$G78=$G$16,K$16,$G78=$G$17,K$17,$G78=$G$19,K$19,$G78=$G$20,K$20,$G78=$G$22,K$22,$G78=$G$23,K$23,$G78=$G$26,K$26,$G78=$G$29,K$29,$G78=$G$31,K$31,$G78=$G$34,K$34,$G78=$G$37,K$37,$G78=$G$107,K$107,$G78=$G$110,K$110,$G78=$G$140,K$140,$G78=$G$142,K$142,$G78=$G$408,K$408)</f>
        <v>BG sentinel + BG lure7</v>
      </c>
      <c r="O78" s="13" t="str">
        <f t="shared" si="0"/>
        <v>A_SP_BCN_4_220705</v>
      </c>
      <c r="P78" s="27">
        <v>44747</v>
      </c>
      <c r="Q78" s="29">
        <v>0.80208333333333337</v>
      </c>
      <c r="R78" s="22"/>
      <c r="S78" s="27">
        <v>44754</v>
      </c>
      <c r="T78" s="29">
        <v>0.84375</v>
      </c>
      <c r="V78" s="13" t="s">
        <v>86</v>
      </c>
      <c r="X78" s="13">
        <f t="shared" si="8"/>
        <v>7</v>
      </c>
      <c r="Z78" s="13" t="s">
        <v>164</v>
      </c>
      <c r="AA78" s="13">
        <f t="shared" si="7"/>
        <v>3</v>
      </c>
      <c r="AB78" s="13" t="str">
        <f t="shared" si="9"/>
        <v>Adult</v>
      </c>
      <c r="AC78" s="13">
        <v>2</v>
      </c>
      <c r="AD78" s="13">
        <v>1</v>
      </c>
      <c r="AE78" s="13" t="str">
        <f t="shared" si="10"/>
        <v>Morphological</v>
      </c>
      <c r="AF78" s="2">
        <v>4</v>
      </c>
    </row>
    <row r="79" spans="1:32" x14ac:dyDescent="0.25">
      <c r="A79" s="13">
        <v>75</v>
      </c>
      <c r="B79" s="23" t="s">
        <v>56</v>
      </c>
      <c r="C79" s="23" t="s">
        <v>57</v>
      </c>
      <c r="D79" s="23" t="s">
        <v>58</v>
      </c>
      <c r="E79" s="23" t="s">
        <v>58</v>
      </c>
      <c r="F79" s="35" cm="1">
        <f t="array" ref="F79">_xlfn.IFS($G79=$G$5,F$5,$G79=$G$7,F$7,$G79=$G$10,F$10,$G79=$G$13,F$13,$G79=$G$14,F$14,$G79=$G$16,F$16,$G79=$G$17,F$17,$G79=$G$19,F$19,$G79=$G$20,F$20,$G79=$G$22,F$22,$G79=$G$23,F$23,$G79=$G$26,F$26,$G79=$G$29,F$29,$G79=$G$31,F$31,$G79=$G$34,F$34,$G79=$G$37,F$37,$G79=$G$107,F$107,$G79=$G$110,F$110,$G79=$G$140,F$140,$G79=$G$142,F$142,$G79=$G$408,F$408)</f>
        <v>8019</v>
      </c>
      <c r="G79" s="13" t="s">
        <v>64</v>
      </c>
      <c r="H79" s="51" cm="1">
        <f t="array" ref="H79">_xlfn.IFS($G79=$G$5,H$5,$G79=$G$7,H$7,$G79=$G$10,H$10,$G79=$G$13,H$13,$G79=$G$14,H$14,$G79=$G$16,H$16,$G79=$G$17,H$17,$G79=$G$19,H$19,$G79=$G$20,H$20,$G79=$G$22,H$22,$G79=$G$23,H$23,$G79=$G$26,H$26,$G79=$G$29,H$29,$G79=$G$31,H$31,$G79=$G$34,H$34,$G79=$G$37,H$37,$G79=$G$107,H$107,$G79=$G$110,H$110,$G79=$G$140,H$140,$G79=$G$142,H$142,$G79=$G$408,H$408)</f>
        <v>41.410684000000003</v>
      </c>
      <c r="I79" s="51" cm="1">
        <f t="array" ref="I79">_xlfn.IFS($G79=$G$5,I$5,$G79=$G$7,I$7,$G79=$G$10,I$10,$G79=$G$13,I$13,$G79=$G$14,I$14,$G79=$G$16,I$16,$G79=$G$17,I$17,$G79=$G$19,I$19,$G79=$G$20,I$20,$G79=$G$22,I$22,$G79=$G$23,I$23,$G79=$G$26,I$26,$G79=$G$29,I$29,$G79=$G$31,I$31,$G79=$G$34,I$34,$G79=$G$37,I$37,$G79=$G$107,I$107,$G79=$G$110,I$110,$G79=$G$140,I$140,$G79=$G$142,I$142,$G79=$G$408,I$408)</f>
        <v>2.2208019999999999</v>
      </c>
      <c r="J79" s="51" cm="1">
        <f t="array" ref="J79">_xlfn.IFS($G79=$G$5,J$5,$G79=$G$7,J$7,$G79=$G$10,J$10,$G79=$G$13,J$13,$G79=$G$14,J$14,$G79=$G$16,J$16,$G79=$G$17,J$17,$G79=$G$19,J$19,$G79=$G$20,J$20,$G79=$G$22,J$22,$G79=$G$23,J$23,$G79=$G$26,J$26,$G79=$G$29,J$29,$G79=$G$31,J$31,$G79=$G$34,J$34,$G79=$G$37,J$37,$G79=$G$107,J$107,$G79=$G$110,J$110,$G79=$G$140,J$140,$G79=$G$142,J$142,$G79=$G$408,J$408)</f>
        <v>18</v>
      </c>
      <c r="K79" s="13" t="str" cm="1">
        <f t="array" ref="K79">_xlfn.IFS($G79=$G$5,K$5,$G79=$G$7,K$7,$G79=$G$10,K$10,$G79=$G$13,K$13,$G79=$G$14,K$14,$G79=$G$16,K$16,$G79=$G$17,K$17,$G79=$G$19,K$19,$G79=$G$20,K$20,$G79=$G$22,K$22,$G79=$G$23,K$23,$G79=$G$26,K$26,$G79=$G$29,K$29,$G79=$G$31,K$31,$G79=$G$34,K$34,$G79=$G$37,K$37,$G79=$G$107,K$107,$G79=$G$110,K$110,$G79=$G$140,K$140,$G79=$G$142,K$142,$G79=$G$408,K$408)</f>
        <v>BG sentinel + BG lure7</v>
      </c>
      <c r="O79" s="13" t="str">
        <f t="shared" si="0"/>
        <v>A_SP_BCN_5_220705</v>
      </c>
      <c r="P79" s="27">
        <v>44747</v>
      </c>
      <c r="Q79" s="29">
        <v>0.78472222222222221</v>
      </c>
      <c r="R79" s="22"/>
      <c r="S79" s="27">
        <v>44754</v>
      </c>
      <c r="T79" s="29">
        <v>0.79861111111111116</v>
      </c>
      <c r="V79" s="13" t="s">
        <v>86</v>
      </c>
      <c r="X79" s="13">
        <f t="shared" si="8"/>
        <v>7</v>
      </c>
      <c r="Z79" s="13" t="s">
        <v>164</v>
      </c>
      <c r="AA79" s="13">
        <f t="shared" si="7"/>
        <v>2</v>
      </c>
      <c r="AB79" s="13" t="str">
        <f t="shared" si="9"/>
        <v>Adult</v>
      </c>
      <c r="AC79" s="13">
        <v>1</v>
      </c>
      <c r="AD79" s="13">
        <v>1</v>
      </c>
      <c r="AE79" s="13" t="str">
        <f t="shared" si="10"/>
        <v>Morphological</v>
      </c>
      <c r="AF79" s="2">
        <v>4</v>
      </c>
    </row>
    <row r="80" spans="1:32" x14ac:dyDescent="0.25">
      <c r="A80" s="13">
        <v>76</v>
      </c>
      <c r="B80" s="23" t="s">
        <v>56</v>
      </c>
      <c r="C80" s="23" t="s">
        <v>57</v>
      </c>
      <c r="D80" s="23" t="s">
        <v>58</v>
      </c>
      <c r="E80" s="23" t="s">
        <v>58</v>
      </c>
      <c r="F80" s="35" cm="1">
        <f t="array" ref="F80">_xlfn.IFS($G80=$G$5,F$5,$G80=$G$7,F$7,$G80=$G$10,F$10,$G80=$G$13,F$13,$G80=$G$14,F$14,$G80=$G$16,F$16,$G80=$G$17,F$17,$G80=$G$19,F$19,$G80=$G$20,F$20,$G80=$G$22,F$22,$G80=$G$23,F$23,$G80=$G$26,F$26,$G80=$G$29,F$29,$G80=$G$31,F$31,$G80=$G$34,F$34,$G80=$G$37,F$37,$G80=$G$107,F$107,$G80=$G$110,F$110,$G80=$G$140,F$140,$G80=$G$142,F$142,$G80=$G$408,F$408)</f>
        <v>8002</v>
      </c>
      <c r="G80" s="13" t="s">
        <v>65</v>
      </c>
      <c r="H80" s="51" cm="1">
        <f t="array" ref="H80">_xlfn.IFS($G80=$G$5,H$5,$G80=$G$7,H$7,$G80=$G$10,H$10,$G80=$G$13,H$13,$G80=$G$14,H$14,$G80=$G$16,H$16,$G80=$G$17,H$17,$G80=$G$19,H$19,$G80=$G$20,H$20,$G80=$G$22,H$22,$G80=$G$23,H$23,$G80=$G$26,H$26,$G80=$G$29,H$29,$G80=$G$31,H$31,$G80=$G$34,H$34,$G80=$G$37,H$37,$G80=$G$107,H$107,$G80=$G$110,H$110,$G80=$G$140,H$140,$G80=$G$142,H$142,$G80=$G$408,H$408)</f>
        <v>41.382339999999999</v>
      </c>
      <c r="I80" s="51" cm="1">
        <f t="array" ref="I80">_xlfn.IFS($G80=$G$5,I$5,$G80=$G$7,I$7,$G80=$G$10,I$10,$G80=$G$13,I$13,$G80=$G$14,I$14,$G80=$G$16,I$16,$G80=$G$17,I$17,$G80=$G$19,I$19,$G80=$G$20,I$20,$G80=$G$22,I$22,$G80=$G$23,I$23,$G80=$G$26,I$26,$G80=$G$29,I$29,$G80=$G$31,I$31,$G80=$G$34,I$34,$G80=$G$37,I$37,$G80=$G$107,I$107,$G80=$G$110,I$110,$G80=$G$140,I$140,$G80=$G$142,I$142,$G80=$G$408,I$408)</f>
        <v>2.1714790000000002</v>
      </c>
      <c r="J80" s="51" cm="1">
        <f t="array" ref="J80">_xlfn.IFS($G80=$G$5,J$5,$G80=$G$7,J$7,$G80=$G$10,J$10,$G80=$G$13,J$13,$G80=$G$14,J$14,$G80=$G$16,J$16,$G80=$G$17,J$17,$G80=$G$19,J$19,$G80=$G$20,J$20,$G80=$G$22,J$22,$G80=$G$23,J$23,$G80=$G$26,J$26,$G80=$G$29,J$29,$G80=$G$31,J$31,$G80=$G$34,J$34,$G80=$G$37,J$37,$G80=$G$107,J$107,$G80=$G$110,J$110,$G80=$G$140,J$140,$G80=$G$142,J$142,$G80=$G$408,J$408)</f>
        <v>19</v>
      </c>
      <c r="K80" s="13" t="str" cm="1">
        <f t="array" ref="K80">_xlfn.IFS($G80=$G$5,K$5,$G80=$G$7,K$7,$G80=$G$10,K$10,$G80=$G$13,K$13,$G80=$G$14,K$14,$G80=$G$16,K$16,$G80=$G$17,K$17,$G80=$G$19,K$19,$G80=$G$20,K$20,$G80=$G$22,K$22,$G80=$G$23,K$23,$G80=$G$26,K$26,$G80=$G$29,K$29,$G80=$G$31,K$31,$G80=$G$34,K$34,$G80=$G$37,K$37,$G80=$G$107,K$107,$G80=$G$110,K$110,$G80=$G$140,K$140,$G80=$G$142,K$142,$G80=$G$408,K$408)</f>
        <v>BG sentinel + BG lure7</v>
      </c>
      <c r="O80" s="13" t="str">
        <f t="shared" si="0"/>
        <v>A_SP_BCN_6_220705</v>
      </c>
      <c r="P80" s="27">
        <v>44747</v>
      </c>
      <c r="Q80" s="29">
        <v>0.82986111111111116</v>
      </c>
      <c r="R80" s="22"/>
      <c r="S80" s="27">
        <v>44754</v>
      </c>
      <c r="T80" s="29">
        <v>0.86805555555555547</v>
      </c>
      <c r="V80" s="13" t="s">
        <v>86</v>
      </c>
      <c r="X80" s="13">
        <f t="shared" si="8"/>
        <v>7</v>
      </c>
      <c r="Z80" s="13" t="s">
        <v>60</v>
      </c>
      <c r="AA80" s="13">
        <f t="shared" si="7"/>
        <v>1</v>
      </c>
      <c r="AB80" s="13" t="str">
        <f t="shared" si="9"/>
        <v>Adult</v>
      </c>
      <c r="AC80" s="13">
        <v>1</v>
      </c>
      <c r="AD80" s="13">
        <v>0</v>
      </c>
      <c r="AE80" s="13" t="str">
        <f t="shared" si="10"/>
        <v>Morphological</v>
      </c>
      <c r="AF80" s="2">
        <v>4</v>
      </c>
    </row>
    <row r="81" spans="1:32" x14ac:dyDescent="0.25">
      <c r="A81" s="13">
        <v>77</v>
      </c>
      <c r="B81" s="23" t="s">
        <v>56</v>
      </c>
      <c r="C81" s="23" t="s">
        <v>57</v>
      </c>
      <c r="D81" s="23" t="s">
        <v>58</v>
      </c>
      <c r="E81" s="23" t="s">
        <v>58</v>
      </c>
      <c r="F81" s="35" cm="1">
        <f t="array" ref="F81">_xlfn.IFS($G81=$G$5,F$5,$G81=$G$7,F$7,$G81=$G$10,F$10,$G81=$G$13,F$13,$G81=$G$14,F$14,$G81=$G$16,F$16,$G81=$G$17,F$17,$G81=$G$19,F$19,$G81=$G$20,F$20,$G81=$G$22,F$22,$G81=$G$23,F$23,$G81=$G$26,F$26,$G81=$G$29,F$29,$G81=$G$31,F$31,$G81=$G$34,F$34,$G81=$G$37,F$37,$G81=$G$107,F$107,$G81=$G$110,F$110,$G81=$G$140,F$140,$G81=$G$142,F$142,$G81=$G$408,F$408)</f>
        <v>8040</v>
      </c>
      <c r="G81" s="13" t="s">
        <v>68</v>
      </c>
      <c r="H81" s="51" cm="1">
        <f t="array" ref="H81">_xlfn.IFS($G81=$G$5,H$5,$G81=$G$7,H$7,$G81=$G$10,H$10,$G81=$G$13,H$13,$G81=$G$14,H$14,$G81=$G$16,H$16,$G81=$G$17,H$17,$G81=$G$19,H$19,$G81=$G$20,H$20,$G81=$G$22,H$22,$G81=$G$23,H$23,$G81=$G$26,H$26,$G81=$G$29,H$29,$G81=$G$31,H$31,$G81=$G$34,H$34,$G81=$G$37,H$37,$G81=$G$107,H$107,$G81=$G$110,H$110,$G81=$G$140,H$140,$G81=$G$142,H$142,$G81=$G$408,H$408)</f>
        <v>41.343685000000001</v>
      </c>
      <c r="I81" s="51" cm="1">
        <f t="array" ref="I81">_xlfn.IFS($G81=$G$5,I$5,$G81=$G$7,I$7,$G81=$G$10,I$10,$G81=$G$13,I$13,$G81=$G$14,I$14,$G81=$G$16,I$16,$G81=$G$17,I$17,$G81=$G$19,I$19,$G81=$G$20,I$20,$G81=$G$22,I$22,$G81=$G$23,I$23,$G81=$G$26,I$26,$G81=$G$29,I$29,$G81=$G$31,I$31,$G81=$G$34,I$34,$G81=$G$37,I$37,$G81=$G$107,I$107,$G81=$G$110,I$110,$G81=$G$140,I$140,$G81=$G$142,I$142,$G81=$G$408,I$408)</f>
        <v>2.1441490000000001</v>
      </c>
      <c r="J81" s="51" cm="1">
        <f t="array" ref="J81">_xlfn.IFS($G81=$G$5,J$5,$G81=$G$7,J$7,$G81=$G$10,J$10,$G81=$G$13,J$13,$G81=$G$14,J$14,$G81=$G$16,J$16,$G81=$G$17,J$17,$G81=$G$19,J$19,$G81=$G$20,J$20,$G81=$G$22,J$22,$G81=$G$23,J$23,$G81=$G$26,J$26,$G81=$G$29,J$29,$G81=$G$31,J$31,$G81=$G$34,J$34,$G81=$G$37,J$37,$G81=$G$107,J$107,$G81=$G$110,J$110,$G81=$G$140,J$140,$G81=$G$142,J$142,$G81=$G$408,J$408)</f>
        <v>4</v>
      </c>
      <c r="K81" s="13" t="str" cm="1">
        <f t="array" ref="K81">_xlfn.IFS($G81=$G$5,K$5,$G81=$G$7,K$7,$G81=$G$10,K$10,$G81=$G$13,K$13,$G81=$G$14,K$14,$G81=$G$16,K$16,$G81=$G$17,K$17,$G81=$G$19,K$19,$G81=$G$20,K$20,$G81=$G$22,K$22,$G81=$G$23,K$23,$G81=$G$26,K$26,$G81=$G$29,K$29,$G81=$G$31,K$31,$G81=$G$34,K$34,$G81=$G$37,K$37,$G81=$G$107,K$107,$G81=$G$110,K$110,$G81=$G$140,K$140,$G81=$G$142,K$142,$G81=$G$408,K$408)</f>
        <v>BG sentinel + BG lure7</v>
      </c>
      <c r="O81" s="13" t="str">
        <f t="shared" si="0"/>
        <v>A_SP_BCN_10_220705</v>
      </c>
      <c r="P81" s="27">
        <v>44747</v>
      </c>
      <c r="Q81" s="29">
        <v>0.54166666666666663</v>
      </c>
      <c r="R81" s="22"/>
      <c r="S81" s="27">
        <v>44754</v>
      </c>
      <c r="T81" s="29">
        <v>0.51041666666666663</v>
      </c>
      <c r="V81" s="13" t="s">
        <v>86</v>
      </c>
      <c r="X81" s="13">
        <f t="shared" si="8"/>
        <v>7</v>
      </c>
      <c r="Z81" s="13" t="s">
        <v>60</v>
      </c>
      <c r="AA81" s="13">
        <f t="shared" si="7"/>
        <v>23</v>
      </c>
      <c r="AB81" s="13" t="str">
        <f t="shared" si="9"/>
        <v>Adult</v>
      </c>
      <c r="AC81" s="13">
        <v>16</v>
      </c>
      <c r="AD81" s="13">
        <v>7</v>
      </c>
      <c r="AE81" s="13" t="str">
        <f t="shared" si="10"/>
        <v>Morphological</v>
      </c>
      <c r="AF81" s="2">
        <v>4</v>
      </c>
    </row>
    <row r="82" spans="1:32" x14ac:dyDescent="0.25">
      <c r="A82" s="13">
        <v>78</v>
      </c>
      <c r="B82" s="23" t="s">
        <v>56</v>
      </c>
      <c r="C82" s="23" t="s">
        <v>57</v>
      </c>
      <c r="D82" s="23" t="s">
        <v>58</v>
      </c>
      <c r="E82" s="23" t="s">
        <v>58</v>
      </c>
      <c r="F82" s="35" cm="1">
        <f t="array" ref="F82">_xlfn.IFS($G82=$G$5,F$5,$G82=$G$7,F$7,$G82=$G$10,F$10,$G82=$G$13,F$13,$G82=$G$14,F$14,$G82=$G$16,F$16,$G82=$G$17,F$17,$G82=$G$19,F$19,$G82=$G$20,F$20,$G82=$G$22,F$22,$G82=$G$23,F$23,$G82=$G$26,F$26,$G82=$G$29,F$29,$G82=$G$31,F$31,$G82=$G$34,F$34,$G82=$G$37,F$37,$G82=$G$107,F$107,$G82=$G$110,F$110,$G82=$G$140,F$140,$G82=$G$142,F$142,$G82=$G$408,F$408)</f>
        <v>8040</v>
      </c>
      <c r="G82" s="13" t="s">
        <v>68</v>
      </c>
      <c r="H82" s="51" cm="1">
        <f t="array" ref="H82">_xlfn.IFS($G82=$G$5,H$5,$G82=$G$7,H$7,$G82=$G$10,H$10,$G82=$G$13,H$13,$G82=$G$14,H$14,$G82=$G$16,H$16,$G82=$G$17,H$17,$G82=$G$19,H$19,$G82=$G$20,H$20,$G82=$G$22,H$22,$G82=$G$23,H$23,$G82=$G$26,H$26,$G82=$G$29,H$29,$G82=$G$31,H$31,$G82=$G$34,H$34,$G82=$G$37,H$37,$G82=$G$107,H$107,$G82=$G$110,H$110,$G82=$G$140,H$140,$G82=$G$142,H$142,$G82=$G$408,H$408)</f>
        <v>41.343685000000001</v>
      </c>
      <c r="I82" s="51" cm="1">
        <f t="array" ref="I82">_xlfn.IFS($G82=$G$5,I$5,$G82=$G$7,I$7,$G82=$G$10,I$10,$G82=$G$13,I$13,$G82=$G$14,I$14,$G82=$G$16,I$16,$G82=$G$17,I$17,$G82=$G$19,I$19,$G82=$G$20,I$20,$G82=$G$22,I$22,$G82=$G$23,I$23,$G82=$G$26,I$26,$G82=$G$29,I$29,$G82=$G$31,I$31,$G82=$G$34,I$34,$G82=$G$37,I$37,$G82=$G$107,I$107,$G82=$G$110,I$110,$G82=$G$140,I$140,$G82=$G$142,I$142,$G82=$G$408,I$408)</f>
        <v>2.1441490000000001</v>
      </c>
      <c r="J82" s="51" cm="1">
        <f t="array" ref="J82">_xlfn.IFS($G82=$G$5,J$5,$G82=$G$7,J$7,$G82=$G$10,J$10,$G82=$G$13,J$13,$G82=$G$14,J$14,$G82=$G$16,J$16,$G82=$G$17,J$17,$G82=$G$19,J$19,$G82=$G$20,J$20,$G82=$G$22,J$22,$G82=$G$23,J$23,$G82=$G$26,J$26,$G82=$G$29,J$29,$G82=$G$31,J$31,$G82=$G$34,J$34,$G82=$G$37,J$37,$G82=$G$107,J$107,$G82=$G$110,J$110,$G82=$G$140,J$140,$G82=$G$142,J$142,$G82=$G$408,J$408)</f>
        <v>4</v>
      </c>
      <c r="K82" s="13" t="str" cm="1">
        <f t="array" ref="K82">_xlfn.IFS($G82=$G$5,K$5,$G82=$G$7,K$7,$G82=$G$10,K$10,$G82=$G$13,K$13,$G82=$G$14,K$14,$G82=$G$16,K$16,$G82=$G$17,K$17,$G82=$G$19,K$19,$G82=$G$20,K$20,$G82=$G$22,K$22,$G82=$G$23,K$23,$G82=$G$26,K$26,$G82=$G$29,K$29,$G82=$G$31,K$31,$G82=$G$34,K$34,$G82=$G$37,K$37,$G82=$G$107,K$107,$G82=$G$110,K$110,$G82=$G$140,K$140,$G82=$G$142,K$142,$G82=$G$408,K$408)</f>
        <v>BG sentinel + BG lure7</v>
      </c>
      <c r="O82" s="13" t="str">
        <f t="shared" si="0"/>
        <v>A_SP_BCN_10_220705</v>
      </c>
      <c r="P82" s="27">
        <v>44747</v>
      </c>
      <c r="Q82" s="29">
        <v>0.54166666666666663</v>
      </c>
      <c r="R82" s="22"/>
      <c r="S82" s="27">
        <v>44754</v>
      </c>
      <c r="T82" s="29">
        <v>0.51041666666666663</v>
      </c>
      <c r="V82" s="13" t="s">
        <v>86</v>
      </c>
      <c r="X82" s="13">
        <f t="shared" si="8"/>
        <v>7</v>
      </c>
      <c r="Z82" s="13" t="s">
        <v>164</v>
      </c>
      <c r="AA82" s="13">
        <f t="shared" si="7"/>
        <v>28</v>
      </c>
      <c r="AB82" s="13" t="str">
        <f t="shared" si="9"/>
        <v>Adult</v>
      </c>
      <c r="AC82" s="13">
        <v>27</v>
      </c>
      <c r="AD82" s="13">
        <v>1</v>
      </c>
      <c r="AE82" s="13" t="str">
        <f t="shared" si="10"/>
        <v>Morphological</v>
      </c>
      <c r="AF82" s="2">
        <v>4</v>
      </c>
    </row>
    <row r="83" spans="1:32" x14ac:dyDescent="0.25">
      <c r="A83" s="13">
        <v>79</v>
      </c>
      <c r="B83" s="23" t="s">
        <v>56</v>
      </c>
      <c r="C83" s="23" t="s">
        <v>57</v>
      </c>
      <c r="D83" s="23" t="s">
        <v>58</v>
      </c>
      <c r="E83" s="23" t="s">
        <v>58</v>
      </c>
      <c r="F83" s="35" cm="1">
        <f t="array" ref="F83">_xlfn.IFS($G83=$G$5,F$5,$G83=$G$7,F$7,$G83=$G$10,F$10,$G83=$G$13,F$13,$G83=$G$14,F$14,$G83=$G$16,F$16,$G83=$G$17,F$17,$G83=$G$19,F$19,$G83=$G$20,F$20,$G83=$G$22,F$22,$G83=$G$23,F$23,$G83=$G$26,F$26,$G83=$G$29,F$29,$G83=$G$31,F$31,$G83=$G$34,F$34,$G83=$G$37,F$37,$G83=$G$107,F$107,$G83=$G$110,F$110,$G83=$G$140,F$140,$G83=$G$142,F$142,$G83=$G$408,F$408)</f>
        <v>8040</v>
      </c>
      <c r="G83" s="13" t="s">
        <v>68</v>
      </c>
      <c r="H83" s="51" cm="1">
        <f t="array" ref="H83">_xlfn.IFS($G83=$G$5,H$5,$G83=$G$7,H$7,$G83=$G$10,H$10,$G83=$G$13,H$13,$G83=$G$14,H$14,$G83=$G$16,H$16,$G83=$G$17,H$17,$G83=$G$19,H$19,$G83=$G$20,H$20,$G83=$G$22,H$22,$G83=$G$23,H$23,$G83=$G$26,H$26,$G83=$G$29,H$29,$G83=$G$31,H$31,$G83=$G$34,H$34,$G83=$G$37,H$37,$G83=$G$107,H$107,$G83=$G$110,H$110,$G83=$G$140,H$140,$G83=$G$142,H$142,$G83=$G$408,H$408)</f>
        <v>41.343685000000001</v>
      </c>
      <c r="I83" s="51" cm="1">
        <f t="array" ref="I83">_xlfn.IFS($G83=$G$5,I$5,$G83=$G$7,I$7,$G83=$G$10,I$10,$G83=$G$13,I$13,$G83=$G$14,I$14,$G83=$G$16,I$16,$G83=$G$17,I$17,$G83=$G$19,I$19,$G83=$G$20,I$20,$G83=$G$22,I$22,$G83=$G$23,I$23,$G83=$G$26,I$26,$G83=$G$29,I$29,$G83=$G$31,I$31,$G83=$G$34,I$34,$G83=$G$37,I$37,$G83=$G$107,I$107,$G83=$G$110,I$110,$G83=$G$140,I$140,$G83=$G$142,I$142,$G83=$G$408,I$408)</f>
        <v>2.1441490000000001</v>
      </c>
      <c r="J83" s="51" cm="1">
        <f t="array" ref="J83">_xlfn.IFS($G83=$G$5,J$5,$G83=$G$7,J$7,$G83=$G$10,J$10,$G83=$G$13,J$13,$G83=$G$14,J$14,$G83=$G$16,J$16,$G83=$G$17,J$17,$G83=$G$19,J$19,$G83=$G$20,J$20,$G83=$G$22,J$22,$G83=$G$23,J$23,$G83=$G$26,J$26,$G83=$G$29,J$29,$G83=$G$31,J$31,$G83=$G$34,J$34,$G83=$G$37,J$37,$G83=$G$107,J$107,$G83=$G$110,J$110,$G83=$G$140,J$140,$G83=$G$142,J$142,$G83=$G$408,J$408)</f>
        <v>4</v>
      </c>
      <c r="K83" s="13" t="str" cm="1">
        <f t="array" ref="K83">_xlfn.IFS($G83=$G$5,K$5,$G83=$G$7,K$7,$G83=$G$10,K$10,$G83=$G$13,K$13,$G83=$G$14,K$14,$G83=$G$16,K$16,$G83=$G$17,K$17,$G83=$G$19,K$19,$G83=$G$20,K$20,$G83=$G$22,K$22,$G83=$G$23,K$23,$G83=$G$26,K$26,$G83=$G$29,K$29,$G83=$G$31,K$31,$G83=$G$34,K$34,$G83=$G$37,K$37,$G83=$G$107,K$107,$G83=$G$110,K$110,$G83=$G$140,K$140,$G83=$G$142,K$142,$G83=$G$408,K$408)</f>
        <v>BG sentinel + BG lure7</v>
      </c>
      <c r="O83" s="13" t="str">
        <f t="shared" si="0"/>
        <v>A_SP_BCN_10_220705</v>
      </c>
      <c r="P83" s="27">
        <v>44747</v>
      </c>
      <c r="Q83" s="29">
        <v>0.54166666666666663</v>
      </c>
      <c r="R83" s="22"/>
      <c r="S83" s="27">
        <v>44754</v>
      </c>
      <c r="T83" s="29">
        <v>0.51041666666666663</v>
      </c>
      <c r="V83" s="13" t="s">
        <v>86</v>
      </c>
      <c r="X83" s="13">
        <f t="shared" si="8"/>
        <v>7</v>
      </c>
      <c r="Z83" s="32" t="s">
        <v>163</v>
      </c>
      <c r="AA83" s="13">
        <f t="shared" si="7"/>
        <v>1</v>
      </c>
      <c r="AB83" s="13" t="str">
        <f t="shared" si="9"/>
        <v>Adult</v>
      </c>
      <c r="AC83" s="13">
        <v>1</v>
      </c>
      <c r="AD83" s="13">
        <v>0</v>
      </c>
      <c r="AE83" s="13" t="str">
        <f t="shared" si="10"/>
        <v>Morphological</v>
      </c>
      <c r="AF83" s="2">
        <v>4</v>
      </c>
    </row>
    <row r="84" spans="1:32" x14ac:dyDescent="0.25">
      <c r="A84" s="13">
        <v>80</v>
      </c>
      <c r="B84" s="23" t="s">
        <v>56</v>
      </c>
      <c r="C84" s="23" t="s">
        <v>57</v>
      </c>
      <c r="D84" s="23" t="s">
        <v>58</v>
      </c>
      <c r="E84" s="23" t="s">
        <v>58</v>
      </c>
      <c r="F84" s="35" cm="1">
        <f t="array" ref="F84">_xlfn.IFS($G84=$G$5,F$5,$G84=$G$7,F$7,$G84=$G$10,F$10,$G84=$G$13,F$13,$G84=$G$14,F$14,$G84=$G$16,F$16,$G84=$G$17,F$17,$G84=$G$19,F$19,$G84=$G$20,F$20,$G84=$G$22,F$22,$G84=$G$23,F$23,$G84=$G$26,F$26,$G84=$G$29,F$29,$G84=$G$31,F$31,$G84=$G$34,F$34,$G84=$G$37,F$37,$G84=$G$107,F$107,$G84=$G$110,F$110,$G84=$G$140,F$140,$G84=$G$142,F$142,$G84=$G$408,F$408)</f>
        <v>8038</v>
      </c>
      <c r="G84" s="13" t="s">
        <v>69</v>
      </c>
      <c r="H84" s="51" cm="1">
        <f t="array" ref="H84">_xlfn.IFS($G84=$G$5,H$5,$G84=$G$7,H$7,$G84=$G$10,H$10,$G84=$G$13,H$13,$G84=$G$14,H$14,$G84=$G$16,H$16,$G84=$G$17,H$17,$G84=$G$19,H$19,$G84=$G$20,H$20,$G84=$G$22,H$22,$G84=$G$23,H$23,$G84=$G$26,H$26,$G84=$G$29,H$29,$G84=$G$31,H$31,$G84=$G$34,H$34,$G84=$G$37,H$37,$G84=$G$107,H$107,$G84=$G$110,H$110,$G84=$G$140,H$140,$G84=$G$142,H$142,$G84=$G$408,H$408)</f>
        <v>41.363377999999997</v>
      </c>
      <c r="I84" s="51" cm="1">
        <f t="array" ref="I84">_xlfn.IFS($G84=$G$5,I$5,$G84=$G$7,I$7,$G84=$G$10,I$10,$G84=$G$13,I$13,$G84=$G$14,I$14,$G84=$G$16,I$16,$G84=$G$17,I$17,$G84=$G$19,I$19,$G84=$G$20,I$20,$G84=$G$22,I$22,$G84=$G$23,I$23,$G84=$G$26,I$26,$G84=$G$29,I$29,$G84=$G$31,I$31,$G84=$G$34,I$34,$G84=$G$37,I$37,$G84=$G$107,I$107,$G84=$G$110,I$110,$G84=$G$140,I$140,$G84=$G$142,I$142,$G84=$G$408,I$408)</f>
        <v>2.164879</v>
      </c>
      <c r="J84" s="51" cm="1">
        <f t="array" ref="J84">_xlfn.IFS($G84=$G$5,J$5,$G84=$G$7,J$7,$G84=$G$10,J$10,$G84=$G$13,J$13,$G84=$G$14,J$14,$G84=$G$16,J$16,$G84=$G$17,J$17,$G84=$G$19,J$19,$G84=$G$20,J$20,$G84=$G$22,J$22,$G84=$G$23,J$23,$G84=$G$26,J$26,$G84=$G$29,J$29,$G84=$G$31,J$31,$G84=$G$34,J$34,$G84=$G$37,J$37,$G84=$G$107,J$107,$G84=$G$110,J$110,$G84=$G$140,J$140,$G84=$G$142,J$142,$G84=$G$408,J$408)</f>
        <v>185</v>
      </c>
      <c r="K84" s="13" t="str" cm="1">
        <f t="array" ref="K84">_xlfn.IFS($G84=$G$5,K$5,$G84=$G$7,K$7,$G84=$G$10,K$10,$G84=$G$13,K$13,$G84=$G$14,K$14,$G84=$G$16,K$16,$G84=$G$17,K$17,$G84=$G$19,K$19,$G84=$G$20,K$20,$G84=$G$22,K$22,$G84=$G$23,K$23,$G84=$G$26,K$26,$G84=$G$29,K$29,$G84=$G$31,K$31,$G84=$G$34,K$34,$G84=$G$37,K$37,$G84=$G$107,K$107,$G84=$G$110,K$110,$G84=$G$140,K$140,$G84=$G$142,K$142,$G84=$G$408,K$408)</f>
        <v>BG sentinel + BG lure7</v>
      </c>
      <c r="O84" s="13" t="str">
        <f t="shared" si="0"/>
        <v>A_SP_BCN_12_220705</v>
      </c>
      <c r="P84" s="27">
        <v>44747</v>
      </c>
      <c r="Q84" s="29">
        <v>0.58333333333333337</v>
      </c>
      <c r="R84" s="22"/>
      <c r="S84" s="27">
        <v>44754</v>
      </c>
      <c r="T84" s="29">
        <v>0.54861111111111105</v>
      </c>
      <c r="V84" s="13" t="s">
        <v>86</v>
      </c>
      <c r="X84" s="13">
        <f t="shared" si="8"/>
        <v>7</v>
      </c>
      <c r="Z84" s="13" t="s">
        <v>60</v>
      </c>
      <c r="AA84" s="13">
        <f t="shared" si="7"/>
        <v>32</v>
      </c>
      <c r="AB84" s="13" t="str">
        <f t="shared" si="9"/>
        <v>Adult</v>
      </c>
      <c r="AC84" s="13">
        <v>18</v>
      </c>
      <c r="AD84" s="13">
        <v>14</v>
      </c>
      <c r="AE84" s="13" t="str">
        <f t="shared" si="10"/>
        <v>Morphological</v>
      </c>
      <c r="AF84" s="2">
        <v>4</v>
      </c>
    </row>
    <row r="85" spans="1:32" x14ac:dyDescent="0.25">
      <c r="A85" s="13">
        <v>81</v>
      </c>
      <c r="B85" s="23" t="s">
        <v>56</v>
      </c>
      <c r="C85" s="23" t="s">
        <v>57</v>
      </c>
      <c r="D85" s="23" t="s">
        <v>58</v>
      </c>
      <c r="E85" s="23" t="s">
        <v>58</v>
      </c>
      <c r="F85" s="35" cm="1">
        <f t="array" ref="F85">_xlfn.IFS($G85=$G$5,F$5,$G85=$G$7,F$7,$G85=$G$10,F$10,$G85=$G$13,F$13,$G85=$G$14,F$14,$G85=$G$16,F$16,$G85=$G$17,F$17,$G85=$G$19,F$19,$G85=$G$20,F$20,$G85=$G$22,F$22,$G85=$G$23,F$23,$G85=$G$26,F$26,$G85=$G$29,F$29,$G85=$G$31,F$31,$G85=$G$34,F$34,$G85=$G$37,F$37,$G85=$G$107,F$107,$G85=$G$110,F$110,$G85=$G$140,F$140,$G85=$G$142,F$142,$G85=$G$408,F$408)</f>
        <v>8038</v>
      </c>
      <c r="G85" s="13" t="s">
        <v>69</v>
      </c>
      <c r="H85" s="51" cm="1">
        <f t="array" ref="H85">_xlfn.IFS($G85=$G$5,H$5,$G85=$G$7,H$7,$G85=$G$10,H$10,$G85=$G$13,H$13,$G85=$G$14,H$14,$G85=$G$16,H$16,$G85=$G$17,H$17,$G85=$G$19,H$19,$G85=$G$20,H$20,$G85=$G$22,H$22,$G85=$G$23,H$23,$G85=$G$26,H$26,$G85=$G$29,H$29,$G85=$G$31,H$31,$G85=$G$34,H$34,$G85=$G$37,H$37,$G85=$G$107,H$107,$G85=$G$110,H$110,$G85=$G$140,H$140,$G85=$G$142,H$142,$G85=$G$408,H$408)</f>
        <v>41.363377999999997</v>
      </c>
      <c r="I85" s="51" cm="1">
        <f t="array" ref="I85">_xlfn.IFS($G85=$G$5,I$5,$G85=$G$7,I$7,$G85=$G$10,I$10,$G85=$G$13,I$13,$G85=$G$14,I$14,$G85=$G$16,I$16,$G85=$G$17,I$17,$G85=$G$19,I$19,$G85=$G$20,I$20,$G85=$G$22,I$22,$G85=$G$23,I$23,$G85=$G$26,I$26,$G85=$G$29,I$29,$G85=$G$31,I$31,$G85=$G$34,I$34,$G85=$G$37,I$37,$G85=$G$107,I$107,$G85=$G$110,I$110,$G85=$G$140,I$140,$G85=$G$142,I$142,$G85=$G$408,I$408)</f>
        <v>2.164879</v>
      </c>
      <c r="J85" s="51" cm="1">
        <f t="array" ref="J85">_xlfn.IFS($G85=$G$5,J$5,$G85=$G$7,J$7,$G85=$G$10,J$10,$G85=$G$13,J$13,$G85=$G$14,J$14,$G85=$G$16,J$16,$G85=$G$17,J$17,$G85=$G$19,J$19,$G85=$G$20,J$20,$G85=$G$22,J$22,$G85=$G$23,J$23,$G85=$G$26,J$26,$G85=$G$29,J$29,$G85=$G$31,J$31,$G85=$G$34,J$34,$G85=$G$37,J$37,$G85=$G$107,J$107,$G85=$G$110,J$110,$G85=$G$140,J$140,$G85=$G$142,J$142,$G85=$G$408,J$408)</f>
        <v>185</v>
      </c>
      <c r="K85" s="13" t="str" cm="1">
        <f t="array" ref="K85">_xlfn.IFS($G85=$G$5,K$5,$G85=$G$7,K$7,$G85=$G$10,K$10,$G85=$G$13,K$13,$G85=$G$14,K$14,$G85=$G$16,K$16,$G85=$G$17,K$17,$G85=$G$19,K$19,$G85=$G$20,K$20,$G85=$G$22,K$22,$G85=$G$23,K$23,$G85=$G$26,K$26,$G85=$G$29,K$29,$G85=$G$31,K$31,$G85=$G$34,K$34,$G85=$G$37,K$37,$G85=$G$107,K$107,$G85=$G$110,K$110,$G85=$G$140,K$140,$G85=$G$142,K$142,$G85=$G$408,K$408)</f>
        <v>BG sentinel + BG lure7</v>
      </c>
      <c r="O85" s="13" t="str">
        <f t="shared" si="0"/>
        <v>A_SP_BCN_12_220705</v>
      </c>
      <c r="P85" s="27">
        <v>44747</v>
      </c>
      <c r="Q85" s="29">
        <v>0.58333333333333337</v>
      </c>
      <c r="R85" s="22"/>
      <c r="S85" s="27">
        <v>44754</v>
      </c>
      <c r="T85" s="29">
        <v>0.54861111111111105</v>
      </c>
      <c r="V85" s="13" t="s">
        <v>86</v>
      </c>
      <c r="X85" s="13">
        <f t="shared" si="8"/>
        <v>7</v>
      </c>
      <c r="Z85" s="13" t="s">
        <v>164</v>
      </c>
      <c r="AA85" s="13">
        <f t="shared" si="7"/>
        <v>27</v>
      </c>
      <c r="AB85" s="13" t="str">
        <f t="shared" si="9"/>
        <v>Adult</v>
      </c>
      <c r="AC85" s="13">
        <v>24</v>
      </c>
      <c r="AD85" s="13">
        <v>3</v>
      </c>
      <c r="AE85" s="13" t="str">
        <f t="shared" si="10"/>
        <v>Morphological</v>
      </c>
      <c r="AF85" s="2">
        <v>4</v>
      </c>
    </row>
    <row r="86" spans="1:32" x14ac:dyDescent="0.25">
      <c r="A86" s="13">
        <v>82</v>
      </c>
      <c r="B86" s="23" t="s">
        <v>56</v>
      </c>
      <c r="C86" s="23" t="s">
        <v>57</v>
      </c>
      <c r="D86" s="23" t="s">
        <v>58</v>
      </c>
      <c r="E86" s="23" t="s">
        <v>58</v>
      </c>
      <c r="F86" s="35" cm="1">
        <f t="array" ref="F86">_xlfn.IFS($G86=$G$5,F$5,$G86=$G$7,F$7,$G86=$G$10,F$10,$G86=$G$13,F$13,$G86=$G$14,F$14,$G86=$G$16,F$16,$G86=$G$17,F$17,$G86=$G$19,F$19,$G86=$G$20,F$20,$G86=$G$22,F$22,$G86=$G$23,F$23,$G86=$G$26,F$26,$G86=$G$29,F$29,$G86=$G$31,F$31,$G86=$G$34,F$34,$G86=$G$37,F$37,$G86=$G$107,F$107,$G86=$G$110,F$110,$G86=$G$140,F$140,$G86=$G$142,F$142,$G86=$G$408,F$408)</f>
        <v>8038</v>
      </c>
      <c r="G86" s="13" t="s">
        <v>69</v>
      </c>
      <c r="H86" s="51" cm="1">
        <f t="array" ref="H86">_xlfn.IFS($G86=$G$5,H$5,$G86=$G$7,H$7,$G86=$G$10,H$10,$G86=$G$13,H$13,$G86=$G$14,H$14,$G86=$G$16,H$16,$G86=$G$17,H$17,$G86=$G$19,H$19,$G86=$G$20,H$20,$G86=$G$22,H$22,$G86=$G$23,H$23,$G86=$G$26,H$26,$G86=$G$29,H$29,$G86=$G$31,H$31,$G86=$G$34,H$34,$G86=$G$37,H$37,$G86=$G$107,H$107,$G86=$G$110,H$110,$G86=$G$140,H$140,$G86=$G$142,H$142,$G86=$G$408,H$408)</f>
        <v>41.363377999999997</v>
      </c>
      <c r="I86" s="51" cm="1">
        <f t="array" ref="I86">_xlfn.IFS($G86=$G$5,I$5,$G86=$G$7,I$7,$G86=$G$10,I$10,$G86=$G$13,I$13,$G86=$G$14,I$14,$G86=$G$16,I$16,$G86=$G$17,I$17,$G86=$G$19,I$19,$G86=$G$20,I$20,$G86=$G$22,I$22,$G86=$G$23,I$23,$G86=$G$26,I$26,$G86=$G$29,I$29,$G86=$G$31,I$31,$G86=$G$34,I$34,$G86=$G$37,I$37,$G86=$G$107,I$107,$G86=$G$110,I$110,$G86=$G$140,I$140,$G86=$G$142,I$142,$G86=$G$408,I$408)</f>
        <v>2.164879</v>
      </c>
      <c r="J86" s="51" cm="1">
        <f t="array" ref="J86">_xlfn.IFS($G86=$G$5,J$5,$G86=$G$7,J$7,$G86=$G$10,J$10,$G86=$G$13,J$13,$G86=$G$14,J$14,$G86=$G$16,J$16,$G86=$G$17,J$17,$G86=$G$19,J$19,$G86=$G$20,J$20,$G86=$G$22,J$22,$G86=$G$23,J$23,$G86=$G$26,J$26,$G86=$G$29,J$29,$G86=$G$31,J$31,$G86=$G$34,J$34,$G86=$G$37,J$37,$G86=$G$107,J$107,$G86=$G$110,J$110,$G86=$G$140,J$140,$G86=$G$142,J$142,$G86=$G$408,J$408)</f>
        <v>185</v>
      </c>
      <c r="K86" s="13" t="str" cm="1">
        <f t="array" ref="K86">_xlfn.IFS($G86=$G$5,K$5,$G86=$G$7,K$7,$G86=$G$10,K$10,$G86=$G$13,K$13,$G86=$G$14,K$14,$G86=$G$16,K$16,$G86=$G$17,K$17,$G86=$G$19,K$19,$G86=$G$20,K$20,$G86=$G$22,K$22,$G86=$G$23,K$23,$G86=$G$26,K$26,$G86=$G$29,K$29,$G86=$G$31,K$31,$G86=$G$34,K$34,$G86=$G$37,K$37,$G86=$G$107,K$107,$G86=$G$110,K$110,$G86=$G$140,K$140,$G86=$G$142,K$142,$G86=$G$408,K$408)</f>
        <v>BG sentinel + BG lure7</v>
      </c>
      <c r="O86" s="13" t="str">
        <f t="shared" si="0"/>
        <v>A_SP_BCN_12_220705</v>
      </c>
      <c r="P86" s="27">
        <v>44747</v>
      </c>
      <c r="Q86" s="29">
        <v>0.58333333333333337</v>
      </c>
      <c r="R86" s="22"/>
      <c r="S86" s="27">
        <v>44754</v>
      </c>
      <c r="T86" s="29">
        <v>0.54861111111111105</v>
      </c>
      <c r="V86" s="13" t="s">
        <v>86</v>
      </c>
      <c r="X86" s="13">
        <f t="shared" si="8"/>
        <v>7</v>
      </c>
      <c r="Z86" s="32" t="s">
        <v>163</v>
      </c>
      <c r="AA86" s="13">
        <f t="shared" si="7"/>
        <v>6</v>
      </c>
      <c r="AB86" s="13" t="str">
        <f t="shared" si="9"/>
        <v>Adult</v>
      </c>
      <c r="AC86" s="13">
        <v>0</v>
      </c>
      <c r="AD86" s="13">
        <v>6</v>
      </c>
      <c r="AE86" s="13" t="str">
        <f t="shared" si="10"/>
        <v>Morphological</v>
      </c>
      <c r="AF86" s="2">
        <v>4</v>
      </c>
    </row>
    <row r="87" spans="1:32" x14ac:dyDescent="0.25">
      <c r="A87" s="13">
        <v>83</v>
      </c>
      <c r="B87" s="23" t="s">
        <v>56</v>
      </c>
      <c r="C87" s="23" t="s">
        <v>57</v>
      </c>
      <c r="D87" s="23" t="s">
        <v>58</v>
      </c>
      <c r="E87" s="23" t="s">
        <v>58</v>
      </c>
      <c r="F87" s="35" cm="1">
        <f t="array" ref="F87">_xlfn.IFS($G87=$G$5,F$5,$G87=$G$7,F$7,$G87=$G$10,F$10,$G87=$G$13,F$13,$G87=$G$14,F$14,$G87=$G$16,F$16,$G87=$G$17,F$17,$G87=$G$19,F$19,$G87=$G$20,F$20,$G87=$G$22,F$22,$G87=$G$23,F$23,$G87=$G$26,F$26,$G87=$G$29,F$29,$G87=$G$31,F$31,$G87=$G$34,F$34,$G87=$G$37,F$37,$G87=$G$107,F$107,$G87=$G$110,F$110,$G87=$G$140,F$140,$G87=$G$142,F$142,$G87=$G$408,F$408)</f>
        <v>8035</v>
      </c>
      <c r="G87" s="13" t="s">
        <v>70</v>
      </c>
      <c r="H87" s="51" cm="1">
        <f t="array" ref="H87">_xlfn.IFS($G87=$G$5,H$5,$G87=$G$7,H$7,$G87=$G$10,H$10,$G87=$G$13,H$13,$G87=$G$14,H$14,$G87=$G$16,H$16,$G87=$G$17,H$17,$G87=$G$19,H$19,$G87=$G$20,H$20,$G87=$G$22,H$22,$G87=$G$23,H$23,$G87=$G$26,H$26,$G87=$G$29,H$29,$G87=$G$31,H$31,$G87=$G$34,H$34,$G87=$G$37,H$37,$G87=$G$107,H$107,$G87=$G$110,H$110,$G87=$G$140,H$140,$G87=$G$142,H$142,$G87=$G$408,H$408)</f>
        <v>41.434472</v>
      </c>
      <c r="I87" s="51" cm="1">
        <f t="array" ref="I87">_xlfn.IFS($G87=$G$5,I$5,$G87=$G$7,I$7,$G87=$G$10,I$10,$G87=$G$13,I$13,$G87=$G$14,I$14,$G87=$G$16,I$16,$G87=$G$17,I$17,$G87=$G$19,I$19,$G87=$G$20,I$20,$G87=$G$22,I$22,$G87=$G$23,I$23,$G87=$G$26,I$26,$G87=$G$29,I$29,$G87=$G$31,I$31,$G87=$G$34,I$34,$G87=$G$37,I$37,$G87=$G$107,I$107,$G87=$G$110,I$110,$G87=$G$140,I$140,$G87=$G$142,I$142,$G87=$G$408,I$408)</f>
        <v>2.1315789999999999</v>
      </c>
      <c r="J87" s="51" cm="1">
        <f t="array" ref="J87">_xlfn.IFS($G87=$G$5,J$5,$G87=$G$7,J$7,$G87=$G$10,J$10,$G87=$G$13,J$13,$G87=$G$14,J$14,$G87=$G$16,J$16,$G87=$G$17,J$17,$G87=$G$19,J$19,$G87=$G$20,J$20,$G87=$G$22,J$22,$G87=$G$23,J$23,$G87=$G$26,J$26,$G87=$G$29,J$29,$G87=$G$31,J$31,$G87=$G$34,J$34,$G87=$G$37,J$37,$G87=$G$107,J$107,$G87=$G$110,J$110,$G87=$G$140,J$140,$G87=$G$142,J$142,$G87=$G$408,J$408)</f>
        <v>365</v>
      </c>
      <c r="K87" s="13" t="str" cm="1">
        <f t="array" ref="K87">_xlfn.IFS($G87=$G$5,K$5,$G87=$G$7,K$7,$G87=$G$10,K$10,$G87=$G$13,K$13,$G87=$G$14,K$14,$G87=$G$16,K$16,$G87=$G$17,K$17,$G87=$G$19,K$19,$G87=$G$20,K$20,$G87=$G$22,K$22,$G87=$G$23,K$23,$G87=$G$26,K$26,$G87=$G$29,K$29,$G87=$G$31,K$31,$G87=$G$34,K$34,$G87=$G$37,K$37,$G87=$G$107,K$107,$G87=$G$110,K$110,$G87=$G$140,K$140,$G87=$G$142,K$142,$G87=$G$408,K$408)</f>
        <v>BG sentinel + BG lure7</v>
      </c>
      <c r="O87" s="13" t="str">
        <f t="shared" si="0"/>
        <v>A_SP_BCN_13_220705</v>
      </c>
      <c r="P87" s="27">
        <v>44747</v>
      </c>
      <c r="Q87" s="29">
        <v>0.63888888888888895</v>
      </c>
      <c r="R87" s="22"/>
      <c r="S87" s="27">
        <v>44754</v>
      </c>
      <c r="T87" s="29">
        <v>0.63541666666666663</v>
      </c>
      <c r="V87" s="13" t="s">
        <v>86</v>
      </c>
      <c r="W87" s="15" t="s">
        <v>138</v>
      </c>
      <c r="X87" s="13">
        <f t="shared" si="8"/>
        <v>7</v>
      </c>
      <c r="Z87" s="13" t="s">
        <v>60</v>
      </c>
      <c r="AA87" s="13">
        <f t="shared" si="7"/>
        <v>3</v>
      </c>
      <c r="AB87" s="13" t="str">
        <f t="shared" si="9"/>
        <v>Adult</v>
      </c>
      <c r="AC87" s="13">
        <v>3</v>
      </c>
      <c r="AD87" s="13">
        <v>0</v>
      </c>
      <c r="AE87" s="13" t="str">
        <f t="shared" si="10"/>
        <v>Morphological</v>
      </c>
      <c r="AF87" s="2">
        <v>4</v>
      </c>
    </row>
    <row r="88" spans="1:32" x14ac:dyDescent="0.25">
      <c r="A88" s="13">
        <v>84</v>
      </c>
      <c r="B88" s="23" t="s">
        <v>56</v>
      </c>
      <c r="C88" s="23" t="s">
        <v>57</v>
      </c>
      <c r="D88" s="23" t="s">
        <v>58</v>
      </c>
      <c r="E88" s="23" t="s">
        <v>58</v>
      </c>
      <c r="F88" s="35" cm="1">
        <f t="array" ref="F88">_xlfn.IFS($G88=$G$5,F$5,$G88=$G$7,F$7,$G88=$G$10,F$10,$G88=$G$13,F$13,$G88=$G$14,F$14,$G88=$G$16,F$16,$G88=$G$17,F$17,$G88=$G$19,F$19,$G88=$G$20,F$20,$G88=$G$22,F$22,$G88=$G$23,F$23,$G88=$G$26,F$26,$G88=$G$29,F$29,$G88=$G$31,F$31,$G88=$G$34,F$34,$G88=$G$37,F$37,$G88=$G$107,F$107,$G88=$G$110,F$110,$G88=$G$140,F$140,$G88=$G$142,F$142,$G88=$G$408,F$408)</f>
        <v>8035</v>
      </c>
      <c r="G88" s="13" t="s">
        <v>70</v>
      </c>
      <c r="H88" s="51" cm="1">
        <f t="array" ref="H88">_xlfn.IFS($G88=$G$5,H$5,$G88=$G$7,H$7,$G88=$G$10,H$10,$G88=$G$13,H$13,$G88=$G$14,H$14,$G88=$G$16,H$16,$G88=$G$17,H$17,$G88=$G$19,H$19,$G88=$G$20,H$20,$G88=$G$22,H$22,$G88=$G$23,H$23,$G88=$G$26,H$26,$G88=$G$29,H$29,$G88=$G$31,H$31,$G88=$G$34,H$34,$G88=$G$37,H$37,$G88=$G$107,H$107,$G88=$G$110,H$110,$G88=$G$140,H$140,$G88=$G$142,H$142,$G88=$G$408,H$408)</f>
        <v>41.434472</v>
      </c>
      <c r="I88" s="51" cm="1">
        <f t="array" ref="I88">_xlfn.IFS($G88=$G$5,I$5,$G88=$G$7,I$7,$G88=$G$10,I$10,$G88=$G$13,I$13,$G88=$G$14,I$14,$G88=$G$16,I$16,$G88=$G$17,I$17,$G88=$G$19,I$19,$G88=$G$20,I$20,$G88=$G$22,I$22,$G88=$G$23,I$23,$G88=$G$26,I$26,$G88=$G$29,I$29,$G88=$G$31,I$31,$G88=$G$34,I$34,$G88=$G$37,I$37,$G88=$G$107,I$107,$G88=$G$110,I$110,$G88=$G$140,I$140,$G88=$G$142,I$142,$G88=$G$408,I$408)</f>
        <v>2.1315789999999999</v>
      </c>
      <c r="J88" s="51" cm="1">
        <f t="array" ref="J88">_xlfn.IFS($G88=$G$5,J$5,$G88=$G$7,J$7,$G88=$G$10,J$10,$G88=$G$13,J$13,$G88=$G$14,J$14,$G88=$G$16,J$16,$G88=$G$17,J$17,$G88=$G$19,J$19,$G88=$G$20,J$20,$G88=$G$22,J$22,$G88=$G$23,J$23,$G88=$G$26,J$26,$G88=$G$29,J$29,$G88=$G$31,J$31,$G88=$G$34,J$34,$G88=$G$37,J$37,$G88=$G$107,J$107,$G88=$G$110,J$110,$G88=$G$140,J$140,$G88=$G$142,J$142,$G88=$G$408,J$408)</f>
        <v>365</v>
      </c>
      <c r="K88" s="13" t="str" cm="1">
        <f t="array" ref="K88">_xlfn.IFS($G88=$G$5,K$5,$G88=$G$7,K$7,$G88=$G$10,K$10,$G88=$G$13,K$13,$G88=$G$14,K$14,$G88=$G$16,K$16,$G88=$G$17,K$17,$G88=$G$19,K$19,$G88=$G$20,K$20,$G88=$G$22,K$22,$G88=$G$23,K$23,$G88=$G$26,K$26,$G88=$G$29,K$29,$G88=$G$31,K$31,$G88=$G$34,K$34,$G88=$G$37,K$37,$G88=$G$107,K$107,$G88=$G$110,K$110,$G88=$G$140,K$140,$G88=$G$142,K$142,$G88=$G$408,K$408)</f>
        <v>BG sentinel + BG lure7</v>
      </c>
      <c r="O88" s="13" t="str">
        <f t="shared" si="0"/>
        <v>A_SP_BCN_13_220705</v>
      </c>
      <c r="P88" s="27">
        <v>44747</v>
      </c>
      <c r="Q88" s="29">
        <v>0.63888888888888895</v>
      </c>
      <c r="R88" s="22"/>
      <c r="S88" s="27">
        <v>44754</v>
      </c>
      <c r="T88" s="29">
        <v>0.63541666666666663</v>
      </c>
      <c r="V88" s="13" t="s">
        <v>86</v>
      </c>
      <c r="W88" s="15" t="s">
        <v>138</v>
      </c>
      <c r="X88" s="13">
        <f t="shared" si="8"/>
        <v>7</v>
      </c>
      <c r="Z88" s="13" t="s">
        <v>164</v>
      </c>
      <c r="AA88" s="13">
        <f t="shared" si="7"/>
        <v>4</v>
      </c>
      <c r="AB88" s="13" t="str">
        <f t="shared" si="9"/>
        <v>Adult</v>
      </c>
      <c r="AC88" s="13">
        <v>4</v>
      </c>
      <c r="AD88" s="13">
        <v>0</v>
      </c>
      <c r="AE88" s="13" t="str">
        <f t="shared" si="10"/>
        <v>Morphological</v>
      </c>
      <c r="AF88" s="2">
        <v>4</v>
      </c>
    </row>
    <row r="89" spans="1:32" x14ac:dyDescent="0.25">
      <c r="A89" s="13">
        <v>85</v>
      </c>
      <c r="B89" s="23" t="s">
        <v>56</v>
      </c>
      <c r="C89" s="23" t="s">
        <v>57</v>
      </c>
      <c r="D89" s="23" t="s">
        <v>58</v>
      </c>
      <c r="E89" s="23" t="s">
        <v>58</v>
      </c>
      <c r="F89" s="35" cm="1">
        <f t="array" ref="F89">_xlfn.IFS($G89=$G$5,F$5,$G89=$G$7,F$7,$G89=$G$10,F$10,$G89=$G$13,F$13,$G89=$G$14,F$14,$G89=$G$16,F$16,$G89=$G$17,F$17,$G89=$G$19,F$19,$G89=$G$20,F$20,$G89=$G$22,F$22,$G89=$G$23,F$23,$G89=$G$26,F$26,$G89=$G$29,F$29,$G89=$G$31,F$31,$G89=$G$34,F$34,$G89=$G$37,F$37,$G89=$G$107,F$107,$G89=$G$110,F$110,$G89=$G$140,F$140,$G89=$G$142,F$142,$G89=$G$408,F$408)</f>
        <v>8017</v>
      </c>
      <c r="G89" s="13" t="s">
        <v>71</v>
      </c>
      <c r="H89" s="51" cm="1">
        <f t="array" ref="H89">_xlfn.IFS($G89=$G$5,H$5,$G89=$G$7,H$7,$G89=$G$10,H$10,$G89=$G$13,H$13,$G89=$G$14,H$14,$G89=$G$16,H$16,$G89=$G$17,H$17,$G89=$G$19,H$19,$G89=$G$20,H$20,$G89=$G$22,H$22,$G89=$G$23,H$23,$G89=$G$26,H$26,$G89=$G$29,H$29,$G89=$G$31,H$31,$G89=$G$34,H$34,$G89=$G$37,H$37,$G89=$G$107,H$107,$G89=$G$110,H$110,$G89=$G$140,H$140,$G89=$G$142,H$142,$G89=$G$408,H$408)</f>
        <v>41.428533999999999</v>
      </c>
      <c r="I89" s="51" cm="1">
        <f t="array" ref="I89">_xlfn.IFS($G89=$G$5,I$5,$G89=$G$7,I$7,$G89=$G$10,I$10,$G89=$G$13,I$13,$G89=$G$14,I$14,$G89=$G$16,I$16,$G89=$G$17,I$17,$G89=$G$19,I$19,$G89=$G$20,I$20,$G89=$G$22,I$22,$G89=$G$23,I$23,$G89=$G$26,I$26,$G89=$G$29,I$29,$G89=$G$31,I$31,$G89=$G$34,I$34,$G89=$G$37,I$37,$G89=$G$107,I$107,$G89=$G$110,I$110,$G89=$G$140,I$140,$G89=$G$142,I$142,$G89=$G$408,I$408)</f>
        <v>2.090954</v>
      </c>
      <c r="J89" s="51" cm="1">
        <f t="array" ref="J89">_xlfn.IFS($G89=$G$5,J$5,$G89=$G$7,J$7,$G89=$G$10,J$10,$G89=$G$13,J$13,$G89=$G$14,J$14,$G89=$G$16,J$16,$G89=$G$17,J$17,$G89=$G$19,J$19,$G89=$G$20,J$20,$G89=$G$22,J$22,$G89=$G$23,J$23,$G89=$G$26,J$26,$G89=$G$29,J$29,$G89=$G$31,J$31,$G89=$G$34,J$34,$G89=$G$37,J$37,$G89=$G$107,J$107,$G89=$G$110,J$110,$G89=$G$140,J$140,$G89=$G$142,J$142,$G89=$G$408,J$408)</f>
        <v>215</v>
      </c>
      <c r="K89" s="13" t="str" cm="1">
        <f t="array" ref="K89">_xlfn.IFS($G89=$G$5,K$5,$G89=$G$7,K$7,$G89=$G$10,K$10,$G89=$G$13,K$13,$G89=$G$14,K$14,$G89=$G$16,K$16,$G89=$G$17,K$17,$G89=$G$19,K$19,$G89=$G$20,K$20,$G89=$G$22,K$22,$G89=$G$23,K$23,$G89=$G$26,K$26,$G89=$G$29,K$29,$G89=$G$31,K$31,$G89=$G$34,K$34,$G89=$G$37,K$37,$G89=$G$107,K$107,$G89=$G$110,K$110,$G89=$G$140,K$140,$G89=$G$142,K$142,$G89=$G$408,K$408)</f>
        <v>BG sentinel + BG lure7</v>
      </c>
      <c r="O89" s="13" t="str">
        <f t="shared" si="0"/>
        <v>A_SP_BCN_14_220705</v>
      </c>
      <c r="P89" s="27">
        <v>44747</v>
      </c>
      <c r="Q89" s="29">
        <v>0.70138888888888884</v>
      </c>
      <c r="R89" s="22"/>
      <c r="S89" s="27">
        <v>44754</v>
      </c>
      <c r="T89" s="36">
        <v>0.72569444444444453</v>
      </c>
      <c r="V89" s="13" t="s">
        <v>160</v>
      </c>
      <c r="W89" s="15" t="s">
        <v>177</v>
      </c>
      <c r="X89" s="13">
        <f t="shared" si="8"/>
        <v>7</v>
      </c>
      <c r="AB89" s="13" t="str">
        <f t="shared" si="9"/>
        <v/>
      </c>
      <c r="AE89" s="13" t="str">
        <f t="shared" si="10"/>
        <v/>
      </c>
      <c r="AF89" s="2">
        <v>1</v>
      </c>
    </row>
    <row r="90" spans="1:32" x14ac:dyDescent="0.25">
      <c r="A90" s="13">
        <v>86</v>
      </c>
      <c r="B90" s="23" t="s">
        <v>56</v>
      </c>
      <c r="C90" s="23" t="s">
        <v>57</v>
      </c>
      <c r="D90" s="23" t="s">
        <v>58</v>
      </c>
      <c r="E90" s="23" t="s">
        <v>58</v>
      </c>
      <c r="F90" s="35" cm="1">
        <f t="array" ref="F90">_xlfn.IFS($G90=$G$5,F$5,$G90=$G$7,F$7,$G90=$G$10,F$10,$G90=$G$13,F$13,$G90=$G$14,F$14,$G90=$G$16,F$16,$G90=$G$17,F$17,$G90=$G$19,F$19,$G90=$G$20,F$20,$G90=$G$22,F$22,$G90=$G$23,F$23,$G90=$G$26,F$26,$G90=$G$29,F$29,$G90=$G$31,F$31,$G90=$G$34,F$34,$G90=$G$37,F$37,$G90=$G$107,F$107,$G90=$G$110,F$110,$G90=$G$140,F$140,$G90=$G$142,F$142,$G90=$G$408,F$408)</f>
        <v>8017</v>
      </c>
      <c r="G90" s="13" t="s">
        <v>72</v>
      </c>
      <c r="H90" s="51" cm="1">
        <f t="array" ref="H90">_xlfn.IFS($G90=$G$5,H$5,$G90=$G$7,H$7,$G90=$G$10,H$10,$G90=$G$13,H$13,$G90=$G$14,H$14,$G90=$G$16,H$16,$G90=$G$17,H$17,$G90=$G$19,H$19,$G90=$G$20,H$20,$G90=$G$22,H$22,$G90=$G$23,H$23,$G90=$G$26,H$26,$G90=$G$29,H$29,$G90=$G$31,H$31,$G90=$G$34,H$34,$G90=$G$37,H$37,$G90=$G$107,H$107,$G90=$G$110,H$110,$G90=$G$140,H$140,$G90=$G$142,H$142,$G90=$G$408,H$408)</f>
        <v>41.419471000000001</v>
      </c>
      <c r="I90" s="51" cm="1">
        <f t="array" ref="I90">_xlfn.IFS($G90=$G$5,I$5,$G90=$G$7,I$7,$G90=$G$10,I$10,$G90=$G$13,I$13,$G90=$G$14,I$14,$G90=$G$16,I$16,$G90=$G$17,I$17,$G90=$G$19,I$19,$G90=$G$20,I$20,$G90=$G$22,I$22,$G90=$G$23,I$23,$G90=$G$26,I$26,$G90=$G$29,I$29,$G90=$G$31,I$31,$G90=$G$34,I$34,$G90=$G$37,I$37,$G90=$G$107,I$107,$G90=$G$110,I$110,$G90=$G$140,I$140,$G90=$G$142,I$142,$G90=$G$408,I$408)</f>
        <v>2.1010149999999999</v>
      </c>
      <c r="J90" s="51" cm="1">
        <f t="array" ref="J90">_xlfn.IFS($G90=$G$5,J$5,$G90=$G$7,J$7,$G90=$G$10,J$10,$G90=$G$13,J$13,$G90=$G$14,J$14,$G90=$G$16,J$16,$G90=$G$17,J$17,$G90=$G$19,J$19,$G90=$G$20,J$20,$G90=$G$22,J$22,$G90=$G$23,J$23,$G90=$G$26,J$26,$G90=$G$29,J$29,$G90=$G$31,J$31,$G90=$G$34,J$34,$G90=$G$37,J$37,$G90=$G$107,J$107,$G90=$G$110,J$110,$G90=$G$140,J$140,$G90=$G$142,J$142,$G90=$G$408,J$408)</f>
        <v>284</v>
      </c>
      <c r="K90" s="13" t="str" cm="1">
        <f t="array" ref="K90">_xlfn.IFS($G90=$G$5,K$5,$G90=$G$7,K$7,$G90=$G$10,K$10,$G90=$G$13,K$13,$G90=$G$14,K$14,$G90=$G$16,K$16,$G90=$G$17,K$17,$G90=$G$19,K$19,$G90=$G$20,K$20,$G90=$G$22,K$22,$G90=$G$23,K$23,$G90=$G$26,K$26,$G90=$G$29,K$29,$G90=$G$31,K$31,$G90=$G$34,K$34,$G90=$G$37,K$37,$G90=$G$107,K$107,$G90=$G$110,K$110,$G90=$G$140,K$140,$G90=$G$142,K$142,$G90=$G$408,K$408)</f>
        <v>BG sentinel + BG lure7</v>
      </c>
      <c r="O90" s="13" t="str">
        <f t="shared" si="0"/>
        <v>A_SP_BCN_15_220705</v>
      </c>
      <c r="P90" s="27">
        <v>44747</v>
      </c>
      <c r="Q90" s="29">
        <v>0.64930555555555558</v>
      </c>
      <c r="R90" s="22"/>
      <c r="S90" s="27">
        <v>44754</v>
      </c>
      <c r="T90" s="29">
        <v>0.64583333333333337</v>
      </c>
      <c r="V90" s="13" t="s">
        <v>86</v>
      </c>
      <c r="X90" s="13">
        <f t="shared" si="8"/>
        <v>7</v>
      </c>
      <c r="Z90" s="13" t="s">
        <v>60</v>
      </c>
      <c r="AA90" s="13">
        <f t="shared" ref="AA90:AA117" si="11">SUM(AC90:AD90)</f>
        <v>3</v>
      </c>
      <c r="AB90" s="13" t="str">
        <f t="shared" si="9"/>
        <v>Adult</v>
      </c>
      <c r="AC90" s="13">
        <v>3</v>
      </c>
      <c r="AD90" s="13">
        <v>0</v>
      </c>
      <c r="AE90" s="13" t="str">
        <f t="shared" si="10"/>
        <v>Morphological</v>
      </c>
      <c r="AF90" s="2">
        <v>4</v>
      </c>
    </row>
    <row r="91" spans="1:32" x14ac:dyDescent="0.25">
      <c r="A91" s="13">
        <v>87</v>
      </c>
      <c r="B91" s="23" t="s">
        <v>56</v>
      </c>
      <c r="C91" s="23" t="s">
        <v>57</v>
      </c>
      <c r="D91" s="23" t="s">
        <v>58</v>
      </c>
      <c r="E91" s="23" t="s">
        <v>58</v>
      </c>
      <c r="F91" s="35" cm="1">
        <f t="array" ref="F91">_xlfn.IFS($G91=$G$5,F$5,$G91=$G$7,F$7,$G91=$G$10,F$10,$G91=$G$13,F$13,$G91=$G$14,F$14,$G91=$G$16,F$16,$G91=$G$17,F$17,$G91=$G$19,F$19,$G91=$G$20,F$20,$G91=$G$22,F$22,$G91=$G$23,F$23,$G91=$G$26,F$26,$G91=$G$29,F$29,$G91=$G$31,F$31,$G91=$G$34,F$34,$G91=$G$37,F$37,$G91=$G$107,F$107,$G91=$G$110,F$110,$G91=$G$140,F$140,$G91=$G$142,F$142,$G91=$G$408,F$408)</f>
        <v>8017</v>
      </c>
      <c r="G91" s="13" t="s">
        <v>72</v>
      </c>
      <c r="H91" s="51" cm="1">
        <f t="array" ref="H91">_xlfn.IFS($G91=$G$5,H$5,$G91=$G$7,H$7,$G91=$G$10,H$10,$G91=$G$13,H$13,$G91=$G$14,H$14,$G91=$G$16,H$16,$G91=$G$17,H$17,$G91=$G$19,H$19,$G91=$G$20,H$20,$G91=$G$22,H$22,$G91=$G$23,H$23,$G91=$G$26,H$26,$G91=$G$29,H$29,$G91=$G$31,H$31,$G91=$G$34,H$34,$G91=$G$37,H$37,$G91=$G$107,H$107,$G91=$G$110,H$110,$G91=$G$140,H$140,$G91=$G$142,H$142,$G91=$G$408,H$408)</f>
        <v>41.419471000000001</v>
      </c>
      <c r="I91" s="51" cm="1">
        <f t="array" ref="I91">_xlfn.IFS($G91=$G$5,I$5,$G91=$G$7,I$7,$G91=$G$10,I$10,$G91=$G$13,I$13,$G91=$G$14,I$14,$G91=$G$16,I$16,$G91=$G$17,I$17,$G91=$G$19,I$19,$G91=$G$20,I$20,$G91=$G$22,I$22,$G91=$G$23,I$23,$G91=$G$26,I$26,$G91=$G$29,I$29,$G91=$G$31,I$31,$G91=$G$34,I$34,$G91=$G$37,I$37,$G91=$G$107,I$107,$G91=$G$110,I$110,$G91=$G$140,I$140,$G91=$G$142,I$142,$G91=$G$408,I$408)</f>
        <v>2.1010149999999999</v>
      </c>
      <c r="J91" s="51" cm="1">
        <f t="array" ref="J91">_xlfn.IFS($G91=$G$5,J$5,$G91=$G$7,J$7,$G91=$G$10,J$10,$G91=$G$13,J$13,$G91=$G$14,J$14,$G91=$G$16,J$16,$G91=$G$17,J$17,$G91=$G$19,J$19,$G91=$G$20,J$20,$G91=$G$22,J$22,$G91=$G$23,J$23,$G91=$G$26,J$26,$G91=$G$29,J$29,$G91=$G$31,J$31,$G91=$G$34,J$34,$G91=$G$37,J$37,$G91=$G$107,J$107,$G91=$G$110,J$110,$G91=$G$140,J$140,$G91=$G$142,J$142,$G91=$G$408,J$408)</f>
        <v>284</v>
      </c>
      <c r="K91" s="13" t="str" cm="1">
        <f t="array" ref="K91">_xlfn.IFS($G91=$G$5,K$5,$G91=$G$7,K$7,$G91=$G$10,K$10,$G91=$G$13,K$13,$G91=$G$14,K$14,$G91=$G$16,K$16,$G91=$G$17,K$17,$G91=$G$19,K$19,$G91=$G$20,K$20,$G91=$G$22,K$22,$G91=$G$23,K$23,$G91=$G$26,K$26,$G91=$G$29,K$29,$G91=$G$31,K$31,$G91=$G$34,K$34,$G91=$G$37,K$37,$G91=$G$107,K$107,$G91=$G$110,K$110,$G91=$G$140,K$140,$G91=$G$142,K$142,$G91=$G$408,K$408)</f>
        <v>BG sentinel + BG lure7</v>
      </c>
      <c r="O91" s="13" t="str">
        <f t="shared" si="0"/>
        <v>A_SP_BCN_15_220705</v>
      </c>
      <c r="P91" s="27">
        <v>44747</v>
      </c>
      <c r="Q91" s="29">
        <v>0.64930555555555558</v>
      </c>
      <c r="R91" s="22"/>
      <c r="S91" s="27">
        <v>44754</v>
      </c>
      <c r="T91" s="29">
        <v>0.64583333333333337</v>
      </c>
      <c r="V91" s="13" t="s">
        <v>86</v>
      </c>
      <c r="X91" s="13">
        <f t="shared" si="8"/>
        <v>7</v>
      </c>
      <c r="Z91" s="32" t="s">
        <v>163</v>
      </c>
      <c r="AA91" s="13">
        <f t="shared" si="11"/>
        <v>1</v>
      </c>
      <c r="AB91" s="13" t="str">
        <f t="shared" si="9"/>
        <v>Adult</v>
      </c>
      <c r="AC91" s="13">
        <v>1</v>
      </c>
      <c r="AD91" s="13">
        <v>0</v>
      </c>
      <c r="AE91" s="13" t="str">
        <f t="shared" si="10"/>
        <v>Morphological</v>
      </c>
      <c r="AF91" s="2">
        <v>4</v>
      </c>
    </row>
    <row r="92" spans="1:32" x14ac:dyDescent="0.25">
      <c r="A92" s="13">
        <v>88</v>
      </c>
      <c r="B92" s="23" t="s">
        <v>56</v>
      </c>
      <c r="C92" s="23" t="s">
        <v>57</v>
      </c>
      <c r="D92" s="23" t="s">
        <v>58</v>
      </c>
      <c r="E92" s="23" t="s">
        <v>58</v>
      </c>
      <c r="F92" s="35" cm="1">
        <f t="array" ref="F92">_xlfn.IFS($G92=$G$5,F$5,$G92=$G$7,F$7,$G92=$G$10,F$10,$G92=$G$13,F$13,$G92=$G$14,F$14,$G92=$G$16,F$16,$G92=$G$17,F$17,$G92=$G$19,F$19,$G92=$G$20,F$20,$G92=$G$22,F$22,$G92=$G$23,F$23,$G92=$G$26,F$26,$G92=$G$29,F$29,$G92=$G$31,F$31,$G92=$G$34,F$34,$G92=$G$37,F$37,$G92=$G$107,F$107,$G92=$G$110,F$110,$G92=$G$140,F$140,$G92=$G$142,F$142,$G92=$G$408,F$408)</f>
        <v>8017</v>
      </c>
      <c r="G92" s="13" t="s">
        <v>73</v>
      </c>
      <c r="H92" s="51" cm="1">
        <f t="array" ref="H92">_xlfn.IFS($G92=$G$5,H$5,$G92=$G$7,H$7,$G92=$G$10,H$10,$G92=$G$13,H$13,$G92=$G$14,H$14,$G92=$G$16,H$16,$G92=$G$17,H$17,$G92=$G$19,H$19,$G92=$G$20,H$20,$G92=$G$22,H$22,$G92=$G$23,H$23,$G92=$G$26,H$26,$G92=$G$29,H$29,$G92=$G$31,H$31,$G92=$G$34,H$34,$G92=$G$37,H$37,$G92=$G$107,H$107,$G92=$G$110,H$110,$G92=$G$140,H$140,$G92=$G$142,H$142,$G92=$G$408,H$408)</f>
        <v>41.398387</v>
      </c>
      <c r="I92" s="51" cm="1">
        <f t="array" ref="I92">_xlfn.IFS($G92=$G$5,I$5,$G92=$G$7,I$7,$G92=$G$10,I$10,$G92=$G$13,I$13,$G92=$G$14,I$14,$G92=$G$16,I$16,$G92=$G$17,I$17,$G92=$G$19,I$19,$G92=$G$20,I$20,$G92=$G$22,I$22,$G92=$G$23,I$23,$G92=$G$26,I$26,$G92=$G$29,I$29,$G92=$G$31,I$31,$G92=$G$34,I$34,$G92=$G$37,I$37,$G92=$G$107,I$107,$G92=$G$110,I$110,$G92=$G$140,I$140,$G92=$G$142,I$142,$G92=$G$408,I$408)</f>
        <v>2.1244429999999999</v>
      </c>
      <c r="J92" s="51" cm="1">
        <f t="array" ref="J92">_xlfn.IFS($G92=$G$5,J$5,$G92=$G$7,J$7,$G92=$G$10,J$10,$G92=$G$13,J$13,$G92=$G$14,J$14,$G92=$G$16,J$16,$G92=$G$17,J$17,$G92=$G$19,J$19,$G92=$G$20,J$20,$G92=$G$22,J$22,$G92=$G$23,J$23,$G92=$G$26,J$26,$G92=$G$29,J$29,$G92=$G$31,J$31,$G92=$G$34,J$34,$G92=$G$37,J$37,$G92=$G$107,J$107,$G92=$G$110,J$110,$G92=$G$140,J$140,$G92=$G$142,J$142,$G92=$G$408,J$408)</f>
        <v>106</v>
      </c>
      <c r="K92" s="13" t="str" cm="1">
        <f t="array" ref="K92">_xlfn.IFS($G92=$G$5,K$5,$G92=$G$7,K$7,$G92=$G$10,K$10,$G92=$G$13,K$13,$G92=$G$14,K$14,$G92=$G$16,K$16,$G92=$G$17,K$17,$G92=$G$19,K$19,$G92=$G$20,K$20,$G92=$G$22,K$22,$G92=$G$23,K$23,$G92=$G$26,K$26,$G92=$G$29,K$29,$G92=$G$31,K$31,$G92=$G$34,K$34,$G92=$G$37,K$37,$G92=$G$107,K$107,$G92=$G$110,K$110,$G92=$G$140,K$140,$G92=$G$142,K$142,$G92=$G$408,K$408)</f>
        <v>BG sentinel + BG lure7</v>
      </c>
      <c r="O92" s="13" t="str">
        <f t="shared" si="0"/>
        <v>A_SP_BCN_16_220705</v>
      </c>
      <c r="P92" s="27">
        <v>44747</v>
      </c>
      <c r="Q92" s="29">
        <v>0.72569444444444453</v>
      </c>
      <c r="R92" s="22"/>
      <c r="S92" s="27">
        <v>44754</v>
      </c>
      <c r="T92" s="29">
        <v>0.75</v>
      </c>
      <c r="V92" s="13" t="s">
        <v>86</v>
      </c>
      <c r="X92" s="13">
        <f t="shared" si="8"/>
        <v>7</v>
      </c>
      <c r="Z92" s="13" t="s">
        <v>60</v>
      </c>
      <c r="AA92" s="13">
        <f t="shared" si="11"/>
        <v>40</v>
      </c>
      <c r="AB92" s="13" t="str">
        <f t="shared" si="9"/>
        <v>Adult</v>
      </c>
      <c r="AC92" s="13">
        <v>21</v>
      </c>
      <c r="AD92" s="13">
        <v>19</v>
      </c>
      <c r="AE92" s="13" t="str">
        <f t="shared" si="10"/>
        <v>Morphological</v>
      </c>
      <c r="AF92" s="2">
        <v>4</v>
      </c>
    </row>
    <row r="93" spans="1:32" x14ac:dyDescent="0.25">
      <c r="A93" s="13">
        <v>89</v>
      </c>
      <c r="B93" s="23" t="s">
        <v>56</v>
      </c>
      <c r="C93" s="23" t="s">
        <v>57</v>
      </c>
      <c r="D93" s="23" t="s">
        <v>58</v>
      </c>
      <c r="E93" s="23" t="s">
        <v>58</v>
      </c>
      <c r="F93" s="35" cm="1">
        <f t="array" ref="F93">_xlfn.IFS($G93=$G$5,F$5,$G93=$G$7,F$7,$G93=$G$10,F$10,$G93=$G$13,F$13,$G93=$G$14,F$14,$G93=$G$16,F$16,$G93=$G$17,F$17,$G93=$G$19,F$19,$G93=$G$20,F$20,$G93=$G$22,F$22,$G93=$G$23,F$23,$G93=$G$26,F$26,$G93=$G$29,F$29,$G93=$G$31,F$31,$G93=$G$34,F$34,$G93=$G$37,F$37,$G93=$G$107,F$107,$G93=$G$110,F$110,$G93=$G$140,F$140,$G93=$G$142,F$142,$G93=$G$408,F$408)</f>
        <v>8017</v>
      </c>
      <c r="G93" s="13" t="s">
        <v>73</v>
      </c>
      <c r="H93" s="51" cm="1">
        <f t="array" ref="H93">_xlfn.IFS($G93=$G$5,H$5,$G93=$G$7,H$7,$G93=$G$10,H$10,$G93=$G$13,H$13,$G93=$G$14,H$14,$G93=$G$16,H$16,$G93=$G$17,H$17,$G93=$G$19,H$19,$G93=$G$20,H$20,$G93=$G$22,H$22,$G93=$G$23,H$23,$G93=$G$26,H$26,$G93=$G$29,H$29,$G93=$G$31,H$31,$G93=$G$34,H$34,$G93=$G$37,H$37,$G93=$G$107,H$107,$G93=$G$110,H$110,$G93=$G$140,H$140,$G93=$G$142,H$142,$G93=$G$408,H$408)</f>
        <v>41.398387</v>
      </c>
      <c r="I93" s="51" cm="1">
        <f t="array" ref="I93">_xlfn.IFS($G93=$G$5,I$5,$G93=$G$7,I$7,$G93=$G$10,I$10,$G93=$G$13,I$13,$G93=$G$14,I$14,$G93=$G$16,I$16,$G93=$G$17,I$17,$G93=$G$19,I$19,$G93=$G$20,I$20,$G93=$G$22,I$22,$G93=$G$23,I$23,$G93=$G$26,I$26,$G93=$G$29,I$29,$G93=$G$31,I$31,$G93=$G$34,I$34,$G93=$G$37,I$37,$G93=$G$107,I$107,$G93=$G$110,I$110,$G93=$G$140,I$140,$G93=$G$142,I$142,$G93=$G$408,I$408)</f>
        <v>2.1244429999999999</v>
      </c>
      <c r="J93" s="51" cm="1">
        <f t="array" ref="J93">_xlfn.IFS($G93=$G$5,J$5,$G93=$G$7,J$7,$G93=$G$10,J$10,$G93=$G$13,J$13,$G93=$G$14,J$14,$G93=$G$16,J$16,$G93=$G$17,J$17,$G93=$G$19,J$19,$G93=$G$20,J$20,$G93=$G$22,J$22,$G93=$G$23,J$23,$G93=$G$26,J$26,$G93=$G$29,J$29,$G93=$G$31,J$31,$G93=$G$34,J$34,$G93=$G$37,J$37,$G93=$G$107,J$107,$G93=$G$110,J$110,$G93=$G$140,J$140,$G93=$G$142,J$142,$G93=$G$408,J$408)</f>
        <v>106</v>
      </c>
      <c r="K93" s="13" t="str" cm="1">
        <f t="array" ref="K93">_xlfn.IFS($G93=$G$5,K$5,$G93=$G$7,K$7,$G93=$G$10,K$10,$G93=$G$13,K$13,$G93=$G$14,K$14,$G93=$G$16,K$16,$G93=$G$17,K$17,$G93=$G$19,K$19,$G93=$G$20,K$20,$G93=$G$22,K$22,$G93=$G$23,K$23,$G93=$G$26,K$26,$G93=$G$29,K$29,$G93=$G$31,K$31,$G93=$G$34,K$34,$G93=$G$37,K$37,$G93=$G$107,K$107,$G93=$G$110,K$110,$G93=$G$140,K$140,$G93=$G$142,K$142,$G93=$G$408,K$408)</f>
        <v>BG sentinel + BG lure7</v>
      </c>
      <c r="O93" s="13" t="str">
        <f t="shared" si="0"/>
        <v>A_SP_BCN_16_220705</v>
      </c>
      <c r="P93" s="27">
        <v>44747</v>
      </c>
      <c r="Q93" s="29">
        <v>0.72569444444444453</v>
      </c>
      <c r="R93" s="22"/>
      <c r="S93" s="27">
        <v>44754</v>
      </c>
      <c r="T93" s="29">
        <v>0.75</v>
      </c>
      <c r="V93" s="13" t="s">
        <v>86</v>
      </c>
      <c r="X93" s="13">
        <f t="shared" si="8"/>
        <v>7</v>
      </c>
      <c r="Z93" s="13" t="s">
        <v>164</v>
      </c>
      <c r="AA93" s="13">
        <f t="shared" si="11"/>
        <v>9</v>
      </c>
      <c r="AB93" s="13" t="str">
        <f t="shared" si="9"/>
        <v>Adult</v>
      </c>
      <c r="AC93" s="13">
        <v>3</v>
      </c>
      <c r="AD93" s="13">
        <v>6</v>
      </c>
      <c r="AE93" s="13" t="str">
        <f t="shared" si="10"/>
        <v>Morphological</v>
      </c>
      <c r="AF93" s="2">
        <v>4</v>
      </c>
    </row>
    <row r="94" spans="1:32" x14ac:dyDescent="0.25">
      <c r="A94" s="13">
        <v>90</v>
      </c>
      <c r="B94" s="23" t="s">
        <v>56</v>
      </c>
      <c r="C94" s="23" t="s">
        <v>57</v>
      </c>
      <c r="D94" s="23" t="s">
        <v>58</v>
      </c>
      <c r="E94" s="23" t="s">
        <v>58</v>
      </c>
      <c r="F94" s="35" cm="1">
        <f t="array" ref="F94">_xlfn.IFS($G94=$G$5,F$5,$G94=$G$7,F$7,$G94=$G$10,F$10,$G94=$G$13,F$13,$G94=$G$14,F$14,$G94=$G$16,F$16,$G94=$G$17,F$17,$G94=$G$19,F$19,$G94=$G$20,F$20,$G94=$G$22,F$22,$G94=$G$23,F$23,$G94=$G$26,F$26,$G94=$G$29,F$29,$G94=$G$31,F$31,$G94=$G$34,F$34,$G94=$G$37,F$37,$G94=$G$107,F$107,$G94=$G$110,F$110,$G94=$G$140,F$140,$G94=$G$142,F$142,$G94=$G$408,F$408)</f>
        <v>8017</v>
      </c>
      <c r="G94" s="13" t="s">
        <v>73</v>
      </c>
      <c r="H94" s="51" cm="1">
        <f t="array" ref="H94">_xlfn.IFS($G94=$G$5,H$5,$G94=$G$7,H$7,$G94=$G$10,H$10,$G94=$G$13,H$13,$G94=$G$14,H$14,$G94=$G$16,H$16,$G94=$G$17,H$17,$G94=$G$19,H$19,$G94=$G$20,H$20,$G94=$G$22,H$22,$G94=$G$23,H$23,$G94=$G$26,H$26,$G94=$G$29,H$29,$G94=$G$31,H$31,$G94=$G$34,H$34,$G94=$G$37,H$37,$G94=$G$107,H$107,$G94=$G$110,H$110,$G94=$G$140,H$140,$G94=$G$142,H$142,$G94=$G$408,H$408)</f>
        <v>41.398387</v>
      </c>
      <c r="I94" s="51" cm="1">
        <f t="array" ref="I94">_xlfn.IFS($G94=$G$5,I$5,$G94=$G$7,I$7,$G94=$G$10,I$10,$G94=$G$13,I$13,$G94=$G$14,I$14,$G94=$G$16,I$16,$G94=$G$17,I$17,$G94=$G$19,I$19,$G94=$G$20,I$20,$G94=$G$22,I$22,$G94=$G$23,I$23,$G94=$G$26,I$26,$G94=$G$29,I$29,$G94=$G$31,I$31,$G94=$G$34,I$34,$G94=$G$37,I$37,$G94=$G$107,I$107,$G94=$G$110,I$110,$G94=$G$140,I$140,$G94=$G$142,I$142,$G94=$G$408,I$408)</f>
        <v>2.1244429999999999</v>
      </c>
      <c r="J94" s="51" cm="1">
        <f t="array" ref="J94">_xlfn.IFS($G94=$G$5,J$5,$G94=$G$7,J$7,$G94=$G$10,J$10,$G94=$G$13,J$13,$G94=$G$14,J$14,$G94=$G$16,J$16,$G94=$G$17,J$17,$G94=$G$19,J$19,$G94=$G$20,J$20,$G94=$G$22,J$22,$G94=$G$23,J$23,$G94=$G$26,J$26,$G94=$G$29,J$29,$G94=$G$31,J$31,$G94=$G$34,J$34,$G94=$G$37,J$37,$G94=$G$107,J$107,$G94=$G$110,J$110,$G94=$G$140,J$140,$G94=$G$142,J$142,$G94=$G$408,J$408)</f>
        <v>106</v>
      </c>
      <c r="K94" s="13" t="str" cm="1">
        <f t="array" ref="K94">_xlfn.IFS($G94=$G$5,K$5,$G94=$G$7,K$7,$G94=$G$10,K$10,$G94=$G$13,K$13,$G94=$G$14,K$14,$G94=$G$16,K$16,$G94=$G$17,K$17,$G94=$G$19,K$19,$G94=$G$20,K$20,$G94=$G$22,K$22,$G94=$G$23,K$23,$G94=$G$26,K$26,$G94=$G$29,K$29,$G94=$G$31,K$31,$G94=$G$34,K$34,$G94=$G$37,K$37,$G94=$G$107,K$107,$G94=$G$110,K$110,$G94=$G$140,K$140,$G94=$G$142,K$142,$G94=$G$408,K$408)</f>
        <v>BG sentinel + BG lure7</v>
      </c>
      <c r="O94" s="13" t="str">
        <f t="shared" si="0"/>
        <v>A_SP_BCN_16_220705</v>
      </c>
      <c r="P94" s="27">
        <v>44747</v>
      </c>
      <c r="Q94" s="29">
        <v>0.72569444444444453</v>
      </c>
      <c r="R94" s="22"/>
      <c r="S94" s="27">
        <v>44754</v>
      </c>
      <c r="T94" s="29">
        <v>0.75</v>
      </c>
      <c r="V94" s="13" t="s">
        <v>86</v>
      </c>
      <c r="X94" s="13">
        <f t="shared" si="8"/>
        <v>7</v>
      </c>
      <c r="Z94" s="32" t="s">
        <v>163</v>
      </c>
      <c r="AA94" s="13">
        <f t="shared" si="11"/>
        <v>3</v>
      </c>
      <c r="AB94" s="13" t="str">
        <f t="shared" si="9"/>
        <v>Adult</v>
      </c>
      <c r="AC94" s="13">
        <v>0</v>
      </c>
      <c r="AD94" s="13">
        <v>3</v>
      </c>
      <c r="AE94" s="13" t="str">
        <f t="shared" si="10"/>
        <v>Morphological</v>
      </c>
      <c r="AF94" s="2">
        <v>4</v>
      </c>
    </row>
    <row r="95" spans="1:32" x14ac:dyDescent="0.25">
      <c r="A95" s="13">
        <v>91</v>
      </c>
      <c r="B95" s="23" t="s">
        <v>56</v>
      </c>
      <c r="C95" s="23" t="s">
        <v>57</v>
      </c>
      <c r="D95" s="23" t="s">
        <v>58</v>
      </c>
      <c r="E95" s="23" t="s">
        <v>58</v>
      </c>
      <c r="F95" s="35" cm="1">
        <f t="array" ref="F95">_xlfn.IFS($G95=$G$5,F$5,$G95=$G$7,F$7,$G95=$G$10,F$10,$G95=$G$13,F$13,$G95=$G$14,F$14,$G95=$G$16,F$16,$G95=$G$17,F$17,$G95=$G$19,F$19,$G95=$G$20,F$20,$G95=$G$22,F$22,$G95=$G$23,F$23,$G95=$G$26,F$26,$G95=$G$29,F$29,$G95=$G$31,F$31,$G95=$G$34,F$34,$G95=$G$37,F$37,$G95=$G$107,F$107,$G95=$G$110,F$110,$G95=$G$140,F$140,$G95=$G$142,F$142,$G95=$G$408,F$408)</f>
        <v>8023</v>
      </c>
      <c r="G95" s="13" t="s">
        <v>74</v>
      </c>
      <c r="H95" s="51" cm="1">
        <f t="array" ref="H95">_xlfn.IFS($G95=$G$5,H$5,$G95=$G$7,H$7,$G95=$G$10,H$10,$G95=$G$13,H$13,$G95=$G$14,H$14,$G95=$G$16,H$16,$G95=$G$17,H$17,$G95=$G$19,H$19,$G95=$G$20,H$20,$G95=$G$22,H$22,$G95=$G$23,H$23,$G95=$G$26,H$26,$G95=$G$29,H$29,$G95=$G$31,H$31,$G95=$G$34,H$34,$G95=$G$37,H$37,$G95=$G$107,H$107,$G95=$G$110,H$110,$G95=$G$140,H$140,$G95=$G$142,H$142,$G95=$G$408,H$408)</f>
        <v>41.417256000000002</v>
      </c>
      <c r="I95" s="51" cm="1">
        <f t="array" ref="I95">_xlfn.IFS($G95=$G$5,I$5,$G95=$G$7,I$7,$G95=$G$10,I$10,$G95=$G$13,I$13,$G95=$G$14,I$14,$G95=$G$16,I$16,$G95=$G$17,I$17,$G95=$G$19,I$19,$G95=$G$20,I$20,$G95=$G$22,I$22,$G95=$G$23,I$23,$G95=$G$26,I$26,$G95=$G$29,I$29,$G95=$G$31,I$31,$G95=$G$34,I$34,$G95=$G$37,I$37,$G95=$G$107,I$107,$G95=$G$110,I$110,$G95=$G$140,I$140,$G95=$G$142,I$142,$G95=$G$408,I$408)</f>
        <v>2.1455709999999999</v>
      </c>
      <c r="J95" s="51" cm="1">
        <f t="array" ref="J95">_xlfn.IFS($G95=$G$5,J$5,$G95=$G$7,J$7,$G95=$G$10,J$10,$G95=$G$13,J$13,$G95=$G$14,J$14,$G95=$G$16,J$16,$G95=$G$17,J$17,$G95=$G$19,J$19,$G95=$G$20,J$20,$G95=$G$22,J$22,$G95=$G$23,J$23,$G95=$G$26,J$26,$G95=$G$29,J$29,$G95=$G$31,J$31,$G95=$G$34,J$34,$G95=$G$37,J$37,$G95=$G$107,J$107,$G95=$G$110,J$110,$G95=$G$140,J$140,$G95=$G$142,J$142,$G95=$G$408,J$408)</f>
        <v>186</v>
      </c>
      <c r="K95" s="13" t="str" cm="1">
        <f t="array" ref="K95">_xlfn.IFS($G95=$G$5,K$5,$G95=$G$7,K$7,$G95=$G$10,K$10,$G95=$G$13,K$13,$G95=$G$14,K$14,$G95=$G$16,K$16,$G95=$G$17,K$17,$G95=$G$19,K$19,$G95=$G$20,K$20,$G95=$G$22,K$22,$G95=$G$23,K$23,$G95=$G$26,K$26,$G95=$G$29,K$29,$G95=$G$31,K$31,$G95=$G$34,K$34,$G95=$G$37,K$37,$G95=$G$107,K$107,$G95=$G$110,K$110,$G95=$G$140,K$140,$G95=$G$142,K$142,$G95=$G$408,K$408)</f>
        <v>BG sentinel + BG lure7</v>
      </c>
      <c r="O95" s="13" t="str">
        <f t="shared" si="0"/>
        <v>A_SP_BCN_17_220705</v>
      </c>
      <c r="P95" s="27">
        <v>44747</v>
      </c>
      <c r="Q95" s="29">
        <v>0.61805555555555558</v>
      </c>
      <c r="R95" s="22"/>
      <c r="S95" s="27">
        <v>44754</v>
      </c>
      <c r="T95" s="29">
        <v>0.61111111111111105</v>
      </c>
      <c r="V95" s="13" t="s">
        <v>86</v>
      </c>
      <c r="W95" s="15" t="s">
        <v>135</v>
      </c>
      <c r="X95" s="13">
        <f t="shared" si="8"/>
        <v>7</v>
      </c>
      <c r="Z95" s="13" t="s">
        <v>60</v>
      </c>
      <c r="AA95" s="13">
        <f t="shared" si="11"/>
        <v>13</v>
      </c>
      <c r="AB95" s="13" t="str">
        <f t="shared" si="9"/>
        <v>Adult</v>
      </c>
      <c r="AC95" s="13">
        <v>6</v>
      </c>
      <c r="AD95" s="13">
        <v>7</v>
      </c>
      <c r="AE95" s="13" t="str">
        <f t="shared" si="10"/>
        <v>Morphological</v>
      </c>
      <c r="AF95" s="2">
        <v>3</v>
      </c>
    </row>
    <row r="96" spans="1:32" x14ac:dyDescent="0.25">
      <c r="A96" s="13">
        <v>92</v>
      </c>
      <c r="B96" s="23" t="s">
        <v>56</v>
      </c>
      <c r="C96" s="23" t="s">
        <v>57</v>
      </c>
      <c r="D96" s="23" t="s">
        <v>58</v>
      </c>
      <c r="E96" s="23" t="s">
        <v>58</v>
      </c>
      <c r="F96" s="35" cm="1">
        <f t="array" ref="F96">_xlfn.IFS($G96=$G$5,F$5,$G96=$G$7,F$7,$G96=$G$10,F$10,$G96=$G$13,F$13,$G96=$G$14,F$14,$G96=$G$16,F$16,$G96=$G$17,F$17,$G96=$G$19,F$19,$G96=$G$20,F$20,$G96=$G$22,F$22,$G96=$G$23,F$23,$G96=$G$26,F$26,$G96=$G$29,F$29,$G96=$G$31,F$31,$G96=$G$34,F$34,$G96=$G$37,F$37,$G96=$G$107,F$107,$G96=$G$110,F$110,$G96=$G$140,F$140,$G96=$G$142,F$142,$G96=$G$408,F$408)</f>
        <v>8023</v>
      </c>
      <c r="G96" s="13" t="s">
        <v>74</v>
      </c>
      <c r="H96" s="51" cm="1">
        <f t="array" ref="H96">_xlfn.IFS($G96=$G$5,H$5,$G96=$G$7,H$7,$G96=$G$10,H$10,$G96=$G$13,H$13,$G96=$G$14,H$14,$G96=$G$16,H$16,$G96=$G$17,H$17,$G96=$G$19,H$19,$G96=$G$20,H$20,$G96=$G$22,H$22,$G96=$G$23,H$23,$G96=$G$26,H$26,$G96=$G$29,H$29,$G96=$G$31,H$31,$G96=$G$34,H$34,$G96=$G$37,H$37,$G96=$G$107,H$107,$G96=$G$110,H$110,$G96=$G$140,H$140,$G96=$G$142,H$142,$G96=$G$408,H$408)</f>
        <v>41.417256000000002</v>
      </c>
      <c r="I96" s="51" cm="1">
        <f t="array" ref="I96">_xlfn.IFS($G96=$G$5,I$5,$G96=$G$7,I$7,$G96=$G$10,I$10,$G96=$G$13,I$13,$G96=$G$14,I$14,$G96=$G$16,I$16,$G96=$G$17,I$17,$G96=$G$19,I$19,$G96=$G$20,I$20,$G96=$G$22,I$22,$G96=$G$23,I$23,$G96=$G$26,I$26,$G96=$G$29,I$29,$G96=$G$31,I$31,$G96=$G$34,I$34,$G96=$G$37,I$37,$G96=$G$107,I$107,$G96=$G$110,I$110,$G96=$G$140,I$140,$G96=$G$142,I$142,$G96=$G$408,I$408)</f>
        <v>2.1455709999999999</v>
      </c>
      <c r="J96" s="51" cm="1">
        <f t="array" ref="J96">_xlfn.IFS($G96=$G$5,J$5,$G96=$G$7,J$7,$G96=$G$10,J$10,$G96=$G$13,J$13,$G96=$G$14,J$14,$G96=$G$16,J$16,$G96=$G$17,J$17,$G96=$G$19,J$19,$G96=$G$20,J$20,$G96=$G$22,J$22,$G96=$G$23,J$23,$G96=$G$26,J$26,$G96=$G$29,J$29,$G96=$G$31,J$31,$G96=$G$34,J$34,$G96=$G$37,J$37,$G96=$G$107,J$107,$G96=$G$110,J$110,$G96=$G$140,J$140,$G96=$G$142,J$142,$G96=$G$408,J$408)</f>
        <v>186</v>
      </c>
      <c r="K96" s="13" t="str" cm="1">
        <f t="array" ref="K96">_xlfn.IFS($G96=$G$5,K$5,$G96=$G$7,K$7,$G96=$G$10,K$10,$G96=$G$13,K$13,$G96=$G$14,K$14,$G96=$G$16,K$16,$G96=$G$17,K$17,$G96=$G$19,K$19,$G96=$G$20,K$20,$G96=$G$22,K$22,$G96=$G$23,K$23,$G96=$G$26,K$26,$G96=$G$29,K$29,$G96=$G$31,K$31,$G96=$G$34,K$34,$G96=$G$37,K$37,$G96=$G$107,K$107,$G96=$G$110,K$110,$G96=$G$140,K$140,$G96=$G$142,K$142,$G96=$G$408,K$408)</f>
        <v>BG sentinel + BG lure7</v>
      </c>
      <c r="O96" s="13" t="str">
        <f t="shared" si="0"/>
        <v>A_SP_BCN_17_220705</v>
      </c>
      <c r="P96" s="27">
        <v>44747</v>
      </c>
      <c r="Q96" s="29">
        <v>0.61805555555555558</v>
      </c>
      <c r="R96" s="22"/>
      <c r="S96" s="27">
        <v>44754</v>
      </c>
      <c r="T96" s="29">
        <v>0.61111111111111105</v>
      </c>
      <c r="V96" s="13" t="s">
        <v>86</v>
      </c>
      <c r="W96" s="15" t="s">
        <v>135</v>
      </c>
      <c r="X96" s="13">
        <f t="shared" si="8"/>
        <v>7</v>
      </c>
      <c r="Z96" s="13" t="s">
        <v>164</v>
      </c>
      <c r="AA96" s="13">
        <f t="shared" si="11"/>
        <v>2</v>
      </c>
      <c r="AB96" s="13" t="str">
        <f t="shared" si="9"/>
        <v>Adult</v>
      </c>
      <c r="AC96" s="13">
        <v>0</v>
      </c>
      <c r="AD96" s="13">
        <v>2</v>
      </c>
      <c r="AE96" s="13" t="str">
        <f t="shared" si="10"/>
        <v>Morphological</v>
      </c>
      <c r="AF96" s="2">
        <v>3</v>
      </c>
    </row>
    <row r="97" spans="1:32" x14ac:dyDescent="0.25">
      <c r="A97" s="13">
        <v>93</v>
      </c>
      <c r="B97" s="23" t="s">
        <v>56</v>
      </c>
      <c r="C97" s="23" t="s">
        <v>57</v>
      </c>
      <c r="D97" s="23" t="s">
        <v>58</v>
      </c>
      <c r="E97" s="23" t="s">
        <v>58</v>
      </c>
      <c r="F97" s="35" cm="1">
        <f t="array" ref="F97">_xlfn.IFS($G97=$G$5,F$5,$G97=$G$7,F$7,$G97=$G$10,F$10,$G97=$G$13,F$13,$G97=$G$14,F$14,$G97=$G$16,F$16,$G97=$G$17,F$17,$G97=$G$19,F$19,$G97=$G$20,F$20,$G97=$G$22,F$22,$G97=$G$23,F$23,$G97=$G$26,F$26,$G97=$G$29,F$29,$G97=$G$31,F$31,$G97=$G$34,F$34,$G97=$G$37,F$37,$G97=$G$107,F$107,$G97=$G$110,F$110,$G97=$G$140,F$140,$G97=$G$142,F$142,$G97=$G$408,F$408)</f>
        <v>8031</v>
      </c>
      <c r="G97" s="13" t="s">
        <v>75</v>
      </c>
      <c r="H97" s="51" cm="1">
        <f t="array" ref="H97">_xlfn.IFS($G97=$G$5,H$5,$G97=$G$7,H$7,$G97=$G$10,H$10,$G97=$G$13,H$13,$G97=$G$14,H$14,$G97=$G$16,H$16,$G97=$G$17,H$17,$G97=$G$19,H$19,$G97=$G$20,H$20,$G97=$G$22,H$22,$G97=$G$23,H$23,$G97=$G$26,H$26,$G97=$G$29,H$29,$G97=$G$31,H$31,$G97=$G$34,H$34,$G97=$G$37,H$37,$G97=$G$107,H$107,$G97=$G$110,H$110,$G97=$G$140,H$140,$G97=$G$142,H$142,$G97=$G$408,H$408)</f>
        <v>41.433618000000003</v>
      </c>
      <c r="I97" s="51" cm="1">
        <f t="array" ref="I97">_xlfn.IFS($G97=$G$5,I$5,$G97=$G$7,I$7,$G97=$G$10,I$10,$G97=$G$13,I$13,$G97=$G$14,I$14,$G97=$G$16,I$16,$G97=$G$17,I$17,$G97=$G$19,I$19,$G97=$G$20,I$20,$G97=$G$22,I$22,$G97=$G$23,I$23,$G97=$G$26,I$26,$G97=$G$29,I$29,$G97=$G$31,I$31,$G97=$G$34,I$34,$G97=$G$37,I$37,$G97=$G$107,I$107,$G97=$G$110,I$110,$G97=$G$140,I$140,$G97=$G$142,I$142,$G97=$G$408,I$408)</f>
        <v>2.1677469999999999</v>
      </c>
      <c r="J97" s="51" cm="1">
        <f t="array" ref="J97">_xlfn.IFS($G97=$G$5,J$5,$G97=$G$7,J$7,$G97=$G$10,J$10,$G97=$G$13,J$13,$G97=$G$14,J$14,$G97=$G$16,J$16,$G97=$G$17,J$17,$G97=$G$19,J$19,$G97=$G$20,J$20,$G97=$G$22,J$22,$G97=$G$23,J$23,$G97=$G$26,J$26,$G97=$G$29,J$29,$G97=$G$31,J$31,$G97=$G$34,J$34,$G97=$G$37,J$37,$G97=$G$107,J$107,$G97=$G$110,J$110,$G97=$G$140,J$140,$G97=$G$142,J$142,$G97=$G$408,J$408)</f>
        <v>96.85</v>
      </c>
      <c r="K97" s="13" t="str" cm="1">
        <f t="array" ref="K97">_xlfn.IFS($G97=$G$5,K$5,$G97=$G$7,K$7,$G97=$G$10,K$10,$G97=$G$13,K$13,$G97=$G$14,K$14,$G97=$G$16,K$16,$G97=$G$17,K$17,$G97=$G$19,K$19,$G97=$G$20,K$20,$G97=$G$22,K$22,$G97=$G$23,K$23,$G97=$G$26,K$26,$G97=$G$29,K$29,$G97=$G$31,K$31,$G97=$G$34,K$34,$G97=$G$37,K$37,$G97=$G$107,K$107,$G97=$G$110,K$110,$G97=$G$140,K$140,$G97=$G$142,K$142,$G97=$G$408,K$408)</f>
        <v>BG sentinel + BG lure7</v>
      </c>
      <c r="O97" s="13" t="str">
        <f t="shared" si="0"/>
        <v>A_SP_BCN_18_220705</v>
      </c>
      <c r="P97" s="27">
        <v>44747</v>
      </c>
      <c r="Q97" s="29">
        <v>0.75347222222222221</v>
      </c>
      <c r="R97" s="22"/>
      <c r="S97" s="27">
        <v>44754</v>
      </c>
      <c r="T97" s="29">
        <v>0.77430555555555547</v>
      </c>
      <c r="V97" s="13" t="s">
        <v>86</v>
      </c>
      <c r="X97" s="13">
        <f t="shared" si="8"/>
        <v>7</v>
      </c>
      <c r="Z97" s="13" t="s">
        <v>60</v>
      </c>
      <c r="AA97" s="13">
        <f t="shared" si="11"/>
        <v>4</v>
      </c>
      <c r="AB97" s="13" t="str">
        <f t="shared" si="9"/>
        <v>Adult</v>
      </c>
      <c r="AC97" s="13">
        <v>4</v>
      </c>
      <c r="AD97" s="13">
        <v>0</v>
      </c>
      <c r="AE97" s="13" t="str">
        <f t="shared" si="10"/>
        <v>Morphological</v>
      </c>
      <c r="AF97" s="2">
        <v>4</v>
      </c>
    </row>
    <row r="98" spans="1:32" x14ac:dyDescent="0.25">
      <c r="A98" s="13">
        <v>94</v>
      </c>
      <c r="B98" s="23" t="s">
        <v>56</v>
      </c>
      <c r="C98" s="23" t="s">
        <v>57</v>
      </c>
      <c r="D98" s="23" t="s">
        <v>58</v>
      </c>
      <c r="E98" s="23" t="s">
        <v>58</v>
      </c>
      <c r="F98" s="35" cm="1">
        <f t="array" ref="F98">_xlfn.IFS($G98=$G$5,F$5,$G98=$G$7,F$7,$G98=$G$10,F$10,$G98=$G$13,F$13,$G98=$G$14,F$14,$G98=$G$16,F$16,$G98=$G$17,F$17,$G98=$G$19,F$19,$G98=$G$20,F$20,$G98=$G$22,F$22,$G98=$G$23,F$23,$G98=$G$26,F$26,$G98=$G$29,F$29,$G98=$G$31,F$31,$G98=$G$34,F$34,$G98=$G$37,F$37,$G98=$G$107,F$107,$G98=$G$110,F$110,$G98=$G$140,F$140,$G98=$G$142,F$142,$G98=$G$408,F$408)</f>
        <v>8031</v>
      </c>
      <c r="G98" s="13" t="s">
        <v>75</v>
      </c>
      <c r="H98" s="51" cm="1">
        <f t="array" ref="H98">_xlfn.IFS($G98=$G$5,H$5,$G98=$G$7,H$7,$G98=$G$10,H$10,$G98=$G$13,H$13,$G98=$G$14,H$14,$G98=$G$16,H$16,$G98=$G$17,H$17,$G98=$G$19,H$19,$G98=$G$20,H$20,$G98=$G$22,H$22,$G98=$G$23,H$23,$G98=$G$26,H$26,$G98=$G$29,H$29,$G98=$G$31,H$31,$G98=$G$34,H$34,$G98=$G$37,H$37,$G98=$G$107,H$107,$G98=$G$110,H$110,$G98=$G$140,H$140,$G98=$G$142,H$142,$G98=$G$408,H$408)</f>
        <v>41.433618000000003</v>
      </c>
      <c r="I98" s="51" cm="1">
        <f t="array" ref="I98">_xlfn.IFS($G98=$G$5,I$5,$G98=$G$7,I$7,$G98=$G$10,I$10,$G98=$G$13,I$13,$G98=$G$14,I$14,$G98=$G$16,I$16,$G98=$G$17,I$17,$G98=$G$19,I$19,$G98=$G$20,I$20,$G98=$G$22,I$22,$G98=$G$23,I$23,$G98=$G$26,I$26,$G98=$G$29,I$29,$G98=$G$31,I$31,$G98=$G$34,I$34,$G98=$G$37,I$37,$G98=$G$107,I$107,$G98=$G$110,I$110,$G98=$G$140,I$140,$G98=$G$142,I$142,$G98=$G$408,I$408)</f>
        <v>2.1677469999999999</v>
      </c>
      <c r="J98" s="51" cm="1">
        <f t="array" ref="J98">_xlfn.IFS($G98=$G$5,J$5,$G98=$G$7,J$7,$G98=$G$10,J$10,$G98=$G$13,J$13,$G98=$G$14,J$14,$G98=$G$16,J$16,$G98=$G$17,J$17,$G98=$G$19,J$19,$G98=$G$20,J$20,$G98=$G$22,J$22,$G98=$G$23,J$23,$G98=$G$26,J$26,$G98=$G$29,J$29,$G98=$G$31,J$31,$G98=$G$34,J$34,$G98=$G$37,J$37,$G98=$G$107,J$107,$G98=$G$110,J$110,$G98=$G$140,J$140,$G98=$G$142,J$142,$G98=$G$408,J$408)</f>
        <v>96.85</v>
      </c>
      <c r="K98" s="13" t="str" cm="1">
        <f t="array" ref="K98">_xlfn.IFS($G98=$G$5,K$5,$G98=$G$7,K$7,$G98=$G$10,K$10,$G98=$G$13,K$13,$G98=$G$14,K$14,$G98=$G$16,K$16,$G98=$G$17,K$17,$G98=$G$19,K$19,$G98=$G$20,K$20,$G98=$G$22,K$22,$G98=$G$23,K$23,$G98=$G$26,K$26,$G98=$G$29,K$29,$G98=$G$31,K$31,$G98=$G$34,K$34,$G98=$G$37,K$37,$G98=$G$107,K$107,$G98=$G$110,K$110,$G98=$G$140,K$140,$G98=$G$142,K$142,$G98=$G$408,K$408)</f>
        <v>BG sentinel + BG lure7</v>
      </c>
      <c r="O98" s="13" t="str">
        <f t="shared" si="0"/>
        <v>A_SP_BCN_18_220705</v>
      </c>
      <c r="P98" s="27">
        <v>44747</v>
      </c>
      <c r="Q98" s="29">
        <v>0.75347222222222221</v>
      </c>
      <c r="R98" s="22"/>
      <c r="S98" s="27">
        <v>44754</v>
      </c>
      <c r="T98" s="29">
        <v>0.77430555555555547</v>
      </c>
      <c r="V98" s="13" t="s">
        <v>86</v>
      </c>
      <c r="X98" s="13">
        <f t="shared" si="8"/>
        <v>7</v>
      </c>
      <c r="Z98" s="13" t="s">
        <v>164</v>
      </c>
      <c r="AA98" s="13">
        <f t="shared" si="11"/>
        <v>1</v>
      </c>
      <c r="AB98" s="13" t="str">
        <f t="shared" si="9"/>
        <v>Adult</v>
      </c>
      <c r="AC98" s="13">
        <v>1</v>
      </c>
      <c r="AD98" s="13">
        <v>0</v>
      </c>
      <c r="AE98" s="13" t="str">
        <f t="shared" si="10"/>
        <v>Morphological</v>
      </c>
      <c r="AF98" s="2">
        <v>4</v>
      </c>
    </row>
    <row r="99" spans="1:32" x14ac:dyDescent="0.25">
      <c r="A99" s="13">
        <v>95</v>
      </c>
      <c r="B99" s="23" t="s">
        <v>56</v>
      </c>
      <c r="C99" s="23" t="s">
        <v>57</v>
      </c>
      <c r="D99" s="23" t="s">
        <v>58</v>
      </c>
      <c r="E99" s="23" t="s">
        <v>58</v>
      </c>
      <c r="F99" s="35" cm="1">
        <f t="array" ref="F99">_xlfn.IFS($G99=$G$5,F$5,$G99=$G$7,F$7,$G99=$G$10,F$10,$G99=$G$13,F$13,$G99=$G$14,F$14,$G99=$G$16,F$16,$G99=$G$17,F$17,$G99=$G$19,F$19,$G99=$G$20,F$20,$G99=$G$22,F$22,$G99=$G$23,F$23,$G99=$G$26,F$26,$G99=$G$29,F$29,$G99=$G$31,F$31,$G99=$G$34,F$34,$G99=$G$37,F$37,$G99=$G$107,F$107,$G99=$G$110,F$110,$G99=$G$140,F$140,$G99=$G$142,F$142,$G99=$G$408,F$408)</f>
        <v>8038</v>
      </c>
      <c r="G99" s="13" t="s">
        <v>76</v>
      </c>
      <c r="H99" s="51" cm="1">
        <f t="array" ref="H99">_xlfn.IFS($G99=$G$5,H$5,$G99=$G$7,H$7,$G99=$G$10,H$10,$G99=$G$13,H$13,$G99=$G$14,H$14,$G99=$G$16,H$16,$G99=$G$17,H$17,$G99=$G$19,H$19,$G99=$G$20,H$20,$G99=$G$22,H$22,$G99=$G$23,H$23,$G99=$G$26,H$26,$G99=$G$29,H$29,$G99=$G$31,H$31,$G99=$G$34,H$34,$G99=$G$37,H$37,$G99=$G$107,H$107,$G99=$G$110,H$110,$G99=$G$140,H$140,$G99=$G$142,H$142,$G99=$G$408,H$408)</f>
        <v>41.359864999999999</v>
      </c>
      <c r="I99" s="51" cm="1">
        <f t="array" ref="I99">_xlfn.IFS($G99=$G$5,I$5,$G99=$G$7,I$7,$G99=$G$10,I$10,$G99=$G$13,I$13,$G99=$G$14,I$14,$G99=$G$16,I$16,$G99=$G$17,I$17,$G99=$G$19,I$19,$G99=$G$20,I$20,$G99=$G$22,I$22,$G99=$G$23,I$23,$G99=$G$26,I$26,$G99=$G$29,I$29,$G99=$G$31,I$31,$G99=$G$34,I$34,$G99=$G$37,I$37,$G99=$G$107,I$107,$G99=$G$110,I$110,$G99=$G$140,I$140,$G99=$G$142,I$142,$G99=$G$408,I$408)</f>
        <v>2.1445430000000001</v>
      </c>
      <c r="J99" s="51" cm="1">
        <f t="array" ref="J99">_xlfn.IFS($G99=$G$5,J$5,$G99=$G$7,J$7,$G99=$G$10,J$10,$G99=$G$13,J$13,$G99=$G$14,J$14,$G99=$G$16,J$16,$G99=$G$17,J$17,$G99=$G$19,J$19,$G99=$G$20,J$20,$G99=$G$22,J$22,$G99=$G$23,J$23,$G99=$G$26,J$26,$G99=$G$29,J$29,$G99=$G$31,J$31,$G99=$G$34,J$34,$G99=$G$37,J$37,$G99=$G$107,J$107,$G99=$G$110,J$110,$G99=$G$140,J$140,$G99=$G$142,J$142,$G99=$G$408,J$408)</f>
        <v>11.4</v>
      </c>
      <c r="K99" s="13" t="str" cm="1">
        <f t="array" ref="K99">_xlfn.IFS($G99=$G$5,K$5,$G99=$G$7,K$7,$G99=$G$10,K$10,$G99=$G$13,K$13,$G99=$G$14,K$14,$G99=$G$16,K$16,$G99=$G$17,K$17,$G99=$G$19,K$19,$G99=$G$20,K$20,$G99=$G$22,K$22,$G99=$G$23,K$23,$G99=$G$26,K$26,$G99=$G$29,K$29,$G99=$G$31,K$31,$G99=$G$34,K$34,$G99=$G$37,K$37,$G99=$G$107,K$107,$G99=$G$110,K$110,$G99=$G$140,K$140,$G99=$G$142,K$142,$G99=$G$408,K$408)</f>
        <v>BG sentinel + BG lure7</v>
      </c>
      <c r="O99" s="13" t="str">
        <f t="shared" si="0"/>
        <v>A_SP_BCN_19_220705</v>
      </c>
      <c r="P99" s="27">
        <v>44747</v>
      </c>
      <c r="Q99" s="29">
        <v>0.55555555555555558</v>
      </c>
      <c r="R99" s="22"/>
      <c r="S99" s="27">
        <v>44754</v>
      </c>
      <c r="T99" s="29">
        <v>0.51736111111111105</v>
      </c>
      <c r="V99" s="13" t="s">
        <v>86</v>
      </c>
      <c r="W99" s="15" t="s">
        <v>178</v>
      </c>
      <c r="X99" s="13">
        <f t="shared" si="8"/>
        <v>7</v>
      </c>
      <c r="Z99" s="13" t="s">
        <v>60</v>
      </c>
      <c r="AA99" s="13">
        <f t="shared" si="11"/>
        <v>42</v>
      </c>
      <c r="AB99" s="13" t="str">
        <f t="shared" si="9"/>
        <v>Adult</v>
      </c>
      <c r="AC99" s="13">
        <v>39</v>
      </c>
      <c r="AD99" s="13">
        <v>3</v>
      </c>
      <c r="AE99" s="13" t="str">
        <f t="shared" si="10"/>
        <v>Morphological</v>
      </c>
      <c r="AF99" s="2">
        <v>3</v>
      </c>
    </row>
    <row r="100" spans="1:32" x14ac:dyDescent="0.25">
      <c r="A100" s="13">
        <v>96</v>
      </c>
      <c r="B100" s="23" t="s">
        <v>56</v>
      </c>
      <c r="C100" s="23" t="s">
        <v>57</v>
      </c>
      <c r="D100" s="23" t="s">
        <v>58</v>
      </c>
      <c r="E100" s="23" t="s">
        <v>58</v>
      </c>
      <c r="F100" s="35" cm="1">
        <f t="array" ref="F100">_xlfn.IFS($G100=$G$5,F$5,$G100=$G$7,F$7,$G100=$G$10,F$10,$G100=$G$13,F$13,$G100=$G$14,F$14,$G100=$G$16,F$16,$G100=$G$17,F$17,$G100=$G$19,F$19,$G100=$G$20,F$20,$G100=$G$22,F$22,$G100=$G$23,F$23,$G100=$G$26,F$26,$G100=$G$29,F$29,$G100=$G$31,F$31,$G100=$G$34,F$34,$G100=$G$37,F$37,$G100=$G$107,F$107,$G100=$G$110,F$110,$G100=$G$140,F$140,$G100=$G$142,F$142,$G100=$G$408,F$408)</f>
        <v>8038</v>
      </c>
      <c r="G100" s="13" t="s">
        <v>76</v>
      </c>
      <c r="H100" s="51" cm="1">
        <f t="array" ref="H100">_xlfn.IFS($G100=$G$5,H$5,$G100=$G$7,H$7,$G100=$G$10,H$10,$G100=$G$13,H$13,$G100=$G$14,H$14,$G100=$G$16,H$16,$G100=$G$17,H$17,$G100=$G$19,H$19,$G100=$G$20,H$20,$G100=$G$22,H$22,$G100=$G$23,H$23,$G100=$G$26,H$26,$G100=$G$29,H$29,$G100=$G$31,H$31,$G100=$G$34,H$34,$G100=$G$37,H$37,$G100=$G$107,H$107,$G100=$G$110,H$110,$G100=$G$140,H$140,$G100=$G$142,H$142,$G100=$G$408,H$408)</f>
        <v>41.359864999999999</v>
      </c>
      <c r="I100" s="51" cm="1">
        <f t="array" ref="I100">_xlfn.IFS($G100=$G$5,I$5,$G100=$G$7,I$7,$G100=$G$10,I$10,$G100=$G$13,I$13,$G100=$G$14,I$14,$G100=$G$16,I$16,$G100=$G$17,I$17,$G100=$G$19,I$19,$G100=$G$20,I$20,$G100=$G$22,I$22,$G100=$G$23,I$23,$G100=$G$26,I$26,$G100=$G$29,I$29,$G100=$G$31,I$31,$G100=$G$34,I$34,$G100=$G$37,I$37,$G100=$G$107,I$107,$G100=$G$110,I$110,$G100=$G$140,I$140,$G100=$G$142,I$142,$G100=$G$408,I$408)</f>
        <v>2.1445430000000001</v>
      </c>
      <c r="J100" s="51" cm="1">
        <f t="array" ref="J100">_xlfn.IFS($G100=$G$5,J$5,$G100=$G$7,J$7,$G100=$G$10,J$10,$G100=$G$13,J$13,$G100=$G$14,J$14,$G100=$G$16,J$16,$G100=$G$17,J$17,$G100=$G$19,J$19,$G100=$G$20,J$20,$G100=$G$22,J$22,$G100=$G$23,J$23,$G100=$G$26,J$26,$G100=$G$29,J$29,$G100=$G$31,J$31,$G100=$G$34,J$34,$G100=$G$37,J$37,$G100=$G$107,J$107,$G100=$G$110,J$110,$G100=$G$140,J$140,$G100=$G$142,J$142,$G100=$G$408,J$408)</f>
        <v>11.4</v>
      </c>
      <c r="K100" s="13" t="str" cm="1">
        <f t="array" ref="K100">_xlfn.IFS($G100=$G$5,K$5,$G100=$G$7,K$7,$G100=$G$10,K$10,$G100=$G$13,K$13,$G100=$G$14,K$14,$G100=$G$16,K$16,$G100=$G$17,K$17,$G100=$G$19,K$19,$G100=$G$20,K$20,$G100=$G$22,K$22,$G100=$G$23,K$23,$G100=$G$26,K$26,$G100=$G$29,K$29,$G100=$G$31,K$31,$G100=$G$34,K$34,$G100=$G$37,K$37,$G100=$G$107,K$107,$G100=$G$110,K$110,$G100=$G$140,K$140,$G100=$G$142,K$142,$G100=$G$408,K$408)</f>
        <v>BG sentinel + BG lure7</v>
      </c>
      <c r="O100" s="13" t="str">
        <f t="shared" si="0"/>
        <v>A_SP_BCN_19_220705</v>
      </c>
      <c r="P100" s="27">
        <v>44747</v>
      </c>
      <c r="Q100" s="29">
        <v>0.55555555555555558</v>
      </c>
      <c r="R100" s="22"/>
      <c r="S100" s="27">
        <v>44754</v>
      </c>
      <c r="T100" s="29">
        <v>0.51736111111111105</v>
      </c>
      <c r="V100" s="13" t="s">
        <v>86</v>
      </c>
      <c r="W100" s="15" t="s">
        <v>178</v>
      </c>
      <c r="X100" s="13">
        <f t="shared" si="8"/>
        <v>7</v>
      </c>
      <c r="Z100" s="13" t="s">
        <v>164</v>
      </c>
      <c r="AA100" s="13">
        <f t="shared" si="11"/>
        <v>117</v>
      </c>
      <c r="AB100" s="13" t="str">
        <f t="shared" si="9"/>
        <v>Adult</v>
      </c>
      <c r="AC100" s="13">
        <v>115</v>
      </c>
      <c r="AD100" s="13">
        <v>2</v>
      </c>
      <c r="AE100" s="13" t="str">
        <f t="shared" si="10"/>
        <v>Morphological</v>
      </c>
      <c r="AF100" s="2">
        <v>3</v>
      </c>
    </row>
    <row r="101" spans="1:32" x14ac:dyDescent="0.25">
      <c r="A101" s="13">
        <v>97</v>
      </c>
      <c r="B101" s="23" t="s">
        <v>56</v>
      </c>
      <c r="C101" s="23" t="s">
        <v>57</v>
      </c>
      <c r="D101" s="23" t="s">
        <v>58</v>
      </c>
      <c r="E101" s="23" t="s">
        <v>58</v>
      </c>
      <c r="F101" s="35" cm="1">
        <f t="array" ref="F101">_xlfn.IFS($G101=$G$5,F$5,$G101=$G$7,F$7,$G101=$G$10,F$10,$G101=$G$13,F$13,$G101=$G$14,F$14,$G101=$G$16,F$16,$G101=$G$17,F$17,$G101=$G$19,F$19,$G101=$G$20,F$20,$G101=$G$22,F$22,$G101=$G$23,F$23,$G101=$G$26,F$26,$G101=$G$29,F$29,$G101=$G$31,F$31,$G101=$G$34,F$34,$G101=$G$37,F$37,$G101=$G$107,F$107,$G101=$G$110,F$110,$G101=$G$140,F$140,$G101=$G$142,F$142,$G101=$G$408,F$408)</f>
        <v>8038</v>
      </c>
      <c r="G101" s="13" t="s">
        <v>76</v>
      </c>
      <c r="H101" s="51" cm="1">
        <f t="array" ref="H101">_xlfn.IFS($G101=$G$5,H$5,$G101=$G$7,H$7,$G101=$G$10,H$10,$G101=$G$13,H$13,$G101=$G$14,H$14,$G101=$G$16,H$16,$G101=$G$17,H$17,$G101=$G$19,H$19,$G101=$G$20,H$20,$G101=$G$22,H$22,$G101=$G$23,H$23,$G101=$G$26,H$26,$G101=$G$29,H$29,$G101=$G$31,H$31,$G101=$G$34,H$34,$G101=$G$37,H$37,$G101=$G$107,H$107,$G101=$G$110,H$110,$G101=$G$140,H$140,$G101=$G$142,H$142,$G101=$G$408,H$408)</f>
        <v>41.359864999999999</v>
      </c>
      <c r="I101" s="51" cm="1">
        <f t="array" ref="I101">_xlfn.IFS($G101=$G$5,I$5,$G101=$G$7,I$7,$G101=$G$10,I$10,$G101=$G$13,I$13,$G101=$G$14,I$14,$G101=$G$16,I$16,$G101=$G$17,I$17,$G101=$G$19,I$19,$G101=$G$20,I$20,$G101=$G$22,I$22,$G101=$G$23,I$23,$G101=$G$26,I$26,$G101=$G$29,I$29,$G101=$G$31,I$31,$G101=$G$34,I$34,$G101=$G$37,I$37,$G101=$G$107,I$107,$G101=$G$110,I$110,$G101=$G$140,I$140,$G101=$G$142,I$142,$G101=$G$408,I$408)</f>
        <v>2.1445430000000001</v>
      </c>
      <c r="J101" s="51" cm="1">
        <f t="array" ref="J101">_xlfn.IFS($G101=$G$5,J$5,$G101=$G$7,J$7,$G101=$G$10,J$10,$G101=$G$13,J$13,$G101=$G$14,J$14,$G101=$G$16,J$16,$G101=$G$17,J$17,$G101=$G$19,J$19,$G101=$G$20,J$20,$G101=$G$22,J$22,$G101=$G$23,J$23,$G101=$G$26,J$26,$G101=$G$29,J$29,$G101=$G$31,J$31,$G101=$G$34,J$34,$G101=$G$37,J$37,$G101=$G$107,J$107,$G101=$G$110,J$110,$G101=$G$140,J$140,$G101=$G$142,J$142,$G101=$G$408,J$408)</f>
        <v>11.4</v>
      </c>
      <c r="K101" s="13" t="str" cm="1">
        <f t="array" ref="K101">_xlfn.IFS($G101=$G$5,K$5,$G101=$G$7,K$7,$G101=$G$10,K$10,$G101=$G$13,K$13,$G101=$G$14,K$14,$G101=$G$16,K$16,$G101=$G$17,K$17,$G101=$G$19,K$19,$G101=$G$20,K$20,$G101=$G$22,K$22,$G101=$G$23,K$23,$G101=$G$26,K$26,$G101=$G$29,K$29,$G101=$G$31,K$31,$G101=$G$34,K$34,$G101=$G$37,K$37,$G101=$G$107,K$107,$G101=$G$110,K$110,$G101=$G$140,K$140,$G101=$G$142,K$142,$G101=$G$408,K$408)</f>
        <v>BG sentinel + BG lure7</v>
      </c>
      <c r="O101" s="13" t="str">
        <f t="shared" si="0"/>
        <v>A_SP_BCN_19_220705</v>
      </c>
      <c r="P101" s="27">
        <v>44747</v>
      </c>
      <c r="Q101" s="29">
        <v>0.55555555555555558</v>
      </c>
      <c r="R101" s="22"/>
      <c r="S101" s="27">
        <v>44754</v>
      </c>
      <c r="T101" s="29">
        <v>0.51736111111111105</v>
      </c>
      <c r="V101" s="13" t="s">
        <v>86</v>
      </c>
      <c r="W101" s="15" t="s">
        <v>178</v>
      </c>
      <c r="X101" s="13">
        <f t="shared" si="8"/>
        <v>7</v>
      </c>
      <c r="Z101" s="32" t="s">
        <v>163</v>
      </c>
      <c r="AA101" s="13">
        <f t="shared" si="11"/>
        <v>1</v>
      </c>
      <c r="AB101" s="13" t="str">
        <f t="shared" si="9"/>
        <v>Adult</v>
      </c>
      <c r="AC101" s="13">
        <v>1</v>
      </c>
      <c r="AD101" s="13">
        <v>0</v>
      </c>
      <c r="AE101" s="13" t="str">
        <f t="shared" si="10"/>
        <v>Morphological</v>
      </c>
      <c r="AF101" s="2">
        <v>3</v>
      </c>
    </row>
    <row r="102" spans="1:32" x14ac:dyDescent="0.25">
      <c r="A102" s="13">
        <v>98</v>
      </c>
      <c r="B102" s="23" t="s">
        <v>56</v>
      </c>
      <c r="C102" s="23" t="s">
        <v>57</v>
      </c>
      <c r="D102" s="23" t="s">
        <v>58</v>
      </c>
      <c r="E102" s="23" t="s">
        <v>58</v>
      </c>
      <c r="F102" s="35" cm="1">
        <f t="array" ref="F102">_xlfn.IFS($G102=$G$5,F$5,$G102=$G$7,F$7,$G102=$G$10,F$10,$G102=$G$13,F$13,$G102=$G$14,F$14,$G102=$G$16,F$16,$G102=$G$17,F$17,$G102=$G$19,F$19,$G102=$G$20,F$20,$G102=$G$22,F$22,$G102=$G$23,F$23,$G102=$G$26,F$26,$G102=$G$29,F$29,$G102=$G$31,F$31,$G102=$G$34,F$34,$G102=$G$37,F$37,$G102=$G$107,F$107,$G102=$G$110,F$110,$G102=$G$140,F$140,$G102=$G$142,F$142,$G102=$G$408,F$408)</f>
        <v>8017</v>
      </c>
      <c r="G102" s="13" t="s">
        <v>77</v>
      </c>
      <c r="H102" s="51" cm="1">
        <f t="array" ref="H102">_xlfn.IFS($G102=$G$5,H$5,$G102=$G$7,H$7,$G102=$G$10,H$10,$G102=$G$13,H$13,$G102=$G$14,H$14,$G102=$G$16,H$16,$G102=$G$17,H$17,$G102=$G$19,H$19,$G102=$G$20,H$20,$G102=$G$22,H$22,$G102=$G$23,H$23,$G102=$G$26,H$26,$G102=$G$29,H$29,$G102=$G$31,H$31,$G102=$G$34,H$34,$G102=$G$37,H$37,$G102=$G$107,H$107,$G102=$G$110,H$110,$G102=$G$140,H$140,$G102=$G$142,H$142,$G102=$G$408,H$408)</f>
        <v>41.430315999999998</v>
      </c>
      <c r="I102" s="51" cm="1">
        <f t="array" ref="I102">_xlfn.IFS($G102=$G$5,I$5,$G102=$G$7,I$7,$G102=$G$10,I$10,$G102=$G$13,I$13,$G102=$G$14,I$14,$G102=$G$16,I$16,$G102=$G$17,I$17,$G102=$G$19,I$19,$G102=$G$20,I$20,$G102=$G$22,I$22,$G102=$G$23,I$23,$G102=$G$26,I$26,$G102=$G$29,I$29,$G102=$G$31,I$31,$G102=$G$34,I$34,$G102=$G$37,I$37,$G102=$G$107,I$107,$G102=$G$110,I$110,$G102=$G$140,I$140,$G102=$G$142,I$142,$G102=$G$408,I$408)</f>
        <v>2.077556</v>
      </c>
      <c r="J102" s="51" cm="1">
        <f t="array" ref="J102">_xlfn.IFS($G102=$G$5,J$5,$G102=$G$7,J$7,$G102=$G$10,J$10,$G102=$G$13,J$13,$G102=$G$14,J$14,$G102=$G$16,J$16,$G102=$G$17,J$17,$G102=$G$19,J$19,$G102=$G$20,J$20,$G102=$G$22,J$22,$G102=$G$23,J$23,$G102=$G$26,J$26,$G102=$G$29,J$29,$G102=$G$31,J$31,$G102=$G$34,J$34,$G102=$G$37,J$37,$G102=$G$107,J$107,$G102=$G$110,J$110,$G102=$G$140,J$140,$G102=$G$142,J$142,$G102=$G$408,J$408)</f>
        <v>243.3</v>
      </c>
      <c r="K102" s="13" t="str" cm="1">
        <f t="array" ref="K102">_xlfn.IFS($G102=$G$5,K$5,$G102=$G$7,K$7,$G102=$G$10,K$10,$G102=$G$13,K$13,$G102=$G$14,K$14,$G102=$G$16,K$16,$G102=$G$17,K$17,$G102=$G$19,K$19,$G102=$G$20,K$20,$G102=$G$22,K$22,$G102=$G$23,K$23,$G102=$G$26,K$26,$G102=$G$29,K$29,$G102=$G$31,K$31,$G102=$G$34,K$34,$G102=$G$37,K$37,$G102=$G$107,K$107,$G102=$G$110,K$110,$G102=$G$140,K$140,$G102=$G$142,K$142,$G102=$G$408,K$408)</f>
        <v>BG sentinel + BG lure7</v>
      </c>
      <c r="O102" s="13" t="str">
        <f t="shared" si="0"/>
        <v>A_SP_BCN_22_220705</v>
      </c>
      <c r="P102" s="27">
        <v>44747</v>
      </c>
      <c r="Q102" s="29">
        <v>0.69097222222222221</v>
      </c>
      <c r="R102" s="22"/>
      <c r="S102" s="27">
        <v>44754</v>
      </c>
      <c r="T102" s="29">
        <v>0.70138888888888884</v>
      </c>
      <c r="V102" s="13" t="s">
        <v>86</v>
      </c>
      <c r="W102" s="15" t="s">
        <v>132</v>
      </c>
      <c r="X102" s="13">
        <f t="shared" si="8"/>
        <v>7</v>
      </c>
      <c r="Z102" s="13" t="s">
        <v>60</v>
      </c>
      <c r="AA102" s="13">
        <f t="shared" si="11"/>
        <v>13</v>
      </c>
      <c r="AB102" s="13" t="str">
        <f t="shared" si="9"/>
        <v>Adult</v>
      </c>
      <c r="AC102" s="13">
        <v>13</v>
      </c>
      <c r="AD102" s="13">
        <v>0</v>
      </c>
      <c r="AE102" s="13" t="str">
        <f t="shared" si="10"/>
        <v>Morphological</v>
      </c>
      <c r="AF102" s="2">
        <v>3</v>
      </c>
    </row>
    <row r="103" spans="1:32" x14ac:dyDescent="0.25">
      <c r="A103" s="13">
        <v>99</v>
      </c>
      <c r="B103" s="23" t="s">
        <v>56</v>
      </c>
      <c r="C103" s="23" t="s">
        <v>57</v>
      </c>
      <c r="D103" s="23" t="s">
        <v>58</v>
      </c>
      <c r="E103" s="23" t="s">
        <v>58</v>
      </c>
      <c r="F103" s="35" cm="1">
        <f t="array" ref="F103">_xlfn.IFS($G103=$G$5,F$5,$G103=$G$7,F$7,$G103=$G$10,F$10,$G103=$G$13,F$13,$G103=$G$14,F$14,$G103=$G$16,F$16,$G103=$G$17,F$17,$G103=$G$19,F$19,$G103=$G$20,F$20,$G103=$G$22,F$22,$G103=$G$23,F$23,$G103=$G$26,F$26,$G103=$G$29,F$29,$G103=$G$31,F$31,$G103=$G$34,F$34,$G103=$G$37,F$37,$G103=$G$107,F$107,$G103=$G$110,F$110,$G103=$G$140,F$140,$G103=$G$142,F$142,$G103=$G$408,F$408)</f>
        <v>8017</v>
      </c>
      <c r="G103" s="13" t="s">
        <v>77</v>
      </c>
      <c r="H103" s="51" cm="1">
        <f t="array" ref="H103">_xlfn.IFS($G103=$G$5,H$5,$G103=$G$7,H$7,$G103=$G$10,H$10,$G103=$G$13,H$13,$G103=$G$14,H$14,$G103=$G$16,H$16,$G103=$G$17,H$17,$G103=$G$19,H$19,$G103=$G$20,H$20,$G103=$G$22,H$22,$G103=$G$23,H$23,$G103=$G$26,H$26,$G103=$G$29,H$29,$G103=$G$31,H$31,$G103=$G$34,H$34,$G103=$G$37,H$37,$G103=$G$107,H$107,$G103=$G$110,H$110,$G103=$G$140,H$140,$G103=$G$142,H$142,$G103=$G$408,H$408)</f>
        <v>41.430315999999998</v>
      </c>
      <c r="I103" s="51" cm="1">
        <f t="array" ref="I103">_xlfn.IFS($G103=$G$5,I$5,$G103=$G$7,I$7,$G103=$G$10,I$10,$G103=$G$13,I$13,$G103=$G$14,I$14,$G103=$G$16,I$16,$G103=$G$17,I$17,$G103=$G$19,I$19,$G103=$G$20,I$20,$G103=$G$22,I$22,$G103=$G$23,I$23,$G103=$G$26,I$26,$G103=$G$29,I$29,$G103=$G$31,I$31,$G103=$G$34,I$34,$G103=$G$37,I$37,$G103=$G$107,I$107,$G103=$G$110,I$110,$G103=$G$140,I$140,$G103=$G$142,I$142,$G103=$G$408,I$408)</f>
        <v>2.077556</v>
      </c>
      <c r="J103" s="51" cm="1">
        <f t="array" ref="J103">_xlfn.IFS($G103=$G$5,J$5,$G103=$G$7,J$7,$G103=$G$10,J$10,$G103=$G$13,J$13,$G103=$G$14,J$14,$G103=$G$16,J$16,$G103=$G$17,J$17,$G103=$G$19,J$19,$G103=$G$20,J$20,$G103=$G$22,J$22,$G103=$G$23,J$23,$G103=$G$26,J$26,$G103=$G$29,J$29,$G103=$G$31,J$31,$G103=$G$34,J$34,$G103=$G$37,J$37,$G103=$G$107,J$107,$G103=$G$110,J$110,$G103=$G$140,J$140,$G103=$G$142,J$142,$G103=$G$408,J$408)</f>
        <v>243.3</v>
      </c>
      <c r="K103" s="13" t="str" cm="1">
        <f t="array" ref="K103">_xlfn.IFS($G103=$G$5,K$5,$G103=$G$7,K$7,$G103=$G$10,K$10,$G103=$G$13,K$13,$G103=$G$14,K$14,$G103=$G$16,K$16,$G103=$G$17,K$17,$G103=$G$19,K$19,$G103=$G$20,K$20,$G103=$G$22,K$22,$G103=$G$23,K$23,$G103=$G$26,K$26,$G103=$G$29,K$29,$G103=$G$31,K$31,$G103=$G$34,K$34,$G103=$G$37,K$37,$G103=$G$107,K$107,$G103=$G$110,K$110,$G103=$G$140,K$140,$G103=$G$142,K$142,$G103=$G$408,K$408)</f>
        <v>BG sentinel + BG lure7</v>
      </c>
      <c r="O103" s="13" t="str">
        <f t="shared" si="0"/>
        <v>A_SP_BCN_22_220705</v>
      </c>
      <c r="P103" s="27">
        <v>44747</v>
      </c>
      <c r="Q103" s="29">
        <v>0.69097222222222221</v>
      </c>
      <c r="R103" s="22"/>
      <c r="S103" s="27">
        <v>44754</v>
      </c>
      <c r="T103" s="29">
        <v>0.70138888888888884</v>
      </c>
      <c r="V103" s="13" t="s">
        <v>86</v>
      </c>
      <c r="W103" s="15" t="s">
        <v>132</v>
      </c>
      <c r="X103" s="13">
        <f t="shared" si="8"/>
        <v>7</v>
      </c>
      <c r="Z103" s="13" t="s">
        <v>164</v>
      </c>
      <c r="AA103" s="13">
        <f t="shared" si="11"/>
        <v>6</v>
      </c>
      <c r="AB103" s="13" t="str">
        <f t="shared" si="9"/>
        <v>Adult</v>
      </c>
      <c r="AC103" s="13">
        <v>1</v>
      </c>
      <c r="AD103" s="13">
        <v>5</v>
      </c>
      <c r="AE103" s="13" t="str">
        <f t="shared" si="10"/>
        <v>Morphological</v>
      </c>
      <c r="AF103" s="2">
        <v>3</v>
      </c>
    </row>
    <row r="104" spans="1:32" x14ac:dyDescent="0.25">
      <c r="A104" s="13">
        <v>100</v>
      </c>
      <c r="B104" s="23" t="s">
        <v>56</v>
      </c>
      <c r="C104" s="23" t="s">
        <v>57</v>
      </c>
      <c r="D104" s="23" t="s">
        <v>58</v>
      </c>
      <c r="E104" s="23" t="s">
        <v>58</v>
      </c>
      <c r="F104" s="35" cm="1">
        <f t="array" ref="F104">_xlfn.IFS($G104=$G$5,F$5,$G104=$G$7,F$7,$G104=$G$10,F$10,$G104=$G$13,F$13,$G104=$G$14,F$14,$G104=$G$16,F$16,$G104=$G$17,F$17,$G104=$G$19,F$19,$G104=$G$20,F$20,$G104=$G$22,F$22,$G104=$G$23,F$23,$G104=$G$26,F$26,$G104=$G$29,F$29,$G104=$G$31,F$31,$G104=$G$34,F$34,$G104=$G$37,F$37,$G104=$G$107,F$107,$G104=$G$110,F$110,$G104=$G$140,F$140,$G104=$G$142,F$142,$G104=$G$408,F$408)</f>
        <v>8017</v>
      </c>
      <c r="G104" s="13" t="s">
        <v>77</v>
      </c>
      <c r="H104" s="51" cm="1">
        <f t="array" ref="H104">_xlfn.IFS($G104=$G$5,H$5,$G104=$G$7,H$7,$G104=$G$10,H$10,$G104=$G$13,H$13,$G104=$G$14,H$14,$G104=$G$16,H$16,$G104=$G$17,H$17,$G104=$G$19,H$19,$G104=$G$20,H$20,$G104=$G$22,H$22,$G104=$G$23,H$23,$G104=$G$26,H$26,$G104=$G$29,H$29,$G104=$G$31,H$31,$G104=$G$34,H$34,$G104=$G$37,H$37,$G104=$G$107,H$107,$G104=$G$110,H$110,$G104=$G$140,H$140,$G104=$G$142,H$142,$G104=$G$408,H$408)</f>
        <v>41.430315999999998</v>
      </c>
      <c r="I104" s="51" cm="1">
        <f t="array" ref="I104">_xlfn.IFS($G104=$G$5,I$5,$G104=$G$7,I$7,$G104=$G$10,I$10,$G104=$G$13,I$13,$G104=$G$14,I$14,$G104=$G$16,I$16,$G104=$G$17,I$17,$G104=$G$19,I$19,$G104=$G$20,I$20,$G104=$G$22,I$22,$G104=$G$23,I$23,$G104=$G$26,I$26,$G104=$G$29,I$29,$G104=$G$31,I$31,$G104=$G$34,I$34,$G104=$G$37,I$37,$G104=$G$107,I$107,$G104=$G$110,I$110,$G104=$G$140,I$140,$G104=$G$142,I$142,$G104=$G$408,I$408)</f>
        <v>2.077556</v>
      </c>
      <c r="J104" s="51" cm="1">
        <f t="array" ref="J104">_xlfn.IFS($G104=$G$5,J$5,$G104=$G$7,J$7,$G104=$G$10,J$10,$G104=$G$13,J$13,$G104=$G$14,J$14,$G104=$G$16,J$16,$G104=$G$17,J$17,$G104=$G$19,J$19,$G104=$G$20,J$20,$G104=$G$22,J$22,$G104=$G$23,J$23,$G104=$G$26,J$26,$G104=$G$29,J$29,$G104=$G$31,J$31,$G104=$G$34,J$34,$G104=$G$37,J$37,$G104=$G$107,J$107,$G104=$G$110,J$110,$G104=$G$140,J$140,$G104=$G$142,J$142,$G104=$G$408,J$408)</f>
        <v>243.3</v>
      </c>
      <c r="K104" s="13" t="str" cm="1">
        <f t="array" ref="K104">_xlfn.IFS($G104=$G$5,K$5,$G104=$G$7,K$7,$G104=$G$10,K$10,$G104=$G$13,K$13,$G104=$G$14,K$14,$G104=$G$16,K$16,$G104=$G$17,K$17,$G104=$G$19,K$19,$G104=$G$20,K$20,$G104=$G$22,K$22,$G104=$G$23,K$23,$G104=$G$26,K$26,$G104=$G$29,K$29,$G104=$G$31,K$31,$G104=$G$34,K$34,$G104=$G$37,K$37,$G104=$G$107,K$107,$G104=$G$110,K$110,$G104=$G$140,K$140,$G104=$G$142,K$142,$G104=$G$408,K$408)</f>
        <v>BG sentinel + BG lure7</v>
      </c>
      <c r="O104" s="13" t="str">
        <f t="shared" ref="O104:O203" si="12">G104&amp;"_"&amp;TEXT(P104, "AAMMDD")</f>
        <v>A_SP_BCN_22_220705</v>
      </c>
      <c r="P104" s="27">
        <v>44747</v>
      </c>
      <c r="Q104" s="29">
        <v>0.69097222222222221</v>
      </c>
      <c r="R104" s="22"/>
      <c r="S104" s="27">
        <v>44754</v>
      </c>
      <c r="T104" s="29">
        <v>0.70138888888888884</v>
      </c>
      <c r="V104" s="13" t="s">
        <v>86</v>
      </c>
      <c r="W104" s="15" t="s">
        <v>132</v>
      </c>
      <c r="X104" s="13">
        <f t="shared" si="8"/>
        <v>7</v>
      </c>
      <c r="Z104" s="32" t="s">
        <v>163</v>
      </c>
      <c r="AA104" s="13">
        <f t="shared" si="11"/>
        <v>2</v>
      </c>
      <c r="AB104" s="13" t="str">
        <f t="shared" si="9"/>
        <v>Adult</v>
      </c>
      <c r="AC104" s="13">
        <v>2</v>
      </c>
      <c r="AD104" s="13">
        <v>0</v>
      </c>
      <c r="AE104" s="13" t="str">
        <f t="shared" si="10"/>
        <v>Morphological</v>
      </c>
      <c r="AF104" s="2">
        <v>3</v>
      </c>
    </row>
    <row r="105" spans="1:32" x14ac:dyDescent="0.25">
      <c r="A105" s="13">
        <v>101</v>
      </c>
      <c r="B105" s="23" t="s">
        <v>56</v>
      </c>
      <c r="C105" s="23" t="s">
        <v>57</v>
      </c>
      <c r="D105" s="23" t="s">
        <v>58</v>
      </c>
      <c r="E105" s="23" t="s">
        <v>58</v>
      </c>
      <c r="F105" s="35" cm="1">
        <f t="array" ref="F105">_xlfn.IFS($G105=$G$5,F$5,$G105=$G$7,F$7,$G105=$G$10,F$10,$G105=$G$13,F$13,$G105=$G$14,F$14,$G105=$G$16,F$16,$G105=$G$17,F$17,$G105=$G$19,F$19,$G105=$G$20,F$20,$G105=$G$22,F$22,$G105=$G$23,F$23,$G105=$G$26,F$26,$G105=$G$29,F$29,$G105=$G$31,F$31,$G105=$G$34,F$34,$G105=$G$37,F$37,$G105=$G$107,F$107,$G105=$G$110,F$110,$G105=$G$140,F$140,$G105=$G$142,F$142,$G105=$G$408,F$408)</f>
        <v>8038</v>
      </c>
      <c r="G105" s="13" t="s">
        <v>79</v>
      </c>
      <c r="H105" s="51" cm="1">
        <f t="array" ref="H105">_xlfn.IFS($G105=$G$5,H$5,$G105=$G$7,H$7,$G105=$G$10,H$10,$G105=$G$13,H$13,$G105=$G$14,H$14,$G105=$G$16,H$16,$G105=$G$17,H$17,$G105=$G$19,H$19,$G105=$G$20,H$20,$G105=$G$22,H$22,$G105=$G$23,H$23,$G105=$G$26,H$26,$G105=$G$29,H$29,$G105=$G$31,H$31,$G105=$G$34,H$34,$G105=$G$37,H$37,$G105=$G$107,H$107,$G105=$G$110,H$110,$G105=$G$140,H$140,$G105=$G$142,H$142,$G105=$G$408,H$408)</f>
        <v>41.367100000000001</v>
      </c>
      <c r="I105" s="51" cm="1">
        <f t="array" ref="I105">_xlfn.IFS($G105=$G$5,I$5,$G105=$G$7,I$7,$G105=$G$10,I$10,$G105=$G$13,I$13,$G105=$G$14,I$14,$G105=$G$16,I$16,$G105=$G$17,I$17,$G105=$G$19,I$19,$G105=$G$20,I$20,$G105=$G$22,I$22,$G105=$G$23,I$23,$G105=$G$26,I$26,$G105=$G$29,I$29,$G105=$G$31,I$31,$G105=$G$34,I$34,$G105=$G$37,I$37,$G105=$G$107,I$107,$G105=$G$110,I$110,$G105=$G$140,I$140,$G105=$G$142,I$142,$G105=$G$408,I$408)</f>
        <v>2.1539079999999999</v>
      </c>
      <c r="J105" s="51" cm="1">
        <f t="array" ref="J105">_xlfn.IFS($G105=$G$5,J$5,$G105=$G$7,J$7,$G105=$G$10,J$10,$G105=$G$13,J$13,$G105=$G$14,J$14,$G105=$G$16,J$16,$G105=$G$17,J$17,$G105=$G$19,J$19,$G105=$G$20,J$20,$G105=$G$22,J$22,$G105=$G$23,J$23,$G105=$G$26,J$26,$G105=$G$29,J$29,$G105=$G$31,J$31,$G105=$G$34,J$34,$G105=$G$37,J$37,$G105=$G$107,J$107,$G105=$G$110,J$110,$G105=$G$140,J$140,$G105=$G$142,J$142,$G105=$G$408,J$408)</f>
        <v>68</v>
      </c>
      <c r="K105" s="13" t="str" cm="1">
        <f t="array" ref="K105">_xlfn.IFS($G105=$G$5,K$5,$G105=$G$7,K$7,$G105=$G$10,K$10,$G105=$G$13,K$13,$G105=$G$14,K$14,$G105=$G$16,K$16,$G105=$G$17,K$17,$G105=$G$19,K$19,$G105=$G$20,K$20,$G105=$G$22,K$22,$G105=$G$23,K$23,$G105=$G$26,K$26,$G105=$G$29,K$29,$G105=$G$31,K$31,$G105=$G$34,K$34,$G105=$G$37,K$37,$G105=$G$107,K$107,$G105=$G$110,K$110,$G105=$G$140,K$140,$G105=$G$142,K$142,$G105=$G$408,K$408)</f>
        <v>BG sentinel + BG lure7</v>
      </c>
      <c r="O105" s="13" t="str">
        <f t="shared" si="12"/>
        <v>A_SP_BCN_23_220705</v>
      </c>
      <c r="P105" s="27">
        <v>44747</v>
      </c>
      <c r="Q105" s="29">
        <v>0.57291666666666663</v>
      </c>
      <c r="R105" s="22"/>
      <c r="S105" s="27">
        <v>44754</v>
      </c>
      <c r="T105" s="29">
        <v>0.53472222222222221</v>
      </c>
      <c r="V105" s="13" t="s">
        <v>86</v>
      </c>
      <c r="W105" s="15" t="s">
        <v>136</v>
      </c>
      <c r="X105" s="13">
        <f t="shared" si="8"/>
        <v>7</v>
      </c>
      <c r="Z105" s="13" t="s">
        <v>60</v>
      </c>
      <c r="AA105" s="13">
        <f t="shared" si="11"/>
        <v>66</v>
      </c>
      <c r="AB105" s="13" t="str">
        <f t="shared" si="9"/>
        <v>Adult</v>
      </c>
      <c r="AC105" s="13">
        <v>45</v>
      </c>
      <c r="AD105" s="13">
        <v>21</v>
      </c>
      <c r="AE105" s="13" t="str">
        <f t="shared" si="10"/>
        <v>Morphological</v>
      </c>
      <c r="AF105" s="2">
        <v>2</v>
      </c>
    </row>
    <row r="106" spans="1:32" x14ac:dyDescent="0.25">
      <c r="A106" s="13">
        <v>102</v>
      </c>
      <c r="B106" s="23" t="s">
        <v>56</v>
      </c>
      <c r="C106" s="23" t="s">
        <v>57</v>
      </c>
      <c r="D106" s="23" t="s">
        <v>58</v>
      </c>
      <c r="E106" s="23" t="s">
        <v>58</v>
      </c>
      <c r="F106" s="35" cm="1">
        <f t="array" ref="F106">_xlfn.IFS($G106=$G$5,F$5,$G106=$G$7,F$7,$G106=$G$10,F$10,$G106=$G$13,F$13,$G106=$G$14,F$14,$G106=$G$16,F$16,$G106=$G$17,F$17,$G106=$G$19,F$19,$G106=$G$20,F$20,$G106=$G$22,F$22,$G106=$G$23,F$23,$G106=$G$26,F$26,$G106=$G$29,F$29,$G106=$G$31,F$31,$G106=$G$34,F$34,$G106=$G$37,F$37,$G106=$G$107,F$107,$G106=$G$110,F$110,$G106=$G$140,F$140,$G106=$G$142,F$142,$G106=$G$408,F$408)</f>
        <v>8038</v>
      </c>
      <c r="G106" s="13" t="s">
        <v>79</v>
      </c>
      <c r="H106" s="51" cm="1">
        <f t="array" ref="H106">_xlfn.IFS($G106=$G$5,H$5,$G106=$G$7,H$7,$G106=$G$10,H$10,$G106=$G$13,H$13,$G106=$G$14,H$14,$G106=$G$16,H$16,$G106=$G$17,H$17,$G106=$G$19,H$19,$G106=$G$20,H$20,$G106=$G$22,H$22,$G106=$G$23,H$23,$G106=$G$26,H$26,$G106=$G$29,H$29,$G106=$G$31,H$31,$G106=$G$34,H$34,$G106=$G$37,H$37,$G106=$G$107,H$107,$G106=$G$110,H$110,$G106=$G$140,H$140,$G106=$G$142,H$142,$G106=$G$408,H$408)</f>
        <v>41.367100000000001</v>
      </c>
      <c r="I106" s="51" cm="1">
        <f t="array" ref="I106">_xlfn.IFS($G106=$G$5,I$5,$G106=$G$7,I$7,$G106=$G$10,I$10,$G106=$G$13,I$13,$G106=$G$14,I$14,$G106=$G$16,I$16,$G106=$G$17,I$17,$G106=$G$19,I$19,$G106=$G$20,I$20,$G106=$G$22,I$22,$G106=$G$23,I$23,$G106=$G$26,I$26,$G106=$G$29,I$29,$G106=$G$31,I$31,$G106=$G$34,I$34,$G106=$G$37,I$37,$G106=$G$107,I$107,$G106=$G$110,I$110,$G106=$G$140,I$140,$G106=$G$142,I$142,$G106=$G$408,I$408)</f>
        <v>2.1539079999999999</v>
      </c>
      <c r="J106" s="51" cm="1">
        <f t="array" ref="J106">_xlfn.IFS($G106=$G$5,J$5,$G106=$G$7,J$7,$G106=$G$10,J$10,$G106=$G$13,J$13,$G106=$G$14,J$14,$G106=$G$16,J$16,$G106=$G$17,J$17,$G106=$G$19,J$19,$G106=$G$20,J$20,$G106=$G$22,J$22,$G106=$G$23,J$23,$G106=$G$26,J$26,$G106=$G$29,J$29,$G106=$G$31,J$31,$G106=$G$34,J$34,$G106=$G$37,J$37,$G106=$G$107,J$107,$G106=$G$110,J$110,$G106=$G$140,J$140,$G106=$G$142,J$142,$G106=$G$408,J$408)</f>
        <v>68</v>
      </c>
      <c r="K106" s="13" t="str" cm="1">
        <f t="array" ref="K106">_xlfn.IFS($G106=$G$5,K$5,$G106=$G$7,K$7,$G106=$G$10,K$10,$G106=$G$13,K$13,$G106=$G$14,K$14,$G106=$G$16,K$16,$G106=$G$17,K$17,$G106=$G$19,K$19,$G106=$G$20,K$20,$G106=$G$22,K$22,$G106=$G$23,K$23,$G106=$G$26,K$26,$G106=$G$29,K$29,$G106=$G$31,K$31,$G106=$G$34,K$34,$G106=$G$37,K$37,$G106=$G$107,K$107,$G106=$G$110,K$110,$G106=$G$140,K$140,$G106=$G$142,K$142,$G106=$G$408,K$408)</f>
        <v>BG sentinel + BG lure7</v>
      </c>
      <c r="O106" s="13" t="str">
        <f t="shared" si="12"/>
        <v>A_SP_BCN_23_220705</v>
      </c>
      <c r="P106" s="27">
        <v>44747</v>
      </c>
      <c r="Q106" s="29">
        <v>0.57291666666666663</v>
      </c>
      <c r="R106" s="22"/>
      <c r="S106" s="27">
        <v>44754</v>
      </c>
      <c r="T106" s="29">
        <v>0.53472222222222221</v>
      </c>
      <c r="V106" s="13" t="s">
        <v>86</v>
      </c>
      <c r="W106" s="15" t="s">
        <v>136</v>
      </c>
      <c r="X106" s="13">
        <f t="shared" si="8"/>
        <v>7</v>
      </c>
      <c r="Z106" s="13" t="s">
        <v>164</v>
      </c>
      <c r="AA106" s="13">
        <f t="shared" si="11"/>
        <v>20</v>
      </c>
      <c r="AB106" s="13" t="str">
        <f t="shared" si="9"/>
        <v>Adult</v>
      </c>
      <c r="AC106" s="13">
        <v>12</v>
      </c>
      <c r="AD106" s="13">
        <v>8</v>
      </c>
      <c r="AE106" s="13" t="str">
        <f t="shared" si="10"/>
        <v>Morphological</v>
      </c>
      <c r="AF106" s="2">
        <v>2</v>
      </c>
    </row>
    <row r="107" spans="1:32" x14ac:dyDescent="0.25">
      <c r="A107" s="13">
        <v>103</v>
      </c>
      <c r="B107" s="23" t="s">
        <v>56</v>
      </c>
      <c r="C107" s="23" t="s">
        <v>57</v>
      </c>
      <c r="D107" s="23" t="s">
        <v>58</v>
      </c>
      <c r="E107" s="23" t="s">
        <v>58</v>
      </c>
      <c r="F107" s="37">
        <v>8024</v>
      </c>
      <c r="G107" s="38" t="s">
        <v>117</v>
      </c>
      <c r="H107" s="52">
        <v>41.42</v>
      </c>
      <c r="I107" s="52">
        <v>2.16</v>
      </c>
      <c r="J107" s="52">
        <v>146.80000000000001</v>
      </c>
      <c r="K107" s="13" t="s">
        <v>59</v>
      </c>
      <c r="O107" s="13" t="str">
        <f t="shared" si="12"/>
        <v>V4_220706</v>
      </c>
      <c r="P107" s="27">
        <v>44748</v>
      </c>
      <c r="Q107" s="29">
        <v>0.45833333333333331</v>
      </c>
      <c r="R107" s="22"/>
      <c r="S107" s="27">
        <v>44754</v>
      </c>
      <c r="T107" s="29">
        <v>0.58333333333333337</v>
      </c>
      <c r="V107" s="13" t="s">
        <v>86</v>
      </c>
      <c r="W107" s="15" t="s">
        <v>81</v>
      </c>
      <c r="X107" s="13">
        <f t="shared" si="8"/>
        <v>6</v>
      </c>
      <c r="Z107" s="13" t="s">
        <v>60</v>
      </c>
      <c r="AA107" s="13">
        <f t="shared" si="11"/>
        <v>361</v>
      </c>
      <c r="AB107" s="13" t="str">
        <f t="shared" si="9"/>
        <v>Adult</v>
      </c>
      <c r="AC107" s="13">
        <v>131</v>
      </c>
      <c r="AD107" s="13">
        <v>230</v>
      </c>
      <c r="AE107" s="13" t="str">
        <f t="shared" si="10"/>
        <v>Morphological</v>
      </c>
      <c r="AF107" s="2">
        <v>3</v>
      </c>
    </row>
    <row r="108" spans="1:32" x14ac:dyDescent="0.25">
      <c r="A108" s="13">
        <v>104</v>
      </c>
      <c r="B108" s="23" t="s">
        <v>56</v>
      </c>
      <c r="C108" s="23" t="s">
        <v>57</v>
      </c>
      <c r="D108" s="23" t="s">
        <v>58</v>
      </c>
      <c r="E108" s="23" t="s">
        <v>58</v>
      </c>
      <c r="F108" s="24">
        <v>8024</v>
      </c>
      <c r="G108" s="13" t="s">
        <v>117</v>
      </c>
      <c r="H108" s="53">
        <v>41.42</v>
      </c>
      <c r="I108" s="53">
        <v>2.16</v>
      </c>
      <c r="J108" s="53">
        <v>146.80000000000001</v>
      </c>
      <c r="K108" s="13" t="s">
        <v>59</v>
      </c>
      <c r="O108" s="13" t="str">
        <f t="shared" si="12"/>
        <v>V4_220706</v>
      </c>
      <c r="P108" s="27">
        <v>44748</v>
      </c>
      <c r="Q108" s="29">
        <v>0.45833333333333331</v>
      </c>
      <c r="R108" s="22"/>
      <c r="S108" s="27">
        <v>44754</v>
      </c>
      <c r="T108" s="29">
        <v>0.58333333333333337</v>
      </c>
      <c r="V108" s="13" t="s">
        <v>86</v>
      </c>
      <c r="W108" s="15" t="s">
        <v>81</v>
      </c>
      <c r="X108" s="13">
        <f t="shared" si="8"/>
        <v>6</v>
      </c>
      <c r="Z108" s="13" t="s">
        <v>164</v>
      </c>
      <c r="AA108" s="13">
        <f t="shared" si="11"/>
        <v>22</v>
      </c>
      <c r="AB108" s="13" t="str">
        <f t="shared" si="9"/>
        <v>Adult</v>
      </c>
      <c r="AC108" s="13">
        <v>14</v>
      </c>
      <c r="AD108" s="13">
        <v>8</v>
      </c>
      <c r="AE108" s="13" t="str">
        <f t="shared" si="10"/>
        <v>Morphological</v>
      </c>
      <c r="AF108" s="2">
        <v>3</v>
      </c>
    </row>
    <row r="109" spans="1:32" x14ac:dyDescent="0.25">
      <c r="A109" s="13">
        <v>105</v>
      </c>
      <c r="B109" s="23" t="s">
        <v>56</v>
      </c>
      <c r="C109" s="23" t="s">
        <v>57</v>
      </c>
      <c r="D109" s="23" t="s">
        <v>58</v>
      </c>
      <c r="E109" s="23" t="s">
        <v>58</v>
      </c>
      <c r="F109" s="24">
        <v>8024</v>
      </c>
      <c r="G109" s="13" t="s">
        <v>117</v>
      </c>
      <c r="H109" s="53">
        <v>41.42</v>
      </c>
      <c r="I109" s="53">
        <v>2.16</v>
      </c>
      <c r="J109" s="53">
        <v>146.80000000000001</v>
      </c>
      <c r="K109" s="13" t="s">
        <v>59</v>
      </c>
      <c r="O109" s="13" t="str">
        <f t="shared" si="12"/>
        <v>V4_220706</v>
      </c>
      <c r="P109" s="27">
        <v>44748</v>
      </c>
      <c r="Q109" s="29">
        <v>0.45833333333333331</v>
      </c>
      <c r="R109" s="22"/>
      <c r="S109" s="27">
        <v>44754</v>
      </c>
      <c r="T109" s="29">
        <v>0.58333333333333337</v>
      </c>
      <c r="V109" s="13" t="s">
        <v>86</v>
      </c>
      <c r="W109" s="15" t="s">
        <v>81</v>
      </c>
      <c r="X109" s="13">
        <f t="shared" si="8"/>
        <v>6</v>
      </c>
      <c r="Z109" s="32" t="s">
        <v>163</v>
      </c>
      <c r="AA109" s="13">
        <f t="shared" si="11"/>
        <v>11</v>
      </c>
      <c r="AB109" s="13" t="str">
        <f t="shared" si="9"/>
        <v>Adult</v>
      </c>
      <c r="AC109" s="13">
        <v>6</v>
      </c>
      <c r="AD109" s="13">
        <v>5</v>
      </c>
      <c r="AE109" s="13" t="str">
        <f t="shared" si="10"/>
        <v>Morphological</v>
      </c>
      <c r="AF109" s="2">
        <v>3</v>
      </c>
    </row>
    <row r="110" spans="1:32" x14ac:dyDescent="0.25">
      <c r="A110" s="13">
        <v>106</v>
      </c>
      <c r="B110" s="23" t="s">
        <v>56</v>
      </c>
      <c r="C110" s="23" t="s">
        <v>57</v>
      </c>
      <c r="D110" s="23" t="s">
        <v>58</v>
      </c>
      <c r="E110" s="23" t="s">
        <v>58</v>
      </c>
      <c r="F110" s="24">
        <v>8017</v>
      </c>
      <c r="G110" s="38" t="s">
        <v>97</v>
      </c>
      <c r="H110" s="53">
        <v>41.430372407595499</v>
      </c>
      <c r="I110" s="53">
        <v>2.0778358219819002</v>
      </c>
      <c r="J110" s="53">
        <v>242</v>
      </c>
      <c r="K110" s="13" t="s">
        <v>142</v>
      </c>
      <c r="O110" s="13" t="str">
        <f t="shared" si="12"/>
        <v>Premal_1_220706</v>
      </c>
      <c r="P110" s="27">
        <v>44748</v>
      </c>
      <c r="Q110" s="29">
        <v>0.60416666666666663</v>
      </c>
      <c r="R110" s="22"/>
      <c r="S110" s="27">
        <v>44754</v>
      </c>
      <c r="T110" s="29">
        <v>0.70138888888888884</v>
      </c>
      <c r="V110" s="13" t="s">
        <v>86</v>
      </c>
      <c r="X110" s="13">
        <f t="shared" si="8"/>
        <v>6</v>
      </c>
      <c r="Z110" s="13" t="s">
        <v>60</v>
      </c>
      <c r="AA110" s="13">
        <f t="shared" si="11"/>
        <v>1</v>
      </c>
      <c r="AB110" s="13" t="str">
        <f t="shared" si="9"/>
        <v>Adult</v>
      </c>
      <c r="AC110" s="13">
        <v>1</v>
      </c>
      <c r="AD110" s="13">
        <v>0</v>
      </c>
      <c r="AE110" s="13" t="str">
        <f t="shared" si="10"/>
        <v>Morphological</v>
      </c>
      <c r="AF110" s="2">
        <v>4</v>
      </c>
    </row>
    <row r="111" spans="1:32" x14ac:dyDescent="0.25">
      <c r="A111" s="13">
        <v>107</v>
      </c>
      <c r="B111" s="23" t="s">
        <v>56</v>
      </c>
      <c r="C111" s="23" t="s">
        <v>57</v>
      </c>
      <c r="D111" s="23" t="s">
        <v>58</v>
      </c>
      <c r="E111" s="23" t="s">
        <v>58</v>
      </c>
      <c r="F111" s="35" cm="1">
        <f t="array" ref="F111">_xlfn.IFS($G111=$G$5,F$5,$G111=$G$7,F$7,$G111=$G$10,F$10,$G111=$G$13,F$13,$G111=$G$14,F$14,$G111=$G$16,F$16,$G111=$G$17,F$17,$G111=$G$19,F$19,$G111=$G$20,F$20,$G111=$G$22,F$22,$G111=$G$23,F$23,$G111=$G$26,F$26,$G111=$G$29,F$29,$G111=$G$31,F$31,$G111=$G$34,F$34,$G111=$G$37,F$37,$G111=$G$107,F$107,$G111=$G$110,F$110,$G111=$G$140,F$140,$G111=$G$142,F$142,$G111=$G$408,F$408)</f>
        <v>8035</v>
      </c>
      <c r="G111" s="13" t="s">
        <v>61</v>
      </c>
      <c r="H111" s="51" cm="1">
        <f t="array" ref="H111">_xlfn.IFS($G111=$G$5,H$5,$G111=$G$7,H$7,$G111=$G$10,H$10,$G111=$G$13,H$13,$G111=$G$14,H$14,$G111=$G$16,H$16,$G111=$G$17,H$17,$G111=$G$19,H$19,$G111=$G$20,H$20,$G111=$G$22,H$22,$G111=$G$23,H$23,$G111=$G$26,H$26,$G111=$G$29,H$29,$G111=$G$31,H$31,$G111=$G$34,H$34,$G111=$G$37,H$37,$G111=$G$107,H$107,$G111=$G$110,H$110,$G111=$G$140,H$140,$G111=$G$142,H$142,$G111=$G$408,H$408)</f>
        <v>41.424387000000003</v>
      </c>
      <c r="I111" s="51" cm="1">
        <f t="array" ref="I111">_xlfn.IFS($G111=$G$5,I$5,$G111=$G$7,I$7,$G111=$G$10,I$10,$G111=$G$13,I$13,$G111=$G$14,I$14,$G111=$G$16,I$16,$G111=$G$17,I$17,$G111=$G$19,I$19,$G111=$G$20,I$20,$G111=$G$22,I$22,$G111=$G$23,I$23,$G111=$G$26,I$26,$G111=$G$29,I$29,$G111=$G$31,I$31,$G111=$G$34,I$34,$G111=$G$37,I$37,$G111=$G$107,I$107,$G111=$G$110,I$110,$G111=$G$140,I$140,$G111=$G$142,I$142,$G111=$G$408,I$408)</f>
        <v>2.1431439999999999</v>
      </c>
      <c r="J111" s="51" cm="1">
        <f t="array" ref="J111">_xlfn.IFS($G111=$G$5,J$5,$G111=$G$7,J$7,$G111=$G$10,J$10,$G111=$G$13,J$13,$G111=$G$14,J$14,$G111=$G$16,J$16,$G111=$G$17,J$17,$G111=$G$19,J$19,$G111=$G$20,J$20,$G111=$G$22,J$22,$G111=$G$23,J$23,$G111=$G$26,J$26,$G111=$G$29,J$29,$G111=$G$31,J$31,$G111=$G$34,J$34,$G111=$G$37,J$37,$G111=$G$107,J$107,$G111=$G$110,J$110,$G111=$G$140,J$140,$G111=$G$142,J$142,$G111=$G$408,J$408)</f>
        <v>160</v>
      </c>
      <c r="K111" s="13" t="str" cm="1">
        <f t="array" ref="K111">_xlfn.IFS($G111=$G$5,K$5,$G111=$G$7,K$7,$G111=$G$10,K$10,$G111=$G$13,K$13,$G111=$G$14,K$14,$G111=$G$16,K$16,$G111=$G$17,K$17,$G111=$G$19,K$19,$G111=$G$20,K$20,$G111=$G$22,K$22,$G111=$G$23,K$23,$G111=$G$26,K$26,$G111=$G$29,K$29,$G111=$G$31,K$31,$G111=$G$34,K$34,$G111=$G$37,K$37,$G111=$G$107,K$107,$G111=$G$110,K$110,$G111=$G$140,K$140,$G111=$G$142,K$142,$G111=$G$408,K$408)</f>
        <v>BG sentinel + BG lure7</v>
      </c>
      <c r="O111" s="13" t="str">
        <f t="shared" si="12"/>
        <v>A_SP_BCN_2_220712</v>
      </c>
      <c r="P111" s="27">
        <v>44754</v>
      </c>
      <c r="Q111" s="29">
        <v>0.62152777777777779</v>
      </c>
      <c r="R111" s="22"/>
      <c r="S111" s="27">
        <v>44761</v>
      </c>
      <c r="T111" s="29">
        <v>0.61805555555555558</v>
      </c>
      <c r="V111" s="13" t="s">
        <v>86</v>
      </c>
      <c r="X111" s="13">
        <f t="shared" si="8"/>
        <v>7</v>
      </c>
      <c r="Z111" s="13" t="s">
        <v>60</v>
      </c>
      <c r="AA111" s="13">
        <f t="shared" si="11"/>
        <v>12</v>
      </c>
      <c r="AB111" s="13" t="str">
        <f t="shared" si="9"/>
        <v>Adult</v>
      </c>
      <c r="AC111" s="13">
        <v>10</v>
      </c>
      <c r="AD111" s="13">
        <v>2</v>
      </c>
      <c r="AE111" s="13" t="str">
        <f t="shared" si="10"/>
        <v>Morphological</v>
      </c>
      <c r="AF111" s="2">
        <v>4</v>
      </c>
    </row>
    <row r="112" spans="1:32" x14ac:dyDescent="0.25">
      <c r="A112" s="13">
        <v>108</v>
      </c>
      <c r="B112" s="23" t="s">
        <v>56</v>
      </c>
      <c r="C112" s="23" t="s">
        <v>57</v>
      </c>
      <c r="D112" s="23" t="s">
        <v>58</v>
      </c>
      <c r="E112" s="23" t="s">
        <v>58</v>
      </c>
      <c r="F112" s="35" cm="1">
        <f t="array" ref="F112">_xlfn.IFS($G112=$G$5,F$5,$G112=$G$7,F$7,$G112=$G$10,F$10,$G112=$G$13,F$13,$G112=$G$14,F$14,$G112=$G$16,F$16,$G112=$G$17,F$17,$G112=$G$19,F$19,$G112=$G$20,F$20,$G112=$G$22,F$22,$G112=$G$23,F$23,$G112=$G$26,F$26,$G112=$G$29,F$29,$G112=$G$31,F$31,$G112=$G$34,F$34,$G112=$G$37,F$37,$G112=$G$107,F$107,$G112=$G$110,F$110,$G112=$G$140,F$140,$G112=$G$142,F$142,$G112=$G$408,F$408)</f>
        <v>8016</v>
      </c>
      <c r="G112" s="13" t="s">
        <v>62</v>
      </c>
      <c r="H112" s="51" cm="1">
        <f t="array" ref="H112">_xlfn.IFS($G112=$G$5,H$5,$G112=$G$7,H$7,$G112=$G$10,H$10,$G112=$G$13,H$13,$G112=$G$14,H$14,$G112=$G$16,H$16,$G112=$G$17,H$17,$G112=$G$19,H$19,$G112=$G$20,H$20,$G112=$G$22,H$22,$G112=$G$23,H$23,$G112=$G$26,H$26,$G112=$G$29,H$29,$G112=$G$31,H$31,$G112=$G$34,H$34,$G112=$G$37,H$37,$G112=$G$107,H$107,$G112=$G$110,H$110,$G112=$G$140,H$140,$G112=$G$142,H$142,$G112=$G$408,H$408)</f>
        <v>41.437435000000001</v>
      </c>
      <c r="I112" s="51" cm="1">
        <f t="array" ref="I112">_xlfn.IFS($G112=$G$5,I$5,$G112=$G$7,I$7,$G112=$G$10,I$10,$G112=$G$13,I$13,$G112=$G$14,I$14,$G112=$G$16,I$16,$G112=$G$17,I$17,$G112=$G$19,I$19,$G112=$G$20,I$20,$G112=$G$22,I$22,$G112=$G$23,I$23,$G112=$G$26,I$26,$G112=$G$29,I$29,$G112=$G$31,I$31,$G112=$G$34,I$34,$G112=$G$37,I$37,$G112=$G$107,I$107,$G112=$G$110,I$110,$G112=$G$140,I$140,$G112=$G$142,I$142,$G112=$G$408,I$408)</f>
        <v>2.1812779999999998</v>
      </c>
      <c r="J112" s="51" cm="1">
        <f t="array" ref="J112">_xlfn.IFS($G112=$G$5,J$5,$G112=$G$7,J$7,$G112=$G$10,J$10,$G112=$G$13,J$13,$G112=$G$14,J$14,$G112=$G$16,J$16,$G112=$G$17,J$17,$G112=$G$19,J$19,$G112=$G$20,J$20,$G112=$G$22,J$22,$G112=$G$23,J$23,$G112=$G$26,J$26,$G112=$G$29,J$29,$G112=$G$31,J$31,$G112=$G$34,J$34,$G112=$G$37,J$37,$G112=$G$107,J$107,$G112=$G$110,J$110,$G112=$G$140,J$140,$G112=$G$142,J$142,$G112=$G$408,J$408)</f>
        <v>47</v>
      </c>
      <c r="K112" s="13" t="str" cm="1">
        <f t="array" ref="K112">_xlfn.IFS($G112=$G$5,K$5,$G112=$G$7,K$7,$G112=$G$10,K$10,$G112=$G$13,K$13,$G112=$G$14,K$14,$G112=$G$16,K$16,$G112=$G$17,K$17,$G112=$G$19,K$19,$G112=$G$20,K$20,$G112=$G$22,K$22,$G112=$G$23,K$23,$G112=$G$26,K$26,$G112=$G$29,K$29,$G112=$G$31,K$31,$G112=$G$34,K$34,$G112=$G$37,K$37,$G112=$G$107,K$107,$G112=$G$110,K$110,$G112=$G$140,K$140,$G112=$G$142,K$142,$G112=$G$408,K$408)</f>
        <v>BG sentinel + BG lure7</v>
      </c>
      <c r="O112" s="13" t="str">
        <f t="shared" si="12"/>
        <v>A_SP_BCN_3_220712</v>
      </c>
      <c r="P112" s="27">
        <v>44754</v>
      </c>
      <c r="Q112" s="29">
        <v>0.81944444444444453</v>
      </c>
      <c r="R112" s="22"/>
      <c r="S112" s="27">
        <v>44761</v>
      </c>
      <c r="T112" s="29">
        <v>0.77777777777777779</v>
      </c>
      <c r="V112" s="13" t="s">
        <v>86</v>
      </c>
      <c r="X112" s="13">
        <f t="shared" si="8"/>
        <v>7</v>
      </c>
      <c r="Z112" s="13" t="s">
        <v>60</v>
      </c>
      <c r="AA112" s="13">
        <f t="shared" si="11"/>
        <v>15</v>
      </c>
      <c r="AB112" s="13" t="str">
        <f t="shared" si="9"/>
        <v>Adult</v>
      </c>
      <c r="AC112" s="13">
        <v>10</v>
      </c>
      <c r="AD112" s="13">
        <v>5</v>
      </c>
      <c r="AE112" s="13" t="str">
        <f t="shared" si="10"/>
        <v>Morphological</v>
      </c>
      <c r="AF112" s="2">
        <v>4</v>
      </c>
    </row>
    <row r="113" spans="1:32" x14ac:dyDescent="0.25">
      <c r="A113" s="13">
        <v>109</v>
      </c>
      <c r="B113" s="23" t="s">
        <v>56</v>
      </c>
      <c r="C113" s="23" t="s">
        <v>57</v>
      </c>
      <c r="D113" s="23" t="s">
        <v>58</v>
      </c>
      <c r="E113" s="23" t="s">
        <v>58</v>
      </c>
      <c r="F113" s="35" cm="1">
        <f t="array" ref="F113">_xlfn.IFS($G113=$G$5,F$5,$G113=$G$7,F$7,$G113=$G$10,F$10,$G113=$G$13,F$13,$G113=$G$14,F$14,$G113=$G$16,F$16,$G113=$G$17,F$17,$G113=$G$19,F$19,$G113=$G$20,F$20,$G113=$G$22,F$22,$G113=$G$23,F$23,$G113=$G$26,F$26,$G113=$G$29,F$29,$G113=$G$31,F$31,$G113=$G$34,F$34,$G113=$G$37,F$37,$G113=$G$107,F$107,$G113=$G$110,F$110,$G113=$G$140,F$140,$G113=$G$142,F$142,$G113=$G$408,F$408)</f>
        <v>8016</v>
      </c>
      <c r="G113" s="13" t="s">
        <v>62</v>
      </c>
      <c r="H113" s="51" cm="1">
        <f t="array" ref="H113">_xlfn.IFS($G113=$G$5,H$5,$G113=$G$7,H$7,$G113=$G$10,H$10,$G113=$G$13,H$13,$G113=$G$14,H$14,$G113=$G$16,H$16,$G113=$G$17,H$17,$G113=$G$19,H$19,$G113=$G$20,H$20,$G113=$G$22,H$22,$G113=$G$23,H$23,$G113=$G$26,H$26,$G113=$G$29,H$29,$G113=$G$31,H$31,$G113=$G$34,H$34,$G113=$G$37,H$37,$G113=$G$107,H$107,$G113=$G$110,H$110,$G113=$G$140,H$140,$G113=$G$142,H$142,$G113=$G$408,H$408)</f>
        <v>41.437435000000001</v>
      </c>
      <c r="I113" s="51" cm="1">
        <f t="array" ref="I113">_xlfn.IFS($G113=$G$5,I$5,$G113=$G$7,I$7,$G113=$G$10,I$10,$G113=$G$13,I$13,$G113=$G$14,I$14,$G113=$G$16,I$16,$G113=$G$17,I$17,$G113=$G$19,I$19,$G113=$G$20,I$20,$G113=$G$22,I$22,$G113=$G$23,I$23,$G113=$G$26,I$26,$G113=$G$29,I$29,$G113=$G$31,I$31,$G113=$G$34,I$34,$G113=$G$37,I$37,$G113=$G$107,I$107,$G113=$G$110,I$110,$G113=$G$140,I$140,$G113=$G$142,I$142,$G113=$G$408,I$408)</f>
        <v>2.1812779999999998</v>
      </c>
      <c r="J113" s="51" cm="1">
        <f t="array" ref="J113">_xlfn.IFS($G113=$G$5,J$5,$G113=$G$7,J$7,$G113=$G$10,J$10,$G113=$G$13,J$13,$G113=$G$14,J$14,$G113=$G$16,J$16,$G113=$G$17,J$17,$G113=$G$19,J$19,$G113=$G$20,J$20,$G113=$G$22,J$22,$G113=$G$23,J$23,$G113=$G$26,J$26,$G113=$G$29,J$29,$G113=$G$31,J$31,$G113=$G$34,J$34,$G113=$G$37,J$37,$G113=$G$107,J$107,$G113=$G$110,J$110,$G113=$G$140,J$140,$G113=$G$142,J$142,$G113=$G$408,J$408)</f>
        <v>47</v>
      </c>
      <c r="K113" s="13" t="str" cm="1">
        <f t="array" ref="K113">_xlfn.IFS($G113=$G$5,K$5,$G113=$G$7,K$7,$G113=$G$10,K$10,$G113=$G$13,K$13,$G113=$G$14,K$14,$G113=$G$16,K$16,$G113=$G$17,K$17,$G113=$G$19,K$19,$G113=$G$20,K$20,$G113=$G$22,K$22,$G113=$G$23,K$23,$G113=$G$26,K$26,$G113=$G$29,K$29,$G113=$G$31,K$31,$G113=$G$34,K$34,$G113=$G$37,K$37,$G113=$G$107,K$107,$G113=$G$110,K$110,$G113=$G$140,K$140,$G113=$G$142,K$142,$G113=$G$408,K$408)</f>
        <v>BG sentinel + BG lure7</v>
      </c>
      <c r="O113" s="13" t="str">
        <f t="shared" si="12"/>
        <v>A_SP_BCN_3_220712</v>
      </c>
      <c r="P113" s="27">
        <v>44754</v>
      </c>
      <c r="Q113" s="29">
        <v>0.81944444444444453</v>
      </c>
      <c r="R113" s="22"/>
      <c r="S113" s="27">
        <v>44761</v>
      </c>
      <c r="T113" s="29">
        <v>0.77777777777777779</v>
      </c>
      <c r="V113" s="13" t="s">
        <v>86</v>
      </c>
      <c r="X113" s="13">
        <f t="shared" si="8"/>
        <v>7</v>
      </c>
      <c r="Z113" s="13" t="s">
        <v>164</v>
      </c>
      <c r="AA113" s="13">
        <f t="shared" si="11"/>
        <v>1</v>
      </c>
      <c r="AB113" s="13" t="str">
        <f t="shared" si="9"/>
        <v>Adult</v>
      </c>
      <c r="AC113" s="13">
        <v>1</v>
      </c>
      <c r="AD113" s="13">
        <v>0</v>
      </c>
      <c r="AE113" s="13" t="str">
        <f t="shared" si="10"/>
        <v>Morphological</v>
      </c>
      <c r="AF113" s="2">
        <v>4</v>
      </c>
    </row>
    <row r="114" spans="1:32" x14ac:dyDescent="0.25">
      <c r="A114" s="13">
        <v>110</v>
      </c>
      <c r="B114" s="23" t="s">
        <v>56</v>
      </c>
      <c r="C114" s="23" t="s">
        <v>57</v>
      </c>
      <c r="D114" s="23" t="s">
        <v>58</v>
      </c>
      <c r="E114" s="23" t="s">
        <v>58</v>
      </c>
      <c r="F114" s="35" cm="1">
        <f t="array" ref="F114">_xlfn.IFS($G114=$G$5,F$5,$G114=$G$7,F$7,$G114=$G$10,F$10,$G114=$G$13,F$13,$G114=$G$14,F$14,$G114=$G$16,F$16,$G114=$G$17,F$17,$G114=$G$19,F$19,$G114=$G$20,F$20,$G114=$G$22,F$22,$G114=$G$23,F$23,$G114=$G$26,F$26,$G114=$G$29,F$29,$G114=$G$31,F$31,$G114=$G$34,F$34,$G114=$G$37,F$37,$G114=$G$107,F$107,$G114=$G$110,F$110,$G114=$G$140,F$140,$G114=$G$142,F$142,$G114=$G$408,F$408)</f>
        <v>8016</v>
      </c>
      <c r="G114" s="13" t="s">
        <v>62</v>
      </c>
      <c r="H114" s="51" cm="1">
        <f t="array" ref="H114">_xlfn.IFS($G114=$G$5,H$5,$G114=$G$7,H$7,$G114=$G$10,H$10,$G114=$G$13,H$13,$G114=$G$14,H$14,$G114=$G$16,H$16,$G114=$G$17,H$17,$G114=$G$19,H$19,$G114=$G$20,H$20,$G114=$G$22,H$22,$G114=$G$23,H$23,$G114=$G$26,H$26,$G114=$G$29,H$29,$G114=$G$31,H$31,$G114=$G$34,H$34,$G114=$G$37,H$37,$G114=$G$107,H$107,$G114=$G$110,H$110,$G114=$G$140,H$140,$G114=$G$142,H$142,$G114=$G$408,H$408)</f>
        <v>41.437435000000001</v>
      </c>
      <c r="I114" s="51" cm="1">
        <f t="array" ref="I114">_xlfn.IFS($G114=$G$5,I$5,$G114=$G$7,I$7,$G114=$G$10,I$10,$G114=$G$13,I$13,$G114=$G$14,I$14,$G114=$G$16,I$16,$G114=$G$17,I$17,$G114=$G$19,I$19,$G114=$G$20,I$20,$G114=$G$22,I$22,$G114=$G$23,I$23,$G114=$G$26,I$26,$G114=$G$29,I$29,$G114=$G$31,I$31,$G114=$G$34,I$34,$G114=$G$37,I$37,$G114=$G$107,I$107,$G114=$G$110,I$110,$G114=$G$140,I$140,$G114=$G$142,I$142,$G114=$G$408,I$408)</f>
        <v>2.1812779999999998</v>
      </c>
      <c r="J114" s="51" cm="1">
        <f t="array" ref="J114">_xlfn.IFS($G114=$G$5,J$5,$G114=$G$7,J$7,$G114=$G$10,J$10,$G114=$G$13,J$13,$G114=$G$14,J$14,$G114=$G$16,J$16,$G114=$G$17,J$17,$G114=$G$19,J$19,$G114=$G$20,J$20,$G114=$G$22,J$22,$G114=$G$23,J$23,$G114=$G$26,J$26,$G114=$G$29,J$29,$G114=$G$31,J$31,$G114=$G$34,J$34,$G114=$G$37,J$37,$G114=$G$107,J$107,$G114=$G$110,J$110,$G114=$G$140,J$140,$G114=$G$142,J$142,$G114=$G$408,J$408)</f>
        <v>47</v>
      </c>
      <c r="K114" s="13" t="str" cm="1">
        <f t="array" ref="K114">_xlfn.IFS($G114=$G$5,K$5,$G114=$G$7,K$7,$G114=$G$10,K$10,$G114=$G$13,K$13,$G114=$G$14,K$14,$G114=$G$16,K$16,$G114=$G$17,K$17,$G114=$G$19,K$19,$G114=$G$20,K$20,$G114=$G$22,K$22,$G114=$G$23,K$23,$G114=$G$26,K$26,$G114=$G$29,K$29,$G114=$G$31,K$31,$G114=$G$34,K$34,$G114=$G$37,K$37,$G114=$G$107,K$107,$G114=$G$110,K$110,$G114=$G$140,K$140,$G114=$G$142,K$142,$G114=$G$408,K$408)</f>
        <v>BG sentinel + BG lure7</v>
      </c>
      <c r="O114" s="13" t="str">
        <f t="shared" si="12"/>
        <v>A_SP_BCN_3_220712</v>
      </c>
      <c r="P114" s="27">
        <v>44754</v>
      </c>
      <c r="Q114" s="29">
        <v>0.81944444444444453</v>
      </c>
      <c r="R114" s="22"/>
      <c r="S114" s="27">
        <v>44761</v>
      </c>
      <c r="T114" s="29">
        <v>0.77777777777777779</v>
      </c>
      <c r="V114" s="13" t="s">
        <v>86</v>
      </c>
      <c r="X114" s="13">
        <f t="shared" si="8"/>
        <v>7</v>
      </c>
      <c r="Z114" s="32" t="s">
        <v>163</v>
      </c>
      <c r="AA114" s="13">
        <f t="shared" si="11"/>
        <v>3</v>
      </c>
      <c r="AB114" s="13" t="str">
        <f t="shared" si="9"/>
        <v>Adult</v>
      </c>
      <c r="AC114" s="13">
        <v>0</v>
      </c>
      <c r="AD114" s="13">
        <v>3</v>
      </c>
      <c r="AE114" s="13" t="str">
        <f t="shared" si="10"/>
        <v>Morphological</v>
      </c>
      <c r="AF114" s="2">
        <v>4</v>
      </c>
    </row>
    <row r="115" spans="1:32" x14ac:dyDescent="0.25">
      <c r="A115" s="13">
        <v>111</v>
      </c>
      <c r="B115" s="23" t="s">
        <v>56</v>
      </c>
      <c r="C115" s="23" t="s">
        <v>57</v>
      </c>
      <c r="D115" s="23" t="s">
        <v>58</v>
      </c>
      <c r="E115" s="23" t="s">
        <v>58</v>
      </c>
      <c r="F115" s="35" cm="1">
        <f t="array" ref="F115">_xlfn.IFS($G115=$G$5,F$5,$G115=$G$7,F$7,$G115=$G$10,F$10,$G115=$G$13,F$13,$G115=$G$14,F$14,$G115=$G$16,F$16,$G115=$G$17,F$17,$G115=$G$19,F$19,$G115=$G$20,F$20,$G115=$G$22,F$22,$G115=$G$23,F$23,$G115=$G$26,F$26,$G115=$G$29,F$29,$G115=$G$31,F$31,$G115=$G$34,F$34,$G115=$G$37,F$37,$G115=$G$107,F$107,$G115=$G$110,F$110,$G115=$G$140,F$140,$G115=$G$142,F$142,$G115=$G$408,F$408)</f>
        <v>8018</v>
      </c>
      <c r="G115" s="13" t="s">
        <v>63</v>
      </c>
      <c r="H115" s="51" cm="1">
        <f t="array" ref="H115">_xlfn.IFS($G115=$G$5,H$5,$G115=$G$7,H$7,$G115=$G$10,H$10,$G115=$G$13,H$13,$G115=$G$14,H$14,$G115=$G$16,H$16,$G115=$G$17,H$17,$G115=$G$19,H$19,$G115=$G$20,H$20,$G115=$G$22,H$22,$G115=$G$23,H$23,$G115=$G$26,H$26,$G115=$G$29,H$29,$G115=$G$31,H$31,$G115=$G$34,H$34,$G115=$G$37,H$37,$G115=$G$107,H$107,$G115=$G$110,H$110,$G115=$G$140,H$140,$G115=$G$142,H$142,$G115=$G$408,H$408)</f>
        <v>41.404924999999999</v>
      </c>
      <c r="I115" s="51" cm="1">
        <f t="array" ref="I115">_xlfn.IFS($G115=$G$5,I$5,$G115=$G$7,I$7,$G115=$G$10,I$10,$G115=$G$13,I$13,$G115=$G$14,I$14,$G115=$G$16,I$16,$G115=$G$17,I$17,$G115=$G$19,I$19,$G115=$G$20,I$20,$G115=$G$22,I$22,$G115=$G$23,I$23,$G115=$G$26,I$26,$G115=$G$29,I$29,$G115=$G$31,I$31,$G115=$G$34,I$34,$G115=$G$37,I$37,$G115=$G$107,I$107,$G115=$G$110,I$110,$G115=$G$140,I$140,$G115=$G$142,I$142,$G115=$G$408,I$408)</f>
        <v>2.1987909999999999</v>
      </c>
      <c r="J115" s="51" cm="1">
        <f t="array" ref="J115">_xlfn.IFS($G115=$G$5,J$5,$G115=$G$7,J$7,$G115=$G$10,J$10,$G115=$G$13,J$13,$G115=$G$14,J$14,$G115=$G$16,J$16,$G115=$G$17,J$17,$G115=$G$19,J$19,$G115=$G$20,J$20,$G115=$G$22,J$22,$G115=$G$23,J$23,$G115=$G$26,J$26,$G115=$G$29,J$29,$G115=$G$31,J$31,$G115=$G$34,J$34,$G115=$G$37,J$37,$G115=$G$107,J$107,$G115=$G$110,J$110,$G115=$G$140,J$140,$G115=$G$142,J$142,$G115=$G$408,J$408)</f>
        <v>4</v>
      </c>
      <c r="K115" s="13" t="str" cm="1">
        <f t="array" ref="K115">_xlfn.IFS($G115=$G$5,K$5,$G115=$G$7,K$7,$G115=$G$10,K$10,$G115=$G$13,K$13,$G115=$G$14,K$14,$G115=$G$16,K$16,$G115=$G$17,K$17,$G115=$G$19,K$19,$G115=$G$20,K$20,$G115=$G$22,K$22,$G115=$G$23,K$23,$G115=$G$26,K$26,$G115=$G$29,K$29,$G115=$G$31,K$31,$G115=$G$34,K$34,$G115=$G$37,K$37,$G115=$G$107,K$107,$G115=$G$110,K$110,$G115=$G$140,K$140,$G115=$G$142,K$142,$G115=$G$408,K$408)</f>
        <v>BG sentinel + BG lure7</v>
      </c>
      <c r="O115" s="13" t="str">
        <f t="shared" si="12"/>
        <v>A_SP_BCN_4_220712</v>
      </c>
      <c r="P115" s="27">
        <v>44754</v>
      </c>
      <c r="Q115" s="29">
        <v>0.84375</v>
      </c>
      <c r="R115" s="22"/>
      <c r="S115" s="27">
        <v>44761</v>
      </c>
      <c r="T115" s="29">
        <v>0.8125</v>
      </c>
      <c r="V115" s="13" t="s">
        <v>86</v>
      </c>
      <c r="X115" s="13">
        <f t="shared" si="8"/>
        <v>7</v>
      </c>
      <c r="Z115" s="13" t="s">
        <v>60</v>
      </c>
      <c r="AA115" s="13">
        <f t="shared" si="11"/>
        <v>6</v>
      </c>
      <c r="AB115" s="13" t="str">
        <f t="shared" si="9"/>
        <v>Adult</v>
      </c>
      <c r="AC115" s="13">
        <v>4</v>
      </c>
      <c r="AD115" s="13">
        <v>2</v>
      </c>
      <c r="AE115" s="13" t="str">
        <f t="shared" si="10"/>
        <v>Morphological</v>
      </c>
      <c r="AF115" s="2">
        <v>4</v>
      </c>
    </row>
    <row r="116" spans="1:32" x14ac:dyDescent="0.25">
      <c r="A116" s="13">
        <v>112</v>
      </c>
      <c r="B116" s="23" t="s">
        <v>56</v>
      </c>
      <c r="C116" s="23" t="s">
        <v>57</v>
      </c>
      <c r="D116" s="23" t="s">
        <v>58</v>
      </c>
      <c r="E116" s="23" t="s">
        <v>58</v>
      </c>
      <c r="F116" s="35" cm="1">
        <f t="array" ref="F116">_xlfn.IFS($G116=$G$5,F$5,$G116=$G$7,F$7,$G116=$G$10,F$10,$G116=$G$13,F$13,$G116=$G$14,F$14,$G116=$G$16,F$16,$G116=$G$17,F$17,$G116=$G$19,F$19,$G116=$G$20,F$20,$G116=$G$22,F$22,$G116=$G$23,F$23,$G116=$G$26,F$26,$G116=$G$29,F$29,$G116=$G$31,F$31,$G116=$G$34,F$34,$G116=$G$37,F$37,$G116=$G$107,F$107,$G116=$G$110,F$110,$G116=$G$140,F$140,$G116=$G$142,F$142,$G116=$G$408,F$408)</f>
        <v>8018</v>
      </c>
      <c r="G116" s="13" t="s">
        <v>63</v>
      </c>
      <c r="H116" s="51" cm="1">
        <f t="array" ref="H116">_xlfn.IFS($G116=$G$5,H$5,$G116=$G$7,H$7,$G116=$G$10,H$10,$G116=$G$13,H$13,$G116=$G$14,H$14,$G116=$G$16,H$16,$G116=$G$17,H$17,$G116=$G$19,H$19,$G116=$G$20,H$20,$G116=$G$22,H$22,$G116=$G$23,H$23,$G116=$G$26,H$26,$G116=$G$29,H$29,$G116=$G$31,H$31,$G116=$G$34,H$34,$G116=$G$37,H$37,$G116=$G$107,H$107,$G116=$G$110,H$110,$G116=$G$140,H$140,$G116=$G$142,H$142,$G116=$G$408,H$408)</f>
        <v>41.404924999999999</v>
      </c>
      <c r="I116" s="51" cm="1">
        <f t="array" ref="I116">_xlfn.IFS($G116=$G$5,I$5,$G116=$G$7,I$7,$G116=$G$10,I$10,$G116=$G$13,I$13,$G116=$G$14,I$14,$G116=$G$16,I$16,$G116=$G$17,I$17,$G116=$G$19,I$19,$G116=$G$20,I$20,$G116=$G$22,I$22,$G116=$G$23,I$23,$G116=$G$26,I$26,$G116=$G$29,I$29,$G116=$G$31,I$31,$G116=$G$34,I$34,$G116=$G$37,I$37,$G116=$G$107,I$107,$G116=$G$110,I$110,$G116=$G$140,I$140,$G116=$G$142,I$142,$G116=$G$408,I$408)</f>
        <v>2.1987909999999999</v>
      </c>
      <c r="J116" s="51" cm="1">
        <f t="array" ref="J116">_xlfn.IFS($G116=$G$5,J$5,$G116=$G$7,J$7,$G116=$G$10,J$10,$G116=$G$13,J$13,$G116=$G$14,J$14,$G116=$G$16,J$16,$G116=$G$17,J$17,$G116=$G$19,J$19,$G116=$G$20,J$20,$G116=$G$22,J$22,$G116=$G$23,J$23,$G116=$G$26,J$26,$G116=$G$29,J$29,$G116=$G$31,J$31,$G116=$G$34,J$34,$G116=$G$37,J$37,$G116=$G$107,J$107,$G116=$G$110,J$110,$G116=$G$140,J$140,$G116=$G$142,J$142,$G116=$G$408,J$408)</f>
        <v>4</v>
      </c>
      <c r="K116" s="13" t="str" cm="1">
        <f t="array" ref="K116">_xlfn.IFS($G116=$G$5,K$5,$G116=$G$7,K$7,$G116=$G$10,K$10,$G116=$G$13,K$13,$G116=$G$14,K$14,$G116=$G$16,K$16,$G116=$G$17,K$17,$G116=$G$19,K$19,$G116=$G$20,K$20,$G116=$G$22,K$22,$G116=$G$23,K$23,$G116=$G$26,K$26,$G116=$G$29,K$29,$G116=$G$31,K$31,$G116=$G$34,K$34,$G116=$G$37,K$37,$G116=$G$107,K$107,$G116=$G$110,K$110,$G116=$G$140,K$140,$G116=$G$142,K$142,$G116=$G$408,K$408)</f>
        <v>BG sentinel + BG lure7</v>
      </c>
      <c r="O116" s="13" t="str">
        <f t="shared" si="12"/>
        <v>A_SP_BCN_4_220712</v>
      </c>
      <c r="P116" s="27">
        <v>44754</v>
      </c>
      <c r="Q116" s="29">
        <v>0.84375</v>
      </c>
      <c r="R116" s="22"/>
      <c r="S116" s="27">
        <v>44761</v>
      </c>
      <c r="T116" s="29">
        <v>0.8125</v>
      </c>
      <c r="V116" s="13" t="s">
        <v>86</v>
      </c>
      <c r="X116" s="13">
        <f t="shared" si="8"/>
        <v>7</v>
      </c>
      <c r="Z116" s="13" t="s">
        <v>164</v>
      </c>
      <c r="AA116" s="13">
        <f t="shared" si="11"/>
        <v>1</v>
      </c>
      <c r="AB116" s="13" t="str">
        <f t="shared" si="9"/>
        <v>Adult</v>
      </c>
      <c r="AC116" s="13">
        <v>1</v>
      </c>
      <c r="AD116" s="13">
        <v>0</v>
      </c>
      <c r="AE116" s="13" t="str">
        <f t="shared" si="10"/>
        <v>Morphological</v>
      </c>
      <c r="AF116" s="2">
        <v>4</v>
      </c>
    </row>
    <row r="117" spans="1:32" x14ac:dyDescent="0.25">
      <c r="A117" s="13">
        <v>113</v>
      </c>
      <c r="B117" s="23" t="s">
        <v>56</v>
      </c>
      <c r="C117" s="23" t="s">
        <v>57</v>
      </c>
      <c r="D117" s="23" t="s">
        <v>58</v>
      </c>
      <c r="E117" s="23" t="s">
        <v>58</v>
      </c>
      <c r="F117" s="35" cm="1">
        <f t="array" ref="F117">_xlfn.IFS($G117=$G$5,F$5,$G117=$G$7,F$7,$G117=$G$10,F$10,$G117=$G$13,F$13,$G117=$G$14,F$14,$G117=$G$16,F$16,$G117=$G$17,F$17,$G117=$G$19,F$19,$G117=$G$20,F$20,$G117=$G$22,F$22,$G117=$G$23,F$23,$G117=$G$26,F$26,$G117=$G$29,F$29,$G117=$G$31,F$31,$G117=$G$34,F$34,$G117=$G$37,F$37,$G117=$G$107,F$107,$G117=$G$110,F$110,$G117=$G$140,F$140,$G117=$G$142,F$142,$G117=$G$408,F$408)</f>
        <v>8019</v>
      </c>
      <c r="G117" s="13" t="s">
        <v>64</v>
      </c>
      <c r="H117" s="51" cm="1">
        <f t="array" ref="H117">_xlfn.IFS($G117=$G$5,H$5,$G117=$G$7,H$7,$G117=$G$10,H$10,$G117=$G$13,H$13,$G117=$G$14,H$14,$G117=$G$16,H$16,$G117=$G$17,H$17,$G117=$G$19,H$19,$G117=$G$20,H$20,$G117=$G$22,H$22,$G117=$G$23,H$23,$G117=$G$26,H$26,$G117=$G$29,H$29,$G117=$G$31,H$31,$G117=$G$34,H$34,$G117=$G$37,H$37,$G117=$G$107,H$107,$G117=$G$110,H$110,$G117=$G$140,H$140,$G117=$G$142,H$142,$G117=$G$408,H$408)</f>
        <v>41.410684000000003</v>
      </c>
      <c r="I117" s="51" cm="1">
        <f t="array" ref="I117">_xlfn.IFS($G117=$G$5,I$5,$G117=$G$7,I$7,$G117=$G$10,I$10,$G117=$G$13,I$13,$G117=$G$14,I$14,$G117=$G$16,I$16,$G117=$G$17,I$17,$G117=$G$19,I$19,$G117=$G$20,I$20,$G117=$G$22,I$22,$G117=$G$23,I$23,$G117=$G$26,I$26,$G117=$G$29,I$29,$G117=$G$31,I$31,$G117=$G$34,I$34,$G117=$G$37,I$37,$G117=$G$107,I$107,$G117=$G$110,I$110,$G117=$G$140,I$140,$G117=$G$142,I$142,$G117=$G$408,I$408)</f>
        <v>2.2208019999999999</v>
      </c>
      <c r="J117" s="51" cm="1">
        <f t="array" ref="J117">_xlfn.IFS($G117=$G$5,J$5,$G117=$G$7,J$7,$G117=$G$10,J$10,$G117=$G$13,J$13,$G117=$G$14,J$14,$G117=$G$16,J$16,$G117=$G$17,J$17,$G117=$G$19,J$19,$G117=$G$20,J$20,$G117=$G$22,J$22,$G117=$G$23,J$23,$G117=$G$26,J$26,$G117=$G$29,J$29,$G117=$G$31,J$31,$G117=$G$34,J$34,$G117=$G$37,J$37,$G117=$G$107,J$107,$G117=$G$110,J$110,$G117=$G$140,J$140,$G117=$G$142,J$142,$G117=$G$408,J$408)</f>
        <v>18</v>
      </c>
      <c r="K117" s="13" t="str" cm="1">
        <f t="array" ref="K117">_xlfn.IFS($G117=$G$5,K$5,$G117=$G$7,K$7,$G117=$G$10,K$10,$G117=$G$13,K$13,$G117=$G$14,K$14,$G117=$G$16,K$16,$G117=$G$17,K$17,$G117=$G$19,K$19,$G117=$G$20,K$20,$G117=$G$22,K$22,$G117=$G$23,K$23,$G117=$G$26,K$26,$G117=$G$29,K$29,$G117=$G$31,K$31,$G117=$G$34,K$34,$G117=$G$37,K$37,$G117=$G$107,K$107,$G117=$G$110,K$110,$G117=$G$140,K$140,$G117=$G$142,K$142,$G117=$G$408,K$408)</f>
        <v>BG sentinel + BG lure7</v>
      </c>
      <c r="O117" s="13" t="str">
        <f t="shared" si="12"/>
        <v>A_SP_BCN_5_220712</v>
      </c>
      <c r="P117" s="27">
        <v>44754</v>
      </c>
      <c r="Q117" s="29">
        <v>0.79861111111111116</v>
      </c>
      <c r="R117" s="22"/>
      <c r="S117" s="27">
        <v>44761</v>
      </c>
      <c r="T117" s="29">
        <v>0.79861111111111116</v>
      </c>
      <c r="V117" s="13" t="s">
        <v>86</v>
      </c>
      <c r="X117" s="13">
        <f t="shared" si="8"/>
        <v>7</v>
      </c>
      <c r="Z117" s="13" t="s">
        <v>164</v>
      </c>
      <c r="AA117" s="13">
        <f t="shared" si="11"/>
        <v>3</v>
      </c>
      <c r="AB117" s="13" t="str">
        <f t="shared" si="9"/>
        <v>Adult</v>
      </c>
      <c r="AC117" s="13">
        <v>3</v>
      </c>
      <c r="AD117" s="13">
        <v>0</v>
      </c>
      <c r="AE117" s="13" t="str">
        <f t="shared" si="10"/>
        <v>Morphological</v>
      </c>
      <c r="AF117" s="2">
        <v>4</v>
      </c>
    </row>
    <row r="118" spans="1:32" x14ac:dyDescent="0.25">
      <c r="A118" s="13">
        <v>114</v>
      </c>
      <c r="B118" s="23" t="s">
        <v>56</v>
      </c>
      <c r="C118" s="23" t="s">
        <v>57</v>
      </c>
      <c r="D118" s="23" t="s">
        <v>58</v>
      </c>
      <c r="E118" s="23" t="s">
        <v>58</v>
      </c>
      <c r="F118" s="35" cm="1">
        <f t="array" ref="F118">_xlfn.IFS($G118=$G$5,F$5,$G118=$G$7,F$7,$G118=$G$10,F$10,$G118=$G$13,F$13,$G118=$G$14,F$14,$G118=$G$16,F$16,$G118=$G$17,F$17,$G118=$G$19,F$19,$G118=$G$20,F$20,$G118=$G$22,F$22,$G118=$G$23,F$23,$G118=$G$26,F$26,$G118=$G$29,F$29,$G118=$G$31,F$31,$G118=$G$34,F$34,$G118=$G$37,F$37,$G118=$G$107,F$107,$G118=$G$110,F$110,$G118=$G$140,F$140,$G118=$G$142,F$142,$G118=$G$408,F$408)</f>
        <v>8002</v>
      </c>
      <c r="G118" s="13" t="s">
        <v>65</v>
      </c>
      <c r="H118" s="51" cm="1">
        <f t="array" ref="H118">_xlfn.IFS($G118=$G$5,H$5,$G118=$G$7,H$7,$G118=$G$10,H$10,$G118=$G$13,H$13,$G118=$G$14,H$14,$G118=$G$16,H$16,$G118=$G$17,H$17,$G118=$G$19,H$19,$G118=$G$20,H$20,$G118=$G$22,H$22,$G118=$G$23,H$23,$G118=$G$26,H$26,$G118=$G$29,H$29,$G118=$G$31,H$31,$G118=$G$34,H$34,$G118=$G$37,H$37,$G118=$G$107,H$107,$G118=$G$110,H$110,$G118=$G$140,H$140,$G118=$G$142,H$142,$G118=$G$408,H$408)</f>
        <v>41.382339999999999</v>
      </c>
      <c r="I118" s="51" cm="1">
        <f t="array" ref="I118">_xlfn.IFS($G118=$G$5,I$5,$G118=$G$7,I$7,$G118=$G$10,I$10,$G118=$G$13,I$13,$G118=$G$14,I$14,$G118=$G$16,I$16,$G118=$G$17,I$17,$G118=$G$19,I$19,$G118=$G$20,I$20,$G118=$G$22,I$22,$G118=$G$23,I$23,$G118=$G$26,I$26,$G118=$G$29,I$29,$G118=$G$31,I$31,$G118=$G$34,I$34,$G118=$G$37,I$37,$G118=$G$107,I$107,$G118=$G$110,I$110,$G118=$G$140,I$140,$G118=$G$142,I$142,$G118=$G$408,I$408)</f>
        <v>2.1714790000000002</v>
      </c>
      <c r="J118" s="51" cm="1">
        <f t="array" ref="J118">_xlfn.IFS($G118=$G$5,J$5,$G118=$G$7,J$7,$G118=$G$10,J$10,$G118=$G$13,J$13,$G118=$G$14,J$14,$G118=$G$16,J$16,$G118=$G$17,J$17,$G118=$G$19,J$19,$G118=$G$20,J$20,$G118=$G$22,J$22,$G118=$G$23,J$23,$G118=$G$26,J$26,$G118=$G$29,J$29,$G118=$G$31,J$31,$G118=$G$34,J$34,$G118=$G$37,J$37,$G118=$G$107,J$107,$G118=$G$110,J$110,$G118=$G$140,J$140,$G118=$G$142,J$142,$G118=$G$408,J$408)</f>
        <v>19</v>
      </c>
      <c r="K118" s="13" t="str" cm="1">
        <f t="array" ref="K118">_xlfn.IFS($G118=$G$5,K$5,$G118=$G$7,K$7,$G118=$G$10,K$10,$G118=$G$13,K$13,$G118=$G$14,K$14,$G118=$G$16,K$16,$G118=$G$17,K$17,$G118=$G$19,K$19,$G118=$G$20,K$20,$G118=$G$22,K$22,$G118=$G$23,K$23,$G118=$G$26,K$26,$G118=$G$29,K$29,$G118=$G$31,K$31,$G118=$G$34,K$34,$G118=$G$37,K$37,$G118=$G$107,K$107,$G118=$G$110,K$110,$G118=$G$140,K$140,$G118=$G$142,K$142,$G118=$G$408,K$408)</f>
        <v>BG sentinel + BG lure7</v>
      </c>
      <c r="O118" s="13" t="str">
        <f t="shared" si="12"/>
        <v>A_SP_BCN_6_220712</v>
      </c>
      <c r="P118" s="27">
        <v>44754</v>
      </c>
      <c r="Q118" s="29">
        <v>0.86805555555555547</v>
      </c>
      <c r="R118" s="22"/>
      <c r="S118" s="27">
        <v>44761</v>
      </c>
      <c r="T118" s="29">
        <v>0.84027777777777779</v>
      </c>
      <c r="V118" s="13" t="s">
        <v>86</v>
      </c>
      <c r="X118" s="13">
        <f t="shared" si="8"/>
        <v>7</v>
      </c>
      <c r="AA118" s="13">
        <v>0</v>
      </c>
      <c r="AB118" s="13" t="str">
        <f t="shared" si="9"/>
        <v/>
      </c>
      <c r="AE118" s="13" t="str">
        <f t="shared" si="10"/>
        <v/>
      </c>
      <c r="AF118" s="2">
        <v>4</v>
      </c>
    </row>
    <row r="119" spans="1:32" x14ac:dyDescent="0.25">
      <c r="A119" s="13">
        <v>115</v>
      </c>
      <c r="B119" s="23" t="s">
        <v>56</v>
      </c>
      <c r="C119" s="23" t="s">
        <v>57</v>
      </c>
      <c r="D119" s="23" t="s">
        <v>58</v>
      </c>
      <c r="E119" s="23" t="s">
        <v>58</v>
      </c>
      <c r="F119" s="35" cm="1">
        <f t="array" ref="F119">_xlfn.IFS($G119=$G$5,F$5,$G119=$G$7,F$7,$G119=$G$10,F$10,$G119=$G$13,F$13,$G119=$G$14,F$14,$G119=$G$16,F$16,$G119=$G$17,F$17,$G119=$G$19,F$19,$G119=$G$20,F$20,$G119=$G$22,F$22,$G119=$G$23,F$23,$G119=$G$26,F$26,$G119=$G$29,F$29,$G119=$G$31,F$31,$G119=$G$34,F$34,$G119=$G$37,F$37,$G119=$G$107,F$107,$G119=$G$110,F$110,$G119=$G$140,F$140,$G119=$G$142,F$142,$G119=$G$408,F$408)</f>
        <v>8040</v>
      </c>
      <c r="G119" s="13" t="s">
        <v>68</v>
      </c>
      <c r="H119" s="51" cm="1">
        <f t="array" ref="H119">_xlfn.IFS($G119=$G$5,H$5,$G119=$G$7,H$7,$G119=$G$10,H$10,$G119=$G$13,H$13,$G119=$G$14,H$14,$G119=$G$16,H$16,$G119=$G$17,H$17,$G119=$G$19,H$19,$G119=$G$20,H$20,$G119=$G$22,H$22,$G119=$G$23,H$23,$G119=$G$26,H$26,$G119=$G$29,H$29,$G119=$G$31,H$31,$G119=$G$34,H$34,$G119=$G$37,H$37,$G119=$G$107,H$107,$G119=$G$110,H$110,$G119=$G$140,H$140,$G119=$G$142,H$142,$G119=$G$408,H$408)</f>
        <v>41.343685000000001</v>
      </c>
      <c r="I119" s="51" cm="1">
        <f t="array" ref="I119">_xlfn.IFS($G119=$G$5,I$5,$G119=$G$7,I$7,$G119=$G$10,I$10,$G119=$G$13,I$13,$G119=$G$14,I$14,$G119=$G$16,I$16,$G119=$G$17,I$17,$G119=$G$19,I$19,$G119=$G$20,I$20,$G119=$G$22,I$22,$G119=$G$23,I$23,$G119=$G$26,I$26,$G119=$G$29,I$29,$G119=$G$31,I$31,$G119=$G$34,I$34,$G119=$G$37,I$37,$G119=$G$107,I$107,$G119=$G$110,I$110,$G119=$G$140,I$140,$G119=$G$142,I$142,$G119=$G$408,I$408)</f>
        <v>2.1441490000000001</v>
      </c>
      <c r="J119" s="51" cm="1">
        <f t="array" ref="J119">_xlfn.IFS($G119=$G$5,J$5,$G119=$G$7,J$7,$G119=$G$10,J$10,$G119=$G$13,J$13,$G119=$G$14,J$14,$G119=$G$16,J$16,$G119=$G$17,J$17,$G119=$G$19,J$19,$G119=$G$20,J$20,$G119=$G$22,J$22,$G119=$G$23,J$23,$G119=$G$26,J$26,$G119=$G$29,J$29,$G119=$G$31,J$31,$G119=$G$34,J$34,$G119=$G$37,J$37,$G119=$G$107,J$107,$G119=$G$110,J$110,$G119=$G$140,J$140,$G119=$G$142,J$142,$G119=$G$408,J$408)</f>
        <v>4</v>
      </c>
      <c r="K119" s="13" t="str" cm="1">
        <f t="array" ref="K119">_xlfn.IFS($G119=$G$5,K$5,$G119=$G$7,K$7,$G119=$G$10,K$10,$G119=$G$13,K$13,$G119=$G$14,K$14,$G119=$G$16,K$16,$G119=$G$17,K$17,$G119=$G$19,K$19,$G119=$G$20,K$20,$G119=$G$22,K$22,$G119=$G$23,K$23,$G119=$G$26,K$26,$G119=$G$29,K$29,$G119=$G$31,K$31,$G119=$G$34,K$34,$G119=$G$37,K$37,$G119=$G$107,K$107,$G119=$G$110,K$110,$G119=$G$140,K$140,$G119=$G$142,K$142,$G119=$G$408,K$408)</f>
        <v>BG sentinel + BG lure7</v>
      </c>
      <c r="O119" s="13" t="str">
        <f t="shared" si="12"/>
        <v>A_SP_BCN_10_220712</v>
      </c>
      <c r="P119" s="27">
        <v>44754</v>
      </c>
      <c r="Q119" s="29">
        <v>0.51041666666666663</v>
      </c>
      <c r="R119" s="22"/>
      <c r="S119" s="27">
        <v>44761</v>
      </c>
      <c r="T119" s="29">
        <v>0.52083333333333337</v>
      </c>
      <c r="V119" s="13" t="s">
        <v>86</v>
      </c>
      <c r="X119" s="13">
        <f t="shared" si="8"/>
        <v>7</v>
      </c>
      <c r="Z119" s="13" t="s">
        <v>60</v>
      </c>
      <c r="AA119" s="13">
        <f t="shared" ref="AA119:AA130" si="13">SUM(AC119:AD119)</f>
        <v>55</v>
      </c>
      <c r="AB119" s="13" t="str">
        <f t="shared" si="9"/>
        <v>Adult</v>
      </c>
      <c r="AC119" s="13">
        <v>22</v>
      </c>
      <c r="AD119" s="13">
        <v>33</v>
      </c>
      <c r="AE119" s="13" t="str">
        <f t="shared" si="10"/>
        <v>Morphological</v>
      </c>
      <c r="AF119" s="2">
        <v>4</v>
      </c>
    </row>
    <row r="120" spans="1:32" x14ac:dyDescent="0.25">
      <c r="A120" s="13">
        <v>116</v>
      </c>
      <c r="B120" s="23" t="s">
        <v>56</v>
      </c>
      <c r="C120" s="23" t="s">
        <v>57</v>
      </c>
      <c r="D120" s="23" t="s">
        <v>58</v>
      </c>
      <c r="E120" s="23" t="s">
        <v>58</v>
      </c>
      <c r="F120" s="35" cm="1">
        <f t="array" ref="F120">_xlfn.IFS($G120=$G$5,F$5,$G120=$G$7,F$7,$G120=$G$10,F$10,$G120=$G$13,F$13,$G120=$G$14,F$14,$G120=$G$16,F$16,$G120=$G$17,F$17,$G120=$G$19,F$19,$G120=$G$20,F$20,$G120=$G$22,F$22,$G120=$G$23,F$23,$G120=$G$26,F$26,$G120=$G$29,F$29,$G120=$G$31,F$31,$G120=$G$34,F$34,$G120=$G$37,F$37,$G120=$G$107,F$107,$G120=$G$110,F$110,$G120=$G$140,F$140,$G120=$G$142,F$142,$G120=$G$408,F$408)</f>
        <v>8040</v>
      </c>
      <c r="G120" s="13" t="s">
        <v>68</v>
      </c>
      <c r="H120" s="51" cm="1">
        <f t="array" ref="H120">_xlfn.IFS($G120=$G$5,H$5,$G120=$G$7,H$7,$G120=$G$10,H$10,$G120=$G$13,H$13,$G120=$G$14,H$14,$G120=$G$16,H$16,$G120=$G$17,H$17,$G120=$G$19,H$19,$G120=$G$20,H$20,$G120=$G$22,H$22,$G120=$G$23,H$23,$G120=$G$26,H$26,$G120=$G$29,H$29,$G120=$G$31,H$31,$G120=$G$34,H$34,$G120=$G$37,H$37,$G120=$G$107,H$107,$G120=$G$110,H$110,$G120=$G$140,H$140,$G120=$G$142,H$142,$G120=$G$408,H$408)</f>
        <v>41.343685000000001</v>
      </c>
      <c r="I120" s="51" cm="1">
        <f t="array" ref="I120">_xlfn.IFS($G120=$G$5,I$5,$G120=$G$7,I$7,$G120=$G$10,I$10,$G120=$G$13,I$13,$G120=$G$14,I$14,$G120=$G$16,I$16,$G120=$G$17,I$17,$G120=$G$19,I$19,$G120=$G$20,I$20,$G120=$G$22,I$22,$G120=$G$23,I$23,$G120=$G$26,I$26,$G120=$G$29,I$29,$G120=$G$31,I$31,$G120=$G$34,I$34,$G120=$G$37,I$37,$G120=$G$107,I$107,$G120=$G$110,I$110,$G120=$G$140,I$140,$G120=$G$142,I$142,$G120=$G$408,I$408)</f>
        <v>2.1441490000000001</v>
      </c>
      <c r="J120" s="51" cm="1">
        <f t="array" ref="J120">_xlfn.IFS($G120=$G$5,J$5,$G120=$G$7,J$7,$G120=$G$10,J$10,$G120=$G$13,J$13,$G120=$G$14,J$14,$G120=$G$16,J$16,$G120=$G$17,J$17,$G120=$G$19,J$19,$G120=$G$20,J$20,$G120=$G$22,J$22,$G120=$G$23,J$23,$G120=$G$26,J$26,$G120=$G$29,J$29,$G120=$G$31,J$31,$G120=$G$34,J$34,$G120=$G$37,J$37,$G120=$G$107,J$107,$G120=$G$110,J$110,$G120=$G$140,J$140,$G120=$G$142,J$142,$G120=$G$408,J$408)</f>
        <v>4</v>
      </c>
      <c r="K120" s="13" t="str" cm="1">
        <f t="array" ref="K120">_xlfn.IFS($G120=$G$5,K$5,$G120=$G$7,K$7,$G120=$G$10,K$10,$G120=$G$13,K$13,$G120=$G$14,K$14,$G120=$G$16,K$16,$G120=$G$17,K$17,$G120=$G$19,K$19,$G120=$G$20,K$20,$G120=$G$22,K$22,$G120=$G$23,K$23,$G120=$G$26,K$26,$G120=$G$29,K$29,$G120=$G$31,K$31,$G120=$G$34,K$34,$G120=$G$37,K$37,$G120=$G$107,K$107,$G120=$G$110,K$110,$G120=$G$140,K$140,$G120=$G$142,K$142,$G120=$G$408,K$408)</f>
        <v>BG sentinel + BG lure7</v>
      </c>
      <c r="O120" s="13" t="str">
        <f t="shared" si="12"/>
        <v>A_SP_BCN_10_220712</v>
      </c>
      <c r="P120" s="27">
        <v>44754</v>
      </c>
      <c r="Q120" s="29">
        <v>0.51041666666666663</v>
      </c>
      <c r="R120" s="22"/>
      <c r="S120" s="27">
        <v>44761</v>
      </c>
      <c r="T120" s="29">
        <v>0.52083333333333337</v>
      </c>
      <c r="V120" s="13" t="s">
        <v>86</v>
      </c>
      <c r="X120" s="13">
        <f t="shared" si="8"/>
        <v>7</v>
      </c>
      <c r="Z120" s="13" t="s">
        <v>164</v>
      </c>
      <c r="AA120" s="13">
        <f t="shared" si="13"/>
        <v>16</v>
      </c>
      <c r="AB120" s="13" t="str">
        <f t="shared" si="9"/>
        <v>Adult</v>
      </c>
      <c r="AC120" s="13">
        <v>15</v>
      </c>
      <c r="AD120" s="13">
        <v>1</v>
      </c>
      <c r="AE120" s="13" t="str">
        <f t="shared" si="10"/>
        <v>Morphological</v>
      </c>
      <c r="AF120" s="2">
        <v>4</v>
      </c>
    </row>
    <row r="121" spans="1:32" x14ac:dyDescent="0.25">
      <c r="A121" s="13">
        <v>117</v>
      </c>
      <c r="B121" s="23" t="s">
        <v>56</v>
      </c>
      <c r="C121" s="23" t="s">
        <v>57</v>
      </c>
      <c r="D121" s="23" t="s">
        <v>58</v>
      </c>
      <c r="E121" s="23" t="s">
        <v>58</v>
      </c>
      <c r="F121" s="35" cm="1">
        <f t="array" ref="F121">_xlfn.IFS($G121=$G$5,F$5,$G121=$G$7,F$7,$G121=$G$10,F$10,$G121=$G$13,F$13,$G121=$G$14,F$14,$G121=$G$16,F$16,$G121=$G$17,F$17,$G121=$G$19,F$19,$G121=$G$20,F$20,$G121=$G$22,F$22,$G121=$G$23,F$23,$G121=$G$26,F$26,$G121=$G$29,F$29,$G121=$G$31,F$31,$G121=$G$34,F$34,$G121=$G$37,F$37,$G121=$G$107,F$107,$G121=$G$110,F$110,$G121=$G$140,F$140,$G121=$G$142,F$142,$G121=$G$408,F$408)</f>
        <v>8040</v>
      </c>
      <c r="G121" s="13" t="s">
        <v>68</v>
      </c>
      <c r="H121" s="51" cm="1">
        <f t="array" ref="H121">_xlfn.IFS($G121=$G$5,H$5,$G121=$G$7,H$7,$G121=$G$10,H$10,$G121=$G$13,H$13,$G121=$G$14,H$14,$G121=$G$16,H$16,$G121=$G$17,H$17,$G121=$G$19,H$19,$G121=$G$20,H$20,$G121=$G$22,H$22,$G121=$G$23,H$23,$G121=$G$26,H$26,$G121=$G$29,H$29,$G121=$G$31,H$31,$G121=$G$34,H$34,$G121=$G$37,H$37,$G121=$G$107,H$107,$G121=$G$110,H$110,$G121=$G$140,H$140,$G121=$G$142,H$142,$G121=$G$408,H$408)</f>
        <v>41.343685000000001</v>
      </c>
      <c r="I121" s="51" cm="1">
        <f t="array" ref="I121">_xlfn.IFS($G121=$G$5,I$5,$G121=$G$7,I$7,$G121=$G$10,I$10,$G121=$G$13,I$13,$G121=$G$14,I$14,$G121=$G$16,I$16,$G121=$G$17,I$17,$G121=$G$19,I$19,$G121=$G$20,I$20,$G121=$G$22,I$22,$G121=$G$23,I$23,$G121=$G$26,I$26,$G121=$G$29,I$29,$G121=$G$31,I$31,$G121=$G$34,I$34,$G121=$G$37,I$37,$G121=$G$107,I$107,$G121=$G$110,I$110,$G121=$G$140,I$140,$G121=$G$142,I$142,$G121=$G$408,I$408)</f>
        <v>2.1441490000000001</v>
      </c>
      <c r="J121" s="51" cm="1">
        <f t="array" ref="J121">_xlfn.IFS($G121=$G$5,J$5,$G121=$G$7,J$7,$G121=$G$10,J$10,$G121=$G$13,J$13,$G121=$G$14,J$14,$G121=$G$16,J$16,$G121=$G$17,J$17,$G121=$G$19,J$19,$G121=$G$20,J$20,$G121=$G$22,J$22,$G121=$G$23,J$23,$G121=$G$26,J$26,$G121=$G$29,J$29,$G121=$G$31,J$31,$G121=$G$34,J$34,$G121=$G$37,J$37,$G121=$G$107,J$107,$G121=$G$110,J$110,$G121=$G$140,J$140,$G121=$G$142,J$142,$G121=$G$408,J$408)</f>
        <v>4</v>
      </c>
      <c r="K121" s="13" t="str" cm="1">
        <f t="array" ref="K121">_xlfn.IFS($G121=$G$5,K$5,$G121=$G$7,K$7,$G121=$G$10,K$10,$G121=$G$13,K$13,$G121=$G$14,K$14,$G121=$G$16,K$16,$G121=$G$17,K$17,$G121=$G$19,K$19,$G121=$G$20,K$20,$G121=$G$22,K$22,$G121=$G$23,K$23,$G121=$G$26,K$26,$G121=$G$29,K$29,$G121=$G$31,K$31,$G121=$G$34,K$34,$G121=$G$37,K$37,$G121=$G$107,K$107,$G121=$G$110,K$110,$G121=$G$140,K$140,$G121=$G$142,K$142,$G121=$G$408,K$408)</f>
        <v>BG sentinel + BG lure7</v>
      </c>
      <c r="O121" s="13" t="str">
        <f t="shared" si="12"/>
        <v>A_SP_BCN_10_220712</v>
      </c>
      <c r="P121" s="27">
        <v>44754</v>
      </c>
      <c r="Q121" s="29">
        <v>0.51041666666666663</v>
      </c>
      <c r="R121" s="22"/>
      <c r="S121" s="27">
        <v>44761</v>
      </c>
      <c r="T121" s="29">
        <v>0.52083333333333337</v>
      </c>
      <c r="V121" s="13" t="s">
        <v>86</v>
      </c>
      <c r="X121" s="13">
        <f t="shared" si="8"/>
        <v>7</v>
      </c>
      <c r="Z121" s="32" t="s">
        <v>163</v>
      </c>
      <c r="AA121" s="13">
        <f t="shared" si="13"/>
        <v>2</v>
      </c>
      <c r="AB121" s="13" t="str">
        <f t="shared" si="9"/>
        <v>Adult</v>
      </c>
      <c r="AC121" s="13">
        <v>1</v>
      </c>
      <c r="AD121" s="13">
        <v>1</v>
      </c>
      <c r="AE121" s="13" t="str">
        <f t="shared" si="10"/>
        <v>Morphological</v>
      </c>
      <c r="AF121" s="2">
        <v>4</v>
      </c>
    </row>
    <row r="122" spans="1:32" x14ac:dyDescent="0.25">
      <c r="A122" s="13">
        <v>118</v>
      </c>
      <c r="B122" s="23" t="s">
        <v>56</v>
      </c>
      <c r="C122" s="23" t="s">
        <v>57</v>
      </c>
      <c r="D122" s="23" t="s">
        <v>58</v>
      </c>
      <c r="E122" s="23" t="s">
        <v>58</v>
      </c>
      <c r="F122" s="35" cm="1">
        <f t="array" ref="F122">_xlfn.IFS($G122=$G$5,F$5,$G122=$G$7,F$7,$G122=$G$10,F$10,$G122=$G$13,F$13,$G122=$G$14,F$14,$G122=$G$16,F$16,$G122=$G$17,F$17,$G122=$G$19,F$19,$G122=$G$20,F$20,$G122=$G$22,F$22,$G122=$G$23,F$23,$G122=$G$26,F$26,$G122=$G$29,F$29,$G122=$G$31,F$31,$G122=$G$34,F$34,$G122=$G$37,F$37,$G122=$G$107,F$107,$G122=$G$110,F$110,$G122=$G$140,F$140,$G122=$G$142,F$142,$G122=$G$408,F$408)</f>
        <v>8038</v>
      </c>
      <c r="G122" s="13" t="s">
        <v>69</v>
      </c>
      <c r="H122" s="51" cm="1">
        <f t="array" ref="H122">_xlfn.IFS($G122=$G$5,H$5,$G122=$G$7,H$7,$G122=$G$10,H$10,$G122=$G$13,H$13,$G122=$G$14,H$14,$G122=$G$16,H$16,$G122=$G$17,H$17,$G122=$G$19,H$19,$G122=$G$20,H$20,$G122=$G$22,H$22,$G122=$G$23,H$23,$G122=$G$26,H$26,$G122=$G$29,H$29,$G122=$G$31,H$31,$G122=$G$34,H$34,$G122=$G$37,H$37,$G122=$G$107,H$107,$G122=$G$110,H$110,$G122=$G$140,H$140,$G122=$G$142,H$142,$G122=$G$408,H$408)</f>
        <v>41.363377999999997</v>
      </c>
      <c r="I122" s="51" cm="1">
        <f t="array" ref="I122">_xlfn.IFS($G122=$G$5,I$5,$G122=$G$7,I$7,$G122=$G$10,I$10,$G122=$G$13,I$13,$G122=$G$14,I$14,$G122=$G$16,I$16,$G122=$G$17,I$17,$G122=$G$19,I$19,$G122=$G$20,I$20,$G122=$G$22,I$22,$G122=$G$23,I$23,$G122=$G$26,I$26,$G122=$G$29,I$29,$G122=$G$31,I$31,$G122=$G$34,I$34,$G122=$G$37,I$37,$G122=$G$107,I$107,$G122=$G$110,I$110,$G122=$G$140,I$140,$G122=$G$142,I$142,$G122=$G$408,I$408)</f>
        <v>2.164879</v>
      </c>
      <c r="J122" s="51" cm="1">
        <f t="array" ref="J122">_xlfn.IFS($G122=$G$5,J$5,$G122=$G$7,J$7,$G122=$G$10,J$10,$G122=$G$13,J$13,$G122=$G$14,J$14,$G122=$G$16,J$16,$G122=$G$17,J$17,$G122=$G$19,J$19,$G122=$G$20,J$20,$G122=$G$22,J$22,$G122=$G$23,J$23,$G122=$G$26,J$26,$G122=$G$29,J$29,$G122=$G$31,J$31,$G122=$G$34,J$34,$G122=$G$37,J$37,$G122=$G$107,J$107,$G122=$G$110,J$110,$G122=$G$140,J$140,$G122=$G$142,J$142,$G122=$G$408,J$408)</f>
        <v>185</v>
      </c>
      <c r="K122" s="13" t="str" cm="1">
        <f t="array" ref="K122">_xlfn.IFS($G122=$G$5,K$5,$G122=$G$7,K$7,$G122=$G$10,K$10,$G122=$G$13,K$13,$G122=$G$14,K$14,$G122=$G$16,K$16,$G122=$G$17,K$17,$G122=$G$19,K$19,$G122=$G$20,K$20,$G122=$G$22,K$22,$G122=$G$23,K$23,$G122=$G$26,K$26,$G122=$G$29,K$29,$G122=$G$31,K$31,$G122=$G$34,K$34,$G122=$G$37,K$37,$G122=$G$107,K$107,$G122=$G$110,K$110,$G122=$G$140,K$140,$G122=$G$142,K$142,$G122=$G$408,K$408)</f>
        <v>BG sentinel + BG lure7</v>
      </c>
      <c r="O122" s="13" t="str">
        <f t="shared" si="12"/>
        <v>A_SP_BCN_12_220712</v>
      </c>
      <c r="P122" s="27">
        <v>44754</v>
      </c>
      <c r="Q122" s="29">
        <v>0.54861111111111105</v>
      </c>
      <c r="R122" s="22"/>
      <c r="S122" s="27">
        <v>44761</v>
      </c>
      <c r="T122" s="29">
        <v>0.55902777777777779</v>
      </c>
      <c r="V122" s="13" t="s">
        <v>86</v>
      </c>
      <c r="X122" s="13">
        <f t="shared" si="8"/>
        <v>7</v>
      </c>
      <c r="Z122" s="13" t="s">
        <v>60</v>
      </c>
      <c r="AA122" s="13">
        <f t="shared" si="13"/>
        <v>8</v>
      </c>
      <c r="AB122" s="13" t="str">
        <f t="shared" si="9"/>
        <v>Adult</v>
      </c>
      <c r="AC122" s="13">
        <v>5</v>
      </c>
      <c r="AD122" s="13">
        <v>3</v>
      </c>
      <c r="AE122" s="13" t="str">
        <f t="shared" si="10"/>
        <v>Morphological</v>
      </c>
      <c r="AF122" s="2">
        <v>4</v>
      </c>
    </row>
    <row r="123" spans="1:32" x14ac:dyDescent="0.25">
      <c r="A123" s="13">
        <v>119</v>
      </c>
      <c r="B123" s="23" t="s">
        <v>56</v>
      </c>
      <c r="C123" s="23" t="s">
        <v>57</v>
      </c>
      <c r="D123" s="23" t="s">
        <v>58</v>
      </c>
      <c r="E123" s="23" t="s">
        <v>58</v>
      </c>
      <c r="F123" s="35" cm="1">
        <f t="array" ref="F123">_xlfn.IFS($G123=$G$5,F$5,$G123=$G$7,F$7,$G123=$G$10,F$10,$G123=$G$13,F$13,$G123=$G$14,F$14,$G123=$G$16,F$16,$G123=$G$17,F$17,$G123=$G$19,F$19,$G123=$G$20,F$20,$G123=$G$22,F$22,$G123=$G$23,F$23,$G123=$G$26,F$26,$G123=$G$29,F$29,$G123=$G$31,F$31,$G123=$G$34,F$34,$G123=$G$37,F$37,$G123=$G$107,F$107,$G123=$G$110,F$110,$G123=$G$140,F$140,$G123=$G$142,F$142,$G123=$G$408,F$408)</f>
        <v>8038</v>
      </c>
      <c r="G123" s="13" t="s">
        <v>69</v>
      </c>
      <c r="H123" s="51" cm="1">
        <f t="array" ref="H123">_xlfn.IFS($G123=$G$5,H$5,$G123=$G$7,H$7,$G123=$G$10,H$10,$G123=$G$13,H$13,$G123=$G$14,H$14,$G123=$G$16,H$16,$G123=$G$17,H$17,$G123=$G$19,H$19,$G123=$G$20,H$20,$G123=$G$22,H$22,$G123=$G$23,H$23,$G123=$G$26,H$26,$G123=$G$29,H$29,$G123=$G$31,H$31,$G123=$G$34,H$34,$G123=$G$37,H$37,$G123=$G$107,H$107,$G123=$G$110,H$110,$G123=$G$140,H$140,$G123=$G$142,H$142,$G123=$G$408,H$408)</f>
        <v>41.363377999999997</v>
      </c>
      <c r="I123" s="51" cm="1">
        <f t="array" ref="I123">_xlfn.IFS($G123=$G$5,I$5,$G123=$G$7,I$7,$G123=$G$10,I$10,$G123=$G$13,I$13,$G123=$G$14,I$14,$G123=$G$16,I$16,$G123=$G$17,I$17,$G123=$G$19,I$19,$G123=$G$20,I$20,$G123=$G$22,I$22,$G123=$G$23,I$23,$G123=$G$26,I$26,$G123=$G$29,I$29,$G123=$G$31,I$31,$G123=$G$34,I$34,$G123=$G$37,I$37,$G123=$G$107,I$107,$G123=$G$110,I$110,$G123=$G$140,I$140,$G123=$G$142,I$142,$G123=$G$408,I$408)</f>
        <v>2.164879</v>
      </c>
      <c r="J123" s="51" cm="1">
        <f t="array" ref="J123">_xlfn.IFS($G123=$G$5,J$5,$G123=$G$7,J$7,$G123=$G$10,J$10,$G123=$G$13,J$13,$G123=$G$14,J$14,$G123=$G$16,J$16,$G123=$G$17,J$17,$G123=$G$19,J$19,$G123=$G$20,J$20,$G123=$G$22,J$22,$G123=$G$23,J$23,$G123=$G$26,J$26,$G123=$G$29,J$29,$G123=$G$31,J$31,$G123=$G$34,J$34,$G123=$G$37,J$37,$G123=$G$107,J$107,$G123=$G$110,J$110,$G123=$G$140,J$140,$G123=$G$142,J$142,$G123=$G$408,J$408)</f>
        <v>185</v>
      </c>
      <c r="K123" s="13" t="str" cm="1">
        <f t="array" ref="K123">_xlfn.IFS($G123=$G$5,K$5,$G123=$G$7,K$7,$G123=$G$10,K$10,$G123=$G$13,K$13,$G123=$G$14,K$14,$G123=$G$16,K$16,$G123=$G$17,K$17,$G123=$G$19,K$19,$G123=$G$20,K$20,$G123=$G$22,K$22,$G123=$G$23,K$23,$G123=$G$26,K$26,$G123=$G$29,K$29,$G123=$G$31,K$31,$G123=$G$34,K$34,$G123=$G$37,K$37,$G123=$G$107,K$107,$G123=$G$110,K$110,$G123=$G$140,K$140,$G123=$G$142,K$142,$G123=$G$408,K$408)</f>
        <v>BG sentinel + BG lure7</v>
      </c>
      <c r="O123" s="13" t="str">
        <f t="shared" si="12"/>
        <v>A_SP_BCN_12_220712</v>
      </c>
      <c r="P123" s="27">
        <v>44754</v>
      </c>
      <c r="Q123" s="29">
        <v>0.54861111111111105</v>
      </c>
      <c r="R123" s="22"/>
      <c r="S123" s="27">
        <v>44761</v>
      </c>
      <c r="T123" s="29">
        <v>0.55902777777777779</v>
      </c>
      <c r="V123" s="13" t="s">
        <v>86</v>
      </c>
      <c r="X123" s="13">
        <f t="shared" si="8"/>
        <v>7</v>
      </c>
      <c r="Z123" s="13" t="s">
        <v>164</v>
      </c>
      <c r="AA123" s="13">
        <f t="shared" si="13"/>
        <v>12</v>
      </c>
      <c r="AB123" s="13" t="str">
        <f t="shared" si="9"/>
        <v>Adult</v>
      </c>
      <c r="AC123" s="13">
        <v>12</v>
      </c>
      <c r="AD123" s="13">
        <v>0</v>
      </c>
      <c r="AE123" s="13" t="str">
        <f t="shared" si="10"/>
        <v>Morphological</v>
      </c>
      <c r="AF123" s="2">
        <v>4</v>
      </c>
    </row>
    <row r="124" spans="1:32" x14ac:dyDescent="0.25">
      <c r="A124" s="13">
        <v>120</v>
      </c>
      <c r="B124" s="23" t="s">
        <v>56</v>
      </c>
      <c r="C124" s="23" t="s">
        <v>57</v>
      </c>
      <c r="D124" s="23" t="s">
        <v>58</v>
      </c>
      <c r="E124" s="23" t="s">
        <v>58</v>
      </c>
      <c r="F124" s="35" cm="1">
        <f t="array" ref="F124">_xlfn.IFS($G124=$G$5,F$5,$G124=$G$7,F$7,$G124=$G$10,F$10,$G124=$G$13,F$13,$G124=$G$14,F$14,$G124=$G$16,F$16,$G124=$G$17,F$17,$G124=$G$19,F$19,$G124=$G$20,F$20,$G124=$G$22,F$22,$G124=$G$23,F$23,$G124=$G$26,F$26,$G124=$G$29,F$29,$G124=$G$31,F$31,$G124=$G$34,F$34,$G124=$G$37,F$37,$G124=$G$107,F$107,$G124=$G$110,F$110,$G124=$G$140,F$140,$G124=$G$142,F$142,$G124=$G$408,F$408)</f>
        <v>8038</v>
      </c>
      <c r="G124" s="13" t="s">
        <v>69</v>
      </c>
      <c r="H124" s="51" cm="1">
        <f t="array" ref="H124">_xlfn.IFS($G124=$G$5,H$5,$G124=$G$7,H$7,$G124=$G$10,H$10,$G124=$G$13,H$13,$G124=$G$14,H$14,$G124=$G$16,H$16,$G124=$G$17,H$17,$G124=$G$19,H$19,$G124=$G$20,H$20,$G124=$G$22,H$22,$G124=$G$23,H$23,$G124=$G$26,H$26,$G124=$G$29,H$29,$G124=$G$31,H$31,$G124=$G$34,H$34,$G124=$G$37,H$37,$G124=$G$107,H$107,$G124=$G$110,H$110,$G124=$G$140,H$140,$G124=$G$142,H$142,$G124=$G$408,H$408)</f>
        <v>41.363377999999997</v>
      </c>
      <c r="I124" s="51" cm="1">
        <f t="array" ref="I124">_xlfn.IFS($G124=$G$5,I$5,$G124=$G$7,I$7,$G124=$G$10,I$10,$G124=$G$13,I$13,$G124=$G$14,I$14,$G124=$G$16,I$16,$G124=$G$17,I$17,$G124=$G$19,I$19,$G124=$G$20,I$20,$G124=$G$22,I$22,$G124=$G$23,I$23,$G124=$G$26,I$26,$G124=$G$29,I$29,$G124=$G$31,I$31,$G124=$G$34,I$34,$G124=$G$37,I$37,$G124=$G$107,I$107,$G124=$G$110,I$110,$G124=$G$140,I$140,$G124=$G$142,I$142,$G124=$G$408,I$408)</f>
        <v>2.164879</v>
      </c>
      <c r="J124" s="51" cm="1">
        <f t="array" ref="J124">_xlfn.IFS($G124=$G$5,J$5,$G124=$G$7,J$7,$G124=$G$10,J$10,$G124=$G$13,J$13,$G124=$G$14,J$14,$G124=$G$16,J$16,$G124=$G$17,J$17,$G124=$G$19,J$19,$G124=$G$20,J$20,$G124=$G$22,J$22,$G124=$G$23,J$23,$G124=$G$26,J$26,$G124=$G$29,J$29,$G124=$G$31,J$31,$G124=$G$34,J$34,$G124=$G$37,J$37,$G124=$G$107,J$107,$G124=$G$110,J$110,$G124=$G$140,J$140,$G124=$G$142,J$142,$G124=$G$408,J$408)</f>
        <v>185</v>
      </c>
      <c r="K124" s="13" t="str" cm="1">
        <f t="array" ref="K124">_xlfn.IFS($G124=$G$5,K$5,$G124=$G$7,K$7,$G124=$G$10,K$10,$G124=$G$13,K$13,$G124=$G$14,K$14,$G124=$G$16,K$16,$G124=$G$17,K$17,$G124=$G$19,K$19,$G124=$G$20,K$20,$G124=$G$22,K$22,$G124=$G$23,K$23,$G124=$G$26,K$26,$G124=$G$29,K$29,$G124=$G$31,K$31,$G124=$G$34,K$34,$G124=$G$37,K$37,$G124=$G$107,K$107,$G124=$G$110,K$110,$G124=$G$140,K$140,$G124=$G$142,K$142,$G124=$G$408,K$408)</f>
        <v>BG sentinel + BG lure7</v>
      </c>
      <c r="O124" s="13" t="str">
        <f t="shared" si="12"/>
        <v>A_SP_BCN_12_220712</v>
      </c>
      <c r="P124" s="27">
        <v>44754</v>
      </c>
      <c r="Q124" s="29">
        <v>0.54861111111111105</v>
      </c>
      <c r="R124" s="22"/>
      <c r="S124" s="27">
        <v>44761</v>
      </c>
      <c r="T124" s="29">
        <v>0.55902777777777779</v>
      </c>
      <c r="V124" s="13" t="s">
        <v>86</v>
      </c>
      <c r="X124" s="13">
        <f t="shared" si="8"/>
        <v>7</v>
      </c>
      <c r="Z124" s="32" t="s">
        <v>163</v>
      </c>
      <c r="AA124" s="13">
        <f t="shared" si="13"/>
        <v>4</v>
      </c>
      <c r="AB124" s="13" t="str">
        <f t="shared" si="9"/>
        <v>Adult</v>
      </c>
      <c r="AC124" s="13">
        <v>1</v>
      </c>
      <c r="AD124" s="13">
        <v>3</v>
      </c>
      <c r="AE124" s="13" t="str">
        <f t="shared" si="10"/>
        <v>Morphological</v>
      </c>
      <c r="AF124" s="2">
        <v>4</v>
      </c>
    </row>
    <row r="125" spans="1:32" x14ac:dyDescent="0.25">
      <c r="A125" s="13">
        <v>121</v>
      </c>
      <c r="B125" s="23" t="s">
        <v>56</v>
      </c>
      <c r="C125" s="23" t="s">
        <v>57</v>
      </c>
      <c r="D125" s="23" t="s">
        <v>58</v>
      </c>
      <c r="E125" s="23" t="s">
        <v>58</v>
      </c>
      <c r="F125" s="35" cm="1">
        <f t="array" ref="F125">_xlfn.IFS($G125=$G$5,F$5,$G125=$G$7,F$7,$G125=$G$10,F$10,$G125=$G$13,F$13,$G125=$G$14,F$14,$G125=$G$16,F$16,$G125=$G$17,F$17,$G125=$G$19,F$19,$G125=$G$20,F$20,$G125=$G$22,F$22,$G125=$G$23,F$23,$G125=$G$26,F$26,$G125=$G$29,F$29,$G125=$G$31,F$31,$G125=$G$34,F$34,$G125=$G$37,F$37,$G125=$G$107,F$107,$G125=$G$110,F$110,$G125=$G$140,F$140,$G125=$G$142,F$142,$G125=$G$408,F$408)</f>
        <v>8035</v>
      </c>
      <c r="G125" s="13" t="s">
        <v>70</v>
      </c>
      <c r="H125" s="51" cm="1">
        <f t="array" ref="H125">_xlfn.IFS($G125=$G$5,H$5,$G125=$G$7,H$7,$G125=$G$10,H$10,$G125=$G$13,H$13,$G125=$G$14,H$14,$G125=$G$16,H$16,$G125=$G$17,H$17,$G125=$G$19,H$19,$G125=$G$20,H$20,$G125=$G$22,H$22,$G125=$G$23,H$23,$G125=$G$26,H$26,$G125=$G$29,H$29,$G125=$G$31,H$31,$G125=$G$34,H$34,$G125=$G$37,H$37,$G125=$G$107,H$107,$G125=$G$110,H$110,$G125=$G$140,H$140,$G125=$G$142,H$142,$G125=$G$408,H$408)</f>
        <v>41.434472</v>
      </c>
      <c r="I125" s="51" cm="1">
        <f t="array" ref="I125">_xlfn.IFS($G125=$G$5,I$5,$G125=$G$7,I$7,$G125=$G$10,I$10,$G125=$G$13,I$13,$G125=$G$14,I$14,$G125=$G$16,I$16,$G125=$G$17,I$17,$G125=$G$19,I$19,$G125=$G$20,I$20,$G125=$G$22,I$22,$G125=$G$23,I$23,$G125=$G$26,I$26,$G125=$G$29,I$29,$G125=$G$31,I$31,$G125=$G$34,I$34,$G125=$G$37,I$37,$G125=$G$107,I$107,$G125=$G$110,I$110,$G125=$G$140,I$140,$G125=$G$142,I$142,$G125=$G$408,I$408)</f>
        <v>2.1315789999999999</v>
      </c>
      <c r="J125" s="51" cm="1">
        <f t="array" ref="J125">_xlfn.IFS($G125=$G$5,J$5,$G125=$G$7,J$7,$G125=$G$10,J$10,$G125=$G$13,J$13,$G125=$G$14,J$14,$G125=$G$16,J$16,$G125=$G$17,J$17,$G125=$G$19,J$19,$G125=$G$20,J$20,$G125=$G$22,J$22,$G125=$G$23,J$23,$G125=$G$26,J$26,$G125=$G$29,J$29,$G125=$G$31,J$31,$G125=$G$34,J$34,$G125=$G$37,J$37,$G125=$G$107,J$107,$G125=$G$110,J$110,$G125=$G$140,J$140,$G125=$G$142,J$142,$G125=$G$408,J$408)</f>
        <v>365</v>
      </c>
      <c r="K125" s="13" t="str" cm="1">
        <f t="array" ref="K125">_xlfn.IFS($G125=$G$5,K$5,$G125=$G$7,K$7,$G125=$G$10,K$10,$G125=$G$13,K$13,$G125=$G$14,K$14,$G125=$G$16,K$16,$G125=$G$17,K$17,$G125=$G$19,K$19,$G125=$G$20,K$20,$G125=$G$22,K$22,$G125=$G$23,K$23,$G125=$G$26,K$26,$G125=$G$29,K$29,$G125=$G$31,K$31,$G125=$G$34,K$34,$G125=$G$37,K$37,$G125=$G$107,K$107,$G125=$G$110,K$110,$G125=$G$140,K$140,$G125=$G$142,K$142,$G125=$G$408,K$408)</f>
        <v>BG sentinel + BG lure7</v>
      </c>
      <c r="O125" s="13" t="str">
        <f t="shared" si="12"/>
        <v>A_SP_BCN_13_220712</v>
      </c>
      <c r="P125" s="27">
        <v>44754</v>
      </c>
      <c r="Q125" s="29">
        <v>0.63541666666666663</v>
      </c>
      <c r="R125" s="22"/>
      <c r="S125" s="27">
        <v>44761</v>
      </c>
      <c r="T125" s="29">
        <v>0.63194444444444442</v>
      </c>
      <c r="V125" s="13" t="s">
        <v>86</v>
      </c>
      <c r="X125" s="13">
        <f t="shared" si="8"/>
        <v>7</v>
      </c>
      <c r="Z125" s="13" t="s">
        <v>60</v>
      </c>
      <c r="AA125" s="13">
        <f t="shared" si="13"/>
        <v>1</v>
      </c>
      <c r="AB125" s="13" t="str">
        <f t="shared" si="9"/>
        <v>Adult</v>
      </c>
      <c r="AC125" s="13">
        <v>1</v>
      </c>
      <c r="AD125" s="13">
        <v>0</v>
      </c>
      <c r="AE125" s="13" t="str">
        <f t="shared" si="10"/>
        <v>Morphological</v>
      </c>
      <c r="AF125" s="2">
        <v>4</v>
      </c>
    </row>
    <row r="126" spans="1:32" x14ac:dyDescent="0.25">
      <c r="A126" s="13">
        <v>122</v>
      </c>
      <c r="B126" s="23" t="s">
        <v>56</v>
      </c>
      <c r="C126" s="23" t="s">
        <v>57</v>
      </c>
      <c r="D126" s="23" t="s">
        <v>58</v>
      </c>
      <c r="E126" s="23" t="s">
        <v>58</v>
      </c>
      <c r="F126" s="35" cm="1">
        <f t="array" ref="F126">_xlfn.IFS($G126=$G$5,F$5,$G126=$G$7,F$7,$G126=$G$10,F$10,$G126=$G$13,F$13,$G126=$G$14,F$14,$G126=$G$16,F$16,$G126=$G$17,F$17,$G126=$G$19,F$19,$G126=$G$20,F$20,$G126=$G$22,F$22,$G126=$G$23,F$23,$G126=$G$26,F$26,$G126=$G$29,F$29,$G126=$G$31,F$31,$G126=$G$34,F$34,$G126=$G$37,F$37,$G126=$G$107,F$107,$G126=$G$110,F$110,$G126=$G$140,F$140,$G126=$G$142,F$142,$G126=$G$408,F$408)</f>
        <v>8035</v>
      </c>
      <c r="G126" s="13" t="s">
        <v>70</v>
      </c>
      <c r="H126" s="51" cm="1">
        <f t="array" ref="H126">_xlfn.IFS($G126=$G$5,H$5,$G126=$G$7,H$7,$G126=$G$10,H$10,$G126=$G$13,H$13,$G126=$G$14,H$14,$G126=$G$16,H$16,$G126=$G$17,H$17,$G126=$G$19,H$19,$G126=$G$20,H$20,$G126=$G$22,H$22,$G126=$G$23,H$23,$G126=$G$26,H$26,$G126=$G$29,H$29,$G126=$G$31,H$31,$G126=$G$34,H$34,$G126=$G$37,H$37,$G126=$G$107,H$107,$G126=$G$110,H$110,$G126=$G$140,H$140,$G126=$G$142,H$142,$G126=$G$408,H$408)</f>
        <v>41.434472</v>
      </c>
      <c r="I126" s="51" cm="1">
        <f t="array" ref="I126">_xlfn.IFS($G126=$G$5,I$5,$G126=$G$7,I$7,$G126=$G$10,I$10,$G126=$G$13,I$13,$G126=$G$14,I$14,$G126=$G$16,I$16,$G126=$G$17,I$17,$G126=$G$19,I$19,$G126=$G$20,I$20,$G126=$G$22,I$22,$G126=$G$23,I$23,$G126=$G$26,I$26,$G126=$G$29,I$29,$G126=$G$31,I$31,$G126=$G$34,I$34,$G126=$G$37,I$37,$G126=$G$107,I$107,$G126=$G$110,I$110,$G126=$G$140,I$140,$G126=$G$142,I$142,$G126=$G$408,I$408)</f>
        <v>2.1315789999999999</v>
      </c>
      <c r="J126" s="51" cm="1">
        <f t="array" ref="J126">_xlfn.IFS($G126=$G$5,J$5,$G126=$G$7,J$7,$G126=$G$10,J$10,$G126=$G$13,J$13,$G126=$G$14,J$14,$G126=$G$16,J$16,$G126=$G$17,J$17,$G126=$G$19,J$19,$G126=$G$20,J$20,$G126=$G$22,J$22,$G126=$G$23,J$23,$G126=$G$26,J$26,$G126=$G$29,J$29,$G126=$G$31,J$31,$G126=$G$34,J$34,$G126=$G$37,J$37,$G126=$G$107,J$107,$G126=$G$110,J$110,$G126=$G$140,J$140,$G126=$G$142,J$142,$G126=$G$408,J$408)</f>
        <v>365</v>
      </c>
      <c r="K126" s="13" t="str" cm="1">
        <f t="array" ref="K126">_xlfn.IFS($G126=$G$5,K$5,$G126=$G$7,K$7,$G126=$G$10,K$10,$G126=$G$13,K$13,$G126=$G$14,K$14,$G126=$G$16,K$16,$G126=$G$17,K$17,$G126=$G$19,K$19,$G126=$G$20,K$20,$G126=$G$22,K$22,$G126=$G$23,K$23,$G126=$G$26,K$26,$G126=$G$29,K$29,$G126=$G$31,K$31,$G126=$G$34,K$34,$G126=$G$37,K$37,$G126=$G$107,K$107,$G126=$G$110,K$110,$G126=$G$140,K$140,$G126=$G$142,K$142,$G126=$G$408,K$408)</f>
        <v>BG sentinel + BG lure7</v>
      </c>
      <c r="O126" s="13" t="str">
        <f t="shared" si="12"/>
        <v>A_SP_BCN_13_220712</v>
      </c>
      <c r="P126" s="27">
        <v>44754</v>
      </c>
      <c r="Q126" s="29">
        <v>0.63541666666666663</v>
      </c>
      <c r="R126" s="22"/>
      <c r="S126" s="27">
        <v>44761</v>
      </c>
      <c r="T126" s="29">
        <v>0.63194444444444442</v>
      </c>
      <c r="V126" s="13" t="s">
        <v>86</v>
      </c>
      <c r="X126" s="13">
        <f t="shared" si="8"/>
        <v>7</v>
      </c>
      <c r="Z126" s="32" t="s">
        <v>163</v>
      </c>
      <c r="AA126" s="13">
        <f t="shared" si="13"/>
        <v>2</v>
      </c>
      <c r="AB126" s="13" t="str">
        <f t="shared" si="9"/>
        <v>Adult</v>
      </c>
      <c r="AC126" s="13">
        <v>1</v>
      </c>
      <c r="AD126" s="13">
        <v>1</v>
      </c>
      <c r="AE126" s="13" t="str">
        <f t="shared" si="10"/>
        <v>Morphological</v>
      </c>
      <c r="AF126" s="2">
        <v>4</v>
      </c>
    </row>
    <row r="127" spans="1:32" x14ac:dyDescent="0.25">
      <c r="A127" s="13">
        <v>123</v>
      </c>
      <c r="B127" s="23" t="s">
        <v>56</v>
      </c>
      <c r="C127" s="23" t="s">
        <v>57</v>
      </c>
      <c r="D127" s="23" t="s">
        <v>58</v>
      </c>
      <c r="E127" s="23" t="s">
        <v>58</v>
      </c>
      <c r="F127" s="35" cm="1">
        <f t="array" ref="F127">_xlfn.IFS($G127=$G$5,F$5,$G127=$G$7,F$7,$G127=$G$10,F$10,$G127=$G$13,F$13,$G127=$G$14,F$14,$G127=$G$16,F$16,$G127=$G$17,F$17,$G127=$G$19,F$19,$G127=$G$20,F$20,$G127=$G$22,F$22,$G127=$G$23,F$23,$G127=$G$26,F$26,$G127=$G$29,F$29,$G127=$G$31,F$31,$G127=$G$34,F$34,$G127=$G$37,F$37,$G127=$G$107,F$107,$G127=$G$110,F$110,$G127=$G$140,F$140,$G127=$G$142,F$142,$G127=$G$408,F$408)</f>
        <v>8017</v>
      </c>
      <c r="G127" s="13" t="s">
        <v>71</v>
      </c>
      <c r="H127" s="51" cm="1">
        <f t="array" ref="H127">_xlfn.IFS($G127=$G$5,H$5,$G127=$G$7,H$7,$G127=$G$10,H$10,$G127=$G$13,H$13,$G127=$G$14,H$14,$G127=$G$16,H$16,$G127=$G$17,H$17,$G127=$G$19,H$19,$G127=$G$20,H$20,$G127=$G$22,H$22,$G127=$G$23,H$23,$G127=$G$26,H$26,$G127=$G$29,H$29,$G127=$G$31,H$31,$G127=$G$34,H$34,$G127=$G$37,H$37,$G127=$G$107,H$107,$G127=$G$110,H$110,$G127=$G$140,H$140,$G127=$G$142,H$142,$G127=$G$408,H$408)</f>
        <v>41.428533999999999</v>
      </c>
      <c r="I127" s="51" cm="1">
        <f t="array" ref="I127">_xlfn.IFS($G127=$G$5,I$5,$G127=$G$7,I$7,$G127=$G$10,I$10,$G127=$G$13,I$13,$G127=$G$14,I$14,$G127=$G$16,I$16,$G127=$G$17,I$17,$G127=$G$19,I$19,$G127=$G$20,I$20,$G127=$G$22,I$22,$G127=$G$23,I$23,$G127=$G$26,I$26,$G127=$G$29,I$29,$G127=$G$31,I$31,$G127=$G$34,I$34,$G127=$G$37,I$37,$G127=$G$107,I$107,$G127=$G$110,I$110,$G127=$G$140,I$140,$G127=$G$142,I$142,$G127=$G$408,I$408)</f>
        <v>2.090954</v>
      </c>
      <c r="J127" s="51" cm="1">
        <f t="array" ref="J127">_xlfn.IFS($G127=$G$5,J$5,$G127=$G$7,J$7,$G127=$G$10,J$10,$G127=$G$13,J$13,$G127=$G$14,J$14,$G127=$G$16,J$16,$G127=$G$17,J$17,$G127=$G$19,J$19,$G127=$G$20,J$20,$G127=$G$22,J$22,$G127=$G$23,J$23,$G127=$G$26,J$26,$G127=$G$29,J$29,$G127=$G$31,J$31,$G127=$G$34,J$34,$G127=$G$37,J$37,$G127=$G$107,J$107,$G127=$G$110,J$110,$G127=$G$140,J$140,$G127=$G$142,J$142,$G127=$G$408,J$408)</f>
        <v>215</v>
      </c>
      <c r="K127" s="13" t="str" cm="1">
        <f t="array" ref="K127">_xlfn.IFS($G127=$G$5,K$5,$G127=$G$7,K$7,$G127=$G$10,K$10,$G127=$G$13,K$13,$G127=$G$14,K$14,$G127=$G$16,K$16,$G127=$G$17,K$17,$G127=$G$19,K$19,$G127=$G$20,K$20,$G127=$G$22,K$22,$G127=$G$23,K$23,$G127=$G$26,K$26,$G127=$G$29,K$29,$G127=$G$31,K$31,$G127=$G$34,K$34,$G127=$G$37,K$37,$G127=$G$107,K$107,$G127=$G$110,K$110,$G127=$G$140,K$140,$G127=$G$142,K$142,$G127=$G$408,K$408)</f>
        <v>BG sentinel + BG lure7</v>
      </c>
      <c r="O127" s="13" t="str">
        <f t="shared" si="12"/>
        <v>A_SP_BCN_14_220712</v>
      </c>
      <c r="P127" s="27">
        <v>44754</v>
      </c>
      <c r="Q127" s="36">
        <v>0.72569444444444453</v>
      </c>
      <c r="R127" s="22"/>
      <c r="S127" s="27">
        <v>44761</v>
      </c>
      <c r="T127" s="29">
        <v>0.71527777777777779</v>
      </c>
      <c r="V127" s="13" t="s">
        <v>86</v>
      </c>
      <c r="X127" s="13">
        <f t="shared" si="8"/>
        <v>7</v>
      </c>
      <c r="Z127" s="13" t="s">
        <v>60</v>
      </c>
      <c r="AA127" s="13">
        <f t="shared" si="13"/>
        <v>21</v>
      </c>
      <c r="AB127" s="13" t="str">
        <f t="shared" si="9"/>
        <v>Adult</v>
      </c>
      <c r="AC127" s="13">
        <v>17</v>
      </c>
      <c r="AD127" s="13">
        <v>4</v>
      </c>
      <c r="AE127" s="13" t="str">
        <f t="shared" si="10"/>
        <v>Morphological</v>
      </c>
      <c r="AF127" s="2">
        <v>4</v>
      </c>
    </row>
    <row r="128" spans="1:32" x14ac:dyDescent="0.25">
      <c r="A128" s="13">
        <v>124</v>
      </c>
      <c r="B128" s="23" t="s">
        <v>56</v>
      </c>
      <c r="C128" s="23" t="s">
        <v>57</v>
      </c>
      <c r="D128" s="23" t="s">
        <v>58</v>
      </c>
      <c r="E128" s="23" t="s">
        <v>58</v>
      </c>
      <c r="F128" s="35" cm="1">
        <f t="array" ref="F128">_xlfn.IFS($G128=$G$5,F$5,$G128=$G$7,F$7,$G128=$G$10,F$10,$G128=$G$13,F$13,$G128=$G$14,F$14,$G128=$G$16,F$16,$G128=$G$17,F$17,$G128=$G$19,F$19,$G128=$G$20,F$20,$G128=$G$22,F$22,$G128=$G$23,F$23,$G128=$G$26,F$26,$G128=$G$29,F$29,$G128=$G$31,F$31,$G128=$G$34,F$34,$G128=$G$37,F$37,$G128=$G$107,F$107,$G128=$G$110,F$110,$G128=$G$140,F$140,$G128=$G$142,F$142,$G128=$G$408,F$408)</f>
        <v>8017</v>
      </c>
      <c r="G128" s="13" t="s">
        <v>72</v>
      </c>
      <c r="H128" s="51" cm="1">
        <f t="array" ref="H128">_xlfn.IFS($G128=$G$5,H$5,$G128=$G$7,H$7,$G128=$G$10,H$10,$G128=$G$13,H$13,$G128=$G$14,H$14,$G128=$G$16,H$16,$G128=$G$17,H$17,$G128=$G$19,H$19,$G128=$G$20,H$20,$G128=$G$22,H$22,$G128=$G$23,H$23,$G128=$G$26,H$26,$G128=$G$29,H$29,$G128=$G$31,H$31,$G128=$G$34,H$34,$G128=$G$37,H$37,$G128=$G$107,H$107,$G128=$G$110,H$110,$G128=$G$140,H$140,$G128=$G$142,H$142,$G128=$G$408,H$408)</f>
        <v>41.419471000000001</v>
      </c>
      <c r="I128" s="51" cm="1">
        <f t="array" ref="I128">_xlfn.IFS($G128=$G$5,I$5,$G128=$G$7,I$7,$G128=$G$10,I$10,$G128=$G$13,I$13,$G128=$G$14,I$14,$G128=$G$16,I$16,$G128=$G$17,I$17,$G128=$G$19,I$19,$G128=$G$20,I$20,$G128=$G$22,I$22,$G128=$G$23,I$23,$G128=$G$26,I$26,$G128=$G$29,I$29,$G128=$G$31,I$31,$G128=$G$34,I$34,$G128=$G$37,I$37,$G128=$G$107,I$107,$G128=$G$110,I$110,$G128=$G$140,I$140,$G128=$G$142,I$142,$G128=$G$408,I$408)</f>
        <v>2.1010149999999999</v>
      </c>
      <c r="J128" s="51" cm="1">
        <f t="array" ref="J128">_xlfn.IFS($G128=$G$5,J$5,$G128=$G$7,J$7,$G128=$G$10,J$10,$G128=$G$13,J$13,$G128=$G$14,J$14,$G128=$G$16,J$16,$G128=$G$17,J$17,$G128=$G$19,J$19,$G128=$G$20,J$20,$G128=$G$22,J$22,$G128=$G$23,J$23,$G128=$G$26,J$26,$G128=$G$29,J$29,$G128=$G$31,J$31,$G128=$G$34,J$34,$G128=$G$37,J$37,$G128=$G$107,J$107,$G128=$G$110,J$110,$G128=$G$140,J$140,$G128=$G$142,J$142,$G128=$G$408,J$408)</f>
        <v>284</v>
      </c>
      <c r="K128" s="13" t="str" cm="1">
        <f t="array" ref="K128">_xlfn.IFS($G128=$G$5,K$5,$G128=$G$7,K$7,$G128=$G$10,K$10,$G128=$G$13,K$13,$G128=$G$14,K$14,$G128=$G$16,K$16,$G128=$G$17,K$17,$G128=$G$19,K$19,$G128=$G$20,K$20,$G128=$G$22,K$22,$G128=$G$23,K$23,$G128=$G$26,K$26,$G128=$G$29,K$29,$G128=$G$31,K$31,$G128=$G$34,K$34,$G128=$G$37,K$37,$G128=$G$107,K$107,$G128=$G$110,K$110,$G128=$G$140,K$140,$G128=$G$142,K$142,$G128=$G$408,K$408)</f>
        <v>BG sentinel + BG lure7</v>
      </c>
      <c r="O128" s="13" t="str">
        <f t="shared" si="12"/>
        <v>A_SP_BCN_15_220712</v>
      </c>
      <c r="P128" s="27">
        <v>44754</v>
      </c>
      <c r="Q128" s="29">
        <v>0.64583333333333337</v>
      </c>
      <c r="R128" s="22"/>
      <c r="S128" s="27">
        <v>44761</v>
      </c>
      <c r="T128" s="29">
        <v>0.64236111111111105</v>
      </c>
      <c r="V128" s="13" t="s">
        <v>86</v>
      </c>
      <c r="X128" s="13">
        <f t="shared" si="8"/>
        <v>7</v>
      </c>
      <c r="Z128" s="13" t="s">
        <v>60</v>
      </c>
      <c r="AA128" s="13">
        <f t="shared" si="13"/>
        <v>1</v>
      </c>
      <c r="AB128" s="13" t="str">
        <f t="shared" si="9"/>
        <v>Adult</v>
      </c>
      <c r="AC128" s="13">
        <v>1</v>
      </c>
      <c r="AD128" s="13">
        <v>0</v>
      </c>
      <c r="AE128" s="13" t="str">
        <f t="shared" si="10"/>
        <v>Morphological</v>
      </c>
      <c r="AF128" s="2">
        <v>4</v>
      </c>
    </row>
    <row r="129" spans="1:32" x14ac:dyDescent="0.25">
      <c r="A129" s="13">
        <v>125</v>
      </c>
      <c r="B129" s="23" t="s">
        <v>56</v>
      </c>
      <c r="C129" s="23" t="s">
        <v>57</v>
      </c>
      <c r="D129" s="23" t="s">
        <v>58</v>
      </c>
      <c r="E129" s="23" t="s">
        <v>58</v>
      </c>
      <c r="F129" s="35" cm="1">
        <f t="array" ref="F129">_xlfn.IFS($G129=$G$5,F$5,$G129=$G$7,F$7,$G129=$G$10,F$10,$G129=$G$13,F$13,$G129=$G$14,F$14,$G129=$G$16,F$16,$G129=$G$17,F$17,$G129=$G$19,F$19,$G129=$G$20,F$20,$G129=$G$22,F$22,$G129=$G$23,F$23,$G129=$G$26,F$26,$G129=$G$29,F$29,$G129=$G$31,F$31,$G129=$G$34,F$34,$G129=$G$37,F$37,$G129=$G$107,F$107,$G129=$G$110,F$110,$G129=$G$140,F$140,$G129=$G$142,F$142,$G129=$G$408,F$408)</f>
        <v>8017</v>
      </c>
      <c r="G129" s="13" t="s">
        <v>73</v>
      </c>
      <c r="H129" s="51" cm="1">
        <f t="array" ref="H129">_xlfn.IFS($G129=$G$5,H$5,$G129=$G$7,H$7,$G129=$G$10,H$10,$G129=$G$13,H$13,$G129=$G$14,H$14,$G129=$G$16,H$16,$G129=$G$17,H$17,$G129=$G$19,H$19,$G129=$G$20,H$20,$G129=$G$22,H$22,$G129=$G$23,H$23,$G129=$G$26,H$26,$G129=$G$29,H$29,$G129=$G$31,H$31,$G129=$G$34,H$34,$G129=$G$37,H$37,$G129=$G$107,H$107,$G129=$G$110,H$110,$G129=$G$140,H$140,$G129=$G$142,H$142,$G129=$G$408,H$408)</f>
        <v>41.398387</v>
      </c>
      <c r="I129" s="51" cm="1">
        <f t="array" ref="I129">_xlfn.IFS($G129=$G$5,I$5,$G129=$G$7,I$7,$G129=$G$10,I$10,$G129=$G$13,I$13,$G129=$G$14,I$14,$G129=$G$16,I$16,$G129=$G$17,I$17,$G129=$G$19,I$19,$G129=$G$20,I$20,$G129=$G$22,I$22,$G129=$G$23,I$23,$G129=$G$26,I$26,$G129=$G$29,I$29,$G129=$G$31,I$31,$G129=$G$34,I$34,$G129=$G$37,I$37,$G129=$G$107,I$107,$G129=$G$110,I$110,$G129=$G$140,I$140,$G129=$G$142,I$142,$G129=$G$408,I$408)</f>
        <v>2.1244429999999999</v>
      </c>
      <c r="J129" s="51" cm="1">
        <f t="array" ref="J129">_xlfn.IFS($G129=$G$5,J$5,$G129=$G$7,J$7,$G129=$G$10,J$10,$G129=$G$13,J$13,$G129=$G$14,J$14,$G129=$G$16,J$16,$G129=$G$17,J$17,$G129=$G$19,J$19,$G129=$G$20,J$20,$G129=$G$22,J$22,$G129=$G$23,J$23,$G129=$G$26,J$26,$G129=$G$29,J$29,$G129=$G$31,J$31,$G129=$G$34,J$34,$G129=$G$37,J$37,$G129=$G$107,J$107,$G129=$G$110,J$110,$G129=$G$140,J$140,$G129=$G$142,J$142,$G129=$G$408,J$408)</f>
        <v>106</v>
      </c>
      <c r="K129" s="13" t="str" cm="1">
        <f t="array" ref="K129">_xlfn.IFS($G129=$G$5,K$5,$G129=$G$7,K$7,$G129=$G$10,K$10,$G129=$G$13,K$13,$G129=$G$14,K$14,$G129=$G$16,K$16,$G129=$G$17,K$17,$G129=$G$19,K$19,$G129=$G$20,K$20,$G129=$G$22,K$22,$G129=$G$23,K$23,$G129=$G$26,K$26,$G129=$G$29,K$29,$G129=$G$31,K$31,$G129=$G$34,K$34,$G129=$G$37,K$37,$G129=$G$107,K$107,$G129=$G$110,K$110,$G129=$G$140,K$140,$G129=$G$142,K$142,$G129=$G$408,K$408)</f>
        <v>BG sentinel + BG lure7</v>
      </c>
      <c r="O129" s="13" t="str">
        <f t="shared" si="12"/>
        <v>A_SP_BCN_16_220712</v>
      </c>
      <c r="P129" s="27">
        <v>44754</v>
      </c>
      <c r="Q129" s="29">
        <v>0.75</v>
      </c>
      <c r="R129" s="22"/>
      <c r="S129" s="27">
        <v>44761</v>
      </c>
      <c r="T129" s="29">
        <v>0.74305555555555547</v>
      </c>
      <c r="V129" s="13" t="s">
        <v>86</v>
      </c>
      <c r="X129" s="13">
        <f t="shared" si="8"/>
        <v>7</v>
      </c>
      <c r="Z129" s="13" t="s">
        <v>60</v>
      </c>
      <c r="AA129" s="13">
        <f t="shared" si="13"/>
        <v>29</v>
      </c>
      <c r="AB129" s="13" t="str">
        <f t="shared" si="9"/>
        <v>Adult</v>
      </c>
      <c r="AC129" s="13">
        <v>15</v>
      </c>
      <c r="AD129" s="13">
        <v>14</v>
      </c>
      <c r="AE129" s="13" t="str">
        <f t="shared" si="10"/>
        <v>Morphological</v>
      </c>
      <c r="AF129" s="2">
        <v>4</v>
      </c>
    </row>
    <row r="130" spans="1:32" x14ac:dyDescent="0.25">
      <c r="A130" s="13">
        <v>126</v>
      </c>
      <c r="B130" s="23" t="s">
        <v>56</v>
      </c>
      <c r="C130" s="23" t="s">
        <v>57</v>
      </c>
      <c r="D130" s="23" t="s">
        <v>58</v>
      </c>
      <c r="E130" s="23" t="s">
        <v>58</v>
      </c>
      <c r="F130" s="35" cm="1">
        <f t="array" ref="F130">_xlfn.IFS($G130=$G$5,F$5,$G130=$G$7,F$7,$G130=$G$10,F$10,$G130=$G$13,F$13,$G130=$G$14,F$14,$G130=$G$16,F$16,$G130=$G$17,F$17,$G130=$G$19,F$19,$G130=$G$20,F$20,$G130=$G$22,F$22,$G130=$G$23,F$23,$G130=$G$26,F$26,$G130=$G$29,F$29,$G130=$G$31,F$31,$G130=$G$34,F$34,$G130=$G$37,F$37,$G130=$G$107,F$107,$G130=$G$110,F$110,$G130=$G$140,F$140,$G130=$G$142,F$142,$G130=$G$408,F$408)</f>
        <v>8017</v>
      </c>
      <c r="G130" s="13" t="s">
        <v>73</v>
      </c>
      <c r="H130" s="51" cm="1">
        <f t="array" ref="H130">_xlfn.IFS($G130=$G$5,H$5,$G130=$G$7,H$7,$G130=$G$10,H$10,$G130=$G$13,H$13,$G130=$G$14,H$14,$G130=$G$16,H$16,$G130=$G$17,H$17,$G130=$G$19,H$19,$G130=$G$20,H$20,$G130=$G$22,H$22,$G130=$G$23,H$23,$G130=$G$26,H$26,$G130=$G$29,H$29,$G130=$G$31,H$31,$G130=$G$34,H$34,$G130=$G$37,H$37,$G130=$G$107,H$107,$G130=$G$110,H$110,$G130=$G$140,H$140,$G130=$G$142,H$142,$G130=$G$408,H$408)</f>
        <v>41.398387</v>
      </c>
      <c r="I130" s="51" cm="1">
        <f t="array" ref="I130">_xlfn.IFS($G130=$G$5,I$5,$G130=$G$7,I$7,$G130=$G$10,I$10,$G130=$G$13,I$13,$G130=$G$14,I$14,$G130=$G$16,I$16,$G130=$G$17,I$17,$G130=$G$19,I$19,$G130=$G$20,I$20,$G130=$G$22,I$22,$G130=$G$23,I$23,$G130=$G$26,I$26,$G130=$G$29,I$29,$G130=$G$31,I$31,$G130=$G$34,I$34,$G130=$G$37,I$37,$G130=$G$107,I$107,$G130=$G$110,I$110,$G130=$G$140,I$140,$G130=$G$142,I$142,$G130=$G$408,I$408)</f>
        <v>2.1244429999999999</v>
      </c>
      <c r="J130" s="51" cm="1">
        <f t="array" ref="J130">_xlfn.IFS($G130=$G$5,J$5,$G130=$G$7,J$7,$G130=$G$10,J$10,$G130=$G$13,J$13,$G130=$G$14,J$14,$G130=$G$16,J$16,$G130=$G$17,J$17,$G130=$G$19,J$19,$G130=$G$20,J$20,$G130=$G$22,J$22,$G130=$G$23,J$23,$G130=$G$26,J$26,$G130=$G$29,J$29,$G130=$G$31,J$31,$G130=$G$34,J$34,$G130=$G$37,J$37,$G130=$G$107,J$107,$G130=$G$110,J$110,$G130=$G$140,J$140,$G130=$G$142,J$142,$G130=$G$408,J$408)</f>
        <v>106</v>
      </c>
      <c r="K130" s="13" t="str" cm="1">
        <f t="array" ref="K130">_xlfn.IFS($G130=$G$5,K$5,$G130=$G$7,K$7,$G130=$G$10,K$10,$G130=$G$13,K$13,$G130=$G$14,K$14,$G130=$G$16,K$16,$G130=$G$17,K$17,$G130=$G$19,K$19,$G130=$G$20,K$20,$G130=$G$22,K$22,$G130=$G$23,K$23,$G130=$G$26,K$26,$G130=$G$29,K$29,$G130=$G$31,K$31,$G130=$G$34,K$34,$G130=$G$37,K$37,$G130=$G$107,K$107,$G130=$G$110,K$110,$G130=$G$140,K$140,$G130=$G$142,K$142,$G130=$G$408,K$408)</f>
        <v>BG sentinel + BG lure7</v>
      </c>
      <c r="O130" s="13" t="str">
        <f t="shared" si="12"/>
        <v>A_SP_BCN_16_220712</v>
      </c>
      <c r="P130" s="27">
        <v>44754</v>
      </c>
      <c r="Q130" s="29">
        <v>0.75</v>
      </c>
      <c r="R130" s="22"/>
      <c r="S130" s="27">
        <v>44761</v>
      </c>
      <c r="T130" s="29">
        <v>0.74305555555555547</v>
      </c>
      <c r="V130" s="13" t="s">
        <v>86</v>
      </c>
      <c r="X130" s="13">
        <f t="shared" si="8"/>
        <v>7</v>
      </c>
      <c r="Z130" s="13" t="s">
        <v>164</v>
      </c>
      <c r="AA130" s="13">
        <f t="shared" si="13"/>
        <v>10</v>
      </c>
      <c r="AB130" s="13" t="str">
        <f t="shared" si="9"/>
        <v>Adult</v>
      </c>
      <c r="AC130" s="13">
        <v>8</v>
      </c>
      <c r="AD130" s="13">
        <v>2</v>
      </c>
      <c r="AE130" s="13" t="str">
        <f t="shared" si="10"/>
        <v>Morphological</v>
      </c>
      <c r="AF130" s="2">
        <v>4</v>
      </c>
    </row>
    <row r="131" spans="1:32" x14ac:dyDescent="0.25">
      <c r="A131" s="13">
        <v>127</v>
      </c>
      <c r="B131" s="23" t="s">
        <v>56</v>
      </c>
      <c r="C131" s="23" t="s">
        <v>57</v>
      </c>
      <c r="D131" s="23" t="s">
        <v>58</v>
      </c>
      <c r="E131" s="23" t="s">
        <v>58</v>
      </c>
      <c r="F131" s="35" cm="1">
        <f t="array" ref="F131">_xlfn.IFS($G131=$G$5,F$5,$G131=$G$7,F$7,$G131=$G$10,F$10,$G131=$G$13,F$13,$G131=$G$14,F$14,$G131=$G$16,F$16,$G131=$G$17,F$17,$G131=$G$19,F$19,$G131=$G$20,F$20,$G131=$G$22,F$22,$G131=$G$23,F$23,$G131=$G$26,F$26,$G131=$G$29,F$29,$G131=$G$31,F$31,$G131=$G$34,F$34,$G131=$G$37,F$37,$G131=$G$107,F$107,$G131=$G$110,F$110,$G131=$G$140,F$140,$G131=$G$142,F$142,$G131=$G$408,F$408)</f>
        <v>8023</v>
      </c>
      <c r="G131" s="13" t="s">
        <v>74</v>
      </c>
      <c r="H131" s="51" cm="1">
        <f t="array" ref="H131">_xlfn.IFS($G131=$G$5,H$5,$G131=$G$7,H$7,$G131=$G$10,H$10,$G131=$G$13,H$13,$G131=$G$14,H$14,$G131=$G$16,H$16,$G131=$G$17,H$17,$G131=$G$19,H$19,$G131=$G$20,H$20,$G131=$G$22,H$22,$G131=$G$23,H$23,$G131=$G$26,H$26,$G131=$G$29,H$29,$G131=$G$31,H$31,$G131=$G$34,H$34,$G131=$G$37,H$37,$G131=$G$107,H$107,$G131=$G$110,H$110,$G131=$G$140,H$140,$G131=$G$142,H$142,$G131=$G$408,H$408)</f>
        <v>41.417256000000002</v>
      </c>
      <c r="I131" s="51" cm="1">
        <f t="array" ref="I131">_xlfn.IFS($G131=$G$5,I$5,$G131=$G$7,I$7,$G131=$G$10,I$10,$G131=$G$13,I$13,$G131=$G$14,I$14,$G131=$G$16,I$16,$G131=$G$17,I$17,$G131=$G$19,I$19,$G131=$G$20,I$20,$G131=$G$22,I$22,$G131=$G$23,I$23,$G131=$G$26,I$26,$G131=$G$29,I$29,$G131=$G$31,I$31,$G131=$G$34,I$34,$G131=$G$37,I$37,$G131=$G$107,I$107,$G131=$G$110,I$110,$G131=$G$140,I$140,$G131=$G$142,I$142,$G131=$G$408,I$408)</f>
        <v>2.1455709999999999</v>
      </c>
      <c r="J131" s="51" cm="1">
        <f t="array" ref="J131">_xlfn.IFS($G131=$G$5,J$5,$G131=$G$7,J$7,$G131=$G$10,J$10,$G131=$G$13,J$13,$G131=$G$14,J$14,$G131=$G$16,J$16,$G131=$G$17,J$17,$G131=$G$19,J$19,$G131=$G$20,J$20,$G131=$G$22,J$22,$G131=$G$23,J$23,$G131=$G$26,J$26,$G131=$G$29,J$29,$G131=$G$31,J$31,$G131=$G$34,J$34,$G131=$G$37,J$37,$G131=$G$107,J$107,$G131=$G$110,J$110,$G131=$G$140,J$140,$G131=$G$142,J$142,$G131=$G$408,J$408)</f>
        <v>186</v>
      </c>
      <c r="K131" s="13" t="str" cm="1">
        <f t="array" ref="K131">_xlfn.IFS($G131=$G$5,K$5,$G131=$G$7,K$7,$G131=$G$10,K$10,$G131=$G$13,K$13,$G131=$G$14,K$14,$G131=$G$16,K$16,$G131=$G$17,K$17,$G131=$G$19,K$19,$G131=$G$20,K$20,$G131=$G$22,K$22,$G131=$G$23,K$23,$G131=$G$26,K$26,$G131=$G$29,K$29,$G131=$G$31,K$31,$G131=$G$34,K$34,$G131=$G$37,K$37,$G131=$G$107,K$107,$G131=$G$110,K$110,$G131=$G$140,K$140,$G131=$G$142,K$142,$G131=$G$408,K$408)</f>
        <v>BG sentinel + BG lure7</v>
      </c>
      <c r="O131" s="13" t="str">
        <f t="shared" si="12"/>
        <v>A_SP_BCN_17_220712</v>
      </c>
      <c r="P131" s="27">
        <v>44754</v>
      </c>
      <c r="Q131" s="29">
        <v>0.61111111111111105</v>
      </c>
      <c r="R131" s="22"/>
      <c r="S131" s="27">
        <v>44761</v>
      </c>
      <c r="T131" s="29">
        <v>0.60763888888888895</v>
      </c>
      <c r="V131" s="13" t="s">
        <v>86</v>
      </c>
      <c r="X131" s="13">
        <f t="shared" si="8"/>
        <v>7</v>
      </c>
      <c r="AA131" s="13">
        <v>0</v>
      </c>
      <c r="AB131" s="13" t="str">
        <f t="shared" si="9"/>
        <v/>
      </c>
      <c r="AE131" s="13" t="str">
        <f t="shared" si="10"/>
        <v/>
      </c>
      <c r="AF131" s="2">
        <v>4</v>
      </c>
    </row>
    <row r="132" spans="1:32" x14ac:dyDescent="0.25">
      <c r="A132" s="13">
        <v>128</v>
      </c>
      <c r="B132" s="23" t="s">
        <v>56</v>
      </c>
      <c r="C132" s="23" t="s">
        <v>57</v>
      </c>
      <c r="D132" s="23" t="s">
        <v>58</v>
      </c>
      <c r="E132" s="23" t="s">
        <v>58</v>
      </c>
      <c r="F132" s="35" cm="1">
        <f t="array" ref="F132">_xlfn.IFS($G132=$G$5,F$5,$G132=$G$7,F$7,$G132=$G$10,F$10,$G132=$G$13,F$13,$G132=$G$14,F$14,$G132=$G$16,F$16,$G132=$G$17,F$17,$G132=$G$19,F$19,$G132=$G$20,F$20,$G132=$G$22,F$22,$G132=$G$23,F$23,$G132=$G$26,F$26,$G132=$G$29,F$29,$G132=$G$31,F$31,$G132=$G$34,F$34,$G132=$G$37,F$37,$G132=$G$107,F$107,$G132=$G$110,F$110,$G132=$G$140,F$140,$G132=$G$142,F$142,$G132=$G$408,F$408)</f>
        <v>8031</v>
      </c>
      <c r="G132" s="13" t="s">
        <v>75</v>
      </c>
      <c r="H132" s="51" cm="1">
        <f t="array" ref="H132">_xlfn.IFS($G132=$G$5,H$5,$G132=$G$7,H$7,$G132=$G$10,H$10,$G132=$G$13,H$13,$G132=$G$14,H$14,$G132=$G$16,H$16,$G132=$G$17,H$17,$G132=$G$19,H$19,$G132=$G$20,H$20,$G132=$G$22,H$22,$G132=$G$23,H$23,$G132=$G$26,H$26,$G132=$G$29,H$29,$G132=$G$31,H$31,$G132=$G$34,H$34,$G132=$G$37,H$37,$G132=$G$107,H$107,$G132=$G$110,H$110,$G132=$G$140,H$140,$G132=$G$142,H$142,$G132=$G$408,H$408)</f>
        <v>41.433618000000003</v>
      </c>
      <c r="I132" s="51" cm="1">
        <f t="array" ref="I132">_xlfn.IFS($G132=$G$5,I$5,$G132=$G$7,I$7,$G132=$G$10,I$10,$G132=$G$13,I$13,$G132=$G$14,I$14,$G132=$G$16,I$16,$G132=$G$17,I$17,$G132=$G$19,I$19,$G132=$G$20,I$20,$G132=$G$22,I$22,$G132=$G$23,I$23,$G132=$G$26,I$26,$G132=$G$29,I$29,$G132=$G$31,I$31,$G132=$G$34,I$34,$G132=$G$37,I$37,$G132=$G$107,I$107,$G132=$G$110,I$110,$G132=$G$140,I$140,$G132=$G$142,I$142,$G132=$G$408,I$408)</f>
        <v>2.1677469999999999</v>
      </c>
      <c r="J132" s="51" cm="1">
        <f t="array" ref="J132">_xlfn.IFS($G132=$G$5,J$5,$G132=$G$7,J$7,$G132=$G$10,J$10,$G132=$G$13,J$13,$G132=$G$14,J$14,$G132=$G$16,J$16,$G132=$G$17,J$17,$G132=$G$19,J$19,$G132=$G$20,J$20,$G132=$G$22,J$22,$G132=$G$23,J$23,$G132=$G$26,J$26,$G132=$G$29,J$29,$G132=$G$31,J$31,$G132=$G$34,J$34,$G132=$G$37,J$37,$G132=$G$107,J$107,$G132=$G$110,J$110,$G132=$G$140,J$140,$G132=$G$142,J$142,$G132=$G$408,J$408)</f>
        <v>96.85</v>
      </c>
      <c r="K132" s="13" t="str" cm="1">
        <f t="array" ref="K132">_xlfn.IFS($G132=$G$5,K$5,$G132=$G$7,K$7,$G132=$G$10,K$10,$G132=$G$13,K$13,$G132=$G$14,K$14,$G132=$G$16,K$16,$G132=$G$17,K$17,$G132=$G$19,K$19,$G132=$G$20,K$20,$G132=$G$22,K$22,$G132=$G$23,K$23,$G132=$G$26,K$26,$G132=$G$29,K$29,$G132=$G$31,K$31,$G132=$G$34,K$34,$G132=$G$37,K$37,$G132=$G$107,K$107,$G132=$G$110,K$110,$G132=$G$140,K$140,$G132=$G$142,K$142,$G132=$G$408,K$408)</f>
        <v>BG sentinel + BG lure7</v>
      </c>
      <c r="O132" s="13" t="str">
        <f t="shared" si="12"/>
        <v>A_SP_BCN_18_220712</v>
      </c>
      <c r="P132" s="27">
        <v>44754</v>
      </c>
      <c r="Q132" s="29">
        <v>0.77430555555555547</v>
      </c>
      <c r="R132" s="22"/>
      <c r="S132" s="27">
        <v>44761</v>
      </c>
      <c r="T132" s="29">
        <v>0.76736111111111116</v>
      </c>
      <c r="V132" s="13" t="s">
        <v>86</v>
      </c>
      <c r="X132" s="13">
        <f t="shared" si="8"/>
        <v>7</v>
      </c>
      <c r="Z132" s="13" t="s">
        <v>60</v>
      </c>
      <c r="AA132" s="13">
        <f t="shared" ref="AA132:AA144" si="14">SUM(AC132:AD132)</f>
        <v>5</v>
      </c>
      <c r="AB132" s="13" t="str">
        <f t="shared" si="9"/>
        <v>Adult</v>
      </c>
      <c r="AC132" s="13">
        <v>5</v>
      </c>
      <c r="AD132" s="13">
        <v>0</v>
      </c>
      <c r="AE132" s="13" t="str">
        <f t="shared" si="10"/>
        <v>Morphological</v>
      </c>
      <c r="AF132" s="2">
        <v>4</v>
      </c>
    </row>
    <row r="133" spans="1:32" x14ac:dyDescent="0.25">
      <c r="A133" s="13">
        <v>129</v>
      </c>
      <c r="B133" s="23" t="s">
        <v>56</v>
      </c>
      <c r="C133" s="23" t="s">
        <v>57</v>
      </c>
      <c r="D133" s="23" t="s">
        <v>58</v>
      </c>
      <c r="E133" s="23" t="s">
        <v>58</v>
      </c>
      <c r="F133" s="35" cm="1">
        <f t="array" ref="F133">_xlfn.IFS($G133=$G$5,F$5,$G133=$G$7,F$7,$G133=$G$10,F$10,$G133=$G$13,F$13,$G133=$G$14,F$14,$G133=$G$16,F$16,$G133=$G$17,F$17,$G133=$G$19,F$19,$G133=$G$20,F$20,$G133=$G$22,F$22,$G133=$G$23,F$23,$G133=$G$26,F$26,$G133=$G$29,F$29,$G133=$G$31,F$31,$G133=$G$34,F$34,$G133=$G$37,F$37,$G133=$G$107,F$107,$G133=$G$110,F$110,$G133=$G$140,F$140,$G133=$G$142,F$142,$G133=$G$408,F$408)</f>
        <v>8038</v>
      </c>
      <c r="G133" s="13" t="s">
        <v>76</v>
      </c>
      <c r="H133" s="51" cm="1">
        <f t="array" ref="H133">_xlfn.IFS($G133=$G$5,H$5,$G133=$G$7,H$7,$G133=$G$10,H$10,$G133=$G$13,H$13,$G133=$G$14,H$14,$G133=$G$16,H$16,$G133=$G$17,H$17,$G133=$G$19,H$19,$G133=$G$20,H$20,$G133=$G$22,H$22,$G133=$G$23,H$23,$G133=$G$26,H$26,$G133=$G$29,H$29,$G133=$G$31,H$31,$G133=$G$34,H$34,$G133=$G$37,H$37,$G133=$G$107,H$107,$G133=$G$110,H$110,$G133=$G$140,H$140,$G133=$G$142,H$142,$G133=$G$408,H$408)</f>
        <v>41.359864999999999</v>
      </c>
      <c r="I133" s="51" cm="1">
        <f t="array" ref="I133">_xlfn.IFS($G133=$G$5,I$5,$G133=$G$7,I$7,$G133=$G$10,I$10,$G133=$G$13,I$13,$G133=$G$14,I$14,$G133=$G$16,I$16,$G133=$G$17,I$17,$G133=$G$19,I$19,$G133=$G$20,I$20,$G133=$G$22,I$22,$G133=$G$23,I$23,$G133=$G$26,I$26,$G133=$G$29,I$29,$G133=$G$31,I$31,$G133=$G$34,I$34,$G133=$G$37,I$37,$G133=$G$107,I$107,$G133=$G$110,I$110,$G133=$G$140,I$140,$G133=$G$142,I$142,$G133=$G$408,I$408)</f>
        <v>2.1445430000000001</v>
      </c>
      <c r="J133" s="51" cm="1">
        <f t="array" ref="J133">_xlfn.IFS($G133=$G$5,J$5,$G133=$G$7,J$7,$G133=$G$10,J$10,$G133=$G$13,J$13,$G133=$G$14,J$14,$G133=$G$16,J$16,$G133=$G$17,J$17,$G133=$G$19,J$19,$G133=$G$20,J$20,$G133=$G$22,J$22,$G133=$G$23,J$23,$G133=$G$26,J$26,$G133=$G$29,J$29,$G133=$G$31,J$31,$G133=$G$34,J$34,$G133=$G$37,J$37,$G133=$G$107,J$107,$G133=$G$110,J$110,$G133=$G$140,J$140,$G133=$G$142,J$142,$G133=$G$408,J$408)</f>
        <v>11.4</v>
      </c>
      <c r="K133" s="13" t="str" cm="1">
        <f t="array" ref="K133">_xlfn.IFS($G133=$G$5,K$5,$G133=$G$7,K$7,$G133=$G$10,K$10,$G133=$G$13,K$13,$G133=$G$14,K$14,$G133=$G$16,K$16,$G133=$G$17,K$17,$G133=$G$19,K$19,$G133=$G$20,K$20,$G133=$G$22,K$22,$G133=$G$23,K$23,$G133=$G$26,K$26,$G133=$G$29,K$29,$G133=$G$31,K$31,$G133=$G$34,K$34,$G133=$G$37,K$37,$G133=$G$107,K$107,$G133=$G$110,K$110,$G133=$G$140,K$140,$G133=$G$142,K$142,$G133=$G$408,K$408)</f>
        <v>BG sentinel + BG lure7</v>
      </c>
      <c r="O133" s="13" t="str">
        <f t="shared" si="12"/>
        <v>A_SP_BCN_19_220712</v>
      </c>
      <c r="P133" s="27">
        <v>44754</v>
      </c>
      <c r="Q133" s="29">
        <v>0.51736111111111105</v>
      </c>
      <c r="R133" s="22"/>
      <c r="S133" s="27">
        <v>44761</v>
      </c>
      <c r="T133" s="29">
        <v>0.53472222222222221</v>
      </c>
      <c r="V133" s="13" t="s">
        <v>86</v>
      </c>
      <c r="W133" t="s">
        <v>179</v>
      </c>
      <c r="X133" s="13">
        <f t="shared" si="8"/>
        <v>7</v>
      </c>
      <c r="Z133" s="13" t="s">
        <v>60</v>
      </c>
      <c r="AA133" s="13">
        <f t="shared" si="14"/>
        <v>11</v>
      </c>
      <c r="AB133" s="13" t="str">
        <f t="shared" si="9"/>
        <v>Adult</v>
      </c>
      <c r="AC133" s="13">
        <v>10</v>
      </c>
      <c r="AD133" s="13">
        <v>1</v>
      </c>
      <c r="AE133" s="13" t="str">
        <f t="shared" si="10"/>
        <v>Morphological</v>
      </c>
      <c r="AF133" s="2">
        <v>3</v>
      </c>
    </row>
    <row r="134" spans="1:32" x14ac:dyDescent="0.25">
      <c r="A134" s="13">
        <v>130</v>
      </c>
      <c r="B134" s="23" t="s">
        <v>56</v>
      </c>
      <c r="C134" s="23" t="s">
        <v>57</v>
      </c>
      <c r="D134" s="23" t="s">
        <v>58</v>
      </c>
      <c r="E134" s="23" t="s">
        <v>58</v>
      </c>
      <c r="F134" s="35" cm="1">
        <f t="array" ref="F134">_xlfn.IFS($G134=$G$5,F$5,$G134=$G$7,F$7,$G134=$G$10,F$10,$G134=$G$13,F$13,$G134=$G$14,F$14,$G134=$G$16,F$16,$G134=$G$17,F$17,$G134=$G$19,F$19,$G134=$G$20,F$20,$G134=$G$22,F$22,$G134=$G$23,F$23,$G134=$G$26,F$26,$G134=$G$29,F$29,$G134=$G$31,F$31,$G134=$G$34,F$34,$G134=$G$37,F$37,$G134=$G$107,F$107,$G134=$G$110,F$110,$G134=$G$140,F$140,$G134=$G$142,F$142,$G134=$G$408,F$408)</f>
        <v>8038</v>
      </c>
      <c r="G134" s="13" t="s">
        <v>76</v>
      </c>
      <c r="H134" s="51" cm="1">
        <f t="array" ref="H134">_xlfn.IFS($G134=$G$5,H$5,$G134=$G$7,H$7,$G134=$G$10,H$10,$G134=$G$13,H$13,$G134=$G$14,H$14,$G134=$G$16,H$16,$G134=$G$17,H$17,$G134=$G$19,H$19,$G134=$G$20,H$20,$G134=$G$22,H$22,$G134=$G$23,H$23,$G134=$G$26,H$26,$G134=$G$29,H$29,$G134=$G$31,H$31,$G134=$G$34,H$34,$G134=$G$37,H$37,$G134=$G$107,H$107,$G134=$G$110,H$110,$G134=$G$140,H$140,$G134=$G$142,H$142,$G134=$G$408,H$408)</f>
        <v>41.359864999999999</v>
      </c>
      <c r="I134" s="51" cm="1">
        <f t="array" ref="I134">_xlfn.IFS($G134=$G$5,I$5,$G134=$G$7,I$7,$G134=$G$10,I$10,$G134=$G$13,I$13,$G134=$G$14,I$14,$G134=$G$16,I$16,$G134=$G$17,I$17,$G134=$G$19,I$19,$G134=$G$20,I$20,$G134=$G$22,I$22,$G134=$G$23,I$23,$G134=$G$26,I$26,$G134=$G$29,I$29,$G134=$G$31,I$31,$G134=$G$34,I$34,$G134=$G$37,I$37,$G134=$G$107,I$107,$G134=$G$110,I$110,$G134=$G$140,I$140,$G134=$G$142,I$142,$G134=$G$408,I$408)</f>
        <v>2.1445430000000001</v>
      </c>
      <c r="J134" s="51" cm="1">
        <f t="array" ref="J134">_xlfn.IFS($G134=$G$5,J$5,$G134=$G$7,J$7,$G134=$G$10,J$10,$G134=$G$13,J$13,$G134=$G$14,J$14,$G134=$G$16,J$16,$G134=$G$17,J$17,$G134=$G$19,J$19,$G134=$G$20,J$20,$G134=$G$22,J$22,$G134=$G$23,J$23,$G134=$G$26,J$26,$G134=$G$29,J$29,$G134=$G$31,J$31,$G134=$G$34,J$34,$G134=$G$37,J$37,$G134=$G$107,J$107,$G134=$G$110,J$110,$G134=$G$140,J$140,$G134=$G$142,J$142,$G134=$G$408,J$408)</f>
        <v>11.4</v>
      </c>
      <c r="K134" s="13" t="str" cm="1">
        <f t="array" ref="K134">_xlfn.IFS($G134=$G$5,K$5,$G134=$G$7,K$7,$G134=$G$10,K$10,$G134=$G$13,K$13,$G134=$G$14,K$14,$G134=$G$16,K$16,$G134=$G$17,K$17,$G134=$G$19,K$19,$G134=$G$20,K$20,$G134=$G$22,K$22,$G134=$G$23,K$23,$G134=$G$26,K$26,$G134=$G$29,K$29,$G134=$G$31,K$31,$G134=$G$34,K$34,$G134=$G$37,K$37,$G134=$G$107,K$107,$G134=$G$110,K$110,$G134=$G$140,K$140,$G134=$G$142,K$142,$G134=$G$408,K$408)</f>
        <v>BG sentinel + BG lure7</v>
      </c>
      <c r="O134" s="13" t="str">
        <f t="shared" si="12"/>
        <v>A_SP_BCN_19_220712</v>
      </c>
      <c r="P134" s="27">
        <v>44754</v>
      </c>
      <c r="Q134" s="29">
        <v>0.51736111111111105</v>
      </c>
      <c r="R134" s="22"/>
      <c r="S134" s="27">
        <v>44761</v>
      </c>
      <c r="T134" s="29">
        <v>0.53472222222222221</v>
      </c>
      <c r="V134" s="13" t="s">
        <v>86</v>
      </c>
      <c r="W134" t="s">
        <v>179</v>
      </c>
      <c r="X134" s="13">
        <f t="shared" ref="X134:X197" si="15">S134-P134</f>
        <v>7</v>
      </c>
      <c r="Z134" s="13" t="s">
        <v>164</v>
      </c>
      <c r="AA134" s="13">
        <f t="shared" si="14"/>
        <v>52</v>
      </c>
      <c r="AB134" s="13" t="str">
        <f t="shared" ref="AB134:AB197" si="16">IF(AA134=0,"",IF(AA134="","",IF(AA134&gt;0,"Adult")))</f>
        <v>Adult</v>
      </c>
      <c r="AC134" s="13">
        <v>52</v>
      </c>
      <c r="AD134" s="13">
        <v>0</v>
      </c>
      <c r="AE134" s="13" t="str">
        <f t="shared" ref="AE134:AE197" si="17">IF(AA134=0,"",IF(AA134="","",IF(AA134&gt;0,"Morphological")))</f>
        <v>Morphological</v>
      </c>
      <c r="AF134" s="2">
        <v>3</v>
      </c>
    </row>
    <row r="135" spans="1:32" x14ac:dyDescent="0.25">
      <c r="A135" s="13">
        <v>131</v>
      </c>
      <c r="B135" s="23" t="s">
        <v>56</v>
      </c>
      <c r="C135" s="23" t="s">
        <v>57</v>
      </c>
      <c r="D135" s="23" t="s">
        <v>58</v>
      </c>
      <c r="E135" s="23" t="s">
        <v>58</v>
      </c>
      <c r="F135" s="35" cm="1">
        <f t="array" ref="F135">_xlfn.IFS($G135=$G$5,F$5,$G135=$G$7,F$7,$G135=$G$10,F$10,$G135=$G$13,F$13,$G135=$G$14,F$14,$G135=$G$16,F$16,$G135=$G$17,F$17,$G135=$G$19,F$19,$G135=$G$20,F$20,$G135=$G$22,F$22,$G135=$G$23,F$23,$G135=$G$26,F$26,$G135=$G$29,F$29,$G135=$G$31,F$31,$G135=$G$34,F$34,$G135=$G$37,F$37,$G135=$G$107,F$107,$G135=$G$110,F$110,$G135=$G$140,F$140,$G135=$G$142,F$142,$G135=$G$408,F$408)</f>
        <v>8017</v>
      </c>
      <c r="G135" s="13" t="s">
        <v>77</v>
      </c>
      <c r="H135" s="51" cm="1">
        <f t="array" ref="H135">_xlfn.IFS($G135=$G$5,H$5,$G135=$G$7,H$7,$G135=$G$10,H$10,$G135=$G$13,H$13,$G135=$G$14,H$14,$G135=$G$16,H$16,$G135=$G$17,H$17,$G135=$G$19,H$19,$G135=$G$20,H$20,$G135=$G$22,H$22,$G135=$G$23,H$23,$G135=$G$26,H$26,$G135=$G$29,H$29,$G135=$G$31,H$31,$G135=$G$34,H$34,$G135=$G$37,H$37,$G135=$G$107,H$107,$G135=$G$110,H$110,$G135=$G$140,H$140,$G135=$G$142,H$142,$G135=$G$408,H$408)</f>
        <v>41.430315999999998</v>
      </c>
      <c r="I135" s="51" cm="1">
        <f t="array" ref="I135">_xlfn.IFS($G135=$G$5,I$5,$G135=$G$7,I$7,$G135=$G$10,I$10,$G135=$G$13,I$13,$G135=$G$14,I$14,$G135=$G$16,I$16,$G135=$G$17,I$17,$G135=$G$19,I$19,$G135=$G$20,I$20,$G135=$G$22,I$22,$G135=$G$23,I$23,$G135=$G$26,I$26,$G135=$G$29,I$29,$G135=$G$31,I$31,$G135=$G$34,I$34,$G135=$G$37,I$37,$G135=$G$107,I$107,$G135=$G$110,I$110,$G135=$G$140,I$140,$G135=$G$142,I$142,$G135=$G$408,I$408)</f>
        <v>2.077556</v>
      </c>
      <c r="J135" s="51" cm="1">
        <f t="array" ref="J135">_xlfn.IFS($G135=$G$5,J$5,$G135=$G$7,J$7,$G135=$G$10,J$10,$G135=$G$13,J$13,$G135=$G$14,J$14,$G135=$G$16,J$16,$G135=$G$17,J$17,$G135=$G$19,J$19,$G135=$G$20,J$20,$G135=$G$22,J$22,$G135=$G$23,J$23,$G135=$G$26,J$26,$G135=$G$29,J$29,$G135=$G$31,J$31,$G135=$G$34,J$34,$G135=$G$37,J$37,$G135=$G$107,J$107,$G135=$G$110,J$110,$G135=$G$140,J$140,$G135=$G$142,J$142,$G135=$G$408,J$408)</f>
        <v>243.3</v>
      </c>
      <c r="K135" s="13" t="str" cm="1">
        <f t="array" ref="K135">_xlfn.IFS($G135=$G$5,K$5,$G135=$G$7,K$7,$G135=$G$10,K$10,$G135=$G$13,K$13,$G135=$G$14,K$14,$G135=$G$16,K$16,$G135=$G$17,K$17,$G135=$G$19,K$19,$G135=$G$20,K$20,$G135=$G$22,K$22,$G135=$G$23,K$23,$G135=$G$26,K$26,$G135=$G$29,K$29,$G135=$G$31,K$31,$G135=$G$34,K$34,$G135=$G$37,K$37,$G135=$G$107,K$107,$G135=$G$110,K$110,$G135=$G$140,K$140,$G135=$G$142,K$142,$G135=$G$408,K$408)</f>
        <v>BG sentinel + BG lure7</v>
      </c>
      <c r="O135" s="13" t="str">
        <f t="shared" si="12"/>
        <v>A_SP_BCN_22_220712</v>
      </c>
      <c r="P135" s="27">
        <v>44754</v>
      </c>
      <c r="Q135" s="29">
        <v>0.70138888888888884</v>
      </c>
      <c r="R135" s="22"/>
      <c r="S135" s="27">
        <v>44761</v>
      </c>
      <c r="T135" s="29">
        <v>0.69791666666666663</v>
      </c>
      <c r="V135" s="13" t="s">
        <v>86</v>
      </c>
      <c r="X135" s="13">
        <f t="shared" si="15"/>
        <v>7</v>
      </c>
      <c r="Z135" s="13" t="s">
        <v>60</v>
      </c>
      <c r="AA135" s="13">
        <f t="shared" si="14"/>
        <v>5</v>
      </c>
      <c r="AB135" s="13" t="str">
        <f t="shared" si="16"/>
        <v>Adult</v>
      </c>
      <c r="AC135" s="13">
        <v>5</v>
      </c>
      <c r="AD135" s="13">
        <v>0</v>
      </c>
      <c r="AE135" s="13" t="str">
        <f t="shared" si="17"/>
        <v>Morphological</v>
      </c>
      <c r="AF135" s="2">
        <v>4</v>
      </c>
    </row>
    <row r="136" spans="1:32" x14ac:dyDescent="0.25">
      <c r="A136" s="13">
        <v>132</v>
      </c>
      <c r="B136" s="23" t="s">
        <v>56</v>
      </c>
      <c r="C136" s="23" t="s">
        <v>57</v>
      </c>
      <c r="D136" s="23" t="s">
        <v>58</v>
      </c>
      <c r="E136" s="23" t="s">
        <v>58</v>
      </c>
      <c r="F136" s="35" cm="1">
        <f t="array" ref="F136">_xlfn.IFS($G136=$G$5,F$5,$G136=$G$7,F$7,$G136=$G$10,F$10,$G136=$G$13,F$13,$G136=$G$14,F$14,$G136=$G$16,F$16,$G136=$G$17,F$17,$G136=$G$19,F$19,$G136=$G$20,F$20,$G136=$G$22,F$22,$G136=$G$23,F$23,$G136=$G$26,F$26,$G136=$G$29,F$29,$G136=$G$31,F$31,$G136=$G$34,F$34,$G136=$G$37,F$37,$G136=$G$107,F$107,$G136=$G$110,F$110,$G136=$G$140,F$140,$G136=$G$142,F$142,$G136=$G$408,F$408)</f>
        <v>8017</v>
      </c>
      <c r="G136" s="13" t="s">
        <v>77</v>
      </c>
      <c r="H136" s="51" cm="1">
        <f t="array" ref="H136">_xlfn.IFS($G136=$G$5,H$5,$G136=$G$7,H$7,$G136=$G$10,H$10,$G136=$G$13,H$13,$G136=$G$14,H$14,$G136=$G$16,H$16,$G136=$G$17,H$17,$G136=$G$19,H$19,$G136=$G$20,H$20,$G136=$G$22,H$22,$G136=$G$23,H$23,$G136=$G$26,H$26,$G136=$G$29,H$29,$G136=$G$31,H$31,$G136=$G$34,H$34,$G136=$G$37,H$37,$G136=$G$107,H$107,$G136=$G$110,H$110,$G136=$G$140,H$140,$G136=$G$142,H$142,$G136=$G$408,H$408)</f>
        <v>41.430315999999998</v>
      </c>
      <c r="I136" s="51" cm="1">
        <f t="array" ref="I136">_xlfn.IFS($G136=$G$5,I$5,$G136=$G$7,I$7,$G136=$G$10,I$10,$G136=$G$13,I$13,$G136=$G$14,I$14,$G136=$G$16,I$16,$G136=$G$17,I$17,$G136=$G$19,I$19,$G136=$G$20,I$20,$G136=$G$22,I$22,$G136=$G$23,I$23,$G136=$G$26,I$26,$G136=$G$29,I$29,$G136=$G$31,I$31,$G136=$G$34,I$34,$G136=$G$37,I$37,$G136=$G$107,I$107,$G136=$G$110,I$110,$G136=$G$140,I$140,$G136=$G$142,I$142,$G136=$G$408,I$408)</f>
        <v>2.077556</v>
      </c>
      <c r="J136" s="51" cm="1">
        <f t="array" ref="J136">_xlfn.IFS($G136=$G$5,J$5,$G136=$G$7,J$7,$G136=$G$10,J$10,$G136=$G$13,J$13,$G136=$G$14,J$14,$G136=$G$16,J$16,$G136=$G$17,J$17,$G136=$G$19,J$19,$G136=$G$20,J$20,$G136=$G$22,J$22,$G136=$G$23,J$23,$G136=$G$26,J$26,$G136=$G$29,J$29,$G136=$G$31,J$31,$G136=$G$34,J$34,$G136=$G$37,J$37,$G136=$G$107,J$107,$G136=$G$110,J$110,$G136=$G$140,J$140,$G136=$G$142,J$142,$G136=$G$408,J$408)</f>
        <v>243.3</v>
      </c>
      <c r="K136" s="13" t="str" cm="1">
        <f t="array" ref="K136">_xlfn.IFS($G136=$G$5,K$5,$G136=$G$7,K$7,$G136=$G$10,K$10,$G136=$G$13,K$13,$G136=$G$14,K$14,$G136=$G$16,K$16,$G136=$G$17,K$17,$G136=$G$19,K$19,$G136=$G$20,K$20,$G136=$G$22,K$22,$G136=$G$23,K$23,$G136=$G$26,K$26,$G136=$G$29,K$29,$G136=$G$31,K$31,$G136=$G$34,K$34,$G136=$G$37,K$37,$G136=$G$107,K$107,$G136=$G$110,K$110,$G136=$G$140,K$140,$G136=$G$142,K$142,$G136=$G$408,K$408)</f>
        <v>BG sentinel + BG lure7</v>
      </c>
      <c r="O136" s="13" t="str">
        <f t="shared" si="12"/>
        <v>A_SP_BCN_22_220712</v>
      </c>
      <c r="P136" s="27">
        <v>44754</v>
      </c>
      <c r="Q136" s="29">
        <v>0.70138888888888884</v>
      </c>
      <c r="R136" s="22"/>
      <c r="S136" s="27">
        <v>44761</v>
      </c>
      <c r="T136" s="29">
        <v>0.69791666666666663</v>
      </c>
      <c r="V136" s="13" t="s">
        <v>86</v>
      </c>
      <c r="X136" s="13">
        <f t="shared" si="15"/>
        <v>7</v>
      </c>
      <c r="Z136" s="13" t="s">
        <v>164</v>
      </c>
      <c r="AA136" s="13">
        <f t="shared" si="14"/>
        <v>1</v>
      </c>
      <c r="AB136" s="13" t="str">
        <f t="shared" si="16"/>
        <v>Adult</v>
      </c>
      <c r="AC136" s="13">
        <v>1</v>
      </c>
      <c r="AD136" s="13">
        <v>0</v>
      </c>
      <c r="AE136" s="13" t="str">
        <f t="shared" si="17"/>
        <v>Morphological</v>
      </c>
      <c r="AF136" s="2">
        <v>4</v>
      </c>
    </row>
    <row r="137" spans="1:32" x14ac:dyDescent="0.25">
      <c r="A137" s="13">
        <v>133</v>
      </c>
      <c r="B137" s="23" t="s">
        <v>56</v>
      </c>
      <c r="C137" s="23" t="s">
        <v>57</v>
      </c>
      <c r="D137" s="23" t="s">
        <v>58</v>
      </c>
      <c r="E137" s="23" t="s">
        <v>58</v>
      </c>
      <c r="F137" s="35" cm="1">
        <f t="array" ref="F137">_xlfn.IFS($G137=$G$5,F$5,$G137=$G$7,F$7,$G137=$G$10,F$10,$G137=$G$13,F$13,$G137=$G$14,F$14,$G137=$G$16,F$16,$G137=$G$17,F$17,$G137=$G$19,F$19,$G137=$G$20,F$20,$G137=$G$22,F$22,$G137=$G$23,F$23,$G137=$G$26,F$26,$G137=$G$29,F$29,$G137=$G$31,F$31,$G137=$G$34,F$34,$G137=$G$37,F$37,$G137=$G$107,F$107,$G137=$G$110,F$110,$G137=$G$140,F$140,$G137=$G$142,F$142,$G137=$G$408,F$408)</f>
        <v>8017</v>
      </c>
      <c r="G137" s="13" t="s">
        <v>77</v>
      </c>
      <c r="H137" s="51" cm="1">
        <f t="array" ref="H137">_xlfn.IFS($G137=$G$5,H$5,$G137=$G$7,H$7,$G137=$G$10,H$10,$G137=$G$13,H$13,$G137=$G$14,H$14,$G137=$G$16,H$16,$G137=$G$17,H$17,$G137=$G$19,H$19,$G137=$G$20,H$20,$G137=$G$22,H$22,$G137=$G$23,H$23,$G137=$G$26,H$26,$G137=$G$29,H$29,$G137=$G$31,H$31,$G137=$G$34,H$34,$G137=$G$37,H$37,$G137=$G$107,H$107,$G137=$G$110,H$110,$G137=$G$140,H$140,$G137=$G$142,H$142,$G137=$G$408,H$408)</f>
        <v>41.430315999999998</v>
      </c>
      <c r="I137" s="51" cm="1">
        <f t="array" ref="I137">_xlfn.IFS($G137=$G$5,I$5,$G137=$G$7,I$7,$G137=$G$10,I$10,$G137=$G$13,I$13,$G137=$G$14,I$14,$G137=$G$16,I$16,$G137=$G$17,I$17,$G137=$G$19,I$19,$G137=$G$20,I$20,$G137=$G$22,I$22,$G137=$G$23,I$23,$G137=$G$26,I$26,$G137=$G$29,I$29,$G137=$G$31,I$31,$G137=$G$34,I$34,$G137=$G$37,I$37,$G137=$G$107,I$107,$G137=$G$110,I$110,$G137=$G$140,I$140,$G137=$G$142,I$142,$G137=$G$408,I$408)</f>
        <v>2.077556</v>
      </c>
      <c r="J137" s="51" cm="1">
        <f t="array" ref="J137">_xlfn.IFS($G137=$G$5,J$5,$G137=$G$7,J$7,$G137=$G$10,J$10,$G137=$G$13,J$13,$G137=$G$14,J$14,$G137=$G$16,J$16,$G137=$G$17,J$17,$G137=$G$19,J$19,$G137=$G$20,J$20,$G137=$G$22,J$22,$G137=$G$23,J$23,$G137=$G$26,J$26,$G137=$G$29,J$29,$G137=$G$31,J$31,$G137=$G$34,J$34,$G137=$G$37,J$37,$G137=$G$107,J$107,$G137=$G$110,J$110,$G137=$G$140,J$140,$G137=$G$142,J$142,$G137=$G$408,J$408)</f>
        <v>243.3</v>
      </c>
      <c r="K137" s="13" t="str" cm="1">
        <f t="array" ref="K137">_xlfn.IFS($G137=$G$5,K$5,$G137=$G$7,K$7,$G137=$G$10,K$10,$G137=$G$13,K$13,$G137=$G$14,K$14,$G137=$G$16,K$16,$G137=$G$17,K$17,$G137=$G$19,K$19,$G137=$G$20,K$20,$G137=$G$22,K$22,$G137=$G$23,K$23,$G137=$G$26,K$26,$G137=$G$29,K$29,$G137=$G$31,K$31,$G137=$G$34,K$34,$G137=$G$37,K$37,$G137=$G$107,K$107,$G137=$G$110,K$110,$G137=$G$140,K$140,$G137=$G$142,K$142,$G137=$G$408,K$408)</f>
        <v>BG sentinel + BG lure7</v>
      </c>
      <c r="O137" s="13" t="str">
        <f t="shared" si="12"/>
        <v>A_SP_BCN_22_220712</v>
      </c>
      <c r="P137" s="27">
        <v>44754</v>
      </c>
      <c r="Q137" s="29">
        <v>0.70138888888888884</v>
      </c>
      <c r="R137" s="22"/>
      <c r="S137" s="27">
        <v>44761</v>
      </c>
      <c r="T137" s="29">
        <v>0.69791666666666663</v>
      </c>
      <c r="V137" s="13" t="s">
        <v>86</v>
      </c>
      <c r="X137" s="13">
        <f t="shared" si="15"/>
        <v>7</v>
      </c>
      <c r="Z137" s="32" t="s">
        <v>163</v>
      </c>
      <c r="AA137" s="13">
        <f t="shared" si="14"/>
        <v>1</v>
      </c>
      <c r="AB137" s="13" t="str">
        <f t="shared" si="16"/>
        <v>Adult</v>
      </c>
      <c r="AC137" s="13">
        <v>1</v>
      </c>
      <c r="AD137" s="13">
        <v>0</v>
      </c>
      <c r="AE137" s="13" t="str">
        <f t="shared" si="17"/>
        <v>Morphological</v>
      </c>
      <c r="AF137" s="2">
        <v>4</v>
      </c>
    </row>
    <row r="138" spans="1:32" x14ac:dyDescent="0.25">
      <c r="A138" s="13">
        <v>134</v>
      </c>
      <c r="B138" s="23" t="s">
        <v>56</v>
      </c>
      <c r="C138" s="23" t="s">
        <v>57</v>
      </c>
      <c r="D138" s="23" t="s">
        <v>58</v>
      </c>
      <c r="E138" s="23" t="s">
        <v>58</v>
      </c>
      <c r="F138" s="35" cm="1">
        <f t="array" ref="F138">_xlfn.IFS($G138=$G$5,F$5,$G138=$G$7,F$7,$G138=$G$10,F$10,$G138=$G$13,F$13,$G138=$G$14,F$14,$G138=$G$16,F$16,$G138=$G$17,F$17,$G138=$G$19,F$19,$G138=$G$20,F$20,$G138=$G$22,F$22,$G138=$G$23,F$23,$G138=$G$26,F$26,$G138=$G$29,F$29,$G138=$G$31,F$31,$G138=$G$34,F$34,$G138=$G$37,F$37,$G138=$G$107,F$107,$G138=$G$110,F$110,$G138=$G$140,F$140,$G138=$G$142,F$142,$G138=$G$408,F$408)</f>
        <v>8038</v>
      </c>
      <c r="G138" s="13" t="s">
        <v>79</v>
      </c>
      <c r="H138" s="51" cm="1">
        <f t="array" ref="H138">_xlfn.IFS($G138=$G$5,H$5,$G138=$G$7,H$7,$G138=$G$10,H$10,$G138=$G$13,H$13,$G138=$G$14,H$14,$G138=$G$16,H$16,$G138=$G$17,H$17,$G138=$G$19,H$19,$G138=$G$20,H$20,$G138=$G$22,H$22,$G138=$G$23,H$23,$G138=$G$26,H$26,$G138=$G$29,H$29,$G138=$G$31,H$31,$G138=$G$34,H$34,$G138=$G$37,H$37,$G138=$G$107,H$107,$G138=$G$110,H$110,$G138=$G$140,H$140,$G138=$G$142,H$142,$G138=$G$408,H$408)</f>
        <v>41.367100000000001</v>
      </c>
      <c r="I138" s="51" cm="1">
        <f t="array" ref="I138">_xlfn.IFS($G138=$G$5,I$5,$G138=$G$7,I$7,$G138=$G$10,I$10,$G138=$G$13,I$13,$G138=$G$14,I$14,$G138=$G$16,I$16,$G138=$G$17,I$17,$G138=$G$19,I$19,$G138=$G$20,I$20,$G138=$G$22,I$22,$G138=$G$23,I$23,$G138=$G$26,I$26,$G138=$G$29,I$29,$G138=$G$31,I$31,$G138=$G$34,I$34,$G138=$G$37,I$37,$G138=$G$107,I$107,$G138=$G$110,I$110,$G138=$G$140,I$140,$G138=$G$142,I$142,$G138=$G$408,I$408)</f>
        <v>2.1539079999999999</v>
      </c>
      <c r="J138" s="51" cm="1">
        <f t="array" ref="J138">_xlfn.IFS($G138=$G$5,J$5,$G138=$G$7,J$7,$G138=$G$10,J$10,$G138=$G$13,J$13,$G138=$G$14,J$14,$G138=$G$16,J$16,$G138=$G$17,J$17,$G138=$G$19,J$19,$G138=$G$20,J$20,$G138=$G$22,J$22,$G138=$G$23,J$23,$G138=$G$26,J$26,$G138=$G$29,J$29,$G138=$G$31,J$31,$G138=$G$34,J$34,$G138=$G$37,J$37,$G138=$G$107,J$107,$G138=$G$110,J$110,$G138=$G$140,J$140,$G138=$G$142,J$142,$G138=$G$408,J$408)</f>
        <v>68</v>
      </c>
      <c r="K138" s="13" t="str" cm="1">
        <f t="array" ref="K138">_xlfn.IFS($G138=$G$5,K$5,$G138=$G$7,K$7,$G138=$G$10,K$10,$G138=$G$13,K$13,$G138=$G$14,K$14,$G138=$G$16,K$16,$G138=$G$17,K$17,$G138=$G$19,K$19,$G138=$G$20,K$20,$G138=$G$22,K$22,$G138=$G$23,K$23,$G138=$G$26,K$26,$G138=$G$29,K$29,$G138=$G$31,K$31,$G138=$G$34,K$34,$G138=$G$37,K$37,$G138=$G$107,K$107,$G138=$G$110,K$110,$G138=$G$140,K$140,$G138=$G$142,K$142,$G138=$G$408,K$408)</f>
        <v>BG sentinel + BG lure7</v>
      </c>
      <c r="O138" s="13" t="str">
        <f t="shared" si="12"/>
        <v>A_SP_BCN_23_220712</v>
      </c>
      <c r="P138" s="27">
        <v>44754</v>
      </c>
      <c r="Q138" s="29">
        <v>0.53472222222222221</v>
      </c>
      <c r="R138" s="22"/>
      <c r="S138" s="27">
        <v>44761</v>
      </c>
      <c r="T138" s="29">
        <v>0.54861111111111105</v>
      </c>
      <c r="V138" s="13" t="s">
        <v>86</v>
      </c>
      <c r="X138" s="13">
        <f t="shared" si="15"/>
        <v>7</v>
      </c>
      <c r="Z138" s="13" t="s">
        <v>60</v>
      </c>
      <c r="AA138" s="13">
        <f t="shared" si="14"/>
        <v>30</v>
      </c>
      <c r="AB138" s="13" t="str">
        <f t="shared" si="16"/>
        <v>Adult</v>
      </c>
      <c r="AC138" s="13">
        <v>15</v>
      </c>
      <c r="AD138" s="13">
        <v>15</v>
      </c>
      <c r="AE138" s="13" t="str">
        <f t="shared" si="17"/>
        <v>Morphological</v>
      </c>
      <c r="AF138" s="2">
        <v>4</v>
      </c>
    </row>
    <row r="139" spans="1:32" x14ac:dyDescent="0.25">
      <c r="A139" s="13">
        <v>135</v>
      </c>
      <c r="B139" s="23" t="s">
        <v>56</v>
      </c>
      <c r="C139" s="23" t="s">
        <v>57</v>
      </c>
      <c r="D139" s="23" t="s">
        <v>58</v>
      </c>
      <c r="E139" s="23" t="s">
        <v>58</v>
      </c>
      <c r="F139" s="35" cm="1">
        <f t="array" ref="F139">_xlfn.IFS($G139=$G$5,F$5,$G139=$G$7,F$7,$G139=$G$10,F$10,$G139=$G$13,F$13,$G139=$G$14,F$14,$G139=$G$16,F$16,$G139=$G$17,F$17,$G139=$G$19,F$19,$G139=$G$20,F$20,$G139=$G$22,F$22,$G139=$G$23,F$23,$G139=$G$26,F$26,$G139=$G$29,F$29,$G139=$G$31,F$31,$G139=$G$34,F$34,$G139=$G$37,F$37,$G139=$G$107,F$107,$G139=$G$110,F$110,$G139=$G$140,F$140,$G139=$G$142,F$142,$G139=$G$408,F$408)</f>
        <v>8038</v>
      </c>
      <c r="G139" s="13" t="s">
        <v>79</v>
      </c>
      <c r="H139" s="51" cm="1">
        <f t="array" ref="H139">_xlfn.IFS($G139=$G$5,H$5,$G139=$G$7,H$7,$G139=$G$10,H$10,$G139=$G$13,H$13,$G139=$G$14,H$14,$G139=$G$16,H$16,$G139=$G$17,H$17,$G139=$G$19,H$19,$G139=$G$20,H$20,$G139=$G$22,H$22,$G139=$G$23,H$23,$G139=$G$26,H$26,$G139=$G$29,H$29,$G139=$G$31,H$31,$G139=$G$34,H$34,$G139=$G$37,H$37,$G139=$G$107,H$107,$G139=$G$110,H$110,$G139=$G$140,H$140,$G139=$G$142,H$142,$G139=$G$408,H$408)</f>
        <v>41.367100000000001</v>
      </c>
      <c r="I139" s="51" cm="1">
        <f t="array" ref="I139">_xlfn.IFS($G139=$G$5,I$5,$G139=$G$7,I$7,$G139=$G$10,I$10,$G139=$G$13,I$13,$G139=$G$14,I$14,$G139=$G$16,I$16,$G139=$G$17,I$17,$G139=$G$19,I$19,$G139=$G$20,I$20,$G139=$G$22,I$22,$G139=$G$23,I$23,$G139=$G$26,I$26,$G139=$G$29,I$29,$G139=$G$31,I$31,$G139=$G$34,I$34,$G139=$G$37,I$37,$G139=$G$107,I$107,$G139=$G$110,I$110,$G139=$G$140,I$140,$G139=$G$142,I$142,$G139=$G$408,I$408)</f>
        <v>2.1539079999999999</v>
      </c>
      <c r="J139" s="51" cm="1">
        <f t="array" ref="J139">_xlfn.IFS($G139=$G$5,J$5,$G139=$G$7,J$7,$G139=$G$10,J$10,$G139=$G$13,J$13,$G139=$G$14,J$14,$G139=$G$16,J$16,$G139=$G$17,J$17,$G139=$G$19,J$19,$G139=$G$20,J$20,$G139=$G$22,J$22,$G139=$G$23,J$23,$G139=$G$26,J$26,$G139=$G$29,J$29,$G139=$G$31,J$31,$G139=$G$34,J$34,$G139=$G$37,J$37,$G139=$G$107,J$107,$G139=$G$110,J$110,$G139=$G$140,J$140,$G139=$G$142,J$142,$G139=$G$408,J$408)</f>
        <v>68</v>
      </c>
      <c r="K139" s="13" t="str" cm="1">
        <f t="array" ref="K139">_xlfn.IFS($G139=$G$5,K$5,$G139=$G$7,K$7,$G139=$G$10,K$10,$G139=$G$13,K$13,$G139=$G$14,K$14,$G139=$G$16,K$16,$G139=$G$17,K$17,$G139=$G$19,K$19,$G139=$G$20,K$20,$G139=$G$22,K$22,$G139=$G$23,K$23,$G139=$G$26,K$26,$G139=$G$29,K$29,$G139=$G$31,K$31,$G139=$G$34,K$34,$G139=$G$37,K$37,$G139=$G$107,K$107,$G139=$G$110,K$110,$G139=$G$140,K$140,$G139=$G$142,K$142,$G139=$G$408,K$408)</f>
        <v>BG sentinel + BG lure7</v>
      </c>
      <c r="O139" s="13" t="str">
        <f t="shared" si="12"/>
        <v>A_SP_BCN_23_220712</v>
      </c>
      <c r="P139" s="27">
        <v>44754</v>
      </c>
      <c r="Q139" s="29">
        <v>0.53472222222222221</v>
      </c>
      <c r="R139" s="22"/>
      <c r="S139" s="27">
        <v>44761</v>
      </c>
      <c r="T139" s="29">
        <v>0.54861111111111105</v>
      </c>
      <c r="V139" s="13" t="s">
        <v>86</v>
      </c>
      <c r="X139" s="13">
        <f t="shared" si="15"/>
        <v>7</v>
      </c>
      <c r="Z139" s="13" t="s">
        <v>164</v>
      </c>
      <c r="AA139" s="13">
        <f t="shared" si="14"/>
        <v>3</v>
      </c>
      <c r="AB139" s="13" t="str">
        <f t="shared" si="16"/>
        <v>Adult</v>
      </c>
      <c r="AC139" s="13">
        <v>3</v>
      </c>
      <c r="AD139" s="13">
        <v>0</v>
      </c>
      <c r="AE139" s="13" t="str">
        <f t="shared" si="17"/>
        <v>Morphological</v>
      </c>
      <c r="AF139" s="2">
        <v>4</v>
      </c>
    </row>
    <row r="140" spans="1:32" x14ac:dyDescent="0.25">
      <c r="A140" s="13">
        <v>136</v>
      </c>
      <c r="B140" s="23" t="s">
        <v>56</v>
      </c>
      <c r="C140" s="23" t="s">
        <v>57</v>
      </c>
      <c r="D140" s="23" t="s">
        <v>58</v>
      </c>
      <c r="E140" s="23" t="s">
        <v>58</v>
      </c>
      <c r="F140" s="37">
        <v>8015</v>
      </c>
      <c r="G140" s="38" t="s">
        <v>78</v>
      </c>
      <c r="H140" s="39">
        <v>41.381725000000003</v>
      </c>
      <c r="I140" s="52">
        <v>2.1543679999999998</v>
      </c>
      <c r="J140" s="54">
        <v>20.7</v>
      </c>
      <c r="K140" s="13" t="s">
        <v>59</v>
      </c>
      <c r="L140" s="23" t="s">
        <v>66</v>
      </c>
      <c r="M140" s="32" t="s">
        <v>67</v>
      </c>
      <c r="O140" s="13" t="str">
        <f t="shared" si="12"/>
        <v>A_SP_BCN_24_220710</v>
      </c>
      <c r="P140" s="40">
        <v>44752</v>
      </c>
      <c r="Q140" s="20"/>
      <c r="R140" s="21"/>
      <c r="S140" s="27">
        <v>44761</v>
      </c>
      <c r="T140" s="29">
        <v>0.86111111111111116</v>
      </c>
      <c r="V140" s="13" t="s">
        <v>86</v>
      </c>
      <c r="X140" s="13">
        <f t="shared" si="15"/>
        <v>9</v>
      </c>
      <c r="Z140" s="13" t="s">
        <v>60</v>
      </c>
      <c r="AA140" s="13">
        <f t="shared" si="14"/>
        <v>5</v>
      </c>
      <c r="AB140" s="13" t="str">
        <f t="shared" si="16"/>
        <v>Adult</v>
      </c>
      <c r="AC140" s="13">
        <v>5</v>
      </c>
      <c r="AD140" s="13">
        <v>0</v>
      </c>
      <c r="AE140" s="13" t="str">
        <f t="shared" si="17"/>
        <v>Morphological</v>
      </c>
      <c r="AF140" s="2">
        <v>4</v>
      </c>
    </row>
    <row r="141" spans="1:32" x14ac:dyDescent="0.25">
      <c r="A141" s="13">
        <v>137</v>
      </c>
      <c r="B141" s="23" t="s">
        <v>56</v>
      </c>
      <c r="C141" s="23" t="s">
        <v>57</v>
      </c>
      <c r="D141" s="23" t="s">
        <v>58</v>
      </c>
      <c r="E141" s="23" t="s">
        <v>58</v>
      </c>
      <c r="F141" s="24">
        <v>8015</v>
      </c>
      <c r="G141" s="13" t="s">
        <v>78</v>
      </c>
      <c r="H141" s="18">
        <v>41.381725000000003</v>
      </c>
      <c r="I141" s="53">
        <v>2.1543679999999998</v>
      </c>
      <c r="J141" s="34">
        <v>20.7</v>
      </c>
      <c r="K141" s="13" t="s">
        <v>59</v>
      </c>
      <c r="L141" s="23" t="s">
        <v>66</v>
      </c>
      <c r="M141" s="32" t="s">
        <v>67</v>
      </c>
      <c r="O141" s="13" t="str">
        <f t="shared" si="12"/>
        <v>A_SP_BCN_24_220710</v>
      </c>
      <c r="P141" s="40">
        <v>44752</v>
      </c>
      <c r="Q141" s="20"/>
      <c r="R141" s="21"/>
      <c r="S141" s="27">
        <v>44761</v>
      </c>
      <c r="T141" s="29">
        <v>0.86111111111111116</v>
      </c>
      <c r="V141" s="13" t="s">
        <v>86</v>
      </c>
      <c r="X141" s="13">
        <f t="shared" si="15"/>
        <v>9</v>
      </c>
      <c r="Z141" s="13" t="s">
        <v>164</v>
      </c>
      <c r="AA141" s="13">
        <f t="shared" si="14"/>
        <v>6</v>
      </c>
      <c r="AB141" s="13" t="str">
        <f t="shared" si="16"/>
        <v>Adult</v>
      </c>
      <c r="AC141" s="13">
        <v>6</v>
      </c>
      <c r="AD141" s="13">
        <v>0</v>
      </c>
      <c r="AE141" s="13" t="str">
        <f t="shared" si="17"/>
        <v>Morphological</v>
      </c>
      <c r="AF141" s="2">
        <v>4</v>
      </c>
    </row>
    <row r="142" spans="1:32" x14ac:dyDescent="0.25">
      <c r="A142" s="13">
        <v>138</v>
      </c>
      <c r="B142" s="23" t="s">
        <v>56</v>
      </c>
      <c r="C142" s="23" t="s">
        <v>57</v>
      </c>
      <c r="D142" s="23" t="s">
        <v>58</v>
      </c>
      <c r="E142" s="23" t="s">
        <v>58</v>
      </c>
      <c r="F142" s="37">
        <v>8025</v>
      </c>
      <c r="G142" s="38" t="s">
        <v>122</v>
      </c>
      <c r="H142" s="39">
        <v>41.407992</v>
      </c>
      <c r="I142" s="52">
        <v>2.1679379999999999</v>
      </c>
      <c r="J142" s="54">
        <v>61</v>
      </c>
      <c r="K142" s="13" t="s">
        <v>143</v>
      </c>
      <c r="O142" s="13" t="str">
        <f t="shared" si="12"/>
        <v>A_SP_BCN_25_000100</v>
      </c>
      <c r="P142" s="40"/>
      <c r="Q142" s="20"/>
      <c r="R142" s="21"/>
      <c r="S142" s="27">
        <v>44762</v>
      </c>
      <c r="T142" s="29">
        <v>0.5</v>
      </c>
      <c r="V142" s="13" t="s">
        <v>123</v>
      </c>
      <c r="X142" s="13">
        <f t="shared" si="15"/>
        <v>44762</v>
      </c>
      <c r="Z142" s="13" t="s">
        <v>60</v>
      </c>
      <c r="AA142" s="13">
        <f t="shared" si="14"/>
        <v>86</v>
      </c>
      <c r="AB142" s="13" t="str">
        <f t="shared" si="16"/>
        <v>Adult</v>
      </c>
      <c r="AC142" s="13">
        <v>44</v>
      </c>
      <c r="AD142" s="13">
        <v>42</v>
      </c>
      <c r="AE142" s="13" t="str">
        <f t="shared" si="17"/>
        <v>Morphological</v>
      </c>
      <c r="AF142" s="2">
        <v>2</v>
      </c>
    </row>
    <row r="143" spans="1:32" x14ac:dyDescent="0.25">
      <c r="A143" s="13">
        <v>139</v>
      </c>
      <c r="B143" s="23" t="s">
        <v>56</v>
      </c>
      <c r="C143" s="23" t="s">
        <v>57</v>
      </c>
      <c r="D143" s="23" t="s">
        <v>58</v>
      </c>
      <c r="E143" s="23" t="s">
        <v>58</v>
      </c>
      <c r="F143" s="24">
        <v>8025</v>
      </c>
      <c r="G143" s="13" t="s">
        <v>122</v>
      </c>
      <c r="H143" s="18">
        <v>41.407992</v>
      </c>
      <c r="I143" s="53">
        <v>2.1679379999999999</v>
      </c>
      <c r="J143" s="34">
        <v>61</v>
      </c>
      <c r="K143" s="13" t="s">
        <v>143</v>
      </c>
      <c r="O143" s="13" t="str">
        <f t="shared" si="12"/>
        <v>A_SP_BCN_25_000100</v>
      </c>
      <c r="P143" s="40"/>
      <c r="Q143" s="20"/>
      <c r="R143" s="21"/>
      <c r="S143" s="27">
        <v>44762</v>
      </c>
      <c r="T143" s="29">
        <v>0.5</v>
      </c>
      <c r="V143" s="13" t="s">
        <v>123</v>
      </c>
      <c r="X143" s="13">
        <f t="shared" si="15"/>
        <v>44762</v>
      </c>
      <c r="Z143" s="13" t="s">
        <v>164</v>
      </c>
      <c r="AA143" s="13">
        <f t="shared" si="14"/>
        <v>2</v>
      </c>
      <c r="AB143" s="13" t="str">
        <f t="shared" si="16"/>
        <v>Adult</v>
      </c>
      <c r="AC143" s="13">
        <v>2</v>
      </c>
      <c r="AD143" s="13">
        <v>0</v>
      </c>
      <c r="AE143" s="13" t="str">
        <f t="shared" si="17"/>
        <v>Morphological</v>
      </c>
      <c r="AF143" s="2">
        <v>2</v>
      </c>
    </row>
    <row r="144" spans="1:32" x14ac:dyDescent="0.25">
      <c r="A144" s="13">
        <v>140</v>
      </c>
      <c r="B144" s="23" t="s">
        <v>56</v>
      </c>
      <c r="C144" s="23" t="s">
        <v>57</v>
      </c>
      <c r="D144" s="23" t="s">
        <v>58</v>
      </c>
      <c r="E144" s="23" t="s">
        <v>58</v>
      </c>
      <c r="F144" s="24">
        <v>8025</v>
      </c>
      <c r="G144" s="13" t="s">
        <v>122</v>
      </c>
      <c r="H144" s="18">
        <v>41.407992</v>
      </c>
      <c r="I144" s="53">
        <v>2.1679379999999999</v>
      </c>
      <c r="J144" s="34">
        <v>61</v>
      </c>
      <c r="K144" s="13" t="s">
        <v>143</v>
      </c>
      <c r="O144" s="13" t="str">
        <f t="shared" si="12"/>
        <v>A_SP_BCN_25_000100</v>
      </c>
      <c r="P144" s="40"/>
      <c r="Q144" s="20"/>
      <c r="R144" s="21"/>
      <c r="S144" s="27">
        <v>44762</v>
      </c>
      <c r="T144" s="29">
        <v>0.5</v>
      </c>
      <c r="V144" s="13" t="s">
        <v>123</v>
      </c>
      <c r="X144" s="13">
        <f t="shared" si="15"/>
        <v>44762</v>
      </c>
      <c r="Z144" s="32" t="s">
        <v>163</v>
      </c>
      <c r="AA144" s="13">
        <f t="shared" si="14"/>
        <v>6</v>
      </c>
      <c r="AB144" s="13" t="str">
        <f t="shared" si="16"/>
        <v>Adult</v>
      </c>
      <c r="AC144" s="13">
        <v>4</v>
      </c>
      <c r="AD144" s="13">
        <v>2</v>
      </c>
      <c r="AE144" s="13" t="str">
        <f t="shared" si="17"/>
        <v>Morphological</v>
      </c>
      <c r="AF144" s="2">
        <v>2</v>
      </c>
    </row>
    <row r="145" spans="1:32" x14ac:dyDescent="0.25">
      <c r="A145" s="13">
        <v>141</v>
      </c>
      <c r="B145" s="23" t="s">
        <v>56</v>
      </c>
      <c r="C145" s="23" t="s">
        <v>57</v>
      </c>
      <c r="D145" s="23" t="s">
        <v>58</v>
      </c>
      <c r="E145" s="23" t="s">
        <v>58</v>
      </c>
      <c r="F145" s="35" cm="1">
        <f t="array" ref="F145">_xlfn.IFS($G145=$G$5,F$5,$G145=$G$7,F$7,$G145=$G$10,F$10,$G145=$G$13,F$13,$G145=$G$14,F$14,$G145=$G$16,F$16,$G145=$G$17,F$17,$G145=$G$19,F$19,$G145=$G$20,F$20,$G145=$G$22,F$22,$G145=$G$23,F$23,$G145=$G$26,F$26,$G145=$G$29,F$29,$G145=$G$31,F$31,$G145=$G$34,F$34,$G145=$G$37,F$37,$G145=$G$107,F$107,$G145=$G$110,F$110,$G145=$G$140,F$140,$G145=$G$142,F$142,$G145=$G$408,F$408)</f>
        <v>8024</v>
      </c>
      <c r="G145" s="13" t="s">
        <v>117</v>
      </c>
      <c r="H145" s="51" cm="1">
        <f t="array" ref="H145">_xlfn.IFS($G145=$G$5,H$5,$G145=$G$7,H$7,$G145=$G$10,H$10,$G145=$G$13,H$13,$G145=$G$14,H$14,$G145=$G$16,H$16,$G145=$G$17,H$17,$G145=$G$19,H$19,$G145=$G$20,H$20,$G145=$G$22,H$22,$G145=$G$23,H$23,$G145=$G$26,H$26,$G145=$G$29,H$29,$G145=$G$31,H$31,$G145=$G$34,H$34,$G145=$G$37,H$37,$G145=$G$107,H$107,$G145=$G$110,H$110,$G145=$G$140,H$140,$G145=$G$142,H$142,$G145=$G$408,H$408)</f>
        <v>41.42</v>
      </c>
      <c r="I145" s="51" cm="1">
        <f t="array" ref="I145">_xlfn.IFS($G145=$G$5,I$5,$G145=$G$7,I$7,$G145=$G$10,I$10,$G145=$G$13,I$13,$G145=$G$14,I$14,$G145=$G$16,I$16,$G145=$G$17,I$17,$G145=$G$19,I$19,$G145=$G$20,I$20,$G145=$G$22,I$22,$G145=$G$23,I$23,$G145=$G$26,I$26,$G145=$G$29,I$29,$G145=$G$31,I$31,$G145=$G$34,I$34,$G145=$G$37,I$37,$G145=$G$107,I$107,$G145=$G$110,I$110,$G145=$G$140,I$140,$G145=$G$142,I$142,$G145=$G$408,I$408)</f>
        <v>2.16</v>
      </c>
      <c r="J145" s="51" cm="1">
        <f t="array" ref="J145">_xlfn.IFS($G145=$G$5,J$5,$G145=$G$7,J$7,$G145=$G$10,J$10,$G145=$G$13,J$13,$G145=$G$14,J$14,$G145=$G$16,J$16,$G145=$G$17,J$17,$G145=$G$19,J$19,$G145=$G$20,J$20,$G145=$G$22,J$22,$G145=$G$23,J$23,$G145=$G$26,J$26,$G145=$G$29,J$29,$G145=$G$31,J$31,$G145=$G$34,J$34,$G145=$G$37,J$37,$G145=$G$107,J$107,$G145=$G$110,J$110,$G145=$G$140,J$140,$G145=$G$142,J$142,$G145=$G$408,J$408)</f>
        <v>146.80000000000001</v>
      </c>
      <c r="K145" s="13" t="str" cm="1">
        <f t="array" ref="K145">_xlfn.IFS($G145=$G$5,K$5,$G145=$G$7,K$7,$G145=$G$10,K$10,$G145=$G$13,K$13,$G145=$G$14,K$14,$G145=$G$16,K$16,$G145=$G$17,K$17,$G145=$G$19,K$19,$G145=$G$20,K$20,$G145=$G$22,K$22,$G145=$G$23,K$23,$G145=$G$26,K$26,$G145=$G$29,K$29,$G145=$G$31,K$31,$G145=$G$34,K$34,$G145=$G$37,K$37,$G145=$G$107,K$107,$G145=$G$110,K$110,$G145=$G$140,K$140,$G145=$G$142,K$142,$G145=$G$408,K$408)</f>
        <v>BG sentinel + BG lure7</v>
      </c>
      <c r="O145" s="13" t="str">
        <f t="shared" si="12"/>
        <v>V4_220712</v>
      </c>
      <c r="P145" s="27">
        <v>44754</v>
      </c>
      <c r="Q145" s="29">
        <v>0.58333333333333337</v>
      </c>
      <c r="R145" s="22"/>
      <c r="S145" s="27">
        <v>44761</v>
      </c>
      <c r="T145" s="33"/>
      <c r="V145" s="13" t="s">
        <v>86</v>
      </c>
      <c r="W145" s="15" t="s">
        <v>134</v>
      </c>
      <c r="X145" s="13">
        <f t="shared" si="15"/>
        <v>7</v>
      </c>
      <c r="AB145" s="13" t="str">
        <f t="shared" si="16"/>
        <v/>
      </c>
      <c r="AE145" s="13" t="str">
        <f t="shared" si="17"/>
        <v/>
      </c>
      <c r="AF145" s="2">
        <v>1</v>
      </c>
    </row>
    <row r="146" spans="1:32" x14ac:dyDescent="0.25">
      <c r="A146" s="13">
        <v>142</v>
      </c>
      <c r="B146" s="23" t="s">
        <v>56</v>
      </c>
      <c r="C146" s="23" t="s">
        <v>57</v>
      </c>
      <c r="D146" s="23" t="s">
        <v>58</v>
      </c>
      <c r="E146" s="23" t="s">
        <v>58</v>
      </c>
      <c r="F146" s="35" cm="1">
        <f t="array" ref="F146">_xlfn.IFS($G146=$G$5,F$5,$G146=$G$7,F$7,$G146=$G$10,F$10,$G146=$G$13,F$13,$G146=$G$14,F$14,$G146=$G$16,F$16,$G146=$G$17,F$17,$G146=$G$19,F$19,$G146=$G$20,F$20,$G146=$G$22,F$22,$G146=$G$23,F$23,$G146=$G$26,F$26,$G146=$G$29,F$29,$G146=$G$31,F$31,$G146=$G$34,F$34,$G146=$G$37,F$37,$G146=$G$107,F$107,$G146=$G$110,F$110,$G146=$G$140,F$140,$G146=$G$142,F$142,$G146=$G$408,F$408)</f>
        <v>8017</v>
      </c>
      <c r="G146" s="13" t="s">
        <v>97</v>
      </c>
      <c r="H146" s="51" cm="1">
        <f t="array" ref="H146">_xlfn.IFS($G146=$G$5,H$5,$G146=$G$7,H$7,$G146=$G$10,H$10,$G146=$G$13,H$13,$G146=$G$14,H$14,$G146=$G$16,H$16,$G146=$G$17,H$17,$G146=$G$19,H$19,$G146=$G$20,H$20,$G146=$G$22,H$22,$G146=$G$23,H$23,$G146=$G$26,H$26,$G146=$G$29,H$29,$G146=$G$31,H$31,$G146=$G$34,H$34,$G146=$G$37,H$37,$G146=$G$107,H$107,$G146=$G$110,H$110,$G146=$G$140,H$140,$G146=$G$142,H$142,$G146=$G$408,H$408)</f>
        <v>41.430372407595499</v>
      </c>
      <c r="I146" s="51" cm="1">
        <f t="array" ref="I146">_xlfn.IFS($G146=$G$5,I$5,$G146=$G$7,I$7,$G146=$G$10,I$10,$G146=$G$13,I$13,$G146=$G$14,I$14,$G146=$G$16,I$16,$G146=$G$17,I$17,$G146=$G$19,I$19,$G146=$G$20,I$20,$G146=$G$22,I$22,$G146=$G$23,I$23,$G146=$G$26,I$26,$G146=$G$29,I$29,$G146=$G$31,I$31,$G146=$G$34,I$34,$G146=$G$37,I$37,$G146=$G$107,I$107,$G146=$G$110,I$110,$G146=$G$140,I$140,$G146=$G$142,I$142,$G146=$G$408,I$408)</f>
        <v>2.0778358219819002</v>
      </c>
      <c r="J146" s="51" cm="1">
        <f t="array" ref="J146">_xlfn.IFS($G146=$G$5,J$5,$G146=$G$7,J$7,$G146=$G$10,J$10,$G146=$G$13,J$13,$G146=$G$14,J$14,$G146=$G$16,J$16,$G146=$G$17,J$17,$G146=$G$19,J$19,$G146=$G$20,J$20,$G146=$G$22,J$22,$G146=$G$23,J$23,$G146=$G$26,J$26,$G146=$G$29,J$29,$G146=$G$31,J$31,$G146=$G$34,J$34,$G146=$G$37,J$37,$G146=$G$107,J$107,$G146=$G$110,J$110,$G146=$G$140,J$140,$G146=$G$142,J$142,$G146=$G$408,J$408)</f>
        <v>242</v>
      </c>
      <c r="K146" s="13" t="str" cm="1">
        <f t="array" ref="K146">_xlfn.IFS($G146=$G$5,K$5,$G146=$G$7,K$7,$G146=$G$10,K$10,$G146=$G$13,K$13,$G146=$G$14,K$14,$G146=$G$16,K$16,$G146=$G$17,K$17,$G146=$G$19,K$19,$G146=$G$20,K$20,$G146=$G$22,K$22,$G146=$G$23,K$23,$G146=$G$26,K$26,$G146=$G$29,K$29,$G146=$G$31,K$31,$G146=$G$34,K$34,$G146=$G$37,K$37,$G146=$G$107,K$107,$G146=$G$110,K$110,$G146=$G$140,K$140,$G146=$G$142,K$142,$G146=$G$408,K$408)</f>
        <v>Mtego</v>
      </c>
      <c r="O146" s="13" t="str">
        <f t="shared" si="12"/>
        <v>Premal_1_220712</v>
      </c>
      <c r="P146" s="27">
        <v>44754</v>
      </c>
      <c r="Q146" s="29">
        <v>0.70138888888888884</v>
      </c>
      <c r="R146" s="22"/>
      <c r="S146" s="27">
        <v>44761</v>
      </c>
      <c r="T146" s="29">
        <v>0.69791666666666663</v>
      </c>
      <c r="V146" s="13" t="s">
        <v>86</v>
      </c>
      <c r="X146" s="13">
        <f t="shared" si="15"/>
        <v>7</v>
      </c>
      <c r="Z146" s="13" t="s">
        <v>60</v>
      </c>
      <c r="AA146" s="13">
        <f t="shared" ref="AA146:AA183" si="18">SUM(AC146:AD146)</f>
        <v>1</v>
      </c>
      <c r="AB146" s="13" t="str">
        <f t="shared" si="16"/>
        <v>Adult</v>
      </c>
      <c r="AC146" s="13">
        <v>0</v>
      </c>
      <c r="AD146" s="13">
        <v>1</v>
      </c>
      <c r="AE146" s="13" t="str">
        <f t="shared" si="17"/>
        <v>Morphological</v>
      </c>
      <c r="AF146" s="2">
        <v>4</v>
      </c>
    </row>
    <row r="147" spans="1:32" x14ac:dyDescent="0.25">
      <c r="A147" s="13">
        <v>143</v>
      </c>
      <c r="B147" s="23" t="s">
        <v>56</v>
      </c>
      <c r="C147" s="23" t="s">
        <v>57</v>
      </c>
      <c r="D147" s="23" t="s">
        <v>58</v>
      </c>
      <c r="E147" s="23" t="s">
        <v>58</v>
      </c>
      <c r="F147" s="35" cm="1">
        <f t="array" ref="F147">_xlfn.IFS($G147=$G$5,F$5,$G147=$G$7,F$7,$G147=$G$10,F$10,$G147=$G$13,F$13,$G147=$G$14,F$14,$G147=$G$16,F$16,$G147=$G$17,F$17,$G147=$G$19,F$19,$G147=$G$20,F$20,$G147=$G$22,F$22,$G147=$G$23,F$23,$G147=$G$26,F$26,$G147=$G$29,F$29,$G147=$G$31,F$31,$G147=$G$34,F$34,$G147=$G$37,F$37,$G147=$G$107,F$107,$G147=$G$110,F$110,$G147=$G$140,F$140,$G147=$G$142,F$142,$G147=$G$408,F$408)</f>
        <v>8017</v>
      </c>
      <c r="G147" s="13" t="s">
        <v>97</v>
      </c>
      <c r="H147" s="51" cm="1">
        <f t="array" ref="H147">_xlfn.IFS($G147=$G$5,H$5,$G147=$G$7,H$7,$G147=$G$10,H$10,$G147=$G$13,H$13,$G147=$G$14,H$14,$G147=$G$16,H$16,$G147=$G$17,H$17,$G147=$G$19,H$19,$G147=$G$20,H$20,$G147=$G$22,H$22,$G147=$G$23,H$23,$G147=$G$26,H$26,$G147=$G$29,H$29,$G147=$G$31,H$31,$G147=$G$34,H$34,$G147=$G$37,H$37,$G147=$G$107,H$107,$G147=$G$110,H$110,$G147=$G$140,H$140,$G147=$G$142,H$142,$G147=$G$408,H$408)</f>
        <v>41.430372407595499</v>
      </c>
      <c r="I147" s="51" cm="1">
        <f t="array" ref="I147">_xlfn.IFS($G147=$G$5,I$5,$G147=$G$7,I$7,$G147=$G$10,I$10,$G147=$G$13,I$13,$G147=$G$14,I$14,$G147=$G$16,I$16,$G147=$G$17,I$17,$G147=$G$19,I$19,$G147=$G$20,I$20,$G147=$G$22,I$22,$G147=$G$23,I$23,$G147=$G$26,I$26,$G147=$G$29,I$29,$G147=$G$31,I$31,$G147=$G$34,I$34,$G147=$G$37,I$37,$G147=$G$107,I$107,$G147=$G$110,I$110,$G147=$G$140,I$140,$G147=$G$142,I$142,$G147=$G$408,I$408)</f>
        <v>2.0778358219819002</v>
      </c>
      <c r="J147" s="51" cm="1">
        <f t="array" ref="J147">_xlfn.IFS($G147=$G$5,J$5,$G147=$G$7,J$7,$G147=$G$10,J$10,$G147=$G$13,J$13,$G147=$G$14,J$14,$G147=$G$16,J$16,$G147=$G$17,J$17,$G147=$G$19,J$19,$G147=$G$20,J$20,$G147=$G$22,J$22,$G147=$G$23,J$23,$G147=$G$26,J$26,$G147=$G$29,J$29,$G147=$G$31,J$31,$G147=$G$34,J$34,$G147=$G$37,J$37,$G147=$G$107,J$107,$G147=$G$110,J$110,$G147=$G$140,J$140,$G147=$G$142,J$142,$G147=$G$408,J$408)</f>
        <v>242</v>
      </c>
      <c r="K147" s="13" t="str" cm="1">
        <f t="array" ref="K147">_xlfn.IFS($G147=$G$5,K$5,$G147=$G$7,K$7,$G147=$G$10,K$10,$G147=$G$13,K$13,$G147=$G$14,K$14,$G147=$G$16,K$16,$G147=$G$17,K$17,$G147=$G$19,K$19,$G147=$G$20,K$20,$G147=$G$22,K$22,$G147=$G$23,K$23,$G147=$G$26,K$26,$G147=$G$29,K$29,$G147=$G$31,K$31,$G147=$G$34,K$34,$G147=$G$37,K$37,$G147=$G$107,K$107,$G147=$G$110,K$110,$G147=$G$140,K$140,$G147=$G$142,K$142,$G147=$G$408,K$408)</f>
        <v>Mtego</v>
      </c>
      <c r="O147" s="13" t="str">
        <f t="shared" si="12"/>
        <v>Premal_1_220712</v>
      </c>
      <c r="P147" s="27">
        <v>44754</v>
      </c>
      <c r="Q147" s="29">
        <v>0.70138888888888884</v>
      </c>
      <c r="R147" s="22"/>
      <c r="S147" s="27">
        <v>44761</v>
      </c>
      <c r="T147" s="29">
        <v>0.69791666666666663</v>
      </c>
      <c r="V147" s="13" t="s">
        <v>86</v>
      </c>
      <c r="X147" s="13">
        <f t="shared" si="15"/>
        <v>7</v>
      </c>
      <c r="Z147" s="13" t="s">
        <v>164</v>
      </c>
      <c r="AA147" s="13">
        <f t="shared" si="18"/>
        <v>2</v>
      </c>
      <c r="AB147" s="13" t="str">
        <f t="shared" si="16"/>
        <v>Adult</v>
      </c>
      <c r="AC147" s="13">
        <v>2</v>
      </c>
      <c r="AD147" s="13">
        <v>0</v>
      </c>
      <c r="AE147" s="13" t="str">
        <f t="shared" si="17"/>
        <v>Morphological</v>
      </c>
      <c r="AF147" s="2">
        <v>4</v>
      </c>
    </row>
    <row r="148" spans="1:32" x14ac:dyDescent="0.25">
      <c r="A148" s="13">
        <v>144</v>
      </c>
      <c r="B148" s="23" t="s">
        <v>56</v>
      </c>
      <c r="C148" s="23" t="s">
        <v>57</v>
      </c>
      <c r="D148" s="23" t="s">
        <v>58</v>
      </c>
      <c r="E148" s="23" t="s">
        <v>58</v>
      </c>
      <c r="F148" s="35" cm="1">
        <f t="array" ref="F148">_xlfn.IFS($G148=$G$5,F$5,$G148=$G$7,F$7,$G148=$G$10,F$10,$G148=$G$13,F$13,$G148=$G$14,F$14,$G148=$G$16,F$16,$G148=$G$17,F$17,$G148=$G$19,F$19,$G148=$G$20,F$20,$G148=$G$22,F$22,$G148=$G$23,F$23,$G148=$G$26,F$26,$G148=$G$29,F$29,$G148=$G$31,F$31,$G148=$G$34,F$34,$G148=$G$37,F$37,$G148=$G$107,F$107,$G148=$G$110,F$110,$G148=$G$140,F$140,$G148=$G$142,F$142,$G148=$G$408,F$408)</f>
        <v>8035</v>
      </c>
      <c r="G148" s="13" t="s">
        <v>61</v>
      </c>
      <c r="H148" s="51" cm="1">
        <f t="array" ref="H148">_xlfn.IFS($G148=$G$5,H$5,$G148=$G$7,H$7,$G148=$G$10,H$10,$G148=$G$13,H$13,$G148=$G$14,H$14,$G148=$G$16,H$16,$G148=$G$17,H$17,$G148=$G$19,H$19,$G148=$G$20,H$20,$G148=$G$22,H$22,$G148=$G$23,H$23,$G148=$G$26,H$26,$G148=$G$29,H$29,$G148=$G$31,H$31,$G148=$G$34,H$34,$G148=$G$37,H$37,$G148=$G$107,H$107,$G148=$G$110,H$110,$G148=$G$140,H$140,$G148=$G$142,H$142,$G148=$G$408,H$408)</f>
        <v>41.424387000000003</v>
      </c>
      <c r="I148" s="51" cm="1">
        <f t="array" ref="I148">_xlfn.IFS($G148=$G$5,I$5,$G148=$G$7,I$7,$G148=$G$10,I$10,$G148=$G$13,I$13,$G148=$G$14,I$14,$G148=$G$16,I$16,$G148=$G$17,I$17,$G148=$G$19,I$19,$G148=$G$20,I$20,$G148=$G$22,I$22,$G148=$G$23,I$23,$G148=$G$26,I$26,$G148=$G$29,I$29,$G148=$G$31,I$31,$G148=$G$34,I$34,$G148=$G$37,I$37,$G148=$G$107,I$107,$G148=$G$110,I$110,$G148=$G$140,I$140,$G148=$G$142,I$142,$G148=$G$408,I$408)</f>
        <v>2.1431439999999999</v>
      </c>
      <c r="J148" s="51" cm="1">
        <f t="array" ref="J148">_xlfn.IFS($G148=$G$5,J$5,$G148=$G$7,J$7,$G148=$G$10,J$10,$G148=$G$13,J$13,$G148=$G$14,J$14,$G148=$G$16,J$16,$G148=$G$17,J$17,$G148=$G$19,J$19,$G148=$G$20,J$20,$G148=$G$22,J$22,$G148=$G$23,J$23,$G148=$G$26,J$26,$G148=$G$29,J$29,$G148=$G$31,J$31,$G148=$G$34,J$34,$G148=$G$37,J$37,$G148=$G$107,J$107,$G148=$G$110,J$110,$G148=$G$140,J$140,$G148=$G$142,J$142,$G148=$G$408,J$408)</f>
        <v>160</v>
      </c>
      <c r="K148" s="13" t="str" cm="1">
        <f t="array" ref="K148">_xlfn.IFS($G148=$G$5,K$5,$G148=$G$7,K$7,$G148=$G$10,K$10,$G148=$G$13,K$13,$G148=$G$14,K$14,$G148=$G$16,K$16,$G148=$G$17,K$17,$G148=$G$19,K$19,$G148=$G$20,K$20,$G148=$G$22,K$22,$G148=$G$23,K$23,$G148=$G$26,K$26,$G148=$G$29,K$29,$G148=$G$31,K$31,$G148=$G$34,K$34,$G148=$G$37,K$37,$G148=$G$107,K$107,$G148=$G$110,K$110,$G148=$G$140,K$140,$G148=$G$142,K$142,$G148=$G$408,K$408)</f>
        <v>BG sentinel + BG lure7</v>
      </c>
      <c r="O148" s="13" t="str">
        <f t="shared" si="12"/>
        <v>A_SP_BCN_2_220719</v>
      </c>
      <c r="P148" s="27">
        <v>44761</v>
      </c>
      <c r="Q148" s="29">
        <v>0.61805555555555558</v>
      </c>
      <c r="R148" s="22"/>
      <c r="S148" s="31">
        <v>44769</v>
      </c>
      <c r="T148" s="29">
        <v>0.86805555555555547</v>
      </c>
      <c r="V148" s="13" t="s">
        <v>86</v>
      </c>
      <c r="X148" s="13">
        <f t="shared" si="15"/>
        <v>8</v>
      </c>
      <c r="Z148" s="13" t="s">
        <v>60</v>
      </c>
      <c r="AA148" s="13">
        <f t="shared" si="18"/>
        <v>5</v>
      </c>
      <c r="AB148" s="13" t="str">
        <f t="shared" si="16"/>
        <v>Adult</v>
      </c>
      <c r="AC148" s="13">
        <v>5</v>
      </c>
      <c r="AD148" s="13">
        <v>0</v>
      </c>
      <c r="AE148" s="13" t="str">
        <f t="shared" si="17"/>
        <v>Morphological</v>
      </c>
      <c r="AF148" s="2">
        <v>4</v>
      </c>
    </row>
    <row r="149" spans="1:32" x14ac:dyDescent="0.25">
      <c r="A149" s="13">
        <v>145</v>
      </c>
      <c r="B149" s="23" t="s">
        <v>56</v>
      </c>
      <c r="C149" s="23" t="s">
        <v>57</v>
      </c>
      <c r="D149" s="23" t="s">
        <v>58</v>
      </c>
      <c r="E149" s="23" t="s">
        <v>58</v>
      </c>
      <c r="F149" s="35" cm="1">
        <f t="array" ref="F149">_xlfn.IFS($G149=$G$5,F$5,$G149=$G$7,F$7,$G149=$G$10,F$10,$G149=$G$13,F$13,$G149=$G$14,F$14,$G149=$G$16,F$16,$G149=$G$17,F$17,$G149=$G$19,F$19,$G149=$G$20,F$20,$G149=$G$22,F$22,$G149=$G$23,F$23,$G149=$G$26,F$26,$G149=$G$29,F$29,$G149=$G$31,F$31,$G149=$G$34,F$34,$G149=$G$37,F$37,$G149=$G$107,F$107,$G149=$G$110,F$110,$G149=$G$140,F$140,$G149=$G$142,F$142,$G149=$G$408,F$408)</f>
        <v>8035</v>
      </c>
      <c r="G149" s="13" t="s">
        <v>61</v>
      </c>
      <c r="H149" s="51" cm="1">
        <f t="array" ref="H149">_xlfn.IFS($G149=$G$5,H$5,$G149=$G$7,H$7,$G149=$G$10,H$10,$G149=$G$13,H$13,$G149=$G$14,H$14,$G149=$G$16,H$16,$G149=$G$17,H$17,$G149=$G$19,H$19,$G149=$G$20,H$20,$G149=$G$22,H$22,$G149=$G$23,H$23,$G149=$G$26,H$26,$G149=$G$29,H$29,$G149=$G$31,H$31,$G149=$G$34,H$34,$G149=$G$37,H$37,$G149=$G$107,H$107,$G149=$G$110,H$110,$G149=$G$140,H$140,$G149=$G$142,H$142,$G149=$G$408,H$408)</f>
        <v>41.424387000000003</v>
      </c>
      <c r="I149" s="51" cm="1">
        <f t="array" ref="I149">_xlfn.IFS($G149=$G$5,I$5,$G149=$G$7,I$7,$G149=$G$10,I$10,$G149=$G$13,I$13,$G149=$G$14,I$14,$G149=$G$16,I$16,$G149=$G$17,I$17,$G149=$G$19,I$19,$G149=$G$20,I$20,$G149=$G$22,I$22,$G149=$G$23,I$23,$G149=$G$26,I$26,$G149=$G$29,I$29,$G149=$G$31,I$31,$G149=$G$34,I$34,$G149=$G$37,I$37,$G149=$G$107,I$107,$G149=$G$110,I$110,$G149=$G$140,I$140,$G149=$G$142,I$142,$G149=$G$408,I$408)</f>
        <v>2.1431439999999999</v>
      </c>
      <c r="J149" s="51" cm="1">
        <f t="array" ref="J149">_xlfn.IFS($G149=$G$5,J$5,$G149=$G$7,J$7,$G149=$G$10,J$10,$G149=$G$13,J$13,$G149=$G$14,J$14,$G149=$G$16,J$16,$G149=$G$17,J$17,$G149=$G$19,J$19,$G149=$G$20,J$20,$G149=$G$22,J$22,$G149=$G$23,J$23,$G149=$G$26,J$26,$G149=$G$29,J$29,$G149=$G$31,J$31,$G149=$G$34,J$34,$G149=$G$37,J$37,$G149=$G$107,J$107,$G149=$G$110,J$110,$G149=$G$140,J$140,$G149=$G$142,J$142,$G149=$G$408,J$408)</f>
        <v>160</v>
      </c>
      <c r="K149" s="13" t="str" cm="1">
        <f t="array" ref="K149">_xlfn.IFS($G149=$G$5,K$5,$G149=$G$7,K$7,$G149=$G$10,K$10,$G149=$G$13,K$13,$G149=$G$14,K$14,$G149=$G$16,K$16,$G149=$G$17,K$17,$G149=$G$19,K$19,$G149=$G$20,K$20,$G149=$G$22,K$22,$G149=$G$23,K$23,$G149=$G$26,K$26,$G149=$G$29,K$29,$G149=$G$31,K$31,$G149=$G$34,K$34,$G149=$G$37,K$37,$G149=$G$107,K$107,$G149=$G$110,K$110,$G149=$G$140,K$140,$G149=$G$142,K$142,$G149=$G$408,K$408)</f>
        <v>BG sentinel + BG lure7</v>
      </c>
      <c r="O149" s="13" t="str">
        <f t="shared" si="12"/>
        <v>A_SP_BCN_2_220719</v>
      </c>
      <c r="P149" s="27">
        <v>44761</v>
      </c>
      <c r="Q149" s="29">
        <v>0.61805555555555558</v>
      </c>
      <c r="R149" s="22"/>
      <c r="S149" s="31">
        <v>44769</v>
      </c>
      <c r="T149" s="29">
        <v>0.86805555555555547</v>
      </c>
      <c r="V149" s="13" t="s">
        <v>86</v>
      </c>
      <c r="X149" s="13">
        <f t="shared" si="15"/>
        <v>8</v>
      </c>
      <c r="Z149" s="13" t="s">
        <v>164</v>
      </c>
      <c r="AA149" s="13">
        <f t="shared" si="18"/>
        <v>1</v>
      </c>
      <c r="AB149" s="13" t="str">
        <f t="shared" si="16"/>
        <v>Adult</v>
      </c>
      <c r="AC149" s="13">
        <v>0</v>
      </c>
      <c r="AD149" s="13">
        <v>1</v>
      </c>
      <c r="AE149" s="13" t="str">
        <f t="shared" si="17"/>
        <v>Morphological</v>
      </c>
      <c r="AF149" s="2">
        <v>4</v>
      </c>
    </row>
    <row r="150" spans="1:32" x14ac:dyDescent="0.25">
      <c r="A150" s="13">
        <v>146</v>
      </c>
      <c r="B150" s="23" t="s">
        <v>56</v>
      </c>
      <c r="C150" s="23" t="s">
        <v>57</v>
      </c>
      <c r="D150" s="23" t="s">
        <v>58</v>
      </c>
      <c r="E150" s="23" t="s">
        <v>58</v>
      </c>
      <c r="F150" s="35" cm="1">
        <f t="array" ref="F150">_xlfn.IFS($G150=$G$5,F$5,$G150=$G$7,F$7,$G150=$G$10,F$10,$G150=$G$13,F$13,$G150=$G$14,F$14,$G150=$G$16,F$16,$G150=$G$17,F$17,$G150=$G$19,F$19,$G150=$G$20,F$20,$G150=$G$22,F$22,$G150=$G$23,F$23,$G150=$G$26,F$26,$G150=$G$29,F$29,$G150=$G$31,F$31,$G150=$G$34,F$34,$G150=$G$37,F$37,$G150=$G$107,F$107,$G150=$G$110,F$110,$G150=$G$140,F$140,$G150=$G$142,F$142,$G150=$G$408,F$408)</f>
        <v>8016</v>
      </c>
      <c r="G150" s="13" t="s">
        <v>62</v>
      </c>
      <c r="H150" s="51" cm="1">
        <f t="array" ref="H150">_xlfn.IFS($G150=$G$5,H$5,$G150=$G$7,H$7,$G150=$G$10,H$10,$G150=$G$13,H$13,$G150=$G$14,H$14,$G150=$G$16,H$16,$G150=$G$17,H$17,$G150=$G$19,H$19,$G150=$G$20,H$20,$G150=$G$22,H$22,$G150=$G$23,H$23,$G150=$G$26,H$26,$G150=$G$29,H$29,$G150=$G$31,H$31,$G150=$G$34,H$34,$G150=$G$37,H$37,$G150=$G$107,H$107,$G150=$G$110,H$110,$G150=$G$140,H$140,$G150=$G$142,H$142,$G150=$G$408,H$408)</f>
        <v>41.437435000000001</v>
      </c>
      <c r="I150" s="51" cm="1">
        <f t="array" ref="I150">_xlfn.IFS($G150=$G$5,I$5,$G150=$G$7,I$7,$G150=$G$10,I$10,$G150=$G$13,I$13,$G150=$G$14,I$14,$G150=$G$16,I$16,$G150=$G$17,I$17,$G150=$G$19,I$19,$G150=$G$20,I$20,$G150=$G$22,I$22,$G150=$G$23,I$23,$G150=$G$26,I$26,$G150=$G$29,I$29,$G150=$G$31,I$31,$G150=$G$34,I$34,$G150=$G$37,I$37,$G150=$G$107,I$107,$G150=$G$110,I$110,$G150=$G$140,I$140,$G150=$G$142,I$142,$G150=$G$408,I$408)</f>
        <v>2.1812779999999998</v>
      </c>
      <c r="J150" s="51" cm="1">
        <f t="array" ref="J150">_xlfn.IFS($G150=$G$5,J$5,$G150=$G$7,J$7,$G150=$G$10,J$10,$G150=$G$13,J$13,$G150=$G$14,J$14,$G150=$G$16,J$16,$G150=$G$17,J$17,$G150=$G$19,J$19,$G150=$G$20,J$20,$G150=$G$22,J$22,$G150=$G$23,J$23,$G150=$G$26,J$26,$G150=$G$29,J$29,$G150=$G$31,J$31,$G150=$G$34,J$34,$G150=$G$37,J$37,$G150=$G$107,J$107,$G150=$G$110,J$110,$G150=$G$140,J$140,$G150=$G$142,J$142,$G150=$G$408,J$408)</f>
        <v>47</v>
      </c>
      <c r="K150" s="13" t="str" cm="1">
        <f t="array" ref="K150">_xlfn.IFS($G150=$G$5,K$5,$G150=$G$7,K$7,$G150=$G$10,K$10,$G150=$G$13,K$13,$G150=$G$14,K$14,$G150=$G$16,K$16,$G150=$G$17,K$17,$G150=$G$19,K$19,$G150=$G$20,K$20,$G150=$G$22,K$22,$G150=$G$23,K$23,$G150=$G$26,K$26,$G150=$G$29,K$29,$G150=$G$31,K$31,$G150=$G$34,K$34,$G150=$G$37,K$37,$G150=$G$107,K$107,$G150=$G$110,K$110,$G150=$G$140,K$140,$G150=$G$142,K$142,$G150=$G$408,K$408)</f>
        <v>BG sentinel + BG lure7</v>
      </c>
      <c r="O150" s="13" t="str">
        <f t="shared" si="12"/>
        <v>A_SP_BCN_3_220719</v>
      </c>
      <c r="P150" s="27">
        <v>44761</v>
      </c>
      <c r="Q150" s="29">
        <v>0.77777777777777779</v>
      </c>
      <c r="R150" s="22"/>
      <c r="S150" s="31">
        <v>44769</v>
      </c>
      <c r="T150" s="29">
        <v>0.83680555555555547</v>
      </c>
      <c r="V150" s="13" t="s">
        <v>86</v>
      </c>
      <c r="X150" s="13">
        <f t="shared" si="15"/>
        <v>8</v>
      </c>
      <c r="Z150" s="13" t="s">
        <v>60</v>
      </c>
      <c r="AA150" s="13">
        <f t="shared" si="18"/>
        <v>27</v>
      </c>
      <c r="AB150" s="13" t="str">
        <f t="shared" si="16"/>
        <v>Adult</v>
      </c>
      <c r="AC150" s="13">
        <v>13</v>
      </c>
      <c r="AD150" s="13">
        <v>14</v>
      </c>
      <c r="AE150" s="13" t="str">
        <f t="shared" si="17"/>
        <v>Morphological</v>
      </c>
      <c r="AF150" s="2">
        <v>4</v>
      </c>
    </row>
    <row r="151" spans="1:32" x14ac:dyDescent="0.25">
      <c r="A151" s="13">
        <v>147</v>
      </c>
      <c r="B151" s="23" t="s">
        <v>56</v>
      </c>
      <c r="C151" s="23" t="s">
        <v>57</v>
      </c>
      <c r="D151" s="23" t="s">
        <v>58</v>
      </c>
      <c r="E151" s="23" t="s">
        <v>58</v>
      </c>
      <c r="F151" s="35" cm="1">
        <f t="array" ref="F151">_xlfn.IFS($G151=$G$5,F$5,$G151=$G$7,F$7,$G151=$G$10,F$10,$G151=$G$13,F$13,$G151=$G$14,F$14,$G151=$G$16,F$16,$G151=$G$17,F$17,$G151=$G$19,F$19,$G151=$G$20,F$20,$G151=$G$22,F$22,$G151=$G$23,F$23,$G151=$G$26,F$26,$G151=$G$29,F$29,$G151=$G$31,F$31,$G151=$G$34,F$34,$G151=$G$37,F$37,$G151=$G$107,F$107,$G151=$G$110,F$110,$G151=$G$140,F$140,$G151=$G$142,F$142,$G151=$G$408,F$408)</f>
        <v>8016</v>
      </c>
      <c r="G151" s="13" t="s">
        <v>62</v>
      </c>
      <c r="H151" s="51" cm="1">
        <f t="array" ref="H151">_xlfn.IFS($G151=$G$5,H$5,$G151=$G$7,H$7,$G151=$G$10,H$10,$G151=$G$13,H$13,$G151=$G$14,H$14,$G151=$G$16,H$16,$G151=$G$17,H$17,$G151=$G$19,H$19,$G151=$G$20,H$20,$G151=$G$22,H$22,$G151=$G$23,H$23,$G151=$G$26,H$26,$G151=$G$29,H$29,$G151=$G$31,H$31,$G151=$G$34,H$34,$G151=$G$37,H$37,$G151=$G$107,H$107,$G151=$G$110,H$110,$G151=$G$140,H$140,$G151=$G$142,H$142,$G151=$G$408,H$408)</f>
        <v>41.437435000000001</v>
      </c>
      <c r="I151" s="51" cm="1">
        <f t="array" ref="I151">_xlfn.IFS($G151=$G$5,I$5,$G151=$G$7,I$7,$G151=$G$10,I$10,$G151=$G$13,I$13,$G151=$G$14,I$14,$G151=$G$16,I$16,$G151=$G$17,I$17,$G151=$G$19,I$19,$G151=$G$20,I$20,$G151=$G$22,I$22,$G151=$G$23,I$23,$G151=$G$26,I$26,$G151=$G$29,I$29,$G151=$G$31,I$31,$G151=$G$34,I$34,$G151=$G$37,I$37,$G151=$G$107,I$107,$G151=$G$110,I$110,$G151=$G$140,I$140,$G151=$G$142,I$142,$G151=$G$408,I$408)</f>
        <v>2.1812779999999998</v>
      </c>
      <c r="J151" s="51" cm="1">
        <f t="array" ref="J151">_xlfn.IFS($G151=$G$5,J$5,$G151=$G$7,J$7,$G151=$G$10,J$10,$G151=$G$13,J$13,$G151=$G$14,J$14,$G151=$G$16,J$16,$G151=$G$17,J$17,$G151=$G$19,J$19,$G151=$G$20,J$20,$G151=$G$22,J$22,$G151=$G$23,J$23,$G151=$G$26,J$26,$G151=$G$29,J$29,$G151=$G$31,J$31,$G151=$G$34,J$34,$G151=$G$37,J$37,$G151=$G$107,J$107,$G151=$G$110,J$110,$G151=$G$140,J$140,$G151=$G$142,J$142,$G151=$G$408,J$408)</f>
        <v>47</v>
      </c>
      <c r="K151" s="13" t="str" cm="1">
        <f t="array" ref="K151">_xlfn.IFS($G151=$G$5,K$5,$G151=$G$7,K$7,$G151=$G$10,K$10,$G151=$G$13,K$13,$G151=$G$14,K$14,$G151=$G$16,K$16,$G151=$G$17,K$17,$G151=$G$19,K$19,$G151=$G$20,K$20,$G151=$G$22,K$22,$G151=$G$23,K$23,$G151=$G$26,K$26,$G151=$G$29,K$29,$G151=$G$31,K$31,$G151=$G$34,K$34,$G151=$G$37,K$37,$G151=$G$107,K$107,$G151=$G$110,K$110,$G151=$G$140,K$140,$G151=$G$142,K$142,$G151=$G$408,K$408)</f>
        <v>BG sentinel + BG lure7</v>
      </c>
      <c r="O151" s="13" t="str">
        <f t="shared" si="12"/>
        <v>A_SP_BCN_3_220719</v>
      </c>
      <c r="P151" s="27">
        <v>44761</v>
      </c>
      <c r="Q151" s="29">
        <v>0.77777777777777779</v>
      </c>
      <c r="R151" s="22"/>
      <c r="S151" s="31">
        <v>44769</v>
      </c>
      <c r="T151" s="29">
        <v>0.83680555555555547</v>
      </c>
      <c r="V151" s="13" t="s">
        <v>86</v>
      </c>
      <c r="X151" s="13">
        <f t="shared" si="15"/>
        <v>8</v>
      </c>
      <c r="Z151" s="13" t="s">
        <v>164</v>
      </c>
      <c r="AA151" s="13">
        <f t="shared" si="18"/>
        <v>7</v>
      </c>
      <c r="AB151" s="13" t="str">
        <f t="shared" si="16"/>
        <v>Adult</v>
      </c>
      <c r="AC151" s="13">
        <v>5</v>
      </c>
      <c r="AD151" s="13">
        <v>2</v>
      </c>
      <c r="AE151" s="13" t="str">
        <f t="shared" si="17"/>
        <v>Morphological</v>
      </c>
      <c r="AF151" s="2">
        <v>4</v>
      </c>
    </row>
    <row r="152" spans="1:32" x14ac:dyDescent="0.25">
      <c r="A152" s="13">
        <v>148</v>
      </c>
      <c r="B152" s="23" t="s">
        <v>56</v>
      </c>
      <c r="C152" s="23" t="s">
        <v>57</v>
      </c>
      <c r="D152" s="23" t="s">
        <v>58</v>
      </c>
      <c r="E152" s="23" t="s">
        <v>58</v>
      </c>
      <c r="F152" s="35" cm="1">
        <f t="array" ref="F152">_xlfn.IFS($G152=$G$5,F$5,$G152=$G$7,F$7,$G152=$G$10,F$10,$G152=$G$13,F$13,$G152=$G$14,F$14,$G152=$G$16,F$16,$G152=$G$17,F$17,$G152=$G$19,F$19,$G152=$G$20,F$20,$G152=$G$22,F$22,$G152=$G$23,F$23,$G152=$G$26,F$26,$G152=$G$29,F$29,$G152=$G$31,F$31,$G152=$G$34,F$34,$G152=$G$37,F$37,$G152=$G$107,F$107,$G152=$G$110,F$110,$G152=$G$140,F$140,$G152=$G$142,F$142,$G152=$G$408,F$408)</f>
        <v>8016</v>
      </c>
      <c r="G152" s="13" t="s">
        <v>62</v>
      </c>
      <c r="H152" s="51" cm="1">
        <f t="array" ref="H152">_xlfn.IFS($G152=$G$5,H$5,$G152=$G$7,H$7,$G152=$G$10,H$10,$G152=$G$13,H$13,$G152=$G$14,H$14,$G152=$G$16,H$16,$G152=$G$17,H$17,$G152=$G$19,H$19,$G152=$G$20,H$20,$G152=$G$22,H$22,$G152=$G$23,H$23,$G152=$G$26,H$26,$G152=$G$29,H$29,$G152=$G$31,H$31,$G152=$G$34,H$34,$G152=$G$37,H$37,$G152=$G$107,H$107,$G152=$G$110,H$110,$G152=$G$140,H$140,$G152=$G$142,H$142,$G152=$G$408,H$408)</f>
        <v>41.437435000000001</v>
      </c>
      <c r="I152" s="51" cm="1">
        <f t="array" ref="I152">_xlfn.IFS($G152=$G$5,I$5,$G152=$G$7,I$7,$G152=$G$10,I$10,$G152=$G$13,I$13,$G152=$G$14,I$14,$G152=$G$16,I$16,$G152=$G$17,I$17,$G152=$G$19,I$19,$G152=$G$20,I$20,$G152=$G$22,I$22,$G152=$G$23,I$23,$G152=$G$26,I$26,$G152=$G$29,I$29,$G152=$G$31,I$31,$G152=$G$34,I$34,$G152=$G$37,I$37,$G152=$G$107,I$107,$G152=$G$110,I$110,$G152=$G$140,I$140,$G152=$G$142,I$142,$G152=$G$408,I$408)</f>
        <v>2.1812779999999998</v>
      </c>
      <c r="J152" s="51" cm="1">
        <f t="array" ref="J152">_xlfn.IFS($G152=$G$5,J$5,$G152=$G$7,J$7,$G152=$G$10,J$10,$G152=$G$13,J$13,$G152=$G$14,J$14,$G152=$G$16,J$16,$G152=$G$17,J$17,$G152=$G$19,J$19,$G152=$G$20,J$20,$G152=$G$22,J$22,$G152=$G$23,J$23,$G152=$G$26,J$26,$G152=$G$29,J$29,$G152=$G$31,J$31,$G152=$G$34,J$34,$G152=$G$37,J$37,$G152=$G$107,J$107,$G152=$G$110,J$110,$G152=$G$140,J$140,$G152=$G$142,J$142,$G152=$G$408,J$408)</f>
        <v>47</v>
      </c>
      <c r="K152" s="13" t="str" cm="1">
        <f t="array" ref="K152">_xlfn.IFS($G152=$G$5,K$5,$G152=$G$7,K$7,$G152=$G$10,K$10,$G152=$G$13,K$13,$G152=$G$14,K$14,$G152=$G$16,K$16,$G152=$G$17,K$17,$G152=$G$19,K$19,$G152=$G$20,K$20,$G152=$G$22,K$22,$G152=$G$23,K$23,$G152=$G$26,K$26,$G152=$G$29,K$29,$G152=$G$31,K$31,$G152=$G$34,K$34,$G152=$G$37,K$37,$G152=$G$107,K$107,$G152=$G$110,K$110,$G152=$G$140,K$140,$G152=$G$142,K$142,$G152=$G$408,K$408)</f>
        <v>BG sentinel + BG lure7</v>
      </c>
      <c r="O152" s="13" t="str">
        <f t="shared" si="12"/>
        <v>A_SP_BCN_3_220719</v>
      </c>
      <c r="P152" s="27">
        <v>44761</v>
      </c>
      <c r="Q152" s="29">
        <v>0.77777777777777779</v>
      </c>
      <c r="R152" s="22"/>
      <c r="S152" s="31">
        <v>44769</v>
      </c>
      <c r="T152" s="29">
        <v>0.83680555555555547</v>
      </c>
      <c r="V152" s="13" t="s">
        <v>86</v>
      </c>
      <c r="X152" s="13">
        <f t="shared" si="15"/>
        <v>8</v>
      </c>
      <c r="Z152" s="32" t="s">
        <v>163</v>
      </c>
      <c r="AA152" s="13">
        <f t="shared" si="18"/>
        <v>2</v>
      </c>
      <c r="AB152" s="13" t="str">
        <f t="shared" si="16"/>
        <v>Adult</v>
      </c>
      <c r="AC152" s="13">
        <v>0</v>
      </c>
      <c r="AD152" s="13">
        <v>2</v>
      </c>
      <c r="AE152" s="13" t="str">
        <f t="shared" si="17"/>
        <v>Morphological</v>
      </c>
      <c r="AF152" s="2">
        <v>4</v>
      </c>
    </row>
    <row r="153" spans="1:32" x14ac:dyDescent="0.25">
      <c r="A153" s="13">
        <v>149</v>
      </c>
      <c r="B153" s="23" t="s">
        <v>56</v>
      </c>
      <c r="C153" s="23" t="s">
        <v>57</v>
      </c>
      <c r="D153" s="23" t="s">
        <v>58</v>
      </c>
      <c r="E153" s="23" t="s">
        <v>58</v>
      </c>
      <c r="F153" s="35" cm="1">
        <f t="array" ref="F153">_xlfn.IFS($G153=$G$5,F$5,$G153=$G$7,F$7,$G153=$G$10,F$10,$G153=$G$13,F$13,$G153=$G$14,F$14,$G153=$G$16,F$16,$G153=$G$17,F$17,$G153=$G$19,F$19,$G153=$G$20,F$20,$G153=$G$22,F$22,$G153=$G$23,F$23,$G153=$G$26,F$26,$G153=$G$29,F$29,$G153=$G$31,F$31,$G153=$G$34,F$34,$G153=$G$37,F$37,$G153=$G$107,F$107,$G153=$G$110,F$110,$G153=$G$140,F$140,$G153=$G$142,F$142,$G153=$G$408,F$408)</f>
        <v>8018</v>
      </c>
      <c r="G153" s="13" t="s">
        <v>63</v>
      </c>
      <c r="H153" s="51" cm="1">
        <f t="array" ref="H153">_xlfn.IFS($G153=$G$5,H$5,$G153=$G$7,H$7,$G153=$G$10,H$10,$G153=$G$13,H$13,$G153=$G$14,H$14,$G153=$G$16,H$16,$G153=$G$17,H$17,$G153=$G$19,H$19,$G153=$G$20,H$20,$G153=$G$22,H$22,$G153=$G$23,H$23,$G153=$G$26,H$26,$G153=$G$29,H$29,$G153=$G$31,H$31,$G153=$G$34,H$34,$G153=$G$37,H$37,$G153=$G$107,H$107,$G153=$G$110,H$110,$G153=$G$140,H$140,$G153=$G$142,H$142,$G153=$G$408,H$408)</f>
        <v>41.404924999999999</v>
      </c>
      <c r="I153" s="51" cm="1">
        <f t="array" ref="I153">_xlfn.IFS($G153=$G$5,I$5,$G153=$G$7,I$7,$G153=$G$10,I$10,$G153=$G$13,I$13,$G153=$G$14,I$14,$G153=$G$16,I$16,$G153=$G$17,I$17,$G153=$G$19,I$19,$G153=$G$20,I$20,$G153=$G$22,I$22,$G153=$G$23,I$23,$G153=$G$26,I$26,$G153=$G$29,I$29,$G153=$G$31,I$31,$G153=$G$34,I$34,$G153=$G$37,I$37,$G153=$G$107,I$107,$G153=$G$110,I$110,$G153=$G$140,I$140,$G153=$G$142,I$142,$G153=$G$408,I$408)</f>
        <v>2.1987909999999999</v>
      </c>
      <c r="J153" s="51" cm="1">
        <f t="array" ref="J153">_xlfn.IFS($G153=$G$5,J$5,$G153=$G$7,J$7,$G153=$G$10,J$10,$G153=$G$13,J$13,$G153=$G$14,J$14,$G153=$G$16,J$16,$G153=$G$17,J$17,$G153=$G$19,J$19,$G153=$G$20,J$20,$G153=$G$22,J$22,$G153=$G$23,J$23,$G153=$G$26,J$26,$G153=$G$29,J$29,$G153=$G$31,J$31,$G153=$G$34,J$34,$G153=$G$37,J$37,$G153=$G$107,J$107,$G153=$G$110,J$110,$G153=$G$140,J$140,$G153=$G$142,J$142,$G153=$G$408,J$408)</f>
        <v>4</v>
      </c>
      <c r="K153" s="13" t="str" cm="1">
        <f t="array" ref="K153">_xlfn.IFS($G153=$G$5,K$5,$G153=$G$7,K$7,$G153=$G$10,K$10,$G153=$G$13,K$13,$G153=$G$14,K$14,$G153=$G$16,K$16,$G153=$G$17,K$17,$G153=$G$19,K$19,$G153=$G$20,K$20,$G153=$G$22,K$22,$G153=$G$23,K$23,$G153=$G$26,K$26,$G153=$G$29,K$29,$G153=$G$31,K$31,$G153=$G$34,K$34,$G153=$G$37,K$37,$G153=$G$107,K$107,$G153=$G$110,K$110,$G153=$G$140,K$140,$G153=$G$142,K$142,$G153=$G$408,K$408)</f>
        <v>BG sentinel + BG lure7</v>
      </c>
      <c r="O153" s="13" t="str">
        <f t="shared" si="12"/>
        <v>A_SP_BCN_4_220719</v>
      </c>
      <c r="P153" s="27">
        <v>44761</v>
      </c>
      <c r="Q153" s="29">
        <v>0.8125</v>
      </c>
      <c r="R153" s="22"/>
      <c r="S153" s="31">
        <v>44769</v>
      </c>
      <c r="T153" s="29">
        <v>0.80902777777777779</v>
      </c>
      <c r="V153" s="13" t="s">
        <v>86</v>
      </c>
      <c r="X153" s="13">
        <f t="shared" si="15"/>
        <v>8</v>
      </c>
      <c r="Z153" s="13" t="s">
        <v>60</v>
      </c>
      <c r="AA153" s="13">
        <f t="shared" si="18"/>
        <v>11</v>
      </c>
      <c r="AB153" s="13" t="str">
        <f t="shared" si="16"/>
        <v>Adult</v>
      </c>
      <c r="AC153" s="13">
        <v>6</v>
      </c>
      <c r="AD153" s="13">
        <v>5</v>
      </c>
      <c r="AE153" s="13" t="str">
        <f t="shared" si="17"/>
        <v>Morphological</v>
      </c>
      <c r="AF153" s="2">
        <v>4</v>
      </c>
    </row>
    <row r="154" spans="1:32" x14ac:dyDescent="0.25">
      <c r="A154" s="13">
        <v>150</v>
      </c>
      <c r="B154" s="23" t="s">
        <v>56</v>
      </c>
      <c r="C154" s="23" t="s">
        <v>57</v>
      </c>
      <c r="D154" s="23" t="s">
        <v>58</v>
      </c>
      <c r="E154" s="23" t="s">
        <v>58</v>
      </c>
      <c r="F154" s="35" cm="1">
        <f t="array" ref="F154">_xlfn.IFS($G154=$G$5,F$5,$G154=$G$7,F$7,$G154=$G$10,F$10,$G154=$G$13,F$13,$G154=$G$14,F$14,$G154=$G$16,F$16,$G154=$G$17,F$17,$G154=$G$19,F$19,$G154=$G$20,F$20,$G154=$G$22,F$22,$G154=$G$23,F$23,$G154=$G$26,F$26,$G154=$G$29,F$29,$G154=$G$31,F$31,$G154=$G$34,F$34,$G154=$G$37,F$37,$G154=$G$107,F$107,$G154=$G$110,F$110,$G154=$G$140,F$140,$G154=$G$142,F$142,$G154=$G$408,F$408)</f>
        <v>8018</v>
      </c>
      <c r="G154" s="13" t="s">
        <v>63</v>
      </c>
      <c r="H154" s="51" cm="1">
        <f t="array" ref="H154">_xlfn.IFS($G154=$G$5,H$5,$G154=$G$7,H$7,$G154=$G$10,H$10,$G154=$G$13,H$13,$G154=$G$14,H$14,$G154=$G$16,H$16,$G154=$G$17,H$17,$G154=$G$19,H$19,$G154=$G$20,H$20,$G154=$G$22,H$22,$G154=$G$23,H$23,$G154=$G$26,H$26,$G154=$G$29,H$29,$G154=$G$31,H$31,$G154=$G$34,H$34,$G154=$G$37,H$37,$G154=$G$107,H$107,$G154=$G$110,H$110,$G154=$G$140,H$140,$G154=$G$142,H$142,$G154=$G$408,H$408)</f>
        <v>41.404924999999999</v>
      </c>
      <c r="I154" s="51" cm="1">
        <f t="array" ref="I154">_xlfn.IFS($G154=$G$5,I$5,$G154=$G$7,I$7,$G154=$G$10,I$10,$G154=$G$13,I$13,$G154=$G$14,I$14,$G154=$G$16,I$16,$G154=$G$17,I$17,$G154=$G$19,I$19,$G154=$G$20,I$20,$G154=$G$22,I$22,$G154=$G$23,I$23,$G154=$G$26,I$26,$G154=$G$29,I$29,$G154=$G$31,I$31,$G154=$G$34,I$34,$G154=$G$37,I$37,$G154=$G$107,I$107,$G154=$G$110,I$110,$G154=$G$140,I$140,$G154=$G$142,I$142,$G154=$G$408,I$408)</f>
        <v>2.1987909999999999</v>
      </c>
      <c r="J154" s="51" cm="1">
        <f t="array" ref="J154">_xlfn.IFS($G154=$G$5,J$5,$G154=$G$7,J$7,$G154=$G$10,J$10,$G154=$G$13,J$13,$G154=$G$14,J$14,$G154=$G$16,J$16,$G154=$G$17,J$17,$G154=$G$19,J$19,$G154=$G$20,J$20,$G154=$G$22,J$22,$G154=$G$23,J$23,$G154=$G$26,J$26,$G154=$G$29,J$29,$G154=$G$31,J$31,$G154=$G$34,J$34,$G154=$G$37,J$37,$G154=$G$107,J$107,$G154=$G$110,J$110,$G154=$G$140,J$140,$G154=$G$142,J$142,$G154=$G$408,J$408)</f>
        <v>4</v>
      </c>
      <c r="K154" s="13" t="str" cm="1">
        <f t="array" ref="K154">_xlfn.IFS($G154=$G$5,K$5,$G154=$G$7,K$7,$G154=$G$10,K$10,$G154=$G$13,K$13,$G154=$G$14,K$14,$G154=$G$16,K$16,$G154=$G$17,K$17,$G154=$G$19,K$19,$G154=$G$20,K$20,$G154=$G$22,K$22,$G154=$G$23,K$23,$G154=$G$26,K$26,$G154=$G$29,K$29,$G154=$G$31,K$31,$G154=$G$34,K$34,$G154=$G$37,K$37,$G154=$G$107,K$107,$G154=$G$110,K$110,$G154=$G$140,K$140,$G154=$G$142,K$142,$G154=$G$408,K$408)</f>
        <v>BG sentinel + BG lure7</v>
      </c>
      <c r="O154" s="13" t="str">
        <f t="shared" si="12"/>
        <v>A_SP_BCN_4_220719</v>
      </c>
      <c r="P154" s="27">
        <v>44761</v>
      </c>
      <c r="Q154" s="29">
        <v>0.8125</v>
      </c>
      <c r="R154" s="22"/>
      <c r="S154" s="31">
        <v>44769</v>
      </c>
      <c r="T154" s="29">
        <v>0.80902777777777779</v>
      </c>
      <c r="V154" s="13" t="s">
        <v>86</v>
      </c>
      <c r="X154" s="13">
        <f t="shared" si="15"/>
        <v>8</v>
      </c>
      <c r="Z154" s="13" t="s">
        <v>164</v>
      </c>
      <c r="AA154" s="13">
        <f t="shared" si="18"/>
        <v>3</v>
      </c>
      <c r="AB154" s="13" t="str">
        <f t="shared" si="16"/>
        <v>Adult</v>
      </c>
      <c r="AC154" s="13">
        <v>2</v>
      </c>
      <c r="AD154" s="13">
        <v>1</v>
      </c>
      <c r="AE154" s="13" t="str">
        <f t="shared" si="17"/>
        <v>Morphological</v>
      </c>
      <c r="AF154" s="2">
        <v>4</v>
      </c>
    </row>
    <row r="155" spans="1:32" x14ac:dyDescent="0.25">
      <c r="A155" s="13">
        <v>151</v>
      </c>
      <c r="B155" s="23" t="s">
        <v>56</v>
      </c>
      <c r="C155" s="23" t="s">
        <v>57</v>
      </c>
      <c r="D155" s="23" t="s">
        <v>58</v>
      </c>
      <c r="E155" s="23" t="s">
        <v>58</v>
      </c>
      <c r="F155" s="35" cm="1">
        <f t="array" ref="F155">_xlfn.IFS($G155=$G$5,F$5,$G155=$G$7,F$7,$G155=$G$10,F$10,$G155=$G$13,F$13,$G155=$G$14,F$14,$G155=$G$16,F$16,$G155=$G$17,F$17,$G155=$G$19,F$19,$G155=$G$20,F$20,$G155=$G$22,F$22,$G155=$G$23,F$23,$G155=$G$26,F$26,$G155=$G$29,F$29,$G155=$G$31,F$31,$G155=$G$34,F$34,$G155=$G$37,F$37,$G155=$G$107,F$107,$G155=$G$110,F$110,$G155=$G$140,F$140,$G155=$G$142,F$142,$G155=$G$408,F$408)</f>
        <v>8019</v>
      </c>
      <c r="G155" s="13" t="s">
        <v>64</v>
      </c>
      <c r="H155" s="51" cm="1">
        <f t="array" ref="H155">_xlfn.IFS($G155=$G$5,H$5,$G155=$G$7,H$7,$G155=$G$10,H$10,$G155=$G$13,H$13,$G155=$G$14,H$14,$G155=$G$16,H$16,$G155=$G$17,H$17,$G155=$G$19,H$19,$G155=$G$20,H$20,$G155=$G$22,H$22,$G155=$G$23,H$23,$G155=$G$26,H$26,$G155=$G$29,H$29,$G155=$G$31,H$31,$G155=$G$34,H$34,$G155=$G$37,H$37,$G155=$G$107,H$107,$G155=$G$110,H$110,$G155=$G$140,H$140,$G155=$G$142,H$142,$G155=$G$408,H$408)</f>
        <v>41.410684000000003</v>
      </c>
      <c r="I155" s="51" cm="1">
        <f t="array" ref="I155">_xlfn.IFS($G155=$G$5,I$5,$G155=$G$7,I$7,$G155=$G$10,I$10,$G155=$G$13,I$13,$G155=$G$14,I$14,$G155=$G$16,I$16,$G155=$G$17,I$17,$G155=$G$19,I$19,$G155=$G$20,I$20,$G155=$G$22,I$22,$G155=$G$23,I$23,$G155=$G$26,I$26,$G155=$G$29,I$29,$G155=$G$31,I$31,$G155=$G$34,I$34,$G155=$G$37,I$37,$G155=$G$107,I$107,$G155=$G$110,I$110,$G155=$G$140,I$140,$G155=$G$142,I$142,$G155=$G$408,I$408)</f>
        <v>2.2208019999999999</v>
      </c>
      <c r="J155" s="51" cm="1">
        <f t="array" ref="J155">_xlfn.IFS($G155=$G$5,J$5,$G155=$G$7,J$7,$G155=$G$10,J$10,$G155=$G$13,J$13,$G155=$G$14,J$14,$G155=$G$16,J$16,$G155=$G$17,J$17,$G155=$G$19,J$19,$G155=$G$20,J$20,$G155=$G$22,J$22,$G155=$G$23,J$23,$G155=$G$26,J$26,$G155=$G$29,J$29,$G155=$G$31,J$31,$G155=$G$34,J$34,$G155=$G$37,J$37,$G155=$G$107,J$107,$G155=$G$110,J$110,$G155=$G$140,J$140,$G155=$G$142,J$142,$G155=$G$408,J$408)</f>
        <v>18</v>
      </c>
      <c r="K155" s="13" t="str" cm="1">
        <f t="array" ref="K155">_xlfn.IFS($G155=$G$5,K$5,$G155=$G$7,K$7,$G155=$G$10,K$10,$G155=$G$13,K$13,$G155=$G$14,K$14,$G155=$G$16,K$16,$G155=$G$17,K$17,$G155=$G$19,K$19,$G155=$G$20,K$20,$G155=$G$22,K$22,$G155=$G$23,K$23,$G155=$G$26,K$26,$G155=$G$29,K$29,$G155=$G$31,K$31,$G155=$G$34,K$34,$G155=$G$37,K$37,$G155=$G$107,K$107,$G155=$G$110,K$110,$G155=$G$140,K$140,$G155=$G$142,K$142,$G155=$G$408,K$408)</f>
        <v>BG sentinel + BG lure7</v>
      </c>
      <c r="O155" s="13" t="str">
        <f t="shared" si="12"/>
        <v>A_SP_BCN_5_220719</v>
      </c>
      <c r="P155" s="27">
        <v>44761</v>
      </c>
      <c r="Q155" s="29">
        <v>0.79861111111111116</v>
      </c>
      <c r="R155" s="22"/>
      <c r="S155" s="31">
        <v>44769</v>
      </c>
      <c r="T155" s="29">
        <v>0.81944444444444453</v>
      </c>
      <c r="V155" s="13" t="s">
        <v>86</v>
      </c>
      <c r="X155" s="13">
        <f t="shared" si="15"/>
        <v>8</v>
      </c>
      <c r="Z155" s="13" t="s">
        <v>164</v>
      </c>
      <c r="AA155" s="13">
        <f t="shared" si="18"/>
        <v>2</v>
      </c>
      <c r="AB155" s="13" t="str">
        <f t="shared" si="16"/>
        <v>Adult</v>
      </c>
      <c r="AC155" s="13">
        <v>1</v>
      </c>
      <c r="AD155" s="13">
        <v>1</v>
      </c>
      <c r="AE155" s="13" t="str">
        <f t="shared" si="17"/>
        <v>Morphological</v>
      </c>
      <c r="AF155" s="2">
        <v>4</v>
      </c>
    </row>
    <row r="156" spans="1:32" x14ac:dyDescent="0.25">
      <c r="A156" s="13">
        <v>152</v>
      </c>
      <c r="B156" s="23" t="s">
        <v>56</v>
      </c>
      <c r="C156" s="23" t="s">
        <v>57</v>
      </c>
      <c r="D156" s="23" t="s">
        <v>58</v>
      </c>
      <c r="E156" s="23" t="s">
        <v>58</v>
      </c>
      <c r="F156" s="35" cm="1">
        <f t="array" ref="F156">_xlfn.IFS($G156=$G$5,F$5,$G156=$G$7,F$7,$G156=$G$10,F$10,$G156=$G$13,F$13,$G156=$G$14,F$14,$G156=$G$16,F$16,$G156=$G$17,F$17,$G156=$G$19,F$19,$G156=$G$20,F$20,$G156=$G$22,F$22,$G156=$G$23,F$23,$G156=$G$26,F$26,$G156=$G$29,F$29,$G156=$G$31,F$31,$G156=$G$34,F$34,$G156=$G$37,F$37,$G156=$G$107,F$107,$G156=$G$110,F$110,$G156=$G$140,F$140,$G156=$G$142,F$142,$G156=$G$408,F$408)</f>
        <v>8002</v>
      </c>
      <c r="G156" s="13" t="s">
        <v>65</v>
      </c>
      <c r="H156" s="51" cm="1">
        <f t="array" ref="H156">_xlfn.IFS($G156=$G$5,H$5,$G156=$G$7,H$7,$G156=$G$10,H$10,$G156=$G$13,H$13,$G156=$G$14,H$14,$G156=$G$16,H$16,$G156=$G$17,H$17,$G156=$G$19,H$19,$G156=$G$20,H$20,$G156=$G$22,H$22,$G156=$G$23,H$23,$G156=$G$26,H$26,$G156=$G$29,H$29,$G156=$G$31,H$31,$G156=$G$34,H$34,$G156=$G$37,H$37,$G156=$G$107,H$107,$G156=$G$110,H$110,$G156=$G$140,H$140,$G156=$G$142,H$142,$G156=$G$408,H$408)</f>
        <v>41.382339999999999</v>
      </c>
      <c r="I156" s="51" cm="1">
        <f t="array" ref="I156">_xlfn.IFS($G156=$G$5,I$5,$G156=$G$7,I$7,$G156=$G$10,I$10,$G156=$G$13,I$13,$G156=$G$14,I$14,$G156=$G$16,I$16,$G156=$G$17,I$17,$G156=$G$19,I$19,$G156=$G$20,I$20,$G156=$G$22,I$22,$G156=$G$23,I$23,$G156=$G$26,I$26,$G156=$G$29,I$29,$G156=$G$31,I$31,$G156=$G$34,I$34,$G156=$G$37,I$37,$G156=$G$107,I$107,$G156=$G$110,I$110,$G156=$G$140,I$140,$G156=$G$142,I$142,$G156=$G$408,I$408)</f>
        <v>2.1714790000000002</v>
      </c>
      <c r="J156" s="51" cm="1">
        <f t="array" ref="J156">_xlfn.IFS($G156=$G$5,J$5,$G156=$G$7,J$7,$G156=$G$10,J$10,$G156=$G$13,J$13,$G156=$G$14,J$14,$G156=$G$16,J$16,$G156=$G$17,J$17,$G156=$G$19,J$19,$G156=$G$20,J$20,$G156=$G$22,J$22,$G156=$G$23,J$23,$G156=$G$26,J$26,$G156=$G$29,J$29,$G156=$G$31,J$31,$G156=$G$34,J$34,$G156=$G$37,J$37,$G156=$G$107,J$107,$G156=$G$110,J$110,$G156=$G$140,J$140,$G156=$G$142,J$142,$G156=$G$408,J$408)</f>
        <v>19</v>
      </c>
      <c r="K156" s="13" t="str" cm="1">
        <f t="array" ref="K156">_xlfn.IFS($G156=$G$5,K$5,$G156=$G$7,K$7,$G156=$G$10,K$10,$G156=$G$13,K$13,$G156=$G$14,K$14,$G156=$G$16,K$16,$G156=$G$17,K$17,$G156=$G$19,K$19,$G156=$G$20,K$20,$G156=$G$22,K$22,$G156=$G$23,K$23,$G156=$G$26,K$26,$G156=$G$29,K$29,$G156=$G$31,K$31,$G156=$G$34,K$34,$G156=$G$37,K$37,$G156=$G$107,K$107,$G156=$G$110,K$110,$G156=$G$140,K$140,$G156=$G$142,K$142,$G156=$G$408,K$408)</f>
        <v>BG sentinel + BG lure7</v>
      </c>
      <c r="O156" s="13" t="str">
        <f t="shared" si="12"/>
        <v>A_SP_BCN_6_220719</v>
      </c>
      <c r="P156" s="27">
        <v>44761</v>
      </c>
      <c r="Q156" s="29">
        <v>0.84027777777777779</v>
      </c>
      <c r="R156" s="22"/>
      <c r="S156" s="31">
        <v>44769</v>
      </c>
      <c r="T156" s="29">
        <v>0.78125</v>
      </c>
      <c r="V156" s="13" t="s">
        <v>86</v>
      </c>
      <c r="X156" s="13">
        <f t="shared" si="15"/>
        <v>8</v>
      </c>
      <c r="Z156" s="13" t="s">
        <v>164</v>
      </c>
      <c r="AA156" s="13">
        <f t="shared" si="18"/>
        <v>1</v>
      </c>
      <c r="AB156" s="13" t="str">
        <f t="shared" si="16"/>
        <v>Adult</v>
      </c>
      <c r="AC156" s="13">
        <v>1</v>
      </c>
      <c r="AD156" s="13">
        <v>0</v>
      </c>
      <c r="AE156" s="13" t="str">
        <f t="shared" si="17"/>
        <v>Morphological</v>
      </c>
      <c r="AF156" s="2">
        <v>4</v>
      </c>
    </row>
    <row r="157" spans="1:32" x14ac:dyDescent="0.25">
      <c r="A157" s="13">
        <v>153</v>
      </c>
      <c r="B157" s="23" t="s">
        <v>56</v>
      </c>
      <c r="C157" s="23" t="s">
        <v>57</v>
      </c>
      <c r="D157" s="23" t="s">
        <v>58</v>
      </c>
      <c r="E157" s="23" t="s">
        <v>58</v>
      </c>
      <c r="F157" s="35" cm="1">
        <f t="array" ref="F157">_xlfn.IFS($G157=$G$5,F$5,$G157=$G$7,F$7,$G157=$G$10,F$10,$G157=$G$13,F$13,$G157=$G$14,F$14,$G157=$G$16,F$16,$G157=$G$17,F$17,$G157=$G$19,F$19,$G157=$G$20,F$20,$G157=$G$22,F$22,$G157=$G$23,F$23,$G157=$G$26,F$26,$G157=$G$29,F$29,$G157=$G$31,F$31,$G157=$G$34,F$34,$G157=$G$37,F$37,$G157=$G$107,F$107,$G157=$G$110,F$110,$G157=$G$140,F$140,$G157=$G$142,F$142,$G157=$G$408,F$408)</f>
        <v>8040</v>
      </c>
      <c r="G157" s="13" t="s">
        <v>68</v>
      </c>
      <c r="H157" s="51" cm="1">
        <f t="array" ref="H157">_xlfn.IFS($G157=$G$5,H$5,$G157=$G$7,H$7,$G157=$G$10,H$10,$G157=$G$13,H$13,$G157=$G$14,H$14,$G157=$G$16,H$16,$G157=$G$17,H$17,$G157=$G$19,H$19,$G157=$G$20,H$20,$G157=$G$22,H$22,$G157=$G$23,H$23,$G157=$G$26,H$26,$G157=$G$29,H$29,$G157=$G$31,H$31,$G157=$G$34,H$34,$G157=$G$37,H$37,$G157=$G$107,H$107,$G157=$G$110,H$110,$G157=$G$140,H$140,$G157=$G$142,H$142,$G157=$G$408,H$408)</f>
        <v>41.343685000000001</v>
      </c>
      <c r="I157" s="51" cm="1">
        <f t="array" ref="I157">_xlfn.IFS($G157=$G$5,I$5,$G157=$G$7,I$7,$G157=$G$10,I$10,$G157=$G$13,I$13,$G157=$G$14,I$14,$G157=$G$16,I$16,$G157=$G$17,I$17,$G157=$G$19,I$19,$G157=$G$20,I$20,$G157=$G$22,I$22,$G157=$G$23,I$23,$G157=$G$26,I$26,$G157=$G$29,I$29,$G157=$G$31,I$31,$G157=$G$34,I$34,$G157=$G$37,I$37,$G157=$G$107,I$107,$G157=$G$110,I$110,$G157=$G$140,I$140,$G157=$G$142,I$142,$G157=$G$408,I$408)</f>
        <v>2.1441490000000001</v>
      </c>
      <c r="J157" s="51" cm="1">
        <f t="array" ref="J157">_xlfn.IFS($G157=$G$5,J$5,$G157=$G$7,J$7,$G157=$G$10,J$10,$G157=$G$13,J$13,$G157=$G$14,J$14,$G157=$G$16,J$16,$G157=$G$17,J$17,$G157=$G$19,J$19,$G157=$G$20,J$20,$G157=$G$22,J$22,$G157=$G$23,J$23,$G157=$G$26,J$26,$G157=$G$29,J$29,$G157=$G$31,J$31,$G157=$G$34,J$34,$G157=$G$37,J$37,$G157=$G$107,J$107,$G157=$G$110,J$110,$G157=$G$140,J$140,$G157=$G$142,J$142,$G157=$G$408,J$408)</f>
        <v>4</v>
      </c>
      <c r="K157" s="13" t="str" cm="1">
        <f t="array" ref="K157">_xlfn.IFS($G157=$G$5,K$5,$G157=$G$7,K$7,$G157=$G$10,K$10,$G157=$G$13,K$13,$G157=$G$14,K$14,$G157=$G$16,K$16,$G157=$G$17,K$17,$G157=$G$19,K$19,$G157=$G$20,K$20,$G157=$G$22,K$22,$G157=$G$23,K$23,$G157=$G$26,K$26,$G157=$G$29,K$29,$G157=$G$31,K$31,$G157=$G$34,K$34,$G157=$G$37,K$37,$G157=$G$107,K$107,$G157=$G$110,K$110,$G157=$G$140,K$140,$G157=$G$142,K$142,$G157=$G$408,K$408)</f>
        <v>BG sentinel + BG lure7</v>
      </c>
      <c r="O157" s="13" t="str">
        <f t="shared" si="12"/>
        <v>A_SP_BCN_10_220719</v>
      </c>
      <c r="P157" s="27">
        <v>44761</v>
      </c>
      <c r="Q157" s="29">
        <v>0.52083333333333337</v>
      </c>
      <c r="R157" s="22"/>
      <c r="S157" s="31">
        <v>44769</v>
      </c>
      <c r="T157" s="29">
        <v>0.53125</v>
      </c>
      <c r="V157" s="13" t="s">
        <v>86</v>
      </c>
      <c r="X157" s="13">
        <f t="shared" si="15"/>
        <v>8</v>
      </c>
      <c r="Z157" s="13" t="s">
        <v>60</v>
      </c>
      <c r="AA157" s="13">
        <f t="shared" si="18"/>
        <v>20</v>
      </c>
      <c r="AB157" s="13" t="str">
        <f t="shared" si="16"/>
        <v>Adult</v>
      </c>
      <c r="AC157" s="13">
        <v>11</v>
      </c>
      <c r="AD157" s="13">
        <v>9</v>
      </c>
      <c r="AE157" s="13" t="str">
        <f t="shared" si="17"/>
        <v>Morphological</v>
      </c>
      <c r="AF157" s="2">
        <v>4</v>
      </c>
    </row>
    <row r="158" spans="1:32" x14ac:dyDescent="0.25">
      <c r="A158" s="13">
        <v>154</v>
      </c>
      <c r="B158" s="23" t="s">
        <v>56</v>
      </c>
      <c r="C158" s="23" t="s">
        <v>57</v>
      </c>
      <c r="D158" s="23" t="s">
        <v>58</v>
      </c>
      <c r="E158" s="23" t="s">
        <v>58</v>
      </c>
      <c r="F158" s="35" cm="1">
        <f t="array" ref="F158">_xlfn.IFS($G158=$G$5,F$5,$G158=$G$7,F$7,$G158=$G$10,F$10,$G158=$G$13,F$13,$G158=$G$14,F$14,$G158=$G$16,F$16,$G158=$G$17,F$17,$G158=$G$19,F$19,$G158=$G$20,F$20,$G158=$G$22,F$22,$G158=$G$23,F$23,$G158=$G$26,F$26,$G158=$G$29,F$29,$G158=$G$31,F$31,$G158=$G$34,F$34,$G158=$G$37,F$37,$G158=$G$107,F$107,$G158=$G$110,F$110,$G158=$G$140,F$140,$G158=$G$142,F$142,$G158=$G$408,F$408)</f>
        <v>8040</v>
      </c>
      <c r="G158" s="13" t="s">
        <v>68</v>
      </c>
      <c r="H158" s="51" cm="1">
        <f t="array" ref="H158">_xlfn.IFS($G158=$G$5,H$5,$G158=$G$7,H$7,$G158=$G$10,H$10,$G158=$G$13,H$13,$G158=$G$14,H$14,$G158=$G$16,H$16,$G158=$G$17,H$17,$G158=$G$19,H$19,$G158=$G$20,H$20,$G158=$G$22,H$22,$G158=$G$23,H$23,$G158=$G$26,H$26,$G158=$G$29,H$29,$G158=$G$31,H$31,$G158=$G$34,H$34,$G158=$G$37,H$37,$G158=$G$107,H$107,$G158=$G$110,H$110,$G158=$G$140,H$140,$G158=$G$142,H$142,$G158=$G$408,H$408)</f>
        <v>41.343685000000001</v>
      </c>
      <c r="I158" s="51" cm="1">
        <f t="array" ref="I158">_xlfn.IFS($G158=$G$5,I$5,$G158=$G$7,I$7,$G158=$G$10,I$10,$G158=$G$13,I$13,$G158=$G$14,I$14,$G158=$G$16,I$16,$G158=$G$17,I$17,$G158=$G$19,I$19,$G158=$G$20,I$20,$G158=$G$22,I$22,$G158=$G$23,I$23,$G158=$G$26,I$26,$G158=$G$29,I$29,$G158=$G$31,I$31,$G158=$G$34,I$34,$G158=$G$37,I$37,$G158=$G$107,I$107,$G158=$G$110,I$110,$G158=$G$140,I$140,$G158=$G$142,I$142,$G158=$G$408,I$408)</f>
        <v>2.1441490000000001</v>
      </c>
      <c r="J158" s="51" cm="1">
        <f t="array" ref="J158">_xlfn.IFS($G158=$G$5,J$5,$G158=$G$7,J$7,$G158=$G$10,J$10,$G158=$G$13,J$13,$G158=$G$14,J$14,$G158=$G$16,J$16,$G158=$G$17,J$17,$G158=$G$19,J$19,$G158=$G$20,J$20,$G158=$G$22,J$22,$G158=$G$23,J$23,$G158=$G$26,J$26,$G158=$G$29,J$29,$G158=$G$31,J$31,$G158=$G$34,J$34,$G158=$G$37,J$37,$G158=$G$107,J$107,$G158=$G$110,J$110,$G158=$G$140,J$140,$G158=$G$142,J$142,$G158=$G$408,J$408)</f>
        <v>4</v>
      </c>
      <c r="K158" s="13" t="str" cm="1">
        <f t="array" ref="K158">_xlfn.IFS($G158=$G$5,K$5,$G158=$G$7,K$7,$G158=$G$10,K$10,$G158=$G$13,K$13,$G158=$G$14,K$14,$G158=$G$16,K$16,$G158=$G$17,K$17,$G158=$G$19,K$19,$G158=$G$20,K$20,$G158=$G$22,K$22,$G158=$G$23,K$23,$G158=$G$26,K$26,$G158=$G$29,K$29,$G158=$G$31,K$31,$G158=$G$34,K$34,$G158=$G$37,K$37,$G158=$G$107,K$107,$G158=$G$110,K$110,$G158=$G$140,K$140,$G158=$G$142,K$142,$G158=$G$408,K$408)</f>
        <v>BG sentinel + BG lure7</v>
      </c>
      <c r="O158" s="13" t="str">
        <f t="shared" si="12"/>
        <v>A_SP_BCN_10_220719</v>
      </c>
      <c r="P158" s="27">
        <v>44761</v>
      </c>
      <c r="Q158" s="29">
        <v>0.52083333333333337</v>
      </c>
      <c r="R158" s="22"/>
      <c r="S158" s="31">
        <v>44769</v>
      </c>
      <c r="T158" s="29">
        <v>0.53125</v>
      </c>
      <c r="V158" s="13" t="s">
        <v>86</v>
      </c>
      <c r="X158" s="13">
        <f t="shared" si="15"/>
        <v>8</v>
      </c>
      <c r="Z158" s="13" t="s">
        <v>164</v>
      </c>
      <c r="AA158" s="13">
        <f t="shared" si="18"/>
        <v>13</v>
      </c>
      <c r="AB158" s="13" t="str">
        <f t="shared" si="16"/>
        <v>Adult</v>
      </c>
      <c r="AC158" s="13">
        <v>11</v>
      </c>
      <c r="AD158" s="13">
        <v>2</v>
      </c>
      <c r="AE158" s="13" t="str">
        <f t="shared" si="17"/>
        <v>Morphological</v>
      </c>
      <c r="AF158" s="2">
        <v>4</v>
      </c>
    </row>
    <row r="159" spans="1:32" x14ac:dyDescent="0.25">
      <c r="A159" s="13">
        <v>155</v>
      </c>
      <c r="B159" s="23" t="s">
        <v>56</v>
      </c>
      <c r="C159" s="23" t="s">
        <v>57</v>
      </c>
      <c r="D159" s="23" t="s">
        <v>58</v>
      </c>
      <c r="E159" s="23" t="s">
        <v>58</v>
      </c>
      <c r="F159" s="35" cm="1">
        <f t="array" ref="F159">_xlfn.IFS($G159=$G$5,F$5,$G159=$G$7,F$7,$G159=$G$10,F$10,$G159=$G$13,F$13,$G159=$G$14,F$14,$G159=$G$16,F$16,$G159=$G$17,F$17,$G159=$G$19,F$19,$G159=$G$20,F$20,$G159=$G$22,F$22,$G159=$G$23,F$23,$G159=$G$26,F$26,$G159=$G$29,F$29,$G159=$G$31,F$31,$G159=$G$34,F$34,$G159=$G$37,F$37,$G159=$G$107,F$107,$G159=$G$110,F$110,$G159=$G$140,F$140,$G159=$G$142,F$142,$G159=$G$408,F$408)</f>
        <v>8038</v>
      </c>
      <c r="G159" s="13" t="s">
        <v>69</v>
      </c>
      <c r="H159" s="51" cm="1">
        <f t="array" ref="H159">_xlfn.IFS($G159=$G$5,H$5,$G159=$G$7,H$7,$G159=$G$10,H$10,$G159=$G$13,H$13,$G159=$G$14,H$14,$G159=$G$16,H$16,$G159=$G$17,H$17,$G159=$G$19,H$19,$G159=$G$20,H$20,$G159=$G$22,H$22,$G159=$G$23,H$23,$G159=$G$26,H$26,$G159=$G$29,H$29,$G159=$G$31,H$31,$G159=$G$34,H$34,$G159=$G$37,H$37,$G159=$G$107,H$107,$G159=$G$110,H$110,$G159=$G$140,H$140,$G159=$G$142,H$142,$G159=$G$408,H$408)</f>
        <v>41.363377999999997</v>
      </c>
      <c r="I159" s="51" cm="1">
        <f t="array" ref="I159">_xlfn.IFS($G159=$G$5,I$5,$G159=$G$7,I$7,$G159=$G$10,I$10,$G159=$G$13,I$13,$G159=$G$14,I$14,$G159=$G$16,I$16,$G159=$G$17,I$17,$G159=$G$19,I$19,$G159=$G$20,I$20,$G159=$G$22,I$22,$G159=$G$23,I$23,$G159=$G$26,I$26,$G159=$G$29,I$29,$G159=$G$31,I$31,$G159=$G$34,I$34,$G159=$G$37,I$37,$G159=$G$107,I$107,$G159=$G$110,I$110,$G159=$G$140,I$140,$G159=$G$142,I$142,$G159=$G$408,I$408)</f>
        <v>2.164879</v>
      </c>
      <c r="J159" s="51" cm="1">
        <f t="array" ref="J159">_xlfn.IFS($G159=$G$5,J$5,$G159=$G$7,J$7,$G159=$G$10,J$10,$G159=$G$13,J$13,$G159=$G$14,J$14,$G159=$G$16,J$16,$G159=$G$17,J$17,$G159=$G$19,J$19,$G159=$G$20,J$20,$G159=$G$22,J$22,$G159=$G$23,J$23,$G159=$G$26,J$26,$G159=$G$29,J$29,$G159=$G$31,J$31,$G159=$G$34,J$34,$G159=$G$37,J$37,$G159=$G$107,J$107,$G159=$G$110,J$110,$G159=$G$140,J$140,$G159=$G$142,J$142,$G159=$G$408,J$408)</f>
        <v>185</v>
      </c>
      <c r="K159" s="13" t="str" cm="1">
        <f t="array" ref="K159">_xlfn.IFS($G159=$G$5,K$5,$G159=$G$7,K$7,$G159=$G$10,K$10,$G159=$G$13,K$13,$G159=$G$14,K$14,$G159=$G$16,K$16,$G159=$G$17,K$17,$G159=$G$19,K$19,$G159=$G$20,K$20,$G159=$G$22,K$22,$G159=$G$23,K$23,$G159=$G$26,K$26,$G159=$G$29,K$29,$G159=$G$31,K$31,$G159=$G$34,K$34,$G159=$G$37,K$37,$G159=$G$107,K$107,$G159=$G$110,K$110,$G159=$G$140,K$140,$G159=$G$142,K$142,$G159=$G$408,K$408)</f>
        <v>BG sentinel + BG lure7</v>
      </c>
      <c r="O159" s="13" t="str">
        <f t="shared" si="12"/>
        <v>A_SP_BCN_12_220719</v>
      </c>
      <c r="P159" s="27">
        <v>44761</v>
      </c>
      <c r="Q159" s="29">
        <v>0.55902777777777779</v>
      </c>
      <c r="R159" s="22"/>
      <c r="S159" s="31">
        <v>44769</v>
      </c>
      <c r="T159" s="29">
        <v>0.56944444444444442</v>
      </c>
      <c r="V159" s="13" t="s">
        <v>86</v>
      </c>
      <c r="X159" s="13">
        <f t="shared" si="15"/>
        <v>8</v>
      </c>
      <c r="Z159" s="13" t="s">
        <v>60</v>
      </c>
      <c r="AA159" s="13">
        <f t="shared" si="18"/>
        <v>17</v>
      </c>
      <c r="AB159" s="13" t="str">
        <f t="shared" si="16"/>
        <v>Adult</v>
      </c>
      <c r="AC159" s="13">
        <v>14</v>
      </c>
      <c r="AD159" s="13">
        <v>3</v>
      </c>
      <c r="AE159" s="13" t="str">
        <f t="shared" si="17"/>
        <v>Morphological</v>
      </c>
      <c r="AF159" s="2">
        <v>4</v>
      </c>
    </row>
    <row r="160" spans="1:32" x14ac:dyDescent="0.25">
      <c r="A160" s="13">
        <v>156</v>
      </c>
      <c r="B160" s="23" t="s">
        <v>56</v>
      </c>
      <c r="C160" s="23" t="s">
        <v>57</v>
      </c>
      <c r="D160" s="23" t="s">
        <v>58</v>
      </c>
      <c r="E160" s="23" t="s">
        <v>58</v>
      </c>
      <c r="F160" s="35" cm="1">
        <f t="array" ref="F160">_xlfn.IFS($G160=$G$5,F$5,$G160=$G$7,F$7,$G160=$G$10,F$10,$G160=$G$13,F$13,$G160=$G$14,F$14,$G160=$G$16,F$16,$G160=$G$17,F$17,$G160=$G$19,F$19,$G160=$G$20,F$20,$G160=$G$22,F$22,$G160=$G$23,F$23,$G160=$G$26,F$26,$G160=$G$29,F$29,$G160=$G$31,F$31,$G160=$G$34,F$34,$G160=$G$37,F$37,$G160=$G$107,F$107,$G160=$G$110,F$110,$G160=$G$140,F$140,$G160=$G$142,F$142,$G160=$G$408,F$408)</f>
        <v>8038</v>
      </c>
      <c r="G160" s="13" t="s">
        <v>69</v>
      </c>
      <c r="H160" s="51" cm="1">
        <f t="array" ref="H160">_xlfn.IFS($G160=$G$5,H$5,$G160=$G$7,H$7,$G160=$G$10,H$10,$G160=$G$13,H$13,$G160=$G$14,H$14,$G160=$G$16,H$16,$G160=$G$17,H$17,$G160=$G$19,H$19,$G160=$G$20,H$20,$G160=$G$22,H$22,$G160=$G$23,H$23,$G160=$G$26,H$26,$G160=$G$29,H$29,$G160=$G$31,H$31,$G160=$G$34,H$34,$G160=$G$37,H$37,$G160=$G$107,H$107,$G160=$G$110,H$110,$G160=$G$140,H$140,$G160=$G$142,H$142,$G160=$G$408,H$408)</f>
        <v>41.363377999999997</v>
      </c>
      <c r="I160" s="51" cm="1">
        <f t="array" ref="I160">_xlfn.IFS($G160=$G$5,I$5,$G160=$G$7,I$7,$G160=$G$10,I$10,$G160=$G$13,I$13,$G160=$G$14,I$14,$G160=$G$16,I$16,$G160=$G$17,I$17,$G160=$G$19,I$19,$G160=$G$20,I$20,$G160=$G$22,I$22,$G160=$G$23,I$23,$G160=$G$26,I$26,$G160=$G$29,I$29,$G160=$G$31,I$31,$G160=$G$34,I$34,$G160=$G$37,I$37,$G160=$G$107,I$107,$G160=$G$110,I$110,$G160=$G$140,I$140,$G160=$G$142,I$142,$G160=$G$408,I$408)</f>
        <v>2.164879</v>
      </c>
      <c r="J160" s="51" cm="1">
        <f t="array" ref="J160">_xlfn.IFS($G160=$G$5,J$5,$G160=$G$7,J$7,$G160=$G$10,J$10,$G160=$G$13,J$13,$G160=$G$14,J$14,$G160=$G$16,J$16,$G160=$G$17,J$17,$G160=$G$19,J$19,$G160=$G$20,J$20,$G160=$G$22,J$22,$G160=$G$23,J$23,$G160=$G$26,J$26,$G160=$G$29,J$29,$G160=$G$31,J$31,$G160=$G$34,J$34,$G160=$G$37,J$37,$G160=$G$107,J$107,$G160=$G$110,J$110,$G160=$G$140,J$140,$G160=$G$142,J$142,$G160=$G$408,J$408)</f>
        <v>185</v>
      </c>
      <c r="K160" s="13" t="str" cm="1">
        <f t="array" ref="K160">_xlfn.IFS($G160=$G$5,K$5,$G160=$G$7,K$7,$G160=$G$10,K$10,$G160=$G$13,K$13,$G160=$G$14,K$14,$G160=$G$16,K$16,$G160=$G$17,K$17,$G160=$G$19,K$19,$G160=$G$20,K$20,$G160=$G$22,K$22,$G160=$G$23,K$23,$G160=$G$26,K$26,$G160=$G$29,K$29,$G160=$G$31,K$31,$G160=$G$34,K$34,$G160=$G$37,K$37,$G160=$G$107,K$107,$G160=$G$110,K$110,$G160=$G$140,K$140,$G160=$G$142,K$142,$G160=$G$408,K$408)</f>
        <v>BG sentinel + BG lure7</v>
      </c>
      <c r="O160" s="13" t="str">
        <f t="shared" si="12"/>
        <v>A_SP_BCN_12_220719</v>
      </c>
      <c r="P160" s="27">
        <v>44761</v>
      </c>
      <c r="Q160" s="29">
        <v>0.55902777777777779</v>
      </c>
      <c r="R160" s="22"/>
      <c r="S160" s="31">
        <v>44769</v>
      </c>
      <c r="T160" s="29">
        <v>0.56944444444444442</v>
      </c>
      <c r="V160" s="13" t="s">
        <v>86</v>
      </c>
      <c r="X160" s="13">
        <f t="shared" si="15"/>
        <v>8</v>
      </c>
      <c r="Z160" s="13" t="s">
        <v>164</v>
      </c>
      <c r="AA160" s="13">
        <f t="shared" si="18"/>
        <v>70</v>
      </c>
      <c r="AB160" s="13" t="str">
        <f t="shared" si="16"/>
        <v>Adult</v>
      </c>
      <c r="AC160" s="13">
        <v>61</v>
      </c>
      <c r="AD160" s="13">
        <v>9</v>
      </c>
      <c r="AE160" s="13" t="str">
        <f t="shared" si="17"/>
        <v>Morphological</v>
      </c>
      <c r="AF160" s="2">
        <v>4</v>
      </c>
    </row>
    <row r="161" spans="1:32" x14ac:dyDescent="0.25">
      <c r="A161" s="13">
        <v>157</v>
      </c>
      <c r="B161" s="23" t="s">
        <v>56</v>
      </c>
      <c r="C161" s="23" t="s">
        <v>57</v>
      </c>
      <c r="D161" s="23" t="s">
        <v>58</v>
      </c>
      <c r="E161" s="23" t="s">
        <v>58</v>
      </c>
      <c r="F161" s="35" cm="1">
        <f t="array" ref="F161">_xlfn.IFS($G161=$G$5,F$5,$G161=$G$7,F$7,$G161=$G$10,F$10,$G161=$G$13,F$13,$G161=$G$14,F$14,$G161=$G$16,F$16,$G161=$G$17,F$17,$G161=$G$19,F$19,$G161=$G$20,F$20,$G161=$G$22,F$22,$G161=$G$23,F$23,$G161=$G$26,F$26,$G161=$G$29,F$29,$G161=$G$31,F$31,$G161=$G$34,F$34,$G161=$G$37,F$37,$G161=$G$107,F$107,$G161=$G$110,F$110,$G161=$G$140,F$140,$G161=$G$142,F$142,$G161=$G$408,F$408)</f>
        <v>8038</v>
      </c>
      <c r="G161" s="13" t="s">
        <v>69</v>
      </c>
      <c r="H161" s="51" cm="1">
        <f t="array" ref="H161">_xlfn.IFS($G161=$G$5,H$5,$G161=$G$7,H$7,$G161=$G$10,H$10,$G161=$G$13,H$13,$G161=$G$14,H$14,$G161=$G$16,H$16,$G161=$G$17,H$17,$G161=$G$19,H$19,$G161=$G$20,H$20,$G161=$G$22,H$22,$G161=$G$23,H$23,$G161=$G$26,H$26,$G161=$G$29,H$29,$G161=$G$31,H$31,$G161=$G$34,H$34,$G161=$G$37,H$37,$G161=$G$107,H$107,$G161=$G$110,H$110,$G161=$G$140,H$140,$G161=$G$142,H$142,$G161=$G$408,H$408)</f>
        <v>41.363377999999997</v>
      </c>
      <c r="I161" s="51" cm="1">
        <f t="array" ref="I161">_xlfn.IFS($G161=$G$5,I$5,$G161=$G$7,I$7,$G161=$G$10,I$10,$G161=$G$13,I$13,$G161=$G$14,I$14,$G161=$G$16,I$16,$G161=$G$17,I$17,$G161=$G$19,I$19,$G161=$G$20,I$20,$G161=$G$22,I$22,$G161=$G$23,I$23,$G161=$G$26,I$26,$G161=$G$29,I$29,$G161=$G$31,I$31,$G161=$G$34,I$34,$G161=$G$37,I$37,$G161=$G$107,I$107,$G161=$G$110,I$110,$G161=$G$140,I$140,$G161=$G$142,I$142,$G161=$G$408,I$408)</f>
        <v>2.164879</v>
      </c>
      <c r="J161" s="51" cm="1">
        <f t="array" ref="J161">_xlfn.IFS($G161=$G$5,J$5,$G161=$G$7,J$7,$G161=$G$10,J$10,$G161=$G$13,J$13,$G161=$G$14,J$14,$G161=$G$16,J$16,$G161=$G$17,J$17,$G161=$G$19,J$19,$G161=$G$20,J$20,$G161=$G$22,J$22,$G161=$G$23,J$23,$G161=$G$26,J$26,$G161=$G$29,J$29,$G161=$G$31,J$31,$G161=$G$34,J$34,$G161=$G$37,J$37,$G161=$G$107,J$107,$G161=$G$110,J$110,$G161=$G$140,J$140,$G161=$G$142,J$142,$G161=$G$408,J$408)</f>
        <v>185</v>
      </c>
      <c r="K161" s="13" t="str" cm="1">
        <f t="array" ref="K161">_xlfn.IFS($G161=$G$5,K$5,$G161=$G$7,K$7,$G161=$G$10,K$10,$G161=$G$13,K$13,$G161=$G$14,K$14,$G161=$G$16,K$16,$G161=$G$17,K$17,$G161=$G$19,K$19,$G161=$G$20,K$20,$G161=$G$22,K$22,$G161=$G$23,K$23,$G161=$G$26,K$26,$G161=$G$29,K$29,$G161=$G$31,K$31,$G161=$G$34,K$34,$G161=$G$37,K$37,$G161=$G$107,K$107,$G161=$G$110,K$110,$G161=$G$140,K$140,$G161=$G$142,K$142,$G161=$G$408,K$408)</f>
        <v>BG sentinel + BG lure7</v>
      </c>
      <c r="O161" s="13" t="str">
        <f t="shared" si="12"/>
        <v>A_SP_BCN_12_220719</v>
      </c>
      <c r="P161" s="27">
        <v>44761</v>
      </c>
      <c r="Q161" s="29">
        <v>0.55902777777777779</v>
      </c>
      <c r="R161" s="22"/>
      <c r="S161" s="31">
        <v>44769</v>
      </c>
      <c r="T161" s="29">
        <v>0.56944444444444442</v>
      </c>
      <c r="V161" s="13" t="s">
        <v>86</v>
      </c>
      <c r="X161" s="13">
        <f t="shared" si="15"/>
        <v>8</v>
      </c>
      <c r="Z161" s="32" t="s">
        <v>163</v>
      </c>
      <c r="AA161" s="13">
        <f t="shared" si="18"/>
        <v>9</v>
      </c>
      <c r="AB161" s="13" t="str">
        <f t="shared" si="16"/>
        <v>Adult</v>
      </c>
      <c r="AC161" s="13">
        <v>3</v>
      </c>
      <c r="AD161" s="13">
        <v>6</v>
      </c>
      <c r="AE161" s="13" t="str">
        <f t="shared" si="17"/>
        <v>Morphological</v>
      </c>
      <c r="AF161" s="2">
        <v>4</v>
      </c>
    </row>
    <row r="162" spans="1:32" x14ac:dyDescent="0.25">
      <c r="A162" s="13">
        <v>158</v>
      </c>
      <c r="B162" s="23" t="s">
        <v>56</v>
      </c>
      <c r="C162" s="23" t="s">
        <v>57</v>
      </c>
      <c r="D162" s="23" t="s">
        <v>58</v>
      </c>
      <c r="E162" s="23" t="s">
        <v>58</v>
      </c>
      <c r="F162" s="35" cm="1">
        <f t="array" ref="F162">_xlfn.IFS($G162=$G$5,F$5,$G162=$G$7,F$7,$G162=$G$10,F$10,$G162=$G$13,F$13,$G162=$G$14,F$14,$G162=$G$16,F$16,$G162=$G$17,F$17,$G162=$G$19,F$19,$G162=$G$20,F$20,$G162=$G$22,F$22,$G162=$G$23,F$23,$G162=$G$26,F$26,$G162=$G$29,F$29,$G162=$G$31,F$31,$G162=$G$34,F$34,$G162=$G$37,F$37,$G162=$G$107,F$107,$G162=$G$110,F$110,$G162=$G$140,F$140,$G162=$G$142,F$142,$G162=$G$408,F$408)</f>
        <v>8035</v>
      </c>
      <c r="G162" s="13" t="s">
        <v>70</v>
      </c>
      <c r="H162" s="51" cm="1">
        <f t="array" ref="H162">_xlfn.IFS($G162=$G$5,H$5,$G162=$G$7,H$7,$G162=$G$10,H$10,$G162=$G$13,H$13,$G162=$G$14,H$14,$G162=$G$16,H$16,$G162=$G$17,H$17,$G162=$G$19,H$19,$G162=$G$20,H$20,$G162=$G$22,H$22,$G162=$G$23,H$23,$G162=$G$26,H$26,$G162=$G$29,H$29,$G162=$G$31,H$31,$G162=$G$34,H$34,$G162=$G$37,H$37,$G162=$G$107,H$107,$G162=$G$110,H$110,$G162=$G$140,H$140,$G162=$G$142,H$142,$G162=$G$408,H$408)</f>
        <v>41.434472</v>
      </c>
      <c r="I162" s="51" cm="1">
        <f t="array" ref="I162">_xlfn.IFS($G162=$G$5,I$5,$G162=$G$7,I$7,$G162=$G$10,I$10,$G162=$G$13,I$13,$G162=$G$14,I$14,$G162=$G$16,I$16,$G162=$G$17,I$17,$G162=$G$19,I$19,$G162=$G$20,I$20,$G162=$G$22,I$22,$G162=$G$23,I$23,$G162=$G$26,I$26,$G162=$G$29,I$29,$G162=$G$31,I$31,$G162=$G$34,I$34,$G162=$G$37,I$37,$G162=$G$107,I$107,$G162=$G$110,I$110,$G162=$G$140,I$140,$G162=$G$142,I$142,$G162=$G$408,I$408)</f>
        <v>2.1315789999999999</v>
      </c>
      <c r="J162" s="51" cm="1">
        <f t="array" ref="J162">_xlfn.IFS($G162=$G$5,J$5,$G162=$G$7,J$7,$G162=$G$10,J$10,$G162=$G$13,J$13,$G162=$G$14,J$14,$G162=$G$16,J$16,$G162=$G$17,J$17,$G162=$G$19,J$19,$G162=$G$20,J$20,$G162=$G$22,J$22,$G162=$G$23,J$23,$G162=$G$26,J$26,$G162=$G$29,J$29,$G162=$G$31,J$31,$G162=$G$34,J$34,$G162=$G$37,J$37,$G162=$G$107,J$107,$G162=$G$110,J$110,$G162=$G$140,J$140,$G162=$G$142,J$142,$G162=$G$408,J$408)</f>
        <v>365</v>
      </c>
      <c r="K162" s="13" t="str" cm="1">
        <f t="array" ref="K162">_xlfn.IFS($G162=$G$5,K$5,$G162=$G$7,K$7,$G162=$G$10,K$10,$G162=$G$13,K$13,$G162=$G$14,K$14,$G162=$G$16,K$16,$G162=$G$17,K$17,$G162=$G$19,K$19,$G162=$G$20,K$20,$G162=$G$22,K$22,$G162=$G$23,K$23,$G162=$G$26,K$26,$G162=$G$29,K$29,$G162=$G$31,K$31,$G162=$G$34,K$34,$G162=$G$37,K$37,$G162=$G$107,K$107,$G162=$G$110,K$110,$G162=$G$140,K$140,$G162=$G$142,K$142,$G162=$G$408,K$408)</f>
        <v>BG sentinel + BG lure7</v>
      </c>
      <c r="O162" s="13" t="str">
        <f t="shared" si="12"/>
        <v>A_SP_BCN_13_220719</v>
      </c>
      <c r="P162" s="27">
        <v>44761</v>
      </c>
      <c r="Q162" s="29">
        <v>0.63194444444444442</v>
      </c>
      <c r="R162" s="22"/>
      <c r="S162" s="31">
        <v>44769</v>
      </c>
      <c r="T162" s="29">
        <v>0.63888888888888895</v>
      </c>
      <c r="V162" s="13" t="s">
        <v>86</v>
      </c>
      <c r="X162" s="13">
        <f t="shared" si="15"/>
        <v>8</v>
      </c>
      <c r="Z162" s="13" t="s">
        <v>60</v>
      </c>
      <c r="AA162" s="13">
        <f t="shared" si="18"/>
        <v>1</v>
      </c>
      <c r="AB162" s="13" t="str">
        <f t="shared" si="16"/>
        <v>Adult</v>
      </c>
      <c r="AC162" s="13">
        <v>1</v>
      </c>
      <c r="AD162" s="13">
        <v>0</v>
      </c>
      <c r="AE162" s="13" t="str">
        <f t="shared" si="17"/>
        <v>Morphological</v>
      </c>
      <c r="AF162" s="2">
        <v>4</v>
      </c>
    </row>
    <row r="163" spans="1:32" x14ac:dyDescent="0.25">
      <c r="A163" s="13">
        <v>159</v>
      </c>
      <c r="B163" s="23" t="s">
        <v>56</v>
      </c>
      <c r="C163" s="23" t="s">
        <v>57</v>
      </c>
      <c r="D163" s="23" t="s">
        <v>58</v>
      </c>
      <c r="E163" s="23" t="s">
        <v>58</v>
      </c>
      <c r="F163" s="35" cm="1">
        <f t="array" ref="F163">_xlfn.IFS($G163=$G$5,F$5,$G163=$G$7,F$7,$G163=$G$10,F$10,$G163=$G$13,F$13,$G163=$G$14,F$14,$G163=$G$16,F$16,$G163=$G$17,F$17,$G163=$G$19,F$19,$G163=$G$20,F$20,$G163=$G$22,F$22,$G163=$G$23,F$23,$G163=$G$26,F$26,$G163=$G$29,F$29,$G163=$G$31,F$31,$G163=$G$34,F$34,$G163=$G$37,F$37,$G163=$G$107,F$107,$G163=$G$110,F$110,$G163=$G$140,F$140,$G163=$G$142,F$142,$G163=$G$408,F$408)</f>
        <v>8035</v>
      </c>
      <c r="G163" s="13" t="s">
        <v>70</v>
      </c>
      <c r="H163" s="51" cm="1">
        <f t="array" ref="H163">_xlfn.IFS($G163=$G$5,H$5,$G163=$G$7,H$7,$G163=$G$10,H$10,$G163=$G$13,H$13,$G163=$G$14,H$14,$G163=$G$16,H$16,$G163=$G$17,H$17,$G163=$G$19,H$19,$G163=$G$20,H$20,$G163=$G$22,H$22,$G163=$G$23,H$23,$G163=$G$26,H$26,$G163=$G$29,H$29,$G163=$G$31,H$31,$G163=$G$34,H$34,$G163=$G$37,H$37,$G163=$G$107,H$107,$G163=$G$110,H$110,$G163=$G$140,H$140,$G163=$G$142,H$142,$G163=$G$408,H$408)</f>
        <v>41.434472</v>
      </c>
      <c r="I163" s="51" cm="1">
        <f t="array" ref="I163">_xlfn.IFS($G163=$G$5,I$5,$G163=$G$7,I$7,$G163=$G$10,I$10,$G163=$G$13,I$13,$G163=$G$14,I$14,$G163=$G$16,I$16,$G163=$G$17,I$17,$G163=$G$19,I$19,$G163=$G$20,I$20,$G163=$G$22,I$22,$G163=$G$23,I$23,$G163=$G$26,I$26,$G163=$G$29,I$29,$G163=$G$31,I$31,$G163=$G$34,I$34,$G163=$G$37,I$37,$G163=$G$107,I$107,$G163=$G$110,I$110,$G163=$G$140,I$140,$G163=$G$142,I$142,$G163=$G$408,I$408)</f>
        <v>2.1315789999999999</v>
      </c>
      <c r="J163" s="51" cm="1">
        <f t="array" ref="J163">_xlfn.IFS($G163=$G$5,J$5,$G163=$G$7,J$7,$G163=$G$10,J$10,$G163=$G$13,J$13,$G163=$G$14,J$14,$G163=$G$16,J$16,$G163=$G$17,J$17,$G163=$G$19,J$19,$G163=$G$20,J$20,$G163=$G$22,J$22,$G163=$G$23,J$23,$G163=$G$26,J$26,$G163=$G$29,J$29,$G163=$G$31,J$31,$G163=$G$34,J$34,$G163=$G$37,J$37,$G163=$G$107,J$107,$G163=$G$110,J$110,$G163=$G$140,J$140,$G163=$G$142,J$142,$G163=$G$408,J$408)</f>
        <v>365</v>
      </c>
      <c r="K163" s="13" t="str" cm="1">
        <f t="array" ref="K163">_xlfn.IFS($G163=$G$5,K$5,$G163=$G$7,K$7,$G163=$G$10,K$10,$G163=$G$13,K$13,$G163=$G$14,K$14,$G163=$G$16,K$16,$G163=$G$17,K$17,$G163=$G$19,K$19,$G163=$G$20,K$20,$G163=$G$22,K$22,$G163=$G$23,K$23,$G163=$G$26,K$26,$G163=$G$29,K$29,$G163=$G$31,K$31,$G163=$G$34,K$34,$G163=$G$37,K$37,$G163=$G$107,K$107,$G163=$G$110,K$110,$G163=$G$140,K$140,$G163=$G$142,K$142,$G163=$G$408,K$408)</f>
        <v>BG sentinel + BG lure7</v>
      </c>
      <c r="O163" s="13" t="str">
        <f t="shared" si="12"/>
        <v>A_SP_BCN_13_220719</v>
      </c>
      <c r="P163" s="27">
        <v>44761</v>
      </c>
      <c r="Q163" s="29">
        <v>0.63194444444444442</v>
      </c>
      <c r="R163" s="22"/>
      <c r="S163" s="31">
        <v>44769</v>
      </c>
      <c r="T163" s="29">
        <v>0.63888888888888895</v>
      </c>
      <c r="V163" s="13" t="s">
        <v>86</v>
      </c>
      <c r="X163" s="13">
        <f t="shared" si="15"/>
        <v>8</v>
      </c>
      <c r="Z163" s="32" t="s">
        <v>163</v>
      </c>
      <c r="AA163" s="13">
        <f t="shared" si="18"/>
        <v>1</v>
      </c>
      <c r="AB163" s="13" t="str">
        <f t="shared" si="16"/>
        <v>Adult</v>
      </c>
      <c r="AC163" s="13">
        <v>1</v>
      </c>
      <c r="AD163" s="13">
        <v>0</v>
      </c>
      <c r="AE163" s="13" t="str">
        <f t="shared" si="17"/>
        <v>Morphological</v>
      </c>
      <c r="AF163" s="2">
        <v>4</v>
      </c>
    </row>
    <row r="164" spans="1:32" x14ac:dyDescent="0.25">
      <c r="A164" s="13">
        <v>160</v>
      </c>
      <c r="B164" s="23" t="s">
        <v>56</v>
      </c>
      <c r="C164" s="23" t="s">
        <v>57</v>
      </c>
      <c r="D164" s="23" t="s">
        <v>58</v>
      </c>
      <c r="E164" s="23" t="s">
        <v>58</v>
      </c>
      <c r="F164" s="35" cm="1">
        <f t="array" ref="F164">_xlfn.IFS($G164=$G$5,F$5,$G164=$G$7,F$7,$G164=$G$10,F$10,$G164=$G$13,F$13,$G164=$G$14,F$14,$G164=$G$16,F$16,$G164=$G$17,F$17,$G164=$G$19,F$19,$G164=$G$20,F$20,$G164=$G$22,F$22,$G164=$G$23,F$23,$G164=$G$26,F$26,$G164=$G$29,F$29,$G164=$G$31,F$31,$G164=$G$34,F$34,$G164=$G$37,F$37,$G164=$G$107,F$107,$G164=$G$110,F$110,$G164=$G$140,F$140,$G164=$G$142,F$142,$G164=$G$408,F$408)</f>
        <v>8017</v>
      </c>
      <c r="G164" s="13" t="s">
        <v>71</v>
      </c>
      <c r="H164" s="51" cm="1">
        <f t="array" ref="H164">_xlfn.IFS($G164=$G$5,H$5,$G164=$G$7,H$7,$G164=$G$10,H$10,$G164=$G$13,H$13,$G164=$G$14,H$14,$G164=$G$16,H$16,$G164=$G$17,H$17,$G164=$G$19,H$19,$G164=$G$20,H$20,$G164=$G$22,H$22,$G164=$G$23,H$23,$G164=$G$26,H$26,$G164=$G$29,H$29,$G164=$G$31,H$31,$G164=$G$34,H$34,$G164=$G$37,H$37,$G164=$G$107,H$107,$G164=$G$110,H$110,$G164=$G$140,H$140,$G164=$G$142,H$142,$G164=$G$408,H$408)</f>
        <v>41.428533999999999</v>
      </c>
      <c r="I164" s="51" cm="1">
        <f t="array" ref="I164">_xlfn.IFS($G164=$G$5,I$5,$G164=$G$7,I$7,$G164=$G$10,I$10,$G164=$G$13,I$13,$G164=$G$14,I$14,$G164=$G$16,I$16,$G164=$G$17,I$17,$G164=$G$19,I$19,$G164=$G$20,I$20,$G164=$G$22,I$22,$G164=$G$23,I$23,$G164=$G$26,I$26,$G164=$G$29,I$29,$G164=$G$31,I$31,$G164=$G$34,I$34,$G164=$G$37,I$37,$G164=$G$107,I$107,$G164=$G$110,I$110,$G164=$G$140,I$140,$G164=$G$142,I$142,$G164=$G$408,I$408)</f>
        <v>2.090954</v>
      </c>
      <c r="J164" s="51" cm="1">
        <f t="array" ref="J164">_xlfn.IFS($G164=$G$5,J$5,$G164=$G$7,J$7,$G164=$G$10,J$10,$G164=$G$13,J$13,$G164=$G$14,J$14,$G164=$G$16,J$16,$G164=$G$17,J$17,$G164=$G$19,J$19,$G164=$G$20,J$20,$G164=$G$22,J$22,$G164=$G$23,J$23,$G164=$G$26,J$26,$G164=$G$29,J$29,$G164=$G$31,J$31,$G164=$G$34,J$34,$G164=$G$37,J$37,$G164=$G$107,J$107,$G164=$G$110,J$110,$G164=$G$140,J$140,$G164=$G$142,J$142,$G164=$G$408,J$408)</f>
        <v>215</v>
      </c>
      <c r="K164" s="13" t="str" cm="1">
        <f t="array" ref="K164">_xlfn.IFS($G164=$G$5,K$5,$G164=$G$7,K$7,$G164=$G$10,K$10,$G164=$G$13,K$13,$G164=$G$14,K$14,$G164=$G$16,K$16,$G164=$G$17,K$17,$G164=$G$19,K$19,$G164=$G$20,K$20,$G164=$G$22,K$22,$G164=$G$23,K$23,$G164=$G$26,K$26,$G164=$G$29,K$29,$G164=$G$31,K$31,$G164=$G$34,K$34,$G164=$G$37,K$37,$G164=$G$107,K$107,$G164=$G$110,K$110,$G164=$G$140,K$140,$G164=$G$142,K$142,$G164=$G$408,K$408)</f>
        <v>BG sentinel + BG lure7</v>
      </c>
      <c r="O164" s="13" t="str">
        <f t="shared" si="12"/>
        <v>A_SP_BCN_14_220719</v>
      </c>
      <c r="P164" s="27">
        <v>44761</v>
      </c>
      <c r="Q164" s="29">
        <v>0.71527777777777779</v>
      </c>
      <c r="R164" s="22"/>
      <c r="S164" s="31">
        <v>44769</v>
      </c>
      <c r="T164" s="29">
        <v>0.70833333333333337</v>
      </c>
      <c r="V164" s="13" t="s">
        <v>86</v>
      </c>
      <c r="X164" s="13">
        <f t="shared" si="15"/>
        <v>8</v>
      </c>
      <c r="Z164" s="13" t="s">
        <v>60</v>
      </c>
      <c r="AA164" s="13">
        <f t="shared" si="18"/>
        <v>15</v>
      </c>
      <c r="AB164" s="13" t="str">
        <f t="shared" si="16"/>
        <v>Adult</v>
      </c>
      <c r="AC164" s="13">
        <v>13</v>
      </c>
      <c r="AD164" s="13">
        <v>2</v>
      </c>
      <c r="AE164" s="13" t="str">
        <f t="shared" si="17"/>
        <v>Morphological</v>
      </c>
      <c r="AF164" s="2">
        <v>4</v>
      </c>
    </row>
    <row r="165" spans="1:32" x14ac:dyDescent="0.25">
      <c r="A165" s="13">
        <v>161</v>
      </c>
      <c r="B165" s="23" t="s">
        <v>56</v>
      </c>
      <c r="C165" s="23" t="s">
        <v>57</v>
      </c>
      <c r="D165" s="23" t="s">
        <v>58</v>
      </c>
      <c r="E165" s="23" t="s">
        <v>58</v>
      </c>
      <c r="F165" s="35" cm="1">
        <f t="array" ref="F165">_xlfn.IFS($G165=$G$5,F$5,$G165=$G$7,F$7,$G165=$G$10,F$10,$G165=$G$13,F$13,$G165=$G$14,F$14,$G165=$G$16,F$16,$G165=$G$17,F$17,$G165=$G$19,F$19,$G165=$G$20,F$20,$G165=$G$22,F$22,$G165=$G$23,F$23,$G165=$G$26,F$26,$G165=$G$29,F$29,$G165=$G$31,F$31,$G165=$G$34,F$34,$G165=$G$37,F$37,$G165=$G$107,F$107,$G165=$G$110,F$110,$G165=$G$140,F$140,$G165=$G$142,F$142,$G165=$G$408,F$408)</f>
        <v>8017</v>
      </c>
      <c r="G165" s="13" t="s">
        <v>72</v>
      </c>
      <c r="H165" s="51" cm="1">
        <f t="array" ref="H165">_xlfn.IFS($G165=$G$5,H$5,$G165=$G$7,H$7,$G165=$G$10,H$10,$G165=$G$13,H$13,$G165=$G$14,H$14,$G165=$G$16,H$16,$G165=$G$17,H$17,$G165=$G$19,H$19,$G165=$G$20,H$20,$G165=$G$22,H$22,$G165=$G$23,H$23,$G165=$G$26,H$26,$G165=$G$29,H$29,$G165=$G$31,H$31,$G165=$G$34,H$34,$G165=$G$37,H$37,$G165=$G$107,H$107,$G165=$G$110,H$110,$G165=$G$140,H$140,$G165=$G$142,H$142,$G165=$G$408,H$408)</f>
        <v>41.419471000000001</v>
      </c>
      <c r="I165" s="51" cm="1">
        <f t="array" ref="I165">_xlfn.IFS($G165=$G$5,I$5,$G165=$G$7,I$7,$G165=$G$10,I$10,$G165=$G$13,I$13,$G165=$G$14,I$14,$G165=$G$16,I$16,$G165=$G$17,I$17,$G165=$G$19,I$19,$G165=$G$20,I$20,$G165=$G$22,I$22,$G165=$G$23,I$23,$G165=$G$26,I$26,$G165=$G$29,I$29,$G165=$G$31,I$31,$G165=$G$34,I$34,$G165=$G$37,I$37,$G165=$G$107,I$107,$G165=$G$110,I$110,$G165=$G$140,I$140,$G165=$G$142,I$142,$G165=$G$408,I$408)</f>
        <v>2.1010149999999999</v>
      </c>
      <c r="J165" s="51" cm="1">
        <f t="array" ref="J165">_xlfn.IFS($G165=$G$5,J$5,$G165=$G$7,J$7,$G165=$G$10,J$10,$G165=$G$13,J$13,$G165=$G$14,J$14,$G165=$G$16,J$16,$G165=$G$17,J$17,$G165=$G$19,J$19,$G165=$G$20,J$20,$G165=$G$22,J$22,$G165=$G$23,J$23,$G165=$G$26,J$26,$G165=$G$29,J$29,$G165=$G$31,J$31,$G165=$G$34,J$34,$G165=$G$37,J$37,$G165=$G$107,J$107,$G165=$G$110,J$110,$G165=$G$140,J$140,$G165=$G$142,J$142,$G165=$G$408,J$408)</f>
        <v>284</v>
      </c>
      <c r="K165" s="13" t="str" cm="1">
        <f t="array" ref="K165">_xlfn.IFS($G165=$G$5,K$5,$G165=$G$7,K$7,$G165=$G$10,K$10,$G165=$G$13,K$13,$G165=$G$14,K$14,$G165=$G$16,K$16,$G165=$G$17,K$17,$G165=$G$19,K$19,$G165=$G$20,K$20,$G165=$G$22,K$22,$G165=$G$23,K$23,$G165=$G$26,K$26,$G165=$G$29,K$29,$G165=$G$31,K$31,$G165=$G$34,K$34,$G165=$G$37,K$37,$G165=$G$107,K$107,$G165=$G$110,K$110,$G165=$G$140,K$140,$G165=$G$142,K$142,$G165=$G$408,K$408)</f>
        <v>BG sentinel + BG lure7</v>
      </c>
      <c r="O165" s="13" t="str">
        <f t="shared" si="12"/>
        <v>A_SP_BCN_15_220719</v>
      </c>
      <c r="P165" s="27">
        <v>44761</v>
      </c>
      <c r="Q165" s="29">
        <v>0.64236111111111105</v>
      </c>
      <c r="R165" s="22"/>
      <c r="S165" s="31">
        <v>44769</v>
      </c>
      <c r="T165" s="29">
        <v>0.65277777777777779</v>
      </c>
      <c r="V165" s="13" t="s">
        <v>86</v>
      </c>
      <c r="X165" s="13">
        <f t="shared" si="15"/>
        <v>8</v>
      </c>
      <c r="Z165" s="13" t="s">
        <v>60</v>
      </c>
      <c r="AA165" s="13">
        <f t="shared" si="18"/>
        <v>2</v>
      </c>
      <c r="AB165" s="13" t="str">
        <f t="shared" si="16"/>
        <v>Adult</v>
      </c>
      <c r="AC165" s="13">
        <v>2</v>
      </c>
      <c r="AD165" s="13">
        <v>0</v>
      </c>
      <c r="AE165" s="13" t="str">
        <f t="shared" si="17"/>
        <v>Morphological</v>
      </c>
      <c r="AF165" s="2">
        <v>4</v>
      </c>
    </row>
    <row r="166" spans="1:32" x14ac:dyDescent="0.25">
      <c r="A166" s="13">
        <v>162</v>
      </c>
      <c r="B166" s="23" t="s">
        <v>56</v>
      </c>
      <c r="C166" s="23" t="s">
        <v>57</v>
      </c>
      <c r="D166" s="23" t="s">
        <v>58</v>
      </c>
      <c r="E166" s="23" t="s">
        <v>58</v>
      </c>
      <c r="F166" s="35" cm="1">
        <f t="array" ref="F166">_xlfn.IFS($G166=$G$5,F$5,$G166=$G$7,F$7,$G166=$G$10,F$10,$G166=$G$13,F$13,$G166=$G$14,F$14,$G166=$G$16,F$16,$G166=$G$17,F$17,$G166=$G$19,F$19,$G166=$G$20,F$20,$G166=$G$22,F$22,$G166=$G$23,F$23,$G166=$G$26,F$26,$G166=$G$29,F$29,$G166=$G$31,F$31,$G166=$G$34,F$34,$G166=$G$37,F$37,$G166=$G$107,F$107,$G166=$G$110,F$110,$G166=$G$140,F$140,$G166=$G$142,F$142,$G166=$G$408,F$408)</f>
        <v>8017</v>
      </c>
      <c r="G166" s="13" t="s">
        <v>73</v>
      </c>
      <c r="H166" s="51" cm="1">
        <f t="array" ref="H166">_xlfn.IFS($G166=$G$5,H$5,$G166=$G$7,H$7,$G166=$G$10,H$10,$G166=$G$13,H$13,$G166=$G$14,H$14,$G166=$G$16,H$16,$G166=$G$17,H$17,$G166=$G$19,H$19,$G166=$G$20,H$20,$G166=$G$22,H$22,$G166=$G$23,H$23,$G166=$G$26,H$26,$G166=$G$29,H$29,$G166=$G$31,H$31,$G166=$G$34,H$34,$G166=$G$37,H$37,$G166=$G$107,H$107,$G166=$G$110,H$110,$G166=$G$140,H$140,$G166=$G$142,H$142,$G166=$G$408,H$408)</f>
        <v>41.398387</v>
      </c>
      <c r="I166" s="51" cm="1">
        <f t="array" ref="I166">_xlfn.IFS($G166=$G$5,I$5,$G166=$G$7,I$7,$G166=$G$10,I$10,$G166=$G$13,I$13,$G166=$G$14,I$14,$G166=$G$16,I$16,$G166=$G$17,I$17,$G166=$G$19,I$19,$G166=$G$20,I$20,$G166=$G$22,I$22,$G166=$G$23,I$23,$G166=$G$26,I$26,$G166=$G$29,I$29,$G166=$G$31,I$31,$G166=$G$34,I$34,$G166=$G$37,I$37,$G166=$G$107,I$107,$G166=$G$110,I$110,$G166=$G$140,I$140,$G166=$G$142,I$142,$G166=$G$408,I$408)</f>
        <v>2.1244429999999999</v>
      </c>
      <c r="J166" s="51" cm="1">
        <f t="array" ref="J166">_xlfn.IFS($G166=$G$5,J$5,$G166=$G$7,J$7,$G166=$G$10,J$10,$G166=$G$13,J$13,$G166=$G$14,J$14,$G166=$G$16,J$16,$G166=$G$17,J$17,$G166=$G$19,J$19,$G166=$G$20,J$20,$G166=$G$22,J$22,$G166=$G$23,J$23,$G166=$G$26,J$26,$G166=$G$29,J$29,$G166=$G$31,J$31,$G166=$G$34,J$34,$G166=$G$37,J$37,$G166=$G$107,J$107,$G166=$G$110,J$110,$G166=$G$140,J$140,$G166=$G$142,J$142,$G166=$G$408,J$408)</f>
        <v>106</v>
      </c>
      <c r="K166" s="13" t="str" cm="1">
        <f t="array" ref="K166">_xlfn.IFS($G166=$G$5,K$5,$G166=$G$7,K$7,$G166=$G$10,K$10,$G166=$G$13,K$13,$G166=$G$14,K$14,$G166=$G$16,K$16,$G166=$G$17,K$17,$G166=$G$19,K$19,$G166=$G$20,K$20,$G166=$G$22,K$22,$G166=$G$23,K$23,$G166=$G$26,K$26,$G166=$G$29,K$29,$G166=$G$31,K$31,$G166=$G$34,K$34,$G166=$G$37,K$37,$G166=$G$107,K$107,$G166=$G$110,K$110,$G166=$G$140,K$140,$G166=$G$142,K$142,$G166=$G$408,K$408)</f>
        <v>BG sentinel + BG lure7</v>
      </c>
      <c r="O166" s="13" t="str">
        <f t="shared" si="12"/>
        <v>A_SP_BCN_16_220719</v>
      </c>
      <c r="P166" s="27">
        <v>44761</v>
      </c>
      <c r="Q166" s="29">
        <v>0.74305555555555547</v>
      </c>
      <c r="R166" s="22"/>
      <c r="S166" s="31">
        <v>44769</v>
      </c>
      <c r="T166" s="29">
        <v>0.72916666666666663</v>
      </c>
      <c r="V166" s="13" t="s">
        <v>86</v>
      </c>
      <c r="X166" s="13">
        <f t="shared" si="15"/>
        <v>8</v>
      </c>
      <c r="Z166" s="13" t="s">
        <v>60</v>
      </c>
      <c r="AA166" s="13">
        <f t="shared" si="18"/>
        <v>54</v>
      </c>
      <c r="AB166" s="13" t="str">
        <f t="shared" si="16"/>
        <v>Adult</v>
      </c>
      <c r="AC166" s="13">
        <v>38</v>
      </c>
      <c r="AD166" s="13">
        <v>16</v>
      </c>
      <c r="AE166" s="13" t="str">
        <f t="shared" si="17"/>
        <v>Morphological</v>
      </c>
      <c r="AF166" s="2">
        <v>4</v>
      </c>
    </row>
    <row r="167" spans="1:32" x14ac:dyDescent="0.25">
      <c r="A167" s="13">
        <v>163</v>
      </c>
      <c r="B167" s="23" t="s">
        <v>56</v>
      </c>
      <c r="C167" s="23" t="s">
        <v>57</v>
      </c>
      <c r="D167" s="23" t="s">
        <v>58</v>
      </c>
      <c r="E167" s="23" t="s">
        <v>58</v>
      </c>
      <c r="F167" s="35" cm="1">
        <f t="array" ref="F167">_xlfn.IFS($G167=$G$5,F$5,$G167=$G$7,F$7,$G167=$G$10,F$10,$G167=$G$13,F$13,$G167=$G$14,F$14,$G167=$G$16,F$16,$G167=$G$17,F$17,$G167=$G$19,F$19,$G167=$G$20,F$20,$G167=$G$22,F$22,$G167=$G$23,F$23,$G167=$G$26,F$26,$G167=$G$29,F$29,$G167=$G$31,F$31,$G167=$G$34,F$34,$G167=$G$37,F$37,$G167=$G$107,F$107,$G167=$G$110,F$110,$G167=$G$140,F$140,$G167=$G$142,F$142,$G167=$G$408,F$408)</f>
        <v>8017</v>
      </c>
      <c r="G167" s="13" t="s">
        <v>73</v>
      </c>
      <c r="H167" s="51" cm="1">
        <f t="array" ref="H167">_xlfn.IFS($G167=$G$5,H$5,$G167=$G$7,H$7,$G167=$G$10,H$10,$G167=$G$13,H$13,$G167=$G$14,H$14,$G167=$G$16,H$16,$G167=$G$17,H$17,$G167=$G$19,H$19,$G167=$G$20,H$20,$G167=$G$22,H$22,$G167=$G$23,H$23,$G167=$G$26,H$26,$G167=$G$29,H$29,$G167=$G$31,H$31,$G167=$G$34,H$34,$G167=$G$37,H$37,$G167=$G$107,H$107,$G167=$G$110,H$110,$G167=$G$140,H$140,$G167=$G$142,H$142,$G167=$G$408,H$408)</f>
        <v>41.398387</v>
      </c>
      <c r="I167" s="51" cm="1">
        <f t="array" ref="I167">_xlfn.IFS($G167=$G$5,I$5,$G167=$G$7,I$7,$G167=$G$10,I$10,$G167=$G$13,I$13,$G167=$G$14,I$14,$G167=$G$16,I$16,$G167=$G$17,I$17,$G167=$G$19,I$19,$G167=$G$20,I$20,$G167=$G$22,I$22,$G167=$G$23,I$23,$G167=$G$26,I$26,$G167=$G$29,I$29,$G167=$G$31,I$31,$G167=$G$34,I$34,$G167=$G$37,I$37,$G167=$G$107,I$107,$G167=$G$110,I$110,$G167=$G$140,I$140,$G167=$G$142,I$142,$G167=$G$408,I$408)</f>
        <v>2.1244429999999999</v>
      </c>
      <c r="J167" s="51" cm="1">
        <f t="array" ref="J167">_xlfn.IFS($G167=$G$5,J$5,$G167=$G$7,J$7,$G167=$G$10,J$10,$G167=$G$13,J$13,$G167=$G$14,J$14,$G167=$G$16,J$16,$G167=$G$17,J$17,$G167=$G$19,J$19,$G167=$G$20,J$20,$G167=$G$22,J$22,$G167=$G$23,J$23,$G167=$G$26,J$26,$G167=$G$29,J$29,$G167=$G$31,J$31,$G167=$G$34,J$34,$G167=$G$37,J$37,$G167=$G$107,J$107,$G167=$G$110,J$110,$G167=$G$140,J$140,$G167=$G$142,J$142,$G167=$G$408,J$408)</f>
        <v>106</v>
      </c>
      <c r="K167" s="13" t="str" cm="1">
        <f t="array" ref="K167">_xlfn.IFS($G167=$G$5,K$5,$G167=$G$7,K$7,$G167=$G$10,K$10,$G167=$G$13,K$13,$G167=$G$14,K$14,$G167=$G$16,K$16,$G167=$G$17,K$17,$G167=$G$19,K$19,$G167=$G$20,K$20,$G167=$G$22,K$22,$G167=$G$23,K$23,$G167=$G$26,K$26,$G167=$G$29,K$29,$G167=$G$31,K$31,$G167=$G$34,K$34,$G167=$G$37,K$37,$G167=$G$107,K$107,$G167=$G$110,K$110,$G167=$G$140,K$140,$G167=$G$142,K$142,$G167=$G$408,K$408)</f>
        <v>BG sentinel + BG lure7</v>
      </c>
      <c r="O167" s="13" t="str">
        <f t="shared" si="12"/>
        <v>A_SP_BCN_16_220719</v>
      </c>
      <c r="P167" s="27">
        <v>44761</v>
      </c>
      <c r="Q167" s="29">
        <v>0.74305555555555547</v>
      </c>
      <c r="R167" s="22"/>
      <c r="S167" s="31">
        <v>44769</v>
      </c>
      <c r="T167" s="29">
        <v>0.72916666666666663</v>
      </c>
      <c r="V167" s="13" t="s">
        <v>86</v>
      </c>
      <c r="X167" s="13">
        <f t="shared" si="15"/>
        <v>8</v>
      </c>
      <c r="Z167" s="13" t="s">
        <v>164</v>
      </c>
      <c r="AA167" s="13">
        <f t="shared" si="18"/>
        <v>9</v>
      </c>
      <c r="AB167" s="13" t="str">
        <f t="shared" si="16"/>
        <v>Adult</v>
      </c>
      <c r="AC167" s="13">
        <v>9</v>
      </c>
      <c r="AD167" s="13">
        <v>0</v>
      </c>
      <c r="AE167" s="13" t="str">
        <f t="shared" si="17"/>
        <v>Morphological</v>
      </c>
      <c r="AF167" s="2">
        <v>4</v>
      </c>
    </row>
    <row r="168" spans="1:32" x14ac:dyDescent="0.25">
      <c r="A168" s="13">
        <v>164</v>
      </c>
      <c r="B168" s="23" t="s">
        <v>56</v>
      </c>
      <c r="C168" s="23" t="s">
        <v>57</v>
      </c>
      <c r="D168" s="23" t="s">
        <v>58</v>
      </c>
      <c r="E168" s="23" t="s">
        <v>58</v>
      </c>
      <c r="F168" s="35" cm="1">
        <f t="array" ref="F168">_xlfn.IFS($G168=$G$5,F$5,$G168=$G$7,F$7,$G168=$G$10,F$10,$G168=$G$13,F$13,$G168=$G$14,F$14,$G168=$G$16,F$16,$G168=$G$17,F$17,$G168=$G$19,F$19,$G168=$G$20,F$20,$G168=$G$22,F$22,$G168=$G$23,F$23,$G168=$G$26,F$26,$G168=$G$29,F$29,$G168=$G$31,F$31,$G168=$G$34,F$34,$G168=$G$37,F$37,$G168=$G$107,F$107,$G168=$G$110,F$110,$G168=$G$140,F$140,$G168=$G$142,F$142,$G168=$G$408,F$408)</f>
        <v>8017</v>
      </c>
      <c r="G168" s="13" t="s">
        <v>73</v>
      </c>
      <c r="H168" s="51" cm="1">
        <f t="array" ref="H168">_xlfn.IFS($G168=$G$5,H$5,$G168=$G$7,H$7,$G168=$G$10,H$10,$G168=$G$13,H$13,$G168=$G$14,H$14,$G168=$G$16,H$16,$G168=$G$17,H$17,$G168=$G$19,H$19,$G168=$G$20,H$20,$G168=$G$22,H$22,$G168=$G$23,H$23,$G168=$G$26,H$26,$G168=$G$29,H$29,$G168=$G$31,H$31,$G168=$G$34,H$34,$G168=$G$37,H$37,$G168=$G$107,H$107,$G168=$G$110,H$110,$G168=$G$140,H$140,$G168=$G$142,H$142,$G168=$G$408,H$408)</f>
        <v>41.398387</v>
      </c>
      <c r="I168" s="51" cm="1">
        <f t="array" ref="I168">_xlfn.IFS($G168=$G$5,I$5,$G168=$G$7,I$7,$G168=$G$10,I$10,$G168=$G$13,I$13,$G168=$G$14,I$14,$G168=$G$16,I$16,$G168=$G$17,I$17,$G168=$G$19,I$19,$G168=$G$20,I$20,$G168=$G$22,I$22,$G168=$G$23,I$23,$G168=$G$26,I$26,$G168=$G$29,I$29,$G168=$G$31,I$31,$G168=$G$34,I$34,$G168=$G$37,I$37,$G168=$G$107,I$107,$G168=$G$110,I$110,$G168=$G$140,I$140,$G168=$G$142,I$142,$G168=$G$408,I$408)</f>
        <v>2.1244429999999999</v>
      </c>
      <c r="J168" s="51" cm="1">
        <f t="array" ref="J168">_xlfn.IFS($G168=$G$5,J$5,$G168=$G$7,J$7,$G168=$G$10,J$10,$G168=$G$13,J$13,$G168=$G$14,J$14,$G168=$G$16,J$16,$G168=$G$17,J$17,$G168=$G$19,J$19,$G168=$G$20,J$20,$G168=$G$22,J$22,$G168=$G$23,J$23,$G168=$G$26,J$26,$G168=$G$29,J$29,$G168=$G$31,J$31,$G168=$G$34,J$34,$G168=$G$37,J$37,$G168=$G$107,J$107,$G168=$G$110,J$110,$G168=$G$140,J$140,$G168=$G$142,J$142,$G168=$G$408,J$408)</f>
        <v>106</v>
      </c>
      <c r="K168" s="13" t="str" cm="1">
        <f t="array" ref="K168">_xlfn.IFS($G168=$G$5,K$5,$G168=$G$7,K$7,$G168=$G$10,K$10,$G168=$G$13,K$13,$G168=$G$14,K$14,$G168=$G$16,K$16,$G168=$G$17,K$17,$G168=$G$19,K$19,$G168=$G$20,K$20,$G168=$G$22,K$22,$G168=$G$23,K$23,$G168=$G$26,K$26,$G168=$G$29,K$29,$G168=$G$31,K$31,$G168=$G$34,K$34,$G168=$G$37,K$37,$G168=$G$107,K$107,$G168=$G$110,K$110,$G168=$G$140,K$140,$G168=$G$142,K$142,$G168=$G$408,K$408)</f>
        <v>BG sentinel + BG lure7</v>
      </c>
      <c r="O168" s="13" t="str">
        <f t="shared" si="12"/>
        <v>A_SP_BCN_16_220719</v>
      </c>
      <c r="P168" s="27">
        <v>44761</v>
      </c>
      <c r="Q168" s="29">
        <v>0.74305555555555547</v>
      </c>
      <c r="R168" s="22"/>
      <c r="S168" s="31">
        <v>44769</v>
      </c>
      <c r="T168" s="29">
        <v>0.72916666666666663</v>
      </c>
      <c r="V168" s="13" t="s">
        <v>86</v>
      </c>
      <c r="X168" s="13">
        <f t="shared" si="15"/>
        <v>8</v>
      </c>
      <c r="Z168" s="32" t="s">
        <v>163</v>
      </c>
      <c r="AA168" s="13">
        <f t="shared" si="18"/>
        <v>1</v>
      </c>
      <c r="AB168" s="13" t="str">
        <f t="shared" si="16"/>
        <v>Adult</v>
      </c>
      <c r="AC168" s="13">
        <v>0</v>
      </c>
      <c r="AD168" s="13">
        <v>1</v>
      </c>
      <c r="AE168" s="13" t="str">
        <f t="shared" si="17"/>
        <v>Morphological</v>
      </c>
      <c r="AF168" s="2">
        <v>4</v>
      </c>
    </row>
    <row r="169" spans="1:32" x14ac:dyDescent="0.25">
      <c r="A169" s="13">
        <v>165</v>
      </c>
      <c r="B169" s="23" t="s">
        <v>56</v>
      </c>
      <c r="C169" s="23" t="s">
        <v>57</v>
      </c>
      <c r="D169" s="23" t="s">
        <v>58</v>
      </c>
      <c r="E169" s="23" t="s">
        <v>58</v>
      </c>
      <c r="F169" s="35" cm="1">
        <f t="array" ref="F169">_xlfn.IFS($G169=$G$5,F$5,$G169=$G$7,F$7,$G169=$G$10,F$10,$G169=$G$13,F$13,$G169=$G$14,F$14,$G169=$G$16,F$16,$G169=$G$17,F$17,$G169=$G$19,F$19,$G169=$G$20,F$20,$G169=$G$22,F$22,$G169=$G$23,F$23,$G169=$G$26,F$26,$G169=$G$29,F$29,$G169=$G$31,F$31,$G169=$G$34,F$34,$G169=$G$37,F$37,$G169=$G$107,F$107,$G169=$G$110,F$110,$G169=$G$140,F$140,$G169=$G$142,F$142,$G169=$G$408,F$408)</f>
        <v>8023</v>
      </c>
      <c r="G169" s="13" t="s">
        <v>74</v>
      </c>
      <c r="H169" s="51" cm="1">
        <f t="array" ref="H169">_xlfn.IFS($G169=$G$5,H$5,$G169=$G$7,H$7,$G169=$G$10,H$10,$G169=$G$13,H$13,$G169=$G$14,H$14,$G169=$G$16,H$16,$G169=$G$17,H$17,$G169=$G$19,H$19,$G169=$G$20,H$20,$G169=$G$22,H$22,$G169=$G$23,H$23,$G169=$G$26,H$26,$G169=$G$29,H$29,$G169=$G$31,H$31,$G169=$G$34,H$34,$G169=$G$37,H$37,$G169=$G$107,H$107,$G169=$G$110,H$110,$G169=$G$140,H$140,$G169=$G$142,H$142,$G169=$G$408,H$408)</f>
        <v>41.417256000000002</v>
      </c>
      <c r="I169" s="51" cm="1">
        <f t="array" ref="I169">_xlfn.IFS($G169=$G$5,I$5,$G169=$G$7,I$7,$G169=$G$10,I$10,$G169=$G$13,I$13,$G169=$G$14,I$14,$G169=$G$16,I$16,$G169=$G$17,I$17,$G169=$G$19,I$19,$G169=$G$20,I$20,$G169=$G$22,I$22,$G169=$G$23,I$23,$G169=$G$26,I$26,$G169=$G$29,I$29,$G169=$G$31,I$31,$G169=$G$34,I$34,$G169=$G$37,I$37,$G169=$G$107,I$107,$G169=$G$110,I$110,$G169=$G$140,I$140,$G169=$G$142,I$142,$G169=$G$408,I$408)</f>
        <v>2.1455709999999999</v>
      </c>
      <c r="J169" s="51" cm="1">
        <f t="array" ref="J169">_xlfn.IFS($G169=$G$5,J$5,$G169=$G$7,J$7,$G169=$G$10,J$10,$G169=$G$13,J$13,$G169=$G$14,J$14,$G169=$G$16,J$16,$G169=$G$17,J$17,$G169=$G$19,J$19,$G169=$G$20,J$20,$G169=$G$22,J$22,$G169=$G$23,J$23,$G169=$G$26,J$26,$G169=$G$29,J$29,$G169=$G$31,J$31,$G169=$G$34,J$34,$G169=$G$37,J$37,$G169=$G$107,J$107,$G169=$G$110,J$110,$G169=$G$140,J$140,$G169=$G$142,J$142,$G169=$G$408,J$408)</f>
        <v>186</v>
      </c>
      <c r="K169" s="13" t="str" cm="1">
        <f t="array" ref="K169">_xlfn.IFS($G169=$G$5,K$5,$G169=$G$7,K$7,$G169=$G$10,K$10,$G169=$G$13,K$13,$G169=$G$14,K$14,$G169=$G$16,K$16,$G169=$G$17,K$17,$G169=$G$19,K$19,$G169=$G$20,K$20,$G169=$G$22,K$22,$G169=$G$23,K$23,$G169=$G$26,K$26,$G169=$G$29,K$29,$G169=$G$31,K$31,$G169=$G$34,K$34,$G169=$G$37,K$37,$G169=$G$107,K$107,$G169=$G$110,K$110,$G169=$G$140,K$140,$G169=$G$142,K$142,$G169=$G$408,K$408)</f>
        <v>BG sentinel + BG lure7</v>
      </c>
      <c r="O169" s="13" t="str">
        <f t="shared" si="12"/>
        <v>A_SP_BCN_17_220719</v>
      </c>
      <c r="P169" s="27">
        <v>44761</v>
      </c>
      <c r="Q169" s="29">
        <v>0.60763888888888895</v>
      </c>
      <c r="R169" s="22"/>
      <c r="S169" s="27">
        <v>44768</v>
      </c>
      <c r="T169" s="29">
        <v>0.60763888888888895</v>
      </c>
      <c r="V169" s="13" t="s">
        <v>86</v>
      </c>
      <c r="X169" s="13">
        <f t="shared" si="15"/>
        <v>7</v>
      </c>
      <c r="Z169" s="13" t="s">
        <v>164</v>
      </c>
      <c r="AA169" s="13">
        <f t="shared" si="18"/>
        <v>1</v>
      </c>
      <c r="AB169" s="13" t="str">
        <f t="shared" si="16"/>
        <v>Adult</v>
      </c>
      <c r="AC169" s="13">
        <v>1</v>
      </c>
      <c r="AD169" s="13">
        <v>0</v>
      </c>
      <c r="AE169" s="13" t="str">
        <f t="shared" si="17"/>
        <v>Morphological</v>
      </c>
      <c r="AF169" s="2">
        <v>4</v>
      </c>
    </row>
    <row r="170" spans="1:32" x14ac:dyDescent="0.25">
      <c r="A170" s="13">
        <v>166</v>
      </c>
      <c r="B170" s="23" t="s">
        <v>56</v>
      </c>
      <c r="C170" s="23" t="s">
        <v>57</v>
      </c>
      <c r="D170" s="23" t="s">
        <v>58</v>
      </c>
      <c r="E170" s="23" t="s">
        <v>58</v>
      </c>
      <c r="F170" s="35" cm="1">
        <f t="array" ref="F170">_xlfn.IFS($G170=$G$5,F$5,$G170=$G$7,F$7,$G170=$G$10,F$10,$G170=$G$13,F$13,$G170=$G$14,F$14,$G170=$G$16,F$16,$G170=$G$17,F$17,$G170=$G$19,F$19,$G170=$G$20,F$20,$G170=$G$22,F$22,$G170=$G$23,F$23,$G170=$G$26,F$26,$G170=$G$29,F$29,$G170=$G$31,F$31,$G170=$G$34,F$34,$G170=$G$37,F$37,$G170=$G$107,F$107,$G170=$G$110,F$110,$G170=$G$140,F$140,$G170=$G$142,F$142,$G170=$G$408,F$408)</f>
        <v>8031</v>
      </c>
      <c r="G170" s="13" t="s">
        <v>75</v>
      </c>
      <c r="H170" s="51" cm="1">
        <f t="array" ref="H170">_xlfn.IFS($G170=$G$5,H$5,$G170=$G$7,H$7,$G170=$G$10,H$10,$G170=$G$13,H$13,$G170=$G$14,H$14,$G170=$G$16,H$16,$G170=$G$17,H$17,$G170=$G$19,H$19,$G170=$G$20,H$20,$G170=$G$22,H$22,$G170=$G$23,H$23,$G170=$G$26,H$26,$G170=$G$29,H$29,$G170=$G$31,H$31,$G170=$G$34,H$34,$G170=$G$37,H$37,$G170=$G$107,H$107,$G170=$G$110,H$110,$G170=$G$140,H$140,$G170=$G$142,H$142,$G170=$G$408,H$408)</f>
        <v>41.433618000000003</v>
      </c>
      <c r="I170" s="51" cm="1">
        <f t="array" ref="I170">_xlfn.IFS($G170=$G$5,I$5,$G170=$G$7,I$7,$G170=$G$10,I$10,$G170=$G$13,I$13,$G170=$G$14,I$14,$G170=$G$16,I$16,$G170=$G$17,I$17,$G170=$G$19,I$19,$G170=$G$20,I$20,$G170=$G$22,I$22,$G170=$G$23,I$23,$G170=$G$26,I$26,$G170=$G$29,I$29,$G170=$G$31,I$31,$G170=$G$34,I$34,$G170=$G$37,I$37,$G170=$G$107,I$107,$G170=$G$110,I$110,$G170=$G$140,I$140,$G170=$G$142,I$142,$G170=$G$408,I$408)</f>
        <v>2.1677469999999999</v>
      </c>
      <c r="J170" s="51" cm="1">
        <f t="array" ref="J170">_xlfn.IFS($G170=$G$5,J$5,$G170=$G$7,J$7,$G170=$G$10,J$10,$G170=$G$13,J$13,$G170=$G$14,J$14,$G170=$G$16,J$16,$G170=$G$17,J$17,$G170=$G$19,J$19,$G170=$G$20,J$20,$G170=$G$22,J$22,$G170=$G$23,J$23,$G170=$G$26,J$26,$G170=$G$29,J$29,$G170=$G$31,J$31,$G170=$G$34,J$34,$G170=$G$37,J$37,$G170=$G$107,J$107,$G170=$G$110,J$110,$G170=$G$140,J$140,$G170=$G$142,J$142,$G170=$G$408,J$408)</f>
        <v>96.85</v>
      </c>
      <c r="K170" s="13" t="str" cm="1">
        <f t="array" ref="K170">_xlfn.IFS($G170=$G$5,K$5,$G170=$G$7,K$7,$G170=$G$10,K$10,$G170=$G$13,K$13,$G170=$G$14,K$14,$G170=$G$16,K$16,$G170=$G$17,K$17,$G170=$G$19,K$19,$G170=$G$20,K$20,$G170=$G$22,K$22,$G170=$G$23,K$23,$G170=$G$26,K$26,$G170=$G$29,K$29,$G170=$G$31,K$31,$G170=$G$34,K$34,$G170=$G$37,K$37,$G170=$G$107,K$107,$G170=$G$110,K$110,$G170=$G$140,K$140,$G170=$G$142,K$142,$G170=$G$408,K$408)</f>
        <v>BG sentinel + BG lure7</v>
      </c>
      <c r="O170" s="13" t="str">
        <f t="shared" si="12"/>
        <v>A_SP_BCN_18_220719</v>
      </c>
      <c r="P170" s="27">
        <v>44761</v>
      </c>
      <c r="Q170" s="29">
        <v>0.76736111111111116</v>
      </c>
      <c r="R170" s="22"/>
      <c r="S170" s="31">
        <v>44769</v>
      </c>
      <c r="T170" s="29">
        <v>0.85416666666666663</v>
      </c>
      <c r="V170" s="13" t="s">
        <v>86</v>
      </c>
      <c r="X170" s="13">
        <f t="shared" si="15"/>
        <v>8</v>
      </c>
      <c r="Z170" s="13" t="s">
        <v>60</v>
      </c>
      <c r="AA170" s="13">
        <f t="shared" si="18"/>
        <v>3</v>
      </c>
      <c r="AB170" s="13" t="str">
        <f t="shared" si="16"/>
        <v>Adult</v>
      </c>
      <c r="AC170" s="13">
        <v>3</v>
      </c>
      <c r="AD170" s="13">
        <v>0</v>
      </c>
      <c r="AE170" s="13" t="str">
        <f t="shared" si="17"/>
        <v>Morphological</v>
      </c>
      <c r="AF170" s="2">
        <v>4</v>
      </c>
    </row>
    <row r="171" spans="1:32" x14ac:dyDescent="0.25">
      <c r="A171" s="13">
        <v>167</v>
      </c>
      <c r="B171" s="23" t="s">
        <v>56</v>
      </c>
      <c r="C171" s="23" t="s">
        <v>57</v>
      </c>
      <c r="D171" s="23" t="s">
        <v>58</v>
      </c>
      <c r="E171" s="23" t="s">
        <v>58</v>
      </c>
      <c r="F171" s="35" cm="1">
        <f t="array" ref="F171">_xlfn.IFS($G171=$G$5,F$5,$G171=$G$7,F$7,$G171=$G$10,F$10,$G171=$G$13,F$13,$G171=$G$14,F$14,$G171=$G$16,F$16,$G171=$G$17,F$17,$G171=$G$19,F$19,$G171=$G$20,F$20,$G171=$G$22,F$22,$G171=$G$23,F$23,$G171=$G$26,F$26,$G171=$G$29,F$29,$G171=$G$31,F$31,$G171=$G$34,F$34,$G171=$G$37,F$37,$G171=$G$107,F$107,$G171=$G$110,F$110,$G171=$G$140,F$140,$G171=$G$142,F$142,$G171=$G$408,F$408)</f>
        <v>8038</v>
      </c>
      <c r="G171" s="13" t="s">
        <v>76</v>
      </c>
      <c r="H171" s="51" cm="1">
        <f t="array" ref="H171">_xlfn.IFS($G171=$G$5,H$5,$G171=$G$7,H$7,$G171=$G$10,H$10,$G171=$G$13,H$13,$G171=$G$14,H$14,$G171=$G$16,H$16,$G171=$G$17,H$17,$G171=$G$19,H$19,$G171=$G$20,H$20,$G171=$G$22,H$22,$G171=$G$23,H$23,$G171=$G$26,H$26,$G171=$G$29,H$29,$G171=$G$31,H$31,$G171=$G$34,H$34,$G171=$G$37,H$37,$G171=$G$107,H$107,$G171=$G$110,H$110,$G171=$G$140,H$140,$G171=$G$142,H$142,$G171=$G$408,H$408)</f>
        <v>41.359864999999999</v>
      </c>
      <c r="I171" s="51" cm="1">
        <f t="array" ref="I171">_xlfn.IFS($G171=$G$5,I$5,$G171=$G$7,I$7,$G171=$G$10,I$10,$G171=$G$13,I$13,$G171=$G$14,I$14,$G171=$G$16,I$16,$G171=$G$17,I$17,$G171=$G$19,I$19,$G171=$G$20,I$20,$G171=$G$22,I$22,$G171=$G$23,I$23,$G171=$G$26,I$26,$G171=$G$29,I$29,$G171=$G$31,I$31,$G171=$G$34,I$34,$G171=$G$37,I$37,$G171=$G$107,I$107,$G171=$G$110,I$110,$G171=$G$140,I$140,$G171=$G$142,I$142,$G171=$G$408,I$408)</f>
        <v>2.1445430000000001</v>
      </c>
      <c r="J171" s="51" cm="1">
        <f t="array" ref="J171">_xlfn.IFS($G171=$G$5,J$5,$G171=$G$7,J$7,$G171=$G$10,J$10,$G171=$G$13,J$13,$G171=$G$14,J$14,$G171=$G$16,J$16,$G171=$G$17,J$17,$G171=$G$19,J$19,$G171=$G$20,J$20,$G171=$G$22,J$22,$G171=$G$23,J$23,$G171=$G$26,J$26,$G171=$G$29,J$29,$G171=$G$31,J$31,$G171=$G$34,J$34,$G171=$G$37,J$37,$G171=$G$107,J$107,$G171=$G$110,J$110,$G171=$G$140,J$140,$G171=$G$142,J$142,$G171=$G$408,J$408)</f>
        <v>11.4</v>
      </c>
      <c r="K171" s="13" t="str" cm="1">
        <f t="array" ref="K171">_xlfn.IFS($G171=$G$5,K$5,$G171=$G$7,K$7,$G171=$G$10,K$10,$G171=$G$13,K$13,$G171=$G$14,K$14,$G171=$G$16,K$16,$G171=$G$17,K$17,$G171=$G$19,K$19,$G171=$G$20,K$20,$G171=$G$22,K$22,$G171=$G$23,K$23,$G171=$G$26,K$26,$G171=$G$29,K$29,$G171=$G$31,K$31,$G171=$G$34,K$34,$G171=$G$37,K$37,$G171=$G$107,K$107,$G171=$G$110,K$110,$G171=$G$140,K$140,$G171=$G$142,K$142,$G171=$G$408,K$408)</f>
        <v>BG sentinel + BG lure7</v>
      </c>
      <c r="O171" s="13" t="str">
        <f t="shared" si="12"/>
        <v>A_SP_BCN_19_220719</v>
      </c>
      <c r="P171" s="27">
        <v>44761</v>
      </c>
      <c r="Q171" s="29">
        <v>0.53472222222222221</v>
      </c>
      <c r="R171" s="22"/>
      <c r="S171" s="31">
        <v>44769</v>
      </c>
      <c r="T171" s="29">
        <v>0.54861111111111105</v>
      </c>
      <c r="V171" s="13" t="s">
        <v>86</v>
      </c>
      <c r="X171" s="13">
        <f t="shared" si="15"/>
        <v>8</v>
      </c>
      <c r="Z171" s="13" t="s">
        <v>60</v>
      </c>
      <c r="AA171" s="13">
        <f t="shared" si="18"/>
        <v>5</v>
      </c>
      <c r="AB171" s="13" t="str">
        <f t="shared" si="16"/>
        <v>Adult</v>
      </c>
      <c r="AC171" s="13">
        <v>5</v>
      </c>
      <c r="AD171" s="13">
        <v>0</v>
      </c>
      <c r="AE171" s="13" t="str">
        <f t="shared" si="17"/>
        <v>Morphological</v>
      </c>
      <c r="AF171" s="2">
        <v>4</v>
      </c>
    </row>
    <row r="172" spans="1:32" x14ac:dyDescent="0.25">
      <c r="A172" s="13">
        <v>168</v>
      </c>
      <c r="B172" s="23" t="s">
        <v>56</v>
      </c>
      <c r="C172" s="23" t="s">
        <v>57</v>
      </c>
      <c r="D172" s="23" t="s">
        <v>58</v>
      </c>
      <c r="E172" s="23" t="s">
        <v>58</v>
      </c>
      <c r="F172" s="35" cm="1">
        <f t="array" ref="F172">_xlfn.IFS($G172=$G$5,F$5,$G172=$G$7,F$7,$G172=$G$10,F$10,$G172=$G$13,F$13,$G172=$G$14,F$14,$G172=$G$16,F$16,$G172=$G$17,F$17,$G172=$G$19,F$19,$G172=$G$20,F$20,$G172=$G$22,F$22,$G172=$G$23,F$23,$G172=$G$26,F$26,$G172=$G$29,F$29,$G172=$G$31,F$31,$G172=$G$34,F$34,$G172=$G$37,F$37,$G172=$G$107,F$107,$G172=$G$110,F$110,$G172=$G$140,F$140,$G172=$G$142,F$142,$G172=$G$408,F$408)</f>
        <v>8038</v>
      </c>
      <c r="G172" s="13" t="s">
        <v>76</v>
      </c>
      <c r="H172" s="51" cm="1">
        <f t="array" ref="H172">_xlfn.IFS($G172=$G$5,H$5,$G172=$G$7,H$7,$G172=$G$10,H$10,$G172=$G$13,H$13,$G172=$G$14,H$14,$G172=$G$16,H$16,$G172=$G$17,H$17,$G172=$G$19,H$19,$G172=$G$20,H$20,$G172=$G$22,H$22,$G172=$G$23,H$23,$G172=$G$26,H$26,$G172=$G$29,H$29,$G172=$G$31,H$31,$G172=$G$34,H$34,$G172=$G$37,H$37,$G172=$G$107,H$107,$G172=$G$110,H$110,$G172=$G$140,H$140,$G172=$G$142,H$142,$G172=$G$408,H$408)</f>
        <v>41.359864999999999</v>
      </c>
      <c r="I172" s="51" cm="1">
        <f t="array" ref="I172">_xlfn.IFS($G172=$G$5,I$5,$G172=$G$7,I$7,$G172=$G$10,I$10,$G172=$G$13,I$13,$G172=$G$14,I$14,$G172=$G$16,I$16,$G172=$G$17,I$17,$G172=$G$19,I$19,$G172=$G$20,I$20,$G172=$G$22,I$22,$G172=$G$23,I$23,$G172=$G$26,I$26,$G172=$G$29,I$29,$G172=$G$31,I$31,$G172=$G$34,I$34,$G172=$G$37,I$37,$G172=$G$107,I$107,$G172=$G$110,I$110,$G172=$G$140,I$140,$G172=$G$142,I$142,$G172=$G$408,I$408)</f>
        <v>2.1445430000000001</v>
      </c>
      <c r="J172" s="51" cm="1">
        <f t="array" ref="J172">_xlfn.IFS($G172=$G$5,J$5,$G172=$G$7,J$7,$G172=$G$10,J$10,$G172=$G$13,J$13,$G172=$G$14,J$14,$G172=$G$16,J$16,$G172=$G$17,J$17,$G172=$G$19,J$19,$G172=$G$20,J$20,$G172=$G$22,J$22,$G172=$G$23,J$23,$G172=$G$26,J$26,$G172=$G$29,J$29,$G172=$G$31,J$31,$G172=$G$34,J$34,$G172=$G$37,J$37,$G172=$G$107,J$107,$G172=$G$110,J$110,$G172=$G$140,J$140,$G172=$G$142,J$142,$G172=$G$408,J$408)</f>
        <v>11.4</v>
      </c>
      <c r="K172" s="13" t="str" cm="1">
        <f t="array" ref="K172">_xlfn.IFS($G172=$G$5,K$5,$G172=$G$7,K$7,$G172=$G$10,K$10,$G172=$G$13,K$13,$G172=$G$14,K$14,$G172=$G$16,K$16,$G172=$G$17,K$17,$G172=$G$19,K$19,$G172=$G$20,K$20,$G172=$G$22,K$22,$G172=$G$23,K$23,$G172=$G$26,K$26,$G172=$G$29,K$29,$G172=$G$31,K$31,$G172=$G$34,K$34,$G172=$G$37,K$37,$G172=$G$107,K$107,$G172=$G$110,K$110,$G172=$G$140,K$140,$G172=$G$142,K$142,$G172=$G$408,K$408)</f>
        <v>BG sentinel + BG lure7</v>
      </c>
      <c r="O172" s="13" t="str">
        <f t="shared" si="12"/>
        <v>A_SP_BCN_19_220719</v>
      </c>
      <c r="P172" s="27">
        <v>44761</v>
      </c>
      <c r="Q172" s="29">
        <v>0.53472222222222221</v>
      </c>
      <c r="R172" s="22"/>
      <c r="S172" s="31">
        <v>44769</v>
      </c>
      <c r="T172" s="29">
        <v>0.54861111111111105</v>
      </c>
      <c r="V172" s="13" t="s">
        <v>86</v>
      </c>
      <c r="X172" s="13">
        <f t="shared" si="15"/>
        <v>8</v>
      </c>
      <c r="Z172" s="13" t="s">
        <v>164</v>
      </c>
      <c r="AA172" s="13">
        <f t="shared" si="18"/>
        <v>15</v>
      </c>
      <c r="AB172" s="13" t="str">
        <f t="shared" si="16"/>
        <v>Adult</v>
      </c>
      <c r="AC172" s="13">
        <v>15</v>
      </c>
      <c r="AD172" s="13">
        <v>0</v>
      </c>
      <c r="AE172" s="13" t="str">
        <f t="shared" si="17"/>
        <v>Morphological</v>
      </c>
      <c r="AF172" s="2">
        <v>4</v>
      </c>
    </row>
    <row r="173" spans="1:32" x14ac:dyDescent="0.25">
      <c r="A173" s="13">
        <v>169</v>
      </c>
      <c r="B173" s="23" t="s">
        <v>56</v>
      </c>
      <c r="C173" s="23" t="s">
        <v>57</v>
      </c>
      <c r="D173" s="23" t="s">
        <v>58</v>
      </c>
      <c r="E173" s="23" t="s">
        <v>58</v>
      </c>
      <c r="F173" s="35" cm="1">
        <f t="array" ref="F173">_xlfn.IFS($G173=$G$5,F$5,$G173=$G$7,F$7,$G173=$G$10,F$10,$G173=$G$13,F$13,$G173=$G$14,F$14,$G173=$G$16,F$16,$G173=$G$17,F$17,$G173=$G$19,F$19,$G173=$G$20,F$20,$G173=$G$22,F$22,$G173=$G$23,F$23,$G173=$G$26,F$26,$G173=$G$29,F$29,$G173=$G$31,F$31,$G173=$G$34,F$34,$G173=$G$37,F$37,$G173=$G$107,F$107,$G173=$G$110,F$110,$G173=$G$140,F$140,$G173=$G$142,F$142,$G173=$G$408,F$408)</f>
        <v>8017</v>
      </c>
      <c r="G173" s="13" t="s">
        <v>77</v>
      </c>
      <c r="H173" s="51" cm="1">
        <f t="array" ref="H173">_xlfn.IFS($G173=$G$5,H$5,$G173=$G$7,H$7,$G173=$G$10,H$10,$G173=$G$13,H$13,$G173=$G$14,H$14,$G173=$G$16,H$16,$G173=$G$17,H$17,$G173=$G$19,H$19,$G173=$G$20,H$20,$G173=$G$22,H$22,$G173=$G$23,H$23,$G173=$G$26,H$26,$G173=$G$29,H$29,$G173=$G$31,H$31,$G173=$G$34,H$34,$G173=$G$37,H$37,$G173=$G$107,H$107,$G173=$G$110,H$110,$G173=$G$140,H$140,$G173=$G$142,H$142,$G173=$G$408,H$408)</f>
        <v>41.430315999999998</v>
      </c>
      <c r="I173" s="51" cm="1">
        <f t="array" ref="I173">_xlfn.IFS($G173=$G$5,I$5,$G173=$G$7,I$7,$G173=$G$10,I$10,$G173=$G$13,I$13,$G173=$G$14,I$14,$G173=$G$16,I$16,$G173=$G$17,I$17,$G173=$G$19,I$19,$G173=$G$20,I$20,$G173=$G$22,I$22,$G173=$G$23,I$23,$G173=$G$26,I$26,$G173=$G$29,I$29,$G173=$G$31,I$31,$G173=$G$34,I$34,$G173=$G$37,I$37,$G173=$G$107,I$107,$G173=$G$110,I$110,$G173=$G$140,I$140,$G173=$G$142,I$142,$G173=$G$408,I$408)</f>
        <v>2.077556</v>
      </c>
      <c r="J173" s="51" cm="1">
        <f t="array" ref="J173">_xlfn.IFS($G173=$G$5,J$5,$G173=$G$7,J$7,$G173=$G$10,J$10,$G173=$G$13,J$13,$G173=$G$14,J$14,$G173=$G$16,J$16,$G173=$G$17,J$17,$G173=$G$19,J$19,$G173=$G$20,J$20,$G173=$G$22,J$22,$G173=$G$23,J$23,$G173=$G$26,J$26,$G173=$G$29,J$29,$G173=$G$31,J$31,$G173=$G$34,J$34,$G173=$G$37,J$37,$G173=$G$107,J$107,$G173=$G$110,J$110,$G173=$G$140,J$140,$G173=$G$142,J$142,$G173=$G$408,J$408)</f>
        <v>243.3</v>
      </c>
      <c r="K173" s="13" t="str" cm="1">
        <f t="array" ref="K173">_xlfn.IFS($G173=$G$5,K$5,$G173=$G$7,K$7,$G173=$G$10,K$10,$G173=$G$13,K$13,$G173=$G$14,K$14,$G173=$G$16,K$16,$G173=$G$17,K$17,$G173=$G$19,K$19,$G173=$G$20,K$20,$G173=$G$22,K$22,$G173=$G$23,K$23,$G173=$G$26,K$26,$G173=$G$29,K$29,$G173=$G$31,K$31,$G173=$G$34,K$34,$G173=$G$37,K$37,$G173=$G$107,K$107,$G173=$G$110,K$110,$G173=$G$140,K$140,$G173=$G$142,K$142,$G173=$G$408,K$408)</f>
        <v>BG sentinel + BG lure7</v>
      </c>
      <c r="O173" s="13" t="str">
        <f t="shared" si="12"/>
        <v>A_SP_BCN_22_220719</v>
      </c>
      <c r="P173" s="27">
        <v>44761</v>
      </c>
      <c r="Q173" s="29">
        <v>0.69791666666666663</v>
      </c>
      <c r="R173" s="22"/>
      <c r="S173" s="31">
        <v>44769</v>
      </c>
      <c r="T173" s="29">
        <v>0.69444444444444453</v>
      </c>
      <c r="V173" s="13" t="s">
        <v>86</v>
      </c>
      <c r="X173" s="13">
        <f t="shared" si="15"/>
        <v>8</v>
      </c>
      <c r="Z173" s="13" t="s">
        <v>164</v>
      </c>
      <c r="AA173" s="13">
        <f t="shared" si="18"/>
        <v>2</v>
      </c>
      <c r="AB173" s="13" t="str">
        <f t="shared" si="16"/>
        <v>Adult</v>
      </c>
      <c r="AC173" s="13">
        <v>0</v>
      </c>
      <c r="AD173" s="13">
        <v>2</v>
      </c>
      <c r="AE173" s="13" t="str">
        <f t="shared" si="17"/>
        <v>Morphological</v>
      </c>
      <c r="AF173" s="2">
        <v>4</v>
      </c>
    </row>
    <row r="174" spans="1:32" x14ac:dyDescent="0.25">
      <c r="A174" s="13">
        <v>170</v>
      </c>
      <c r="B174" s="23" t="s">
        <v>56</v>
      </c>
      <c r="C174" s="23" t="s">
        <v>57</v>
      </c>
      <c r="D174" s="23" t="s">
        <v>58</v>
      </c>
      <c r="E174" s="23" t="s">
        <v>58</v>
      </c>
      <c r="F174" s="35" cm="1">
        <f t="array" ref="F174">_xlfn.IFS($G174=$G$5,F$5,$G174=$G$7,F$7,$G174=$G$10,F$10,$G174=$G$13,F$13,$G174=$G$14,F$14,$G174=$G$16,F$16,$G174=$G$17,F$17,$G174=$G$19,F$19,$G174=$G$20,F$20,$G174=$G$22,F$22,$G174=$G$23,F$23,$G174=$G$26,F$26,$G174=$G$29,F$29,$G174=$G$31,F$31,$G174=$G$34,F$34,$G174=$G$37,F$37,$G174=$G$107,F$107,$G174=$G$110,F$110,$G174=$G$140,F$140,$G174=$G$142,F$142,$G174=$G$408,F$408)</f>
        <v>8038</v>
      </c>
      <c r="G174" s="13" t="s">
        <v>79</v>
      </c>
      <c r="H174" s="51" cm="1">
        <f t="array" ref="H174">_xlfn.IFS($G174=$G$5,H$5,$G174=$G$7,H$7,$G174=$G$10,H$10,$G174=$G$13,H$13,$G174=$G$14,H$14,$G174=$G$16,H$16,$G174=$G$17,H$17,$G174=$G$19,H$19,$G174=$G$20,H$20,$G174=$G$22,H$22,$G174=$G$23,H$23,$G174=$G$26,H$26,$G174=$G$29,H$29,$G174=$G$31,H$31,$G174=$G$34,H$34,$G174=$G$37,H$37,$G174=$G$107,H$107,$G174=$G$110,H$110,$G174=$G$140,H$140,$G174=$G$142,H$142,$G174=$G$408,H$408)</f>
        <v>41.367100000000001</v>
      </c>
      <c r="I174" s="51" cm="1">
        <f t="array" ref="I174">_xlfn.IFS($G174=$G$5,I$5,$G174=$G$7,I$7,$G174=$G$10,I$10,$G174=$G$13,I$13,$G174=$G$14,I$14,$G174=$G$16,I$16,$G174=$G$17,I$17,$G174=$G$19,I$19,$G174=$G$20,I$20,$G174=$G$22,I$22,$G174=$G$23,I$23,$G174=$G$26,I$26,$G174=$G$29,I$29,$G174=$G$31,I$31,$G174=$G$34,I$34,$G174=$G$37,I$37,$G174=$G$107,I$107,$G174=$G$110,I$110,$G174=$G$140,I$140,$G174=$G$142,I$142,$G174=$G$408,I$408)</f>
        <v>2.1539079999999999</v>
      </c>
      <c r="J174" s="51" cm="1">
        <f t="array" ref="J174">_xlfn.IFS($G174=$G$5,J$5,$G174=$G$7,J$7,$G174=$G$10,J$10,$G174=$G$13,J$13,$G174=$G$14,J$14,$G174=$G$16,J$16,$G174=$G$17,J$17,$G174=$G$19,J$19,$G174=$G$20,J$20,$G174=$G$22,J$22,$G174=$G$23,J$23,$G174=$G$26,J$26,$G174=$G$29,J$29,$G174=$G$31,J$31,$G174=$G$34,J$34,$G174=$G$37,J$37,$G174=$G$107,J$107,$G174=$G$110,J$110,$G174=$G$140,J$140,$G174=$G$142,J$142,$G174=$G$408,J$408)</f>
        <v>68</v>
      </c>
      <c r="K174" s="13" t="str" cm="1">
        <f t="array" ref="K174">_xlfn.IFS($G174=$G$5,K$5,$G174=$G$7,K$7,$G174=$G$10,K$10,$G174=$G$13,K$13,$G174=$G$14,K$14,$G174=$G$16,K$16,$G174=$G$17,K$17,$G174=$G$19,K$19,$G174=$G$20,K$20,$G174=$G$22,K$22,$G174=$G$23,K$23,$G174=$G$26,K$26,$G174=$G$29,K$29,$G174=$G$31,K$31,$G174=$G$34,K$34,$G174=$G$37,K$37,$G174=$G$107,K$107,$G174=$G$110,K$110,$G174=$G$140,K$140,$G174=$G$142,K$142,$G174=$G$408,K$408)</f>
        <v>BG sentinel + BG lure7</v>
      </c>
      <c r="O174" s="13" t="str">
        <f t="shared" si="12"/>
        <v>A_SP_BCN_23_220719</v>
      </c>
      <c r="P174" s="27">
        <v>44761</v>
      </c>
      <c r="Q174" s="29">
        <v>0.54861111111111105</v>
      </c>
      <c r="R174" s="22"/>
      <c r="S174" s="31">
        <v>44769</v>
      </c>
      <c r="T174" s="29">
        <v>0.55902777777777779</v>
      </c>
      <c r="V174" s="13" t="s">
        <v>86</v>
      </c>
      <c r="X174" s="13">
        <f t="shared" si="15"/>
        <v>8</v>
      </c>
      <c r="Z174" s="13" t="s">
        <v>60</v>
      </c>
      <c r="AA174" s="13">
        <f t="shared" si="18"/>
        <v>2</v>
      </c>
      <c r="AB174" s="13" t="str">
        <f t="shared" si="16"/>
        <v>Adult</v>
      </c>
      <c r="AC174" s="13">
        <v>1</v>
      </c>
      <c r="AD174" s="13">
        <v>1</v>
      </c>
      <c r="AE174" s="13" t="str">
        <f t="shared" si="17"/>
        <v>Morphological</v>
      </c>
      <c r="AF174" s="2">
        <v>4</v>
      </c>
    </row>
    <row r="175" spans="1:32" x14ac:dyDescent="0.25">
      <c r="A175" s="13">
        <v>171</v>
      </c>
      <c r="B175" s="23" t="s">
        <v>56</v>
      </c>
      <c r="C175" s="23" t="s">
        <v>57</v>
      </c>
      <c r="D175" s="23" t="s">
        <v>58</v>
      </c>
      <c r="E175" s="23" t="s">
        <v>58</v>
      </c>
      <c r="F175" s="35" cm="1">
        <f t="array" ref="F175">_xlfn.IFS($G175=$G$5,F$5,$G175=$G$7,F$7,$G175=$G$10,F$10,$G175=$G$13,F$13,$G175=$G$14,F$14,$G175=$G$16,F$16,$G175=$G$17,F$17,$G175=$G$19,F$19,$G175=$G$20,F$20,$G175=$G$22,F$22,$G175=$G$23,F$23,$G175=$G$26,F$26,$G175=$G$29,F$29,$G175=$G$31,F$31,$G175=$G$34,F$34,$G175=$G$37,F$37,$G175=$G$107,F$107,$G175=$G$110,F$110,$G175=$G$140,F$140,$G175=$G$142,F$142,$G175=$G$408,F$408)</f>
        <v>8038</v>
      </c>
      <c r="G175" s="13" t="s">
        <v>79</v>
      </c>
      <c r="H175" s="51" cm="1">
        <f t="array" ref="H175">_xlfn.IFS($G175=$G$5,H$5,$G175=$G$7,H$7,$G175=$G$10,H$10,$G175=$G$13,H$13,$G175=$G$14,H$14,$G175=$G$16,H$16,$G175=$G$17,H$17,$G175=$G$19,H$19,$G175=$G$20,H$20,$G175=$G$22,H$22,$G175=$G$23,H$23,$G175=$G$26,H$26,$G175=$G$29,H$29,$G175=$G$31,H$31,$G175=$G$34,H$34,$G175=$G$37,H$37,$G175=$G$107,H$107,$G175=$G$110,H$110,$G175=$G$140,H$140,$G175=$G$142,H$142,$G175=$G$408,H$408)</f>
        <v>41.367100000000001</v>
      </c>
      <c r="I175" s="51" cm="1">
        <f t="array" ref="I175">_xlfn.IFS($G175=$G$5,I$5,$G175=$G$7,I$7,$G175=$G$10,I$10,$G175=$G$13,I$13,$G175=$G$14,I$14,$G175=$G$16,I$16,$G175=$G$17,I$17,$G175=$G$19,I$19,$G175=$G$20,I$20,$G175=$G$22,I$22,$G175=$G$23,I$23,$G175=$G$26,I$26,$G175=$G$29,I$29,$G175=$G$31,I$31,$G175=$G$34,I$34,$G175=$G$37,I$37,$G175=$G$107,I$107,$G175=$G$110,I$110,$G175=$G$140,I$140,$G175=$G$142,I$142,$G175=$G$408,I$408)</f>
        <v>2.1539079999999999</v>
      </c>
      <c r="J175" s="51" cm="1">
        <f t="array" ref="J175">_xlfn.IFS($G175=$G$5,J$5,$G175=$G$7,J$7,$G175=$G$10,J$10,$G175=$G$13,J$13,$G175=$G$14,J$14,$G175=$G$16,J$16,$G175=$G$17,J$17,$G175=$G$19,J$19,$G175=$G$20,J$20,$G175=$G$22,J$22,$G175=$G$23,J$23,$G175=$G$26,J$26,$G175=$G$29,J$29,$G175=$G$31,J$31,$G175=$G$34,J$34,$G175=$G$37,J$37,$G175=$G$107,J$107,$G175=$G$110,J$110,$G175=$G$140,J$140,$G175=$G$142,J$142,$G175=$G$408,J$408)</f>
        <v>68</v>
      </c>
      <c r="K175" s="13" t="str" cm="1">
        <f t="array" ref="K175">_xlfn.IFS($G175=$G$5,K$5,$G175=$G$7,K$7,$G175=$G$10,K$10,$G175=$G$13,K$13,$G175=$G$14,K$14,$G175=$G$16,K$16,$G175=$G$17,K$17,$G175=$G$19,K$19,$G175=$G$20,K$20,$G175=$G$22,K$22,$G175=$G$23,K$23,$G175=$G$26,K$26,$G175=$G$29,K$29,$G175=$G$31,K$31,$G175=$G$34,K$34,$G175=$G$37,K$37,$G175=$G$107,K$107,$G175=$G$110,K$110,$G175=$G$140,K$140,$G175=$G$142,K$142,$G175=$G$408,K$408)</f>
        <v>BG sentinel + BG lure7</v>
      </c>
      <c r="O175" s="13" t="str">
        <f t="shared" si="12"/>
        <v>A_SP_BCN_23_220719</v>
      </c>
      <c r="P175" s="27">
        <v>44761</v>
      </c>
      <c r="Q175" s="29">
        <v>0.54861111111111105</v>
      </c>
      <c r="R175" s="22"/>
      <c r="S175" s="31">
        <v>44769</v>
      </c>
      <c r="T175" s="29">
        <v>0.55902777777777779</v>
      </c>
      <c r="V175" s="13" t="s">
        <v>86</v>
      </c>
      <c r="X175" s="13">
        <f t="shared" si="15"/>
        <v>8</v>
      </c>
      <c r="Z175" s="13" t="s">
        <v>164</v>
      </c>
      <c r="AA175" s="13">
        <f t="shared" si="18"/>
        <v>1</v>
      </c>
      <c r="AB175" s="13" t="str">
        <f t="shared" si="16"/>
        <v>Adult</v>
      </c>
      <c r="AC175" s="13">
        <v>1</v>
      </c>
      <c r="AD175" s="13">
        <v>0</v>
      </c>
      <c r="AE175" s="13" t="str">
        <f t="shared" si="17"/>
        <v>Morphological</v>
      </c>
      <c r="AF175" s="2">
        <v>4</v>
      </c>
    </row>
    <row r="176" spans="1:32" x14ac:dyDescent="0.25">
      <c r="A176" s="13">
        <v>172</v>
      </c>
      <c r="B176" s="23" t="s">
        <v>56</v>
      </c>
      <c r="C176" s="23" t="s">
        <v>57</v>
      </c>
      <c r="D176" s="23" t="s">
        <v>58</v>
      </c>
      <c r="E176" s="23" t="s">
        <v>58</v>
      </c>
      <c r="F176" s="35" cm="1">
        <f t="array" ref="F176">_xlfn.IFS($G176=$G$5,F$5,$G176=$G$7,F$7,$G176=$G$10,F$10,$G176=$G$13,F$13,$G176=$G$14,F$14,$G176=$G$16,F$16,$G176=$G$17,F$17,$G176=$G$19,F$19,$G176=$G$20,F$20,$G176=$G$22,F$22,$G176=$G$23,F$23,$G176=$G$26,F$26,$G176=$G$29,F$29,$G176=$G$31,F$31,$G176=$G$34,F$34,$G176=$G$37,F$37,$G176=$G$107,F$107,$G176=$G$110,F$110,$G176=$G$140,F$140,$G176=$G$142,F$142,$G176=$G$408,F$408)</f>
        <v>8015</v>
      </c>
      <c r="G176" s="13" t="s">
        <v>78</v>
      </c>
      <c r="H176" s="51" cm="1">
        <f t="array" ref="H176">_xlfn.IFS($G176=$G$5,H$5,$G176=$G$7,H$7,$G176=$G$10,H$10,$G176=$G$13,H$13,$G176=$G$14,H$14,$G176=$G$16,H$16,$G176=$G$17,H$17,$G176=$G$19,H$19,$G176=$G$20,H$20,$G176=$G$22,H$22,$G176=$G$23,H$23,$G176=$G$26,H$26,$G176=$G$29,H$29,$G176=$G$31,H$31,$G176=$G$34,H$34,$G176=$G$37,H$37,$G176=$G$107,H$107,$G176=$G$110,H$110,$G176=$G$140,H$140,$G176=$G$142,H$142,$G176=$G$408,H$408)</f>
        <v>41.381725000000003</v>
      </c>
      <c r="I176" s="51" cm="1">
        <f t="array" ref="I176">_xlfn.IFS($G176=$G$5,I$5,$G176=$G$7,I$7,$G176=$G$10,I$10,$G176=$G$13,I$13,$G176=$G$14,I$14,$G176=$G$16,I$16,$G176=$G$17,I$17,$G176=$G$19,I$19,$G176=$G$20,I$20,$G176=$G$22,I$22,$G176=$G$23,I$23,$G176=$G$26,I$26,$G176=$G$29,I$29,$G176=$G$31,I$31,$G176=$G$34,I$34,$G176=$G$37,I$37,$G176=$G$107,I$107,$G176=$G$110,I$110,$G176=$G$140,I$140,$G176=$G$142,I$142,$G176=$G$408,I$408)</f>
        <v>2.1543679999999998</v>
      </c>
      <c r="J176" s="51" cm="1">
        <f t="array" ref="J176">_xlfn.IFS($G176=$G$5,J$5,$G176=$G$7,J$7,$G176=$G$10,J$10,$G176=$G$13,J$13,$G176=$G$14,J$14,$G176=$G$16,J$16,$G176=$G$17,J$17,$G176=$G$19,J$19,$G176=$G$20,J$20,$G176=$G$22,J$22,$G176=$G$23,J$23,$G176=$G$26,J$26,$G176=$G$29,J$29,$G176=$G$31,J$31,$G176=$G$34,J$34,$G176=$G$37,J$37,$G176=$G$107,J$107,$G176=$G$110,J$110,$G176=$G$140,J$140,$G176=$G$142,J$142,$G176=$G$408,J$408)</f>
        <v>20.7</v>
      </c>
      <c r="K176" s="13" t="str" cm="1">
        <f t="array" ref="K176">_xlfn.IFS($G176=$G$5,K$5,$G176=$G$7,K$7,$G176=$G$10,K$10,$G176=$G$13,K$13,$G176=$G$14,K$14,$G176=$G$16,K$16,$G176=$G$17,K$17,$G176=$G$19,K$19,$G176=$G$20,K$20,$G176=$G$22,K$22,$G176=$G$23,K$23,$G176=$G$26,K$26,$G176=$G$29,K$29,$G176=$G$31,K$31,$G176=$G$34,K$34,$G176=$G$37,K$37,$G176=$G$107,K$107,$G176=$G$110,K$110,$G176=$G$140,K$140,$G176=$G$142,K$142,$G176=$G$408,K$408)</f>
        <v>BG sentinel + BG lure7</v>
      </c>
      <c r="O176" s="13" t="str">
        <f t="shared" si="12"/>
        <v>A_SP_BCN_24_220719</v>
      </c>
      <c r="P176" s="27">
        <v>44761</v>
      </c>
      <c r="Q176" s="29">
        <v>0.86111111111111116</v>
      </c>
      <c r="R176" s="22"/>
      <c r="S176" s="31">
        <v>44769</v>
      </c>
      <c r="T176" s="29">
        <v>0.89583333333333337</v>
      </c>
      <c r="V176" s="13" t="s">
        <v>86</v>
      </c>
      <c r="X176" s="13">
        <f t="shared" si="15"/>
        <v>8</v>
      </c>
      <c r="Z176" s="13" t="s">
        <v>60</v>
      </c>
      <c r="AA176" s="13">
        <f t="shared" si="18"/>
        <v>8</v>
      </c>
      <c r="AB176" s="13" t="str">
        <f t="shared" si="16"/>
        <v>Adult</v>
      </c>
      <c r="AC176" s="13">
        <v>5</v>
      </c>
      <c r="AD176" s="13">
        <v>3</v>
      </c>
      <c r="AE176" s="13" t="str">
        <f t="shared" si="17"/>
        <v>Morphological</v>
      </c>
      <c r="AF176" s="2">
        <v>4</v>
      </c>
    </row>
    <row r="177" spans="1:32" x14ac:dyDescent="0.25">
      <c r="A177" s="13">
        <v>173</v>
      </c>
      <c r="B177" s="23" t="s">
        <v>56</v>
      </c>
      <c r="C177" s="23" t="s">
        <v>57</v>
      </c>
      <c r="D177" s="23" t="s">
        <v>58</v>
      </c>
      <c r="E177" s="23" t="s">
        <v>58</v>
      </c>
      <c r="F177" s="35" cm="1">
        <f t="array" ref="F177">_xlfn.IFS($G177=$G$5,F$5,$G177=$G$7,F$7,$G177=$G$10,F$10,$G177=$G$13,F$13,$G177=$G$14,F$14,$G177=$G$16,F$16,$G177=$G$17,F$17,$G177=$G$19,F$19,$G177=$G$20,F$20,$G177=$G$22,F$22,$G177=$G$23,F$23,$G177=$G$26,F$26,$G177=$G$29,F$29,$G177=$G$31,F$31,$G177=$G$34,F$34,$G177=$G$37,F$37,$G177=$G$107,F$107,$G177=$G$110,F$110,$G177=$G$140,F$140,$G177=$G$142,F$142,$G177=$G$408,F$408)</f>
        <v>8015</v>
      </c>
      <c r="G177" s="13" t="s">
        <v>78</v>
      </c>
      <c r="H177" s="51" cm="1">
        <f t="array" ref="H177">_xlfn.IFS($G177=$G$5,H$5,$G177=$G$7,H$7,$G177=$G$10,H$10,$G177=$G$13,H$13,$G177=$G$14,H$14,$G177=$G$16,H$16,$G177=$G$17,H$17,$G177=$G$19,H$19,$G177=$G$20,H$20,$G177=$G$22,H$22,$G177=$G$23,H$23,$G177=$G$26,H$26,$G177=$G$29,H$29,$G177=$G$31,H$31,$G177=$G$34,H$34,$G177=$G$37,H$37,$G177=$G$107,H$107,$G177=$G$110,H$110,$G177=$G$140,H$140,$G177=$G$142,H$142,$G177=$G$408,H$408)</f>
        <v>41.381725000000003</v>
      </c>
      <c r="I177" s="51" cm="1">
        <f t="array" ref="I177">_xlfn.IFS($G177=$G$5,I$5,$G177=$G$7,I$7,$G177=$G$10,I$10,$G177=$G$13,I$13,$G177=$G$14,I$14,$G177=$G$16,I$16,$G177=$G$17,I$17,$G177=$G$19,I$19,$G177=$G$20,I$20,$G177=$G$22,I$22,$G177=$G$23,I$23,$G177=$G$26,I$26,$G177=$G$29,I$29,$G177=$G$31,I$31,$G177=$G$34,I$34,$G177=$G$37,I$37,$G177=$G$107,I$107,$G177=$G$110,I$110,$G177=$G$140,I$140,$G177=$G$142,I$142,$G177=$G$408,I$408)</f>
        <v>2.1543679999999998</v>
      </c>
      <c r="J177" s="51" cm="1">
        <f t="array" ref="J177">_xlfn.IFS($G177=$G$5,J$5,$G177=$G$7,J$7,$G177=$G$10,J$10,$G177=$G$13,J$13,$G177=$G$14,J$14,$G177=$G$16,J$16,$G177=$G$17,J$17,$G177=$G$19,J$19,$G177=$G$20,J$20,$G177=$G$22,J$22,$G177=$G$23,J$23,$G177=$G$26,J$26,$G177=$G$29,J$29,$G177=$G$31,J$31,$G177=$G$34,J$34,$G177=$G$37,J$37,$G177=$G$107,J$107,$G177=$G$110,J$110,$G177=$G$140,J$140,$G177=$G$142,J$142,$G177=$G$408,J$408)</f>
        <v>20.7</v>
      </c>
      <c r="K177" s="13" t="str" cm="1">
        <f t="array" ref="K177">_xlfn.IFS($G177=$G$5,K$5,$G177=$G$7,K$7,$G177=$G$10,K$10,$G177=$G$13,K$13,$G177=$G$14,K$14,$G177=$G$16,K$16,$G177=$G$17,K$17,$G177=$G$19,K$19,$G177=$G$20,K$20,$G177=$G$22,K$22,$G177=$G$23,K$23,$G177=$G$26,K$26,$G177=$G$29,K$29,$G177=$G$31,K$31,$G177=$G$34,K$34,$G177=$G$37,K$37,$G177=$G$107,K$107,$G177=$G$110,K$110,$G177=$G$140,K$140,$G177=$G$142,K$142,$G177=$G$408,K$408)</f>
        <v>BG sentinel + BG lure7</v>
      </c>
      <c r="O177" s="13" t="str">
        <f t="shared" si="12"/>
        <v>A_SP_BCN_24_220719</v>
      </c>
      <c r="P177" s="27">
        <v>44761</v>
      </c>
      <c r="Q177" s="29">
        <v>0.86111111111111116</v>
      </c>
      <c r="R177" s="22"/>
      <c r="S177" s="31">
        <v>44769</v>
      </c>
      <c r="T177" s="29">
        <v>0.89583333333333337</v>
      </c>
      <c r="V177" s="13" t="s">
        <v>86</v>
      </c>
      <c r="X177" s="13">
        <f t="shared" si="15"/>
        <v>8</v>
      </c>
      <c r="Z177" s="13" t="s">
        <v>164</v>
      </c>
      <c r="AA177" s="13">
        <f t="shared" si="18"/>
        <v>2</v>
      </c>
      <c r="AB177" s="13" t="str">
        <f t="shared" si="16"/>
        <v>Adult</v>
      </c>
      <c r="AC177" s="13">
        <v>1</v>
      </c>
      <c r="AD177" s="13">
        <v>1</v>
      </c>
      <c r="AE177" s="13" t="str">
        <f t="shared" si="17"/>
        <v>Morphological</v>
      </c>
      <c r="AF177" s="2">
        <v>4</v>
      </c>
    </row>
    <row r="178" spans="1:32" x14ac:dyDescent="0.25">
      <c r="A178" s="13">
        <v>174</v>
      </c>
      <c r="B178" s="23" t="s">
        <v>56</v>
      </c>
      <c r="C178" s="23" t="s">
        <v>57</v>
      </c>
      <c r="D178" s="23" t="s">
        <v>58</v>
      </c>
      <c r="E178" s="23" t="s">
        <v>58</v>
      </c>
      <c r="F178" s="35" cm="1">
        <f t="array" ref="F178">_xlfn.IFS($G178=$G$5,F$5,$G178=$G$7,F$7,$G178=$G$10,F$10,$G178=$G$13,F$13,$G178=$G$14,F$14,$G178=$G$16,F$16,$G178=$G$17,F$17,$G178=$G$19,F$19,$G178=$G$20,F$20,$G178=$G$22,F$22,$G178=$G$23,F$23,$G178=$G$26,F$26,$G178=$G$29,F$29,$G178=$G$31,F$31,$G178=$G$34,F$34,$G178=$G$37,F$37,$G178=$G$107,F$107,$G178=$G$110,F$110,$G178=$G$140,F$140,$G178=$G$142,F$142,$G178=$G$408,F$408)</f>
        <v>8025</v>
      </c>
      <c r="G178" s="13" t="s">
        <v>122</v>
      </c>
      <c r="H178" s="51" cm="1">
        <f t="array" ref="H178">_xlfn.IFS($G178=$G$5,H$5,$G178=$G$7,H$7,$G178=$G$10,H$10,$G178=$G$13,H$13,$G178=$G$14,H$14,$G178=$G$16,H$16,$G178=$G$17,H$17,$G178=$G$19,H$19,$G178=$G$20,H$20,$G178=$G$22,H$22,$G178=$G$23,H$23,$G178=$G$26,H$26,$G178=$G$29,H$29,$G178=$G$31,H$31,$G178=$G$34,H$34,$G178=$G$37,H$37,$G178=$G$107,H$107,$G178=$G$110,H$110,$G178=$G$140,H$140,$G178=$G$142,H$142,$G178=$G$408,H$408)</f>
        <v>41.407992</v>
      </c>
      <c r="I178" s="51" cm="1">
        <f t="array" ref="I178">_xlfn.IFS($G178=$G$5,I$5,$G178=$G$7,I$7,$G178=$G$10,I$10,$G178=$G$13,I$13,$G178=$G$14,I$14,$G178=$G$16,I$16,$G178=$G$17,I$17,$G178=$G$19,I$19,$G178=$G$20,I$20,$G178=$G$22,I$22,$G178=$G$23,I$23,$G178=$G$26,I$26,$G178=$G$29,I$29,$G178=$G$31,I$31,$G178=$G$34,I$34,$G178=$G$37,I$37,$G178=$G$107,I$107,$G178=$G$110,I$110,$G178=$G$140,I$140,$G178=$G$142,I$142,$G178=$G$408,I$408)</f>
        <v>2.1679379999999999</v>
      </c>
      <c r="J178" s="51" cm="1">
        <f t="array" ref="J178">_xlfn.IFS($G178=$G$5,J$5,$G178=$G$7,J$7,$G178=$G$10,J$10,$G178=$G$13,J$13,$G178=$G$14,J$14,$G178=$G$16,J$16,$G178=$G$17,J$17,$G178=$G$19,J$19,$G178=$G$20,J$20,$G178=$G$22,J$22,$G178=$G$23,J$23,$G178=$G$26,J$26,$G178=$G$29,J$29,$G178=$G$31,J$31,$G178=$G$34,J$34,$G178=$G$37,J$37,$G178=$G$107,J$107,$G178=$G$110,J$110,$G178=$G$140,J$140,$G178=$G$142,J$142,$G178=$G$408,J$408)</f>
        <v>61</v>
      </c>
      <c r="K178" s="13" t="str" cm="1">
        <f t="array" ref="K178">_xlfn.IFS($G178=$G$5,K$5,$G178=$G$7,K$7,$G178=$G$10,K$10,$G178=$G$13,K$13,$G178=$G$14,K$14,$G178=$G$16,K$16,$G178=$G$17,K$17,$G178=$G$19,K$19,$G178=$G$20,K$20,$G178=$G$22,K$22,$G178=$G$23,K$23,$G178=$G$26,K$26,$G178=$G$29,K$29,$G178=$G$31,K$31,$G178=$G$34,K$34,$G178=$G$37,K$37,$G178=$G$107,K$107,$G178=$G$110,K$110,$G178=$G$140,K$140,$G178=$G$142,K$142,$G178=$G$408,K$408)</f>
        <v>BG sentinel</v>
      </c>
      <c r="O178" s="13" t="str">
        <f t="shared" si="12"/>
        <v>A_SP_BCN_25_220720</v>
      </c>
      <c r="P178" s="27">
        <v>44762</v>
      </c>
      <c r="Q178" s="29">
        <v>0.5</v>
      </c>
      <c r="R178" s="22"/>
      <c r="S178" s="27">
        <v>44769</v>
      </c>
      <c r="T178" s="29">
        <v>0.60069444444444442</v>
      </c>
      <c r="V178" s="13" t="s">
        <v>86</v>
      </c>
      <c r="X178" s="13">
        <f t="shared" si="15"/>
        <v>7</v>
      </c>
      <c r="Z178" s="13" t="s">
        <v>60</v>
      </c>
      <c r="AA178" s="13">
        <f t="shared" si="18"/>
        <v>9</v>
      </c>
      <c r="AB178" s="13" t="str">
        <f t="shared" si="16"/>
        <v>Adult</v>
      </c>
      <c r="AC178" s="13">
        <v>5</v>
      </c>
      <c r="AD178" s="13">
        <v>4</v>
      </c>
      <c r="AE178" s="13" t="str">
        <f t="shared" si="17"/>
        <v>Morphological</v>
      </c>
      <c r="AF178" s="2">
        <v>4</v>
      </c>
    </row>
    <row r="179" spans="1:32" x14ac:dyDescent="0.25">
      <c r="A179" s="13">
        <v>175</v>
      </c>
      <c r="B179" s="23" t="s">
        <v>56</v>
      </c>
      <c r="C179" s="23" t="s">
        <v>57</v>
      </c>
      <c r="D179" s="23" t="s">
        <v>58</v>
      </c>
      <c r="E179" s="23" t="s">
        <v>58</v>
      </c>
      <c r="F179" s="35" cm="1">
        <f t="array" ref="F179">_xlfn.IFS($G179=$G$5,F$5,$G179=$G$7,F$7,$G179=$G$10,F$10,$G179=$G$13,F$13,$G179=$G$14,F$14,$G179=$G$16,F$16,$G179=$G$17,F$17,$G179=$G$19,F$19,$G179=$G$20,F$20,$G179=$G$22,F$22,$G179=$G$23,F$23,$G179=$G$26,F$26,$G179=$G$29,F$29,$G179=$G$31,F$31,$G179=$G$34,F$34,$G179=$G$37,F$37,$G179=$G$107,F$107,$G179=$G$110,F$110,$G179=$G$140,F$140,$G179=$G$142,F$142,$G179=$G$408,F$408)</f>
        <v>8025</v>
      </c>
      <c r="G179" s="13" t="s">
        <v>122</v>
      </c>
      <c r="H179" s="51" cm="1">
        <f t="array" ref="H179">_xlfn.IFS($G179=$G$5,H$5,$G179=$G$7,H$7,$G179=$G$10,H$10,$G179=$G$13,H$13,$G179=$G$14,H$14,$G179=$G$16,H$16,$G179=$G$17,H$17,$G179=$G$19,H$19,$G179=$G$20,H$20,$G179=$G$22,H$22,$G179=$G$23,H$23,$G179=$G$26,H$26,$G179=$G$29,H$29,$G179=$G$31,H$31,$G179=$G$34,H$34,$G179=$G$37,H$37,$G179=$G$107,H$107,$G179=$G$110,H$110,$G179=$G$140,H$140,$G179=$G$142,H$142,$G179=$G$408,H$408)</f>
        <v>41.407992</v>
      </c>
      <c r="I179" s="51" cm="1">
        <f t="array" ref="I179">_xlfn.IFS($G179=$G$5,I$5,$G179=$G$7,I$7,$G179=$G$10,I$10,$G179=$G$13,I$13,$G179=$G$14,I$14,$G179=$G$16,I$16,$G179=$G$17,I$17,$G179=$G$19,I$19,$G179=$G$20,I$20,$G179=$G$22,I$22,$G179=$G$23,I$23,$G179=$G$26,I$26,$G179=$G$29,I$29,$G179=$G$31,I$31,$G179=$G$34,I$34,$G179=$G$37,I$37,$G179=$G$107,I$107,$G179=$G$110,I$110,$G179=$G$140,I$140,$G179=$G$142,I$142,$G179=$G$408,I$408)</f>
        <v>2.1679379999999999</v>
      </c>
      <c r="J179" s="51" cm="1">
        <f t="array" ref="J179">_xlfn.IFS($G179=$G$5,J$5,$G179=$G$7,J$7,$G179=$G$10,J$10,$G179=$G$13,J$13,$G179=$G$14,J$14,$G179=$G$16,J$16,$G179=$G$17,J$17,$G179=$G$19,J$19,$G179=$G$20,J$20,$G179=$G$22,J$22,$G179=$G$23,J$23,$G179=$G$26,J$26,$G179=$G$29,J$29,$G179=$G$31,J$31,$G179=$G$34,J$34,$G179=$G$37,J$37,$G179=$G$107,J$107,$G179=$G$110,J$110,$G179=$G$140,J$140,$G179=$G$142,J$142,$G179=$G$408,J$408)</f>
        <v>61</v>
      </c>
      <c r="K179" s="13" t="str" cm="1">
        <f t="array" ref="K179">_xlfn.IFS($G179=$G$5,K$5,$G179=$G$7,K$7,$G179=$G$10,K$10,$G179=$G$13,K$13,$G179=$G$14,K$14,$G179=$G$16,K$16,$G179=$G$17,K$17,$G179=$G$19,K$19,$G179=$G$20,K$20,$G179=$G$22,K$22,$G179=$G$23,K$23,$G179=$G$26,K$26,$G179=$G$29,K$29,$G179=$G$31,K$31,$G179=$G$34,K$34,$G179=$G$37,K$37,$G179=$G$107,K$107,$G179=$G$110,K$110,$G179=$G$140,K$140,$G179=$G$142,K$142,$G179=$G$408,K$408)</f>
        <v>BG sentinel</v>
      </c>
      <c r="O179" s="13" t="str">
        <f t="shared" si="12"/>
        <v>A_SP_BCN_25_220720</v>
      </c>
      <c r="P179" s="27">
        <v>44762</v>
      </c>
      <c r="Q179" s="29">
        <v>0.5</v>
      </c>
      <c r="R179" s="22"/>
      <c r="S179" s="27">
        <v>44769</v>
      </c>
      <c r="T179" s="29">
        <v>0.60069444444444442</v>
      </c>
      <c r="V179" s="13" t="s">
        <v>86</v>
      </c>
      <c r="X179" s="13">
        <f t="shared" si="15"/>
        <v>7</v>
      </c>
      <c r="Z179" s="13" t="s">
        <v>164</v>
      </c>
      <c r="AA179" s="13">
        <f t="shared" si="18"/>
        <v>2</v>
      </c>
      <c r="AB179" s="13" t="str">
        <f t="shared" si="16"/>
        <v>Adult</v>
      </c>
      <c r="AC179" s="13">
        <v>2</v>
      </c>
      <c r="AD179" s="13">
        <v>0</v>
      </c>
      <c r="AE179" s="13" t="str">
        <f t="shared" si="17"/>
        <v>Morphological</v>
      </c>
      <c r="AF179" s="2">
        <v>4</v>
      </c>
    </row>
    <row r="180" spans="1:32" x14ac:dyDescent="0.25">
      <c r="A180" s="13">
        <v>176</v>
      </c>
      <c r="B180" s="23" t="s">
        <v>56</v>
      </c>
      <c r="C180" s="23" t="s">
        <v>57</v>
      </c>
      <c r="D180" s="23" t="s">
        <v>58</v>
      </c>
      <c r="E180" s="23" t="s">
        <v>58</v>
      </c>
      <c r="F180" s="35" cm="1">
        <f t="array" ref="F180">_xlfn.IFS($G180=$G$5,F$5,$G180=$G$7,F$7,$G180=$G$10,F$10,$G180=$G$13,F$13,$G180=$G$14,F$14,$G180=$G$16,F$16,$G180=$G$17,F$17,$G180=$G$19,F$19,$G180=$G$20,F$20,$G180=$G$22,F$22,$G180=$G$23,F$23,$G180=$G$26,F$26,$G180=$G$29,F$29,$G180=$G$31,F$31,$G180=$G$34,F$34,$G180=$G$37,F$37,$G180=$G$107,F$107,$G180=$G$110,F$110,$G180=$G$140,F$140,$G180=$G$142,F$142,$G180=$G$408,F$408)</f>
        <v>8025</v>
      </c>
      <c r="G180" s="13" t="s">
        <v>122</v>
      </c>
      <c r="H180" s="51" cm="1">
        <f t="array" ref="H180">_xlfn.IFS($G180=$G$5,H$5,$G180=$G$7,H$7,$G180=$G$10,H$10,$G180=$G$13,H$13,$G180=$G$14,H$14,$G180=$G$16,H$16,$G180=$G$17,H$17,$G180=$G$19,H$19,$G180=$G$20,H$20,$G180=$G$22,H$22,$G180=$G$23,H$23,$G180=$G$26,H$26,$G180=$G$29,H$29,$G180=$G$31,H$31,$G180=$G$34,H$34,$G180=$G$37,H$37,$G180=$G$107,H$107,$G180=$G$110,H$110,$G180=$G$140,H$140,$G180=$G$142,H$142,$G180=$G$408,H$408)</f>
        <v>41.407992</v>
      </c>
      <c r="I180" s="51" cm="1">
        <f t="array" ref="I180">_xlfn.IFS($G180=$G$5,I$5,$G180=$G$7,I$7,$G180=$G$10,I$10,$G180=$G$13,I$13,$G180=$G$14,I$14,$G180=$G$16,I$16,$G180=$G$17,I$17,$G180=$G$19,I$19,$G180=$G$20,I$20,$G180=$G$22,I$22,$G180=$G$23,I$23,$G180=$G$26,I$26,$G180=$G$29,I$29,$G180=$G$31,I$31,$G180=$G$34,I$34,$G180=$G$37,I$37,$G180=$G$107,I$107,$G180=$G$110,I$110,$G180=$G$140,I$140,$G180=$G$142,I$142,$G180=$G$408,I$408)</f>
        <v>2.1679379999999999</v>
      </c>
      <c r="J180" s="51" cm="1">
        <f t="array" ref="J180">_xlfn.IFS($G180=$G$5,J$5,$G180=$G$7,J$7,$G180=$G$10,J$10,$G180=$G$13,J$13,$G180=$G$14,J$14,$G180=$G$16,J$16,$G180=$G$17,J$17,$G180=$G$19,J$19,$G180=$G$20,J$20,$G180=$G$22,J$22,$G180=$G$23,J$23,$G180=$G$26,J$26,$G180=$G$29,J$29,$G180=$G$31,J$31,$G180=$G$34,J$34,$G180=$G$37,J$37,$G180=$G$107,J$107,$G180=$G$110,J$110,$G180=$G$140,J$140,$G180=$G$142,J$142,$G180=$G$408,J$408)</f>
        <v>61</v>
      </c>
      <c r="K180" s="13" t="str" cm="1">
        <f t="array" ref="K180">_xlfn.IFS($G180=$G$5,K$5,$G180=$G$7,K$7,$G180=$G$10,K$10,$G180=$G$13,K$13,$G180=$G$14,K$14,$G180=$G$16,K$16,$G180=$G$17,K$17,$G180=$G$19,K$19,$G180=$G$20,K$20,$G180=$G$22,K$22,$G180=$G$23,K$23,$G180=$G$26,K$26,$G180=$G$29,K$29,$G180=$G$31,K$31,$G180=$G$34,K$34,$G180=$G$37,K$37,$G180=$G$107,K$107,$G180=$G$110,K$110,$G180=$G$140,K$140,$G180=$G$142,K$142,$G180=$G$408,K$408)</f>
        <v>BG sentinel</v>
      </c>
      <c r="O180" s="13" t="str">
        <f t="shared" si="12"/>
        <v>A_SP_BCN_25_220720</v>
      </c>
      <c r="P180" s="27">
        <v>44762</v>
      </c>
      <c r="Q180" s="29">
        <v>0.5</v>
      </c>
      <c r="R180" s="22"/>
      <c r="S180" s="27">
        <v>44769</v>
      </c>
      <c r="T180" s="29">
        <v>0.60069444444444442</v>
      </c>
      <c r="V180" s="13" t="s">
        <v>86</v>
      </c>
      <c r="X180" s="13">
        <f t="shared" si="15"/>
        <v>7</v>
      </c>
      <c r="Z180" s="32" t="s">
        <v>163</v>
      </c>
      <c r="AA180" s="13">
        <f t="shared" si="18"/>
        <v>4</v>
      </c>
      <c r="AB180" s="13" t="str">
        <f t="shared" si="16"/>
        <v>Adult</v>
      </c>
      <c r="AC180" s="13">
        <v>1</v>
      </c>
      <c r="AD180" s="13">
        <v>3</v>
      </c>
      <c r="AE180" s="13" t="str">
        <f t="shared" si="17"/>
        <v>Morphological</v>
      </c>
      <c r="AF180" s="2">
        <v>4</v>
      </c>
    </row>
    <row r="181" spans="1:32" x14ac:dyDescent="0.25">
      <c r="A181" s="13">
        <v>177</v>
      </c>
      <c r="B181" s="23" t="s">
        <v>56</v>
      </c>
      <c r="C181" s="23" t="s">
        <v>57</v>
      </c>
      <c r="D181" s="23" t="s">
        <v>58</v>
      </c>
      <c r="E181" s="23" t="s">
        <v>58</v>
      </c>
      <c r="F181" s="35" cm="1">
        <f t="array" ref="F181">_xlfn.IFS($G181=$G$5,F$5,$G181=$G$7,F$7,$G181=$G$10,F$10,$G181=$G$13,F$13,$G181=$G$14,F$14,$G181=$G$16,F$16,$G181=$G$17,F$17,$G181=$G$19,F$19,$G181=$G$20,F$20,$G181=$G$22,F$22,$G181=$G$23,F$23,$G181=$G$26,F$26,$G181=$G$29,F$29,$G181=$G$31,F$31,$G181=$G$34,F$34,$G181=$G$37,F$37,$G181=$G$107,F$107,$G181=$G$110,F$110,$G181=$G$140,F$140,$G181=$G$142,F$142,$G181=$G$408,F$408)</f>
        <v>8025</v>
      </c>
      <c r="G181" s="13" t="s">
        <v>104</v>
      </c>
      <c r="H181" s="51" cm="1">
        <f t="array" ref="H181">_xlfn.IFS($G181=$G$5,H$5,$G181=$G$7,H$7,$G181=$G$10,H$10,$G181=$G$13,H$13,$G181=$G$14,H$14,$G181=$G$16,H$16,$G181=$G$17,H$17,$G181=$G$19,H$19,$G181=$G$20,H$20,$G181=$G$22,H$22,$G181=$G$23,H$23,$G181=$G$26,H$26,$G181=$G$29,H$29,$G181=$G$31,H$31,$G181=$G$34,H$34,$G181=$G$37,H$37,$G181=$G$107,H$107,$G181=$G$110,H$110,$G181=$G$140,H$140,$G181=$G$142,H$142,$G181=$G$408,H$408)</f>
        <v>41.408046826557602</v>
      </c>
      <c r="I181" s="51" cm="1">
        <f t="array" ref="I181">_xlfn.IFS($G181=$G$5,I$5,$G181=$G$7,I$7,$G181=$G$10,I$10,$G181=$G$13,I$13,$G181=$G$14,I$14,$G181=$G$16,I$16,$G181=$G$17,I$17,$G181=$G$19,I$19,$G181=$G$20,I$20,$G181=$G$22,I$22,$G181=$G$23,I$23,$G181=$G$26,I$26,$G181=$G$29,I$29,$G181=$G$31,I$31,$G181=$G$34,I$34,$G181=$G$37,I$37,$G181=$G$107,I$107,$G181=$G$110,I$110,$G181=$G$140,I$140,$G181=$G$142,I$142,$G181=$G$408,I$408)</f>
        <v>2.1678084611616502</v>
      </c>
      <c r="J181" s="51" cm="1">
        <f t="array" ref="J181">_xlfn.IFS($G181=$G$5,J$5,$G181=$G$7,J$7,$G181=$G$10,J$10,$G181=$G$13,J$13,$G181=$G$14,J$14,$G181=$G$16,J$16,$G181=$G$17,J$17,$G181=$G$19,J$19,$G181=$G$20,J$20,$G181=$G$22,J$22,$G181=$G$23,J$23,$G181=$G$26,J$26,$G181=$G$29,J$29,$G181=$G$31,J$31,$G181=$G$34,J$34,$G181=$G$37,J$37,$G181=$G$107,J$107,$G181=$G$110,J$110,$G181=$G$140,J$140,$G181=$G$142,J$142,$G181=$G$408,J$408)</f>
        <v>61</v>
      </c>
      <c r="K181" s="13" t="str" cm="1">
        <f t="array" ref="K181">_xlfn.IFS($G181=$G$5,K$5,$G181=$G$7,K$7,$G181=$G$10,K$10,$G181=$G$13,K$13,$G181=$G$14,K$14,$G181=$G$16,K$16,$G181=$G$17,K$17,$G181=$G$19,K$19,$G181=$G$20,K$20,$G181=$G$22,K$22,$G181=$G$23,K$23,$G181=$G$26,K$26,$G181=$G$29,K$29,$G181=$G$31,K$31,$G181=$G$34,K$34,$G181=$G$37,K$37,$G181=$G$107,K$107,$G181=$G$110,K$110,$G181=$G$140,K$140,$G181=$G$142,K$142,$G181=$G$408,K$408)</f>
        <v>BG sentinel</v>
      </c>
      <c r="O181" s="13" t="str">
        <f t="shared" si="12"/>
        <v>A_SP_BCN_26_000100</v>
      </c>
      <c r="P181" s="40"/>
      <c r="Q181" s="20"/>
      <c r="R181" s="21"/>
      <c r="S181" s="27">
        <v>44769</v>
      </c>
      <c r="T181" s="29">
        <v>0.60416666666666663</v>
      </c>
      <c r="V181" s="13" t="s">
        <v>86</v>
      </c>
      <c r="X181" s="13">
        <f t="shared" si="15"/>
        <v>44769</v>
      </c>
      <c r="Z181" s="13" t="s">
        <v>60</v>
      </c>
      <c r="AA181" s="13">
        <f t="shared" si="18"/>
        <v>166</v>
      </c>
      <c r="AB181" s="13" t="str">
        <f t="shared" si="16"/>
        <v>Adult</v>
      </c>
      <c r="AC181" s="13">
        <v>107</v>
      </c>
      <c r="AD181" s="13">
        <v>59</v>
      </c>
      <c r="AE181" s="13" t="str">
        <f t="shared" si="17"/>
        <v>Morphological</v>
      </c>
      <c r="AF181" s="2">
        <v>4</v>
      </c>
    </row>
    <row r="182" spans="1:32" ht="15.75" customHeight="1" x14ac:dyDescent="0.25">
      <c r="A182" s="13">
        <v>178</v>
      </c>
      <c r="B182" s="23" t="s">
        <v>56</v>
      </c>
      <c r="C182" s="23" t="s">
        <v>57</v>
      </c>
      <c r="D182" s="23" t="s">
        <v>58</v>
      </c>
      <c r="E182" s="23" t="s">
        <v>58</v>
      </c>
      <c r="F182" s="35" cm="1">
        <f t="array" ref="F182">_xlfn.IFS($G182=$G$5,F$5,$G182=$G$7,F$7,$G182=$G$10,F$10,$G182=$G$13,F$13,$G182=$G$14,F$14,$G182=$G$16,F$16,$G182=$G$17,F$17,$G182=$G$19,F$19,$G182=$G$20,F$20,$G182=$G$22,F$22,$G182=$G$23,F$23,$G182=$G$26,F$26,$G182=$G$29,F$29,$G182=$G$31,F$31,$G182=$G$34,F$34,$G182=$G$37,F$37,$G182=$G$107,F$107,$G182=$G$110,F$110,$G182=$G$140,F$140,$G182=$G$142,F$142,$G182=$G$408,F$408)</f>
        <v>8025</v>
      </c>
      <c r="G182" s="13" t="s">
        <v>104</v>
      </c>
      <c r="H182" s="51" cm="1">
        <f t="array" ref="H182">_xlfn.IFS($G182=$G$5,H$5,$G182=$G$7,H$7,$G182=$G$10,H$10,$G182=$G$13,H$13,$G182=$G$14,H$14,$G182=$G$16,H$16,$G182=$G$17,H$17,$G182=$G$19,H$19,$G182=$G$20,H$20,$G182=$G$22,H$22,$G182=$G$23,H$23,$G182=$G$26,H$26,$G182=$G$29,H$29,$G182=$G$31,H$31,$G182=$G$34,H$34,$G182=$G$37,H$37,$G182=$G$107,H$107,$G182=$G$110,H$110,$G182=$G$140,H$140,$G182=$G$142,H$142,$G182=$G$408,H$408)</f>
        <v>41.408046826557602</v>
      </c>
      <c r="I182" s="51" cm="1">
        <f t="array" ref="I182">_xlfn.IFS($G182=$G$5,I$5,$G182=$G$7,I$7,$G182=$G$10,I$10,$G182=$G$13,I$13,$G182=$G$14,I$14,$G182=$G$16,I$16,$G182=$G$17,I$17,$G182=$G$19,I$19,$G182=$G$20,I$20,$G182=$G$22,I$22,$G182=$G$23,I$23,$G182=$G$26,I$26,$G182=$G$29,I$29,$G182=$G$31,I$31,$G182=$G$34,I$34,$G182=$G$37,I$37,$G182=$G$107,I$107,$G182=$G$110,I$110,$G182=$G$140,I$140,$G182=$G$142,I$142,$G182=$G$408,I$408)</f>
        <v>2.1678084611616502</v>
      </c>
      <c r="J182" s="51" cm="1">
        <f t="array" ref="J182">_xlfn.IFS($G182=$G$5,J$5,$G182=$G$7,J$7,$G182=$G$10,J$10,$G182=$G$13,J$13,$G182=$G$14,J$14,$G182=$G$16,J$16,$G182=$G$17,J$17,$G182=$G$19,J$19,$G182=$G$20,J$20,$G182=$G$22,J$22,$G182=$G$23,J$23,$G182=$G$26,J$26,$G182=$G$29,J$29,$G182=$G$31,J$31,$G182=$G$34,J$34,$G182=$G$37,J$37,$G182=$G$107,J$107,$G182=$G$110,J$110,$G182=$G$140,J$140,$G182=$G$142,J$142,$G182=$G$408,J$408)</f>
        <v>61</v>
      </c>
      <c r="K182" s="13" t="str" cm="1">
        <f t="array" ref="K182">_xlfn.IFS($G182=$G$5,K$5,$G182=$G$7,K$7,$G182=$G$10,K$10,$G182=$G$13,K$13,$G182=$G$14,K$14,$G182=$G$16,K$16,$G182=$G$17,K$17,$G182=$G$19,K$19,$G182=$G$20,K$20,$G182=$G$22,K$22,$G182=$G$23,K$23,$G182=$G$26,K$26,$G182=$G$29,K$29,$G182=$G$31,K$31,$G182=$G$34,K$34,$G182=$G$37,K$37,$G182=$G$107,K$107,$G182=$G$110,K$110,$G182=$G$140,K$140,$G182=$G$142,K$142,$G182=$G$408,K$408)</f>
        <v>BG sentinel</v>
      </c>
      <c r="O182" s="13" t="str">
        <f t="shared" si="12"/>
        <v>A_SP_BCN_26_000100</v>
      </c>
      <c r="P182" s="40"/>
      <c r="Q182" s="20"/>
      <c r="R182" s="21"/>
      <c r="S182" s="27">
        <v>44769</v>
      </c>
      <c r="T182" s="29">
        <v>0.60416666666666663</v>
      </c>
      <c r="V182" s="13" t="s">
        <v>86</v>
      </c>
      <c r="X182" s="13">
        <f t="shared" si="15"/>
        <v>44769</v>
      </c>
      <c r="Z182" s="13" t="s">
        <v>164</v>
      </c>
      <c r="AA182" s="13">
        <f t="shared" si="18"/>
        <v>4</v>
      </c>
      <c r="AB182" s="13" t="str">
        <f t="shared" si="16"/>
        <v>Adult</v>
      </c>
      <c r="AC182" s="13">
        <v>2</v>
      </c>
      <c r="AD182" s="13">
        <v>2</v>
      </c>
      <c r="AE182" s="13" t="str">
        <f t="shared" si="17"/>
        <v>Morphological</v>
      </c>
      <c r="AF182" s="2">
        <v>4</v>
      </c>
    </row>
    <row r="183" spans="1:32" x14ac:dyDescent="0.25">
      <c r="A183" s="13">
        <v>179</v>
      </c>
      <c r="B183" s="23" t="s">
        <v>56</v>
      </c>
      <c r="C183" s="23" t="s">
        <v>57</v>
      </c>
      <c r="D183" s="23" t="s">
        <v>58</v>
      </c>
      <c r="E183" s="23" t="s">
        <v>58</v>
      </c>
      <c r="F183" s="35" cm="1">
        <f t="array" ref="F183">_xlfn.IFS($G183=$G$5,F$5,$G183=$G$7,F$7,$G183=$G$10,F$10,$G183=$G$13,F$13,$G183=$G$14,F$14,$G183=$G$16,F$16,$G183=$G$17,F$17,$G183=$G$19,F$19,$G183=$G$20,F$20,$G183=$G$22,F$22,$G183=$G$23,F$23,$G183=$G$26,F$26,$G183=$G$29,F$29,$G183=$G$31,F$31,$G183=$G$34,F$34,$G183=$G$37,F$37,$G183=$G$107,F$107,$G183=$G$110,F$110,$G183=$G$140,F$140,$G183=$G$142,F$142,$G183=$G$408,F$408)</f>
        <v>8025</v>
      </c>
      <c r="G183" s="13" t="s">
        <v>104</v>
      </c>
      <c r="H183" s="51" cm="1">
        <f t="array" ref="H183">_xlfn.IFS($G183=$G$5,H$5,$G183=$G$7,H$7,$G183=$G$10,H$10,$G183=$G$13,H$13,$G183=$G$14,H$14,$G183=$G$16,H$16,$G183=$G$17,H$17,$G183=$G$19,H$19,$G183=$G$20,H$20,$G183=$G$22,H$22,$G183=$G$23,H$23,$G183=$G$26,H$26,$G183=$G$29,H$29,$G183=$G$31,H$31,$G183=$G$34,H$34,$G183=$G$37,H$37,$G183=$G$107,H$107,$G183=$G$110,H$110,$G183=$G$140,H$140,$G183=$G$142,H$142,$G183=$G$408,H$408)</f>
        <v>41.408046826557602</v>
      </c>
      <c r="I183" s="51" cm="1">
        <f t="array" ref="I183">_xlfn.IFS($G183=$G$5,I$5,$G183=$G$7,I$7,$G183=$G$10,I$10,$G183=$G$13,I$13,$G183=$G$14,I$14,$G183=$G$16,I$16,$G183=$G$17,I$17,$G183=$G$19,I$19,$G183=$G$20,I$20,$G183=$G$22,I$22,$G183=$G$23,I$23,$G183=$G$26,I$26,$G183=$G$29,I$29,$G183=$G$31,I$31,$G183=$G$34,I$34,$G183=$G$37,I$37,$G183=$G$107,I$107,$G183=$G$110,I$110,$G183=$G$140,I$140,$G183=$G$142,I$142,$G183=$G$408,I$408)</f>
        <v>2.1678084611616502</v>
      </c>
      <c r="J183" s="51" cm="1">
        <f t="array" ref="J183">_xlfn.IFS($G183=$G$5,J$5,$G183=$G$7,J$7,$G183=$G$10,J$10,$G183=$G$13,J$13,$G183=$G$14,J$14,$G183=$G$16,J$16,$G183=$G$17,J$17,$G183=$G$19,J$19,$G183=$G$20,J$20,$G183=$G$22,J$22,$G183=$G$23,J$23,$G183=$G$26,J$26,$G183=$G$29,J$29,$G183=$G$31,J$31,$G183=$G$34,J$34,$G183=$G$37,J$37,$G183=$G$107,J$107,$G183=$G$110,J$110,$G183=$G$140,J$140,$G183=$G$142,J$142,$G183=$G$408,J$408)</f>
        <v>61</v>
      </c>
      <c r="K183" s="13" t="str" cm="1">
        <f t="array" ref="K183">_xlfn.IFS($G183=$G$5,K$5,$G183=$G$7,K$7,$G183=$G$10,K$10,$G183=$G$13,K$13,$G183=$G$14,K$14,$G183=$G$16,K$16,$G183=$G$17,K$17,$G183=$G$19,K$19,$G183=$G$20,K$20,$G183=$G$22,K$22,$G183=$G$23,K$23,$G183=$G$26,K$26,$G183=$G$29,K$29,$G183=$G$31,K$31,$G183=$G$34,K$34,$G183=$G$37,K$37,$G183=$G$107,K$107,$G183=$G$110,K$110,$G183=$G$140,K$140,$G183=$G$142,K$142,$G183=$G$408,K$408)</f>
        <v>BG sentinel</v>
      </c>
      <c r="O183" s="13" t="str">
        <f t="shared" si="12"/>
        <v>A_SP_BCN_26_000100</v>
      </c>
      <c r="P183" s="40"/>
      <c r="Q183" s="20"/>
      <c r="R183" s="21"/>
      <c r="S183" s="27">
        <v>44769</v>
      </c>
      <c r="T183" s="29">
        <v>0.60416666666666663</v>
      </c>
      <c r="V183" s="13" t="s">
        <v>86</v>
      </c>
      <c r="W183" s="15" t="s">
        <v>145</v>
      </c>
      <c r="X183" s="13">
        <f t="shared" si="15"/>
        <v>44769</v>
      </c>
      <c r="Z183" s="32" t="s">
        <v>163</v>
      </c>
      <c r="AA183" s="13">
        <f t="shared" si="18"/>
        <v>5</v>
      </c>
      <c r="AB183" s="13" t="str">
        <f t="shared" si="16"/>
        <v>Adult</v>
      </c>
      <c r="AC183" s="13">
        <v>1</v>
      </c>
      <c r="AD183" s="13">
        <v>4</v>
      </c>
      <c r="AE183" s="13" t="str">
        <f t="shared" si="17"/>
        <v>Morphological</v>
      </c>
      <c r="AF183" s="2">
        <v>4</v>
      </c>
    </row>
    <row r="184" spans="1:32" x14ac:dyDescent="0.25">
      <c r="A184" s="13">
        <v>180</v>
      </c>
      <c r="B184" s="23" t="s">
        <v>56</v>
      </c>
      <c r="C184" s="23" t="s">
        <v>57</v>
      </c>
      <c r="D184" s="23" t="s">
        <v>58</v>
      </c>
      <c r="E184" s="23" t="s">
        <v>58</v>
      </c>
      <c r="F184" s="35" cm="1">
        <f t="array" ref="F184">_xlfn.IFS($G184=$G$5,F$5,$G184=$G$7,F$7,$G184=$G$10,F$10,$G184=$G$13,F$13,$G184=$G$14,F$14,$G184=$G$16,F$16,$G184=$G$17,F$17,$G184=$G$19,F$19,$G184=$G$20,F$20,$G184=$G$22,F$22,$G184=$G$23,F$23,$G184=$G$26,F$26,$G184=$G$29,F$29,$G184=$G$31,F$31,$G184=$G$34,F$34,$G184=$G$37,F$37,$G184=$G$107,F$107,$G184=$G$110,F$110,$G184=$G$140,F$140,$G184=$G$142,F$142,$G184=$G$408,F$408)</f>
        <v>8024</v>
      </c>
      <c r="G184" s="13" t="s">
        <v>117</v>
      </c>
      <c r="H184" s="51" cm="1">
        <f t="array" ref="H184">_xlfn.IFS($G184=$G$5,H$5,$G184=$G$7,H$7,$G184=$G$10,H$10,$G184=$G$13,H$13,$G184=$G$14,H$14,$G184=$G$16,H$16,$G184=$G$17,H$17,$G184=$G$19,H$19,$G184=$G$20,H$20,$G184=$G$22,H$22,$G184=$G$23,H$23,$G184=$G$26,H$26,$G184=$G$29,H$29,$G184=$G$31,H$31,$G184=$G$34,H$34,$G184=$G$37,H$37,$G184=$G$107,H$107,$G184=$G$110,H$110,$G184=$G$140,H$140,$G184=$G$142,H$142,$G184=$G$408,H$408)</f>
        <v>41.42</v>
      </c>
      <c r="I184" s="51" cm="1">
        <f t="array" ref="I184">_xlfn.IFS($G184=$G$5,I$5,$G184=$G$7,I$7,$G184=$G$10,I$10,$G184=$G$13,I$13,$G184=$G$14,I$14,$G184=$G$16,I$16,$G184=$G$17,I$17,$G184=$G$19,I$19,$G184=$G$20,I$20,$G184=$G$22,I$22,$G184=$G$23,I$23,$G184=$G$26,I$26,$G184=$G$29,I$29,$G184=$G$31,I$31,$G184=$G$34,I$34,$G184=$G$37,I$37,$G184=$G$107,I$107,$G184=$G$110,I$110,$G184=$G$140,I$140,$G184=$G$142,I$142,$G184=$G$408,I$408)</f>
        <v>2.16</v>
      </c>
      <c r="J184" s="51" cm="1">
        <f t="array" ref="J184">_xlfn.IFS($G184=$G$5,J$5,$G184=$G$7,J$7,$G184=$G$10,J$10,$G184=$G$13,J$13,$G184=$G$14,J$14,$G184=$G$16,J$16,$G184=$G$17,J$17,$G184=$G$19,J$19,$G184=$G$20,J$20,$G184=$G$22,J$22,$G184=$G$23,J$23,$G184=$G$26,J$26,$G184=$G$29,J$29,$G184=$G$31,J$31,$G184=$G$34,J$34,$G184=$G$37,J$37,$G184=$G$107,J$107,$G184=$G$110,J$110,$G184=$G$140,J$140,$G184=$G$142,J$142,$G184=$G$408,J$408)</f>
        <v>146.80000000000001</v>
      </c>
      <c r="K184" s="13" t="str" cm="1">
        <f t="array" ref="K184">_xlfn.IFS($G184=$G$5,K$5,$G184=$G$7,K$7,$G184=$G$10,K$10,$G184=$G$13,K$13,$G184=$G$14,K$14,$G184=$G$16,K$16,$G184=$G$17,K$17,$G184=$G$19,K$19,$G184=$G$20,K$20,$G184=$G$22,K$22,$G184=$G$23,K$23,$G184=$G$26,K$26,$G184=$G$29,K$29,$G184=$G$31,K$31,$G184=$G$34,K$34,$G184=$G$37,K$37,$G184=$G$107,K$107,$G184=$G$110,K$110,$G184=$G$140,K$140,$G184=$G$142,K$142,$G184=$G$408,K$408)</f>
        <v>BG sentinel + BG lure7</v>
      </c>
      <c r="O184" s="13" t="str">
        <f>G184&amp;"_"&amp;TEXT(P184, "AAMMDD")</f>
        <v>V4_220719</v>
      </c>
      <c r="P184" s="27">
        <v>44761</v>
      </c>
      <c r="Q184" s="28"/>
      <c r="R184" s="22"/>
      <c r="S184" s="27">
        <v>44768</v>
      </c>
      <c r="T184" s="29">
        <v>0.58333333333333337</v>
      </c>
      <c r="V184" s="13" t="s">
        <v>86</v>
      </c>
      <c r="W184" s="15" t="s">
        <v>133</v>
      </c>
      <c r="X184" s="13">
        <f t="shared" si="15"/>
        <v>7</v>
      </c>
      <c r="Z184" s="13" t="s">
        <v>60</v>
      </c>
      <c r="AA184" s="13">
        <f t="shared" ref="AA184:AA202" si="19">SUM(AC184:AD184)</f>
        <v>2</v>
      </c>
      <c r="AB184" s="13" t="str">
        <f t="shared" si="16"/>
        <v>Adult</v>
      </c>
      <c r="AC184" s="13">
        <v>1</v>
      </c>
      <c r="AD184" s="13">
        <v>1</v>
      </c>
      <c r="AE184" s="13" t="str">
        <f t="shared" si="17"/>
        <v>Morphological</v>
      </c>
      <c r="AF184" s="2">
        <v>1</v>
      </c>
    </row>
    <row r="185" spans="1:32" x14ac:dyDescent="0.25">
      <c r="A185" s="13">
        <v>181</v>
      </c>
      <c r="B185" s="23" t="s">
        <v>56</v>
      </c>
      <c r="C185" s="23" t="s">
        <v>57</v>
      </c>
      <c r="D185" s="23" t="s">
        <v>58</v>
      </c>
      <c r="E185" s="23" t="s">
        <v>58</v>
      </c>
      <c r="F185" s="35" cm="1">
        <f t="array" ref="F185">_xlfn.IFS($G185=$G$5,F$5,$G185=$G$7,F$7,$G185=$G$10,F$10,$G185=$G$13,F$13,$G185=$G$14,F$14,$G185=$G$16,F$16,$G185=$G$17,F$17,$G185=$G$19,F$19,$G185=$G$20,F$20,$G185=$G$22,F$22,$G185=$G$23,F$23,$G185=$G$26,F$26,$G185=$G$29,F$29,$G185=$G$31,F$31,$G185=$G$34,F$34,$G185=$G$37,F$37,$G185=$G$107,F$107,$G185=$G$110,F$110,$G185=$G$140,F$140,$G185=$G$142,F$142,$G185=$G$408,F$408)</f>
        <v>8017</v>
      </c>
      <c r="G185" s="13" t="s">
        <v>97</v>
      </c>
      <c r="H185" s="51" cm="1">
        <f t="array" ref="H185">_xlfn.IFS($G185=$G$5,H$5,$G185=$G$7,H$7,$G185=$G$10,H$10,$G185=$G$13,H$13,$G185=$G$14,H$14,$G185=$G$16,H$16,$G185=$G$17,H$17,$G185=$G$19,H$19,$G185=$G$20,H$20,$G185=$G$22,H$22,$G185=$G$23,H$23,$G185=$G$26,H$26,$G185=$G$29,H$29,$G185=$G$31,H$31,$G185=$G$34,H$34,$G185=$G$37,H$37,$G185=$G$107,H$107,$G185=$G$110,H$110,$G185=$G$140,H$140,$G185=$G$142,H$142,$G185=$G$408,H$408)</f>
        <v>41.430372407595499</v>
      </c>
      <c r="I185" s="51" cm="1">
        <f t="array" ref="I185">_xlfn.IFS($G185=$G$5,I$5,$G185=$G$7,I$7,$G185=$G$10,I$10,$G185=$G$13,I$13,$G185=$G$14,I$14,$G185=$G$16,I$16,$G185=$G$17,I$17,$G185=$G$19,I$19,$G185=$G$20,I$20,$G185=$G$22,I$22,$G185=$G$23,I$23,$G185=$G$26,I$26,$G185=$G$29,I$29,$G185=$G$31,I$31,$G185=$G$34,I$34,$G185=$G$37,I$37,$G185=$G$107,I$107,$G185=$G$110,I$110,$G185=$G$140,I$140,$G185=$G$142,I$142,$G185=$G$408,I$408)</f>
        <v>2.0778358219819002</v>
      </c>
      <c r="J185" s="51" cm="1">
        <f t="array" ref="J185">_xlfn.IFS($G185=$G$5,J$5,$G185=$G$7,J$7,$G185=$G$10,J$10,$G185=$G$13,J$13,$G185=$G$14,J$14,$G185=$G$16,J$16,$G185=$G$17,J$17,$G185=$G$19,J$19,$G185=$G$20,J$20,$G185=$G$22,J$22,$G185=$G$23,J$23,$G185=$G$26,J$26,$G185=$G$29,J$29,$G185=$G$31,J$31,$G185=$G$34,J$34,$G185=$G$37,J$37,$G185=$G$107,J$107,$G185=$G$110,J$110,$G185=$G$140,J$140,$G185=$G$142,J$142,$G185=$G$408,J$408)</f>
        <v>242</v>
      </c>
      <c r="K185" s="13" t="str" cm="1">
        <f t="array" ref="K185">_xlfn.IFS($G185=$G$5,K$5,$G185=$G$7,K$7,$G185=$G$10,K$10,$G185=$G$13,K$13,$G185=$G$14,K$14,$G185=$G$16,K$16,$G185=$G$17,K$17,$G185=$G$19,K$19,$G185=$G$20,K$20,$G185=$G$22,K$22,$G185=$G$23,K$23,$G185=$G$26,K$26,$G185=$G$29,K$29,$G185=$G$31,K$31,$G185=$G$34,K$34,$G185=$G$37,K$37,$G185=$G$107,K$107,$G185=$G$110,K$110,$G185=$G$140,K$140,$G185=$G$142,K$142,$G185=$G$408,K$408)</f>
        <v>Mtego</v>
      </c>
      <c r="O185" s="13" t="str">
        <f>G185&amp;"_"&amp;TEXT(P185, "AAMMDD")</f>
        <v>Premal_1_220719</v>
      </c>
      <c r="P185" s="27">
        <v>44761</v>
      </c>
      <c r="Q185" s="29">
        <v>0.69791666666666663</v>
      </c>
      <c r="R185" s="22"/>
      <c r="S185" s="31">
        <v>44769</v>
      </c>
      <c r="T185" s="29">
        <v>0.69444444444444453</v>
      </c>
      <c r="V185" s="13" t="s">
        <v>86</v>
      </c>
      <c r="X185" s="13">
        <f t="shared" si="15"/>
        <v>8</v>
      </c>
      <c r="Z185" s="13" t="s">
        <v>164</v>
      </c>
      <c r="AA185" s="13">
        <f t="shared" si="19"/>
        <v>1</v>
      </c>
      <c r="AB185" s="13" t="str">
        <f t="shared" si="16"/>
        <v>Adult</v>
      </c>
      <c r="AC185" s="13">
        <v>0</v>
      </c>
      <c r="AD185" s="13">
        <v>1</v>
      </c>
      <c r="AE185" s="13" t="str">
        <f t="shared" si="17"/>
        <v>Morphological</v>
      </c>
      <c r="AF185" s="2">
        <v>4</v>
      </c>
    </row>
    <row r="186" spans="1:32" x14ac:dyDescent="0.25">
      <c r="A186" s="13">
        <v>182</v>
      </c>
      <c r="B186" s="23" t="s">
        <v>56</v>
      </c>
      <c r="C186" s="23" t="s">
        <v>57</v>
      </c>
      <c r="D186" s="23" t="s">
        <v>58</v>
      </c>
      <c r="E186" s="23" t="s">
        <v>58</v>
      </c>
      <c r="F186" s="35" cm="1">
        <f t="array" ref="F186">_xlfn.IFS($G186=$G$5,F$5,$G186=$G$7,F$7,$G186=$G$10,F$10,$G186=$G$13,F$13,$G186=$G$14,F$14,$G186=$G$16,F$16,$G186=$G$17,F$17,$G186=$G$19,F$19,$G186=$G$20,F$20,$G186=$G$22,F$22,$G186=$G$23,F$23,$G186=$G$26,F$26,$G186=$G$29,F$29,$G186=$G$31,F$31,$G186=$G$34,F$34,$G186=$G$37,F$37,$G186=$G$107,F$107,$G186=$G$110,F$110,$G186=$G$140,F$140,$G186=$G$142,F$142,$G186=$G$408,F$408)</f>
        <v>8035</v>
      </c>
      <c r="G186" s="13" t="s">
        <v>61</v>
      </c>
      <c r="H186" s="51" cm="1">
        <f t="array" ref="H186">_xlfn.IFS($G186=$G$5,H$5,$G186=$G$7,H$7,$G186=$G$10,H$10,$G186=$G$13,H$13,$G186=$G$14,H$14,$G186=$G$16,H$16,$G186=$G$17,H$17,$G186=$G$19,H$19,$G186=$G$20,H$20,$G186=$G$22,H$22,$G186=$G$23,H$23,$G186=$G$26,H$26,$G186=$G$29,H$29,$G186=$G$31,H$31,$G186=$G$34,H$34,$G186=$G$37,H$37,$G186=$G$107,H$107,$G186=$G$110,H$110,$G186=$G$140,H$140,$G186=$G$142,H$142,$G186=$G$408,H$408)</f>
        <v>41.424387000000003</v>
      </c>
      <c r="I186" s="51" cm="1">
        <f t="array" ref="I186">_xlfn.IFS($G186=$G$5,I$5,$G186=$G$7,I$7,$G186=$G$10,I$10,$G186=$G$13,I$13,$G186=$G$14,I$14,$G186=$G$16,I$16,$G186=$G$17,I$17,$G186=$G$19,I$19,$G186=$G$20,I$20,$G186=$G$22,I$22,$G186=$G$23,I$23,$G186=$G$26,I$26,$G186=$G$29,I$29,$G186=$G$31,I$31,$G186=$G$34,I$34,$G186=$G$37,I$37,$G186=$G$107,I$107,$G186=$G$110,I$110,$G186=$G$140,I$140,$G186=$G$142,I$142,$G186=$G$408,I$408)</f>
        <v>2.1431439999999999</v>
      </c>
      <c r="J186" s="51" cm="1">
        <f t="array" ref="J186">_xlfn.IFS($G186=$G$5,J$5,$G186=$G$7,J$7,$G186=$G$10,J$10,$G186=$G$13,J$13,$G186=$G$14,J$14,$G186=$G$16,J$16,$G186=$G$17,J$17,$G186=$G$19,J$19,$G186=$G$20,J$20,$G186=$G$22,J$22,$G186=$G$23,J$23,$G186=$G$26,J$26,$G186=$G$29,J$29,$G186=$G$31,J$31,$G186=$G$34,J$34,$G186=$G$37,J$37,$G186=$G$107,J$107,$G186=$G$110,J$110,$G186=$G$140,J$140,$G186=$G$142,J$142,$G186=$G$408,J$408)</f>
        <v>160</v>
      </c>
      <c r="K186" s="13" t="str" cm="1">
        <f t="array" ref="K186">_xlfn.IFS($G186=$G$5,K$5,$G186=$G$7,K$7,$G186=$G$10,K$10,$G186=$G$13,K$13,$G186=$G$14,K$14,$G186=$G$16,K$16,$G186=$G$17,K$17,$G186=$G$19,K$19,$G186=$G$20,K$20,$G186=$G$22,K$22,$G186=$G$23,K$23,$G186=$G$26,K$26,$G186=$G$29,K$29,$G186=$G$31,K$31,$G186=$G$34,K$34,$G186=$G$37,K$37,$G186=$G$107,K$107,$G186=$G$110,K$110,$G186=$G$140,K$140,$G186=$G$142,K$142,$G186=$G$408,K$408)</f>
        <v>BG sentinel + BG lure7</v>
      </c>
      <c r="O186" s="13" t="str">
        <f t="shared" si="12"/>
        <v>A_SP_BCN_2_220727</v>
      </c>
      <c r="P186" s="31">
        <v>44769</v>
      </c>
      <c r="Q186" s="29">
        <v>0.86805555555555547</v>
      </c>
      <c r="R186" s="41"/>
      <c r="S186" s="27">
        <v>44775</v>
      </c>
      <c r="T186" s="29">
        <v>0.64930555555555558</v>
      </c>
      <c r="V186" s="13" t="s">
        <v>86</v>
      </c>
      <c r="W186" s="15" t="s">
        <v>109</v>
      </c>
      <c r="X186" s="13">
        <f t="shared" si="15"/>
        <v>6</v>
      </c>
      <c r="Z186" s="13" t="s">
        <v>60</v>
      </c>
      <c r="AA186" s="13">
        <f t="shared" si="19"/>
        <v>3</v>
      </c>
      <c r="AB186" s="13" t="str">
        <f t="shared" si="16"/>
        <v>Adult</v>
      </c>
      <c r="AC186" s="13">
        <v>2</v>
      </c>
      <c r="AD186" s="13">
        <v>1</v>
      </c>
      <c r="AE186" s="13" t="str">
        <f t="shared" si="17"/>
        <v>Morphological</v>
      </c>
      <c r="AF186" s="2">
        <v>3</v>
      </c>
    </row>
    <row r="187" spans="1:32" x14ac:dyDescent="0.25">
      <c r="A187" s="13">
        <v>183</v>
      </c>
      <c r="B187" s="23" t="s">
        <v>56</v>
      </c>
      <c r="C187" s="23" t="s">
        <v>57</v>
      </c>
      <c r="D187" s="23" t="s">
        <v>58</v>
      </c>
      <c r="E187" s="23" t="s">
        <v>58</v>
      </c>
      <c r="F187" s="35" cm="1">
        <f t="array" ref="F187">_xlfn.IFS($G187=$G$5,F$5,$G187=$G$7,F$7,$G187=$G$10,F$10,$G187=$G$13,F$13,$G187=$G$14,F$14,$G187=$G$16,F$16,$G187=$G$17,F$17,$G187=$G$19,F$19,$G187=$G$20,F$20,$G187=$G$22,F$22,$G187=$G$23,F$23,$G187=$G$26,F$26,$G187=$G$29,F$29,$G187=$G$31,F$31,$G187=$G$34,F$34,$G187=$G$37,F$37,$G187=$G$107,F$107,$G187=$G$110,F$110,$G187=$G$140,F$140,$G187=$G$142,F$142,$G187=$G$408,F$408)</f>
        <v>8016</v>
      </c>
      <c r="G187" s="13" t="s">
        <v>62</v>
      </c>
      <c r="H187" s="51" cm="1">
        <f t="array" ref="H187">_xlfn.IFS($G187=$G$5,H$5,$G187=$G$7,H$7,$G187=$G$10,H$10,$G187=$G$13,H$13,$G187=$G$14,H$14,$G187=$G$16,H$16,$G187=$G$17,H$17,$G187=$G$19,H$19,$G187=$G$20,H$20,$G187=$G$22,H$22,$G187=$G$23,H$23,$G187=$G$26,H$26,$G187=$G$29,H$29,$G187=$G$31,H$31,$G187=$G$34,H$34,$G187=$G$37,H$37,$G187=$G$107,H$107,$G187=$G$110,H$110,$G187=$G$140,H$140,$G187=$G$142,H$142,$G187=$G$408,H$408)</f>
        <v>41.437435000000001</v>
      </c>
      <c r="I187" s="51" cm="1">
        <f t="array" ref="I187">_xlfn.IFS($G187=$G$5,I$5,$G187=$G$7,I$7,$G187=$G$10,I$10,$G187=$G$13,I$13,$G187=$G$14,I$14,$G187=$G$16,I$16,$G187=$G$17,I$17,$G187=$G$19,I$19,$G187=$G$20,I$20,$G187=$G$22,I$22,$G187=$G$23,I$23,$G187=$G$26,I$26,$G187=$G$29,I$29,$G187=$G$31,I$31,$G187=$G$34,I$34,$G187=$G$37,I$37,$G187=$G$107,I$107,$G187=$G$110,I$110,$G187=$G$140,I$140,$G187=$G$142,I$142,$G187=$G$408,I$408)</f>
        <v>2.1812779999999998</v>
      </c>
      <c r="J187" s="51" cm="1">
        <f t="array" ref="J187">_xlfn.IFS($G187=$G$5,J$5,$G187=$G$7,J$7,$G187=$G$10,J$10,$G187=$G$13,J$13,$G187=$G$14,J$14,$G187=$G$16,J$16,$G187=$G$17,J$17,$G187=$G$19,J$19,$G187=$G$20,J$20,$G187=$G$22,J$22,$G187=$G$23,J$23,$G187=$G$26,J$26,$G187=$G$29,J$29,$G187=$G$31,J$31,$G187=$G$34,J$34,$G187=$G$37,J$37,$G187=$G$107,J$107,$G187=$G$110,J$110,$G187=$G$140,J$140,$G187=$G$142,J$142,$G187=$G$408,J$408)</f>
        <v>47</v>
      </c>
      <c r="K187" s="13" t="str" cm="1">
        <f t="array" ref="K187">_xlfn.IFS($G187=$G$5,K$5,$G187=$G$7,K$7,$G187=$G$10,K$10,$G187=$G$13,K$13,$G187=$G$14,K$14,$G187=$G$16,K$16,$G187=$G$17,K$17,$G187=$G$19,K$19,$G187=$G$20,K$20,$G187=$G$22,K$22,$G187=$G$23,K$23,$G187=$G$26,K$26,$G187=$G$29,K$29,$G187=$G$31,K$31,$G187=$G$34,K$34,$G187=$G$37,K$37,$G187=$G$107,K$107,$G187=$G$110,K$110,$G187=$G$140,K$140,$G187=$G$142,K$142,$G187=$G$408,K$408)</f>
        <v>BG sentinel + BG lure7</v>
      </c>
      <c r="O187" s="13" t="str">
        <f t="shared" si="12"/>
        <v>A_SP_BCN_3_220727</v>
      </c>
      <c r="P187" s="31">
        <v>44769</v>
      </c>
      <c r="Q187" s="29">
        <v>0.83680555555555547</v>
      </c>
      <c r="R187" s="41"/>
      <c r="S187" s="27">
        <v>44775</v>
      </c>
      <c r="T187" s="29">
        <v>0.82291666666666663</v>
      </c>
      <c r="V187" s="13" t="s">
        <v>86</v>
      </c>
      <c r="X187" s="13">
        <f t="shared" si="15"/>
        <v>6</v>
      </c>
      <c r="Z187" s="13" t="s">
        <v>60</v>
      </c>
      <c r="AA187" s="13">
        <f t="shared" si="19"/>
        <v>15</v>
      </c>
      <c r="AB187" s="13" t="str">
        <f t="shared" si="16"/>
        <v>Adult</v>
      </c>
      <c r="AC187" s="13">
        <v>8</v>
      </c>
      <c r="AD187" s="13">
        <v>7</v>
      </c>
      <c r="AE187" s="13" t="str">
        <f t="shared" si="17"/>
        <v>Morphological</v>
      </c>
      <c r="AF187" s="2">
        <v>4</v>
      </c>
    </row>
    <row r="188" spans="1:32" x14ac:dyDescent="0.25">
      <c r="A188" s="13">
        <v>184</v>
      </c>
      <c r="B188" s="23" t="s">
        <v>56</v>
      </c>
      <c r="C188" s="23" t="s">
        <v>57</v>
      </c>
      <c r="D188" s="23" t="s">
        <v>58</v>
      </c>
      <c r="E188" s="23" t="s">
        <v>58</v>
      </c>
      <c r="F188" s="35" cm="1">
        <f t="array" ref="F188">_xlfn.IFS($G188=$G$5,F$5,$G188=$G$7,F$7,$G188=$G$10,F$10,$G188=$G$13,F$13,$G188=$G$14,F$14,$G188=$G$16,F$16,$G188=$G$17,F$17,$G188=$G$19,F$19,$G188=$G$20,F$20,$G188=$G$22,F$22,$G188=$G$23,F$23,$G188=$G$26,F$26,$G188=$G$29,F$29,$G188=$G$31,F$31,$G188=$G$34,F$34,$G188=$G$37,F$37,$G188=$G$107,F$107,$G188=$G$110,F$110,$G188=$G$140,F$140,$G188=$G$142,F$142,$G188=$G$408,F$408)</f>
        <v>8016</v>
      </c>
      <c r="G188" s="13" t="s">
        <v>62</v>
      </c>
      <c r="H188" s="51" cm="1">
        <f t="array" ref="H188">_xlfn.IFS($G188=$G$5,H$5,$G188=$G$7,H$7,$G188=$G$10,H$10,$G188=$G$13,H$13,$G188=$G$14,H$14,$G188=$G$16,H$16,$G188=$G$17,H$17,$G188=$G$19,H$19,$G188=$G$20,H$20,$G188=$G$22,H$22,$G188=$G$23,H$23,$G188=$G$26,H$26,$G188=$G$29,H$29,$G188=$G$31,H$31,$G188=$G$34,H$34,$G188=$G$37,H$37,$G188=$G$107,H$107,$G188=$G$110,H$110,$G188=$G$140,H$140,$G188=$G$142,H$142,$G188=$G$408,H$408)</f>
        <v>41.437435000000001</v>
      </c>
      <c r="I188" s="51" cm="1">
        <f t="array" ref="I188">_xlfn.IFS($G188=$G$5,I$5,$G188=$G$7,I$7,$G188=$G$10,I$10,$G188=$G$13,I$13,$G188=$G$14,I$14,$G188=$G$16,I$16,$G188=$G$17,I$17,$G188=$G$19,I$19,$G188=$G$20,I$20,$G188=$G$22,I$22,$G188=$G$23,I$23,$G188=$G$26,I$26,$G188=$G$29,I$29,$G188=$G$31,I$31,$G188=$G$34,I$34,$G188=$G$37,I$37,$G188=$G$107,I$107,$G188=$G$110,I$110,$G188=$G$140,I$140,$G188=$G$142,I$142,$G188=$G$408,I$408)</f>
        <v>2.1812779999999998</v>
      </c>
      <c r="J188" s="51" cm="1">
        <f t="array" ref="J188">_xlfn.IFS($G188=$G$5,J$5,$G188=$G$7,J$7,$G188=$G$10,J$10,$G188=$G$13,J$13,$G188=$G$14,J$14,$G188=$G$16,J$16,$G188=$G$17,J$17,$G188=$G$19,J$19,$G188=$G$20,J$20,$G188=$G$22,J$22,$G188=$G$23,J$23,$G188=$G$26,J$26,$G188=$G$29,J$29,$G188=$G$31,J$31,$G188=$G$34,J$34,$G188=$G$37,J$37,$G188=$G$107,J$107,$G188=$G$110,J$110,$G188=$G$140,J$140,$G188=$G$142,J$142,$G188=$G$408,J$408)</f>
        <v>47</v>
      </c>
      <c r="K188" s="13" t="str" cm="1">
        <f t="array" ref="K188">_xlfn.IFS($G188=$G$5,K$5,$G188=$G$7,K$7,$G188=$G$10,K$10,$G188=$G$13,K$13,$G188=$G$14,K$14,$G188=$G$16,K$16,$G188=$G$17,K$17,$G188=$G$19,K$19,$G188=$G$20,K$20,$G188=$G$22,K$22,$G188=$G$23,K$23,$G188=$G$26,K$26,$G188=$G$29,K$29,$G188=$G$31,K$31,$G188=$G$34,K$34,$G188=$G$37,K$37,$G188=$G$107,K$107,$G188=$G$110,K$110,$G188=$G$140,K$140,$G188=$G$142,K$142,$G188=$G$408,K$408)</f>
        <v>BG sentinel + BG lure7</v>
      </c>
      <c r="O188" s="13" t="str">
        <f t="shared" si="12"/>
        <v>A_SP_BCN_3_220727</v>
      </c>
      <c r="P188" s="31">
        <v>44769</v>
      </c>
      <c r="Q188" s="29">
        <v>0.83680555555555547</v>
      </c>
      <c r="R188" s="41"/>
      <c r="S188" s="27">
        <v>44775</v>
      </c>
      <c r="T188" s="29">
        <v>0.82291666666666663</v>
      </c>
      <c r="V188" s="13" t="s">
        <v>86</v>
      </c>
      <c r="X188" s="13">
        <f t="shared" si="15"/>
        <v>6</v>
      </c>
      <c r="Z188" s="13" t="s">
        <v>164</v>
      </c>
      <c r="AA188" s="13">
        <f t="shared" si="19"/>
        <v>1</v>
      </c>
      <c r="AB188" s="13" t="str">
        <f t="shared" si="16"/>
        <v>Adult</v>
      </c>
      <c r="AC188" s="13">
        <v>1</v>
      </c>
      <c r="AD188" s="13">
        <v>0</v>
      </c>
      <c r="AE188" s="13" t="str">
        <f t="shared" si="17"/>
        <v>Morphological</v>
      </c>
      <c r="AF188" s="2">
        <v>4</v>
      </c>
    </row>
    <row r="189" spans="1:32" x14ac:dyDescent="0.25">
      <c r="A189" s="13">
        <v>185</v>
      </c>
      <c r="B189" s="23" t="s">
        <v>56</v>
      </c>
      <c r="C189" s="23" t="s">
        <v>57</v>
      </c>
      <c r="D189" s="23" t="s">
        <v>58</v>
      </c>
      <c r="E189" s="23" t="s">
        <v>58</v>
      </c>
      <c r="F189" s="35" cm="1">
        <f t="array" ref="F189">_xlfn.IFS($G189=$G$5,F$5,$G189=$G$7,F$7,$G189=$G$10,F$10,$G189=$G$13,F$13,$G189=$G$14,F$14,$G189=$G$16,F$16,$G189=$G$17,F$17,$G189=$G$19,F$19,$G189=$G$20,F$20,$G189=$G$22,F$22,$G189=$G$23,F$23,$G189=$G$26,F$26,$G189=$G$29,F$29,$G189=$G$31,F$31,$G189=$G$34,F$34,$G189=$G$37,F$37,$G189=$G$107,F$107,$G189=$G$110,F$110,$G189=$G$140,F$140,$G189=$G$142,F$142,$G189=$G$408,F$408)</f>
        <v>8016</v>
      </c>
      <c r="G189" s="13" t="s">
        <v>62</v>
      </c>
      <c r="H189" s="51" cm="1">
        <f t="array" ref="H189">_xlfn.IFS($G189=$G$5,H$5,$G189=$G$7,H$7,$G189=$G$10,H$10,$G189=$G$13,H$13,$G189=$G$14,H$14,$G189=$G$16,H$16,$G189=$G$17,H$17,$G189=$G$19,H$19,$G189=$G$20,H$20,$G189=$G$22,H$22,$G189=$G$23,H$23,$G189=$G$26,H$26,$G189=$G$29,H$29,$G189=$G$31,H$31,$G189=$G$34,H$34,$G189=$G$37,H$37,$G189=$G$107,H$107,$G189=$G$110,H$110,$G189=$G$140,H$140,$G189=$G$142,H$142,$G189=$G$408,H$408)</f>
        <v>41.437435000000001</v>
      </c>
      <c r="I189" s="51" cm="1">
        <f t="array" ref="I189">_xlfn.IFS($G189=$G$5,I$5,$G189=$G$7,I$7,$G189=$G$10,I$10,$G189=$G$13,I$13,$G189=$G$14,I$14,$G189=$G$16,I$16,$G189=$G$17,I$17,$G189=$G$19,I$19,$G189=$G$20,I$20,$G189=$G$22,I$22,$G189=$G$23,I$23,$G189=$G$26,I$26,$G189=$G$29,I$29,$G189=$G$31,I$31,$G189=$G$34,I$34,$G189=$G$37,I$37,$G189=$G$107,I$107,$G189=$G$110,I$110,$G189=$G$140,I$140,$G189=$G$142,I$142,$G189=$G$408,I$408)</f>
        <v>2.1812779999999998</v>
      </c>
      <c r="J189" s="51" cm="1">
        <f t="array" ref="J189">_xlfn.IFS($G189=$G$5,J$5,$G189=$G$7,J$7,$G189=$G$10,J$10,$G189=$G$13,J$13,$G189=$G$14,J$14,$G189=$G$16,J$16,$G189=$G$17,J$17,$G189=$G$19,J$19,$G189=$G$20,J$20,$G189=$G$22,J$22,$G189=$G$23,J$23,$G189=$G$26,J$26,$G189=$G$29,J$29,$G189=$G$31,J$31,$G189=$G$34,J$34,$G189=$G$37,J$37,$G189=$G$107,J$107,$G189=$G$110,J$110,$G189=$G$140,J$140,$G189=$G$142,J$142,$G189=$G$408,J$408)</f>
        <v>47</v>
      </c>
      <c r="K189" s="13" t="str" cm="1">
        <f t="array" ref="K189">_xlfn.IFS($G189=$G$5,K$5,$G189=$G$7,K$7,$G189=$G$10,K$10,$G189=$G$13,K$13,$G189=$G$14,K$14,$G189=$G$16,K$16,$G189=$G$17,K$17,$G189=$G$19,K$19,$G189=$G$20,K$20,$G189=$G$22,K$22,$G189=$G$23,K$23,$G189=$G$26,K$26,$G189=$G$29,K$29,$G189=$G$31,K$31,$G189=$G$34,K$34,$G189=$G$37,K$37,$G189=$G$107,K$107,$G189=$G$110,K$110,$G189=$G$140,K$140,$G189=$G$142,K$142,$G189=$G$408,K$408)</f>
        <v>BG sentinel + BG lure7</v>
      </c>
      <c r="O189" s="13" t="str">
        <f t="shared" si="12"/>
        <v>A_SP_BCN_3_220727</v>
      </c>
      <c r="P189" s="31">
        <v>44769</v>
      </c>
      <c r="Q189" s="29">
        <v>0.83680555555555547</v>
      </c>
      <c r="R189" s="41"/>
      <c r="S189" s="27">
        <v>44775</v>
      </c>
      <c r="T189" s="29">
        <v>0.82291666666666663</v>
      </c>
      <c r="V189" s="13" t="s">
        <v>86</v>
      </c>
      <c r="X189" s="13">
        <f t="shared" si="15"/>
        <v>6</v>
      </c>
      <c r="Z189" s="32" t="s">
        <v>163</v>
      </c>
      <c r="AA189" s="13">
        <f t="shared" si="19"/>
        <v>4</v>
      </c>
      <c r="AB189" s="13" t="str">
        <f t="shared" si="16"/>
        <v>Adult</v>
      </c>
      <c r="AC189" s="13">
        <v>3</v>
      </c>
      <c r="AD189" s="13">
        <v>1</v>
      </c>
      <c r="AE189" s="13" t="str">
        <f t="shared" si="17"/>
        <v>Morphological</v>
      </c>
      <c r="AF189" s="2">
        <v>4</v>
      </c>
    </row>
    <row r="190" spans="1:32" x14ac:dyDescent="0.25">
      <c r="A190" s="13">
        <v>186</v>
      </c>
      <c r="B190" s="23" t="s">
        <v>56</v>
      </c>
      <c r="C190" s="23" t="s">
        <v>57</v>
      </c>
      <c r="D190" s="23" t="s">
        <v>58</v>
      </c>
      <c r="E190" s="23" t="s">
        <v>58</v>
      </c>
      <c r="F190" s="35" cm="1">
        <f t="array" ref="F190">_xlfn.IFS($G190=$G$5,F$5,$G190=$G$7,F$7,$G190=$G$10,F$10,$G190=$G$13,F$13,$G190=$G$14,F$14,$G190=$G$16,F$16,$G190=$G$17,F$17,$G190=$G$19,F$19,$G190=$G$20,F$20,$G190=$G$22,F$22,$G190=$G$23,F$23,$G190=$G$26,F$26,$G190=$G$29,F$29,$G190=$G$31,F$31,$G190=$G$34,F$34,$G190=$G$37,F$37,$G190=$G$107,F$107,$G190=$G$110,F$110,$G190=$G$140,F$140,$G190=$G$142,F$142,$G190=$G$408,F$408)</f>
        <v>8018</v>
      </c>
      <c r="G190" s="13" t="s">
        <v>63</v>
      </c>
      <c r="H190" s="51" cm="1">
        <f t="array" ref="H190">_xlfn.IFS($G190=$G$5,H$5,$G190=$G$7,H$7,$G190=$G$10,H$10,$G190=$G$13,H$13,$G190=$G$14,H$14,$G190=$G$16,H$16,$G190=$G$17,H$17,$G190=$G$19,H$19,$G190=$G$20,H$20,$G190=$G$22,H$22,$G190=$G$23,H$23,$G190=$G$26,H$26,$G190=$G$29,H$29,$G190=$G$31,H$31,$G190=$G$34,H$34,$G190=$G$37,H$37,$G190=$G$107,H$107,$G190=$G$110,H$110,$G190=$G$140,H$140,$G190=$G$142,H$142,$G190=$G$408,H$408)</f>
        <v>41.404924999999999</v>
      </c>
      <c r="I190" s="51" cm="1">
        <f t="array" ref="I190">_xlfn.IFS($G190=$G$5,I$5,$G190=$G$7,I$7,$G190=$G$10,I$10,$G190=$G$13,I$13,$G190=$G$14,I$14,$G190=$G$16,I$16,$G190=$G$17,I$17,$G190=$G$19,I$19,$G190=$G$20,I$20,$G190=$G$22,I$22,$G190=$G$23,I$23,$G190=$G$26,I$26,$G190=$G$29,I$29,$G190=$G$31,I$31,$G190=$G$34,I$34,$G190=$G$37,I$37,$G190=$G$107,I$107,$G190=$G$110,I$110,$G190=$G$140,I$140,$G190=$G$142,I$142,$G190=$G$408,I$408)</f>
        <v>2.1987909999999999</v>
      </c>
      <c r="J190" s="51" cm="1">
        <f t="array" ref="J190">_xlfn.IFS($G190=$G$5,J$5,$G190=$G$7,J$7,$G190=$G$10,J$10,$G190=$G$13,J$13,$G190=$G$14,J$14,$G190=$G$16,J$16,$G190=$G$17,J$17,$G190=$G$19,J$19,$G190=$G$20,J$20,$G190=$G$22,J$22,$G190=$G$23,J$23,$G190=$G$26,J$26,$G190=$G$29,J$29,$G190=$G$31,J$31,$G190=$G$34,J$34,$G190=$G$37,J$37,$G190=$G$107,J$107,$G190=$G$110,J$110,$G190=$G$140,J$140,$G190=$G$142,J$142,$G190=$G$408,J$408)</f>
        <v>4</v>
      </c>
      <c r="K190" s="13" t="str" cm="1">
        <f t="array" ref="K190">_xlfn.IFS($G190=$G$5,K$5,$G190=$G$7,K$7,$G190=$G$10,K$10,$G190=$G$13,K$13,$G190=$G$14,K$14,$G190=$G$16,K$16,$G190=$G$17,K$17,$G190=$G$19,K$19,$G190=$G$20,K$20,$G190=$G$22,K$22,$G190=$G$23,K$23,$G190=$G$26,K$26,$G190=$G$29,K$29,$G190=$G$31,K$31,$G190=$G$34,K$34,$G190=$G$37,K$37,$G190=$G$107,K$107,$G190=$G$110,K$110,$G190=$G$140,K$140,$G190=$G$142,K$142,$G190=$G$408,K$408)</f>
        <v>BG sentinel + BG lure7</v>
      </c>
      <c r="O190" s="13" t="str">
        <f t="shared" si="12"/>
        <v>A_SP_BCN_4_220727</v>
      </c>
      <c r="P190" s="31">
        <v>44769</v>
      </c>
      <c r="Q190" s="29">
        <v>0.80902777777777779</v>
      </c>
      <c r="R190" s="41"/>
      <c r="S190" s="27">
        <v>44775</v>
      </c>
      <c r="T190" s="29">
        <v>0.80208333333333337</v>
      </c>
      <c r="V190" s="13" t="s">
        <v>86</v>
      </c>
      <c r="X190" s="13">
        <f t="shared" si="15"/>
        <v>6</v>
      </c>
      <c r="Z190" s="13" t="s">
        <v>60</v>
      </c>
      <c r="AA190" s="13">
        <f t="shared" si="19"/>
        <v>23</v>
      </c>
      <c r="AB190" s="13" t="str">
        <f t="shared" si="16"/>
        <v>Adult</v>
      </c>
      <c r="AC190" s="13">
        <v>11</v>
      </c>
      <c r="AD190" s="13">
        <v>12</v>
      </c>
      <c r="AE190" s="13" t="str">
        <f t="shared" si="17"/>
        <v>Morphological</v>
      </c>
      <c r="AF190" s="2">
        <v>4</v>
      </c>
    </row>
    <row r="191" spans="1:32" x14ac:dyDescent="0.25">
      <c r="A191" s="13">
        <v>187</v>
      </c>
      <c r="B191" s="23" t="s">
        <v>56</v>
      </c>
      <c r="C191" s="23" t="s">
        <v>57</v>
      </c>
      <c r="D191" s="23" t="s">
        <v>58</v>
      </c>
      <c r="E191" s="23" t="s">
        <v>58</v>
      </c>
      <c r="F191" s="35" cm="1">
        <f t="array" ref="F191">_xlfn.IFS($G191=$G$5,F$5,$G191=$G$7,F$7,$G191=$G$10,F$10,$G191=$G$13,F$13,$G191=$G$14,F$14,$G191=$G$16,F$16,$G191=$G$17,F$17,$G191=$G$19,F$19,$G191=$G$20,F$20,$G191=$G$22,F$22,$G191=$G$23,F$23,$G191=$G$26,F$26,$G191=$G$29,F$29,$G191=$G$31,F$31,$G191=$G$34,F$34,$G191=$G$37,F$37,$G191=$G$107,F$107,$G191=$G$110,F$110,$G191=$G$140,F$140,$G191=$G$142,F$142,$G191=$G$408,F$408)</f>
        <v>8018</v>
      </c>
      <c r="G191" s="13" t="s">
        <v>63</v>
      </c>
      <c r="H191" s="51" cm="1">
        <f t="array" ref="H191">_xlfn.IFS($G191=$G$5,H$5,$G191=$G$7,H$7,$G191=$G$10,H$10,$G191=$G$13,H$13,$G191=$G$14,H$14,$G191=$G$16,H$16,$G191=$G$17,H$17,$G191=$G$19,H$19,$G191=$G$20,H$20,$G191=$G$22,H$22,$G191=$G$23,H$23,$G191=$G$26,H$26,$G191=$G$29,H$29,$G191=$G$31,H$31,$G191=$G$34,H$34,$G191=$G$37,H$37,$G191=$G$107,H$107,$G191=$G$110,H$110,$G191=$G$140,H$140,$G191=$G$142,H$142,$G191=$G$408,H$408)</f>
        <v>41.404924999999999</v>
      </c>
      <c r="I191" s="51" cm="1">
        <f t="array" ref="I191">_xlfn.IFS($G191=$G$5,I$5,$G191=$G$7,I$7,$G191=$G$10,I$10,$G191=$G$13,I$13,$G191=$G$14,I$14,$G191=$G$16,I$16,$G191=$G$17,I$17,$G191=$G$19,I$19,$G191=$G$20,I$20,$G191=$G$22,I$22,$G191=$G$23,I$23,$G191=$G$26,I$26,$G191=$G$29,I$29,$G191=$G$31,I$31,$G191=$G$34,I$34,$G191=$G$37,I$37,$G191=$G$107,I$107,$G191=$G$110,I$110,$G191=$G$140,I$140,$G191=$G$142,I$142,$G191=$G$408,I$408)</f>
        <v>2.1987909999999999</v>
      </c>
      <c r="J191" s="51" cm="1">
        <f t="array" ref="J191">_xlfn.IFS($G191=$G$5,J$5,$G191=$G$7,J$7,$G191=$G$10,J$10,$G191=$G$13,J$13,$G191=$G$14,J$14,$G191=$G$16,J$16,$G191=$G$17,J$17,$G191=$G$19,J$19,$G191=$G$20,J$20,$G191=$G$22,J$22,$G191=$G$23,J$23,$G191=$G$26,J$26,$G191=$G$29,J$29,$G191=$G$31,J$31,$G191=$G$34,J$34,$G191=$G$37,J$37,$G191=$G$107,J$107,$G191=$G$110,J$110,$G191=$G$140,J$140,$G191=$G$142,J$142,$G191=$G$408,J$408)</f>
        <v>4</v>
      </c>
      <c r="K191" s="13" t="str" cm="1">
        <f t="array" ref="K191">_xlfn.IFS($G191=$G$5,K$5,$G191=$G$7,K$7,$G191=$G$10,K$10,$G191=$G$13,K$13,$G191=$G$14,K$14,$G191=$G$16,K$16,$G191=$G$17,K$17,$G191=$G$19,K$19,$G191=$G$20,K$20,$G191=$G$22,K$22,$G191=$G$23,K$23,$G191=$G$26,K$26,$G191=$G$29,K$29,$G191=$G$31,K$31,$G191=$G$34,K$34,$G191=$G$37,K$37,$G191=$G$107,K$107,$G191=$G$110,K$110,$G191=$G$140,K$140,$G191=$G$142,K$142,$G191=$G$408,K$408)</f>
        <v>BG sentinel + BG lure7</v>
      </c>
      <c r="O191" s="13" t="str">
        <f t="shared" si="12"/>
        <v>A_SP_BCN_4_220727</v>
      </c>
      <c r="P191" s="31">
        <v>44769</v>
      </c>
      <c r="Q191" s="29">
        <v>0.80902777777777779</v>
      </c>
      <c r="R191" s="41"/>
      <c r="S191" s="27">
        <v>44775</v>
      </c>
      <c r="T191" s="29">
        <v>0.80208333333333337</v>
      </c>
      <c r="V191" s="13" t="s">
        <v>86</v>
      </c>
      <c r="X191" s="13">
        <f t="shared" si="15"/>
        <v>6</v>
      </c>
      <c r="Z191" s="13" t="s">
        <v>164</v>
      </c>
      <c r="AA191" s="13">
        <f t="shared" si="19"/>
        <v>3</v>
      </c>
      <c r="AB191" s="13" t="str">
        <f t="shared" si="16"/>
        <v>Adult</v>
      </c>
      <c r="AC191" s="13">
        <v>2</v>
      </c>
      <c r="AD191" s="13">
        <v>1</v>
      </c>
      <c r="AE191" s="13" t="str">
        <f t="shared" si="17"/>
        <v>Morphological</v>
      </c>
      <c r="AF191" s="2">
        <v>4</v>
      </c>
    </row>
    <row r="192" spans="1:32" x14ac:dyDescent="0.25">
      <c r="A192" s="13">
        <v>188</v>
      </c>
      <c r="B192" s="23" t="s">
        <v>56</v>
      </c>
      <c r="C192" s="23" t="s">
        <v>57</v>
      </c>
      <c r="D192" s="23" t="s">
        <v>58</v>
      </c>
      <c r="E192" s="23" t="s">
        <v>58</v>
      </c>
      <c r="F192" s="35" cm="1">
        <f t="array" ref="F192">_xlfn.IFS($G192=$G$5,F$5,$G192=$G$7,F$7,$G192=$G$10,F$10,$G192=$G$13,F$13,$G192=$G$14,F$14,$G192=$G$16,F$16,$G192=$G$17,F$17,$G192=$G$19,F$19,$G192=$G$20,F$20,$G192=$G$22,F$22,$G192=$G$23,F$23,$G192=$G$26,F$26,$G192=$G$29,F$29,$G192=$G$31,F$31,$G192=$G$34,F$34,$G192=$G$37,F$37,$G192=$G$107,F$107,$G192=$G$110,F$110,$G192=$G$140,F$140,$G192=$G$142,F$142,$G192=$G$408,F$408)</f>
        <v>8019</v>
      </c>
      <c r="G192" s="13" t="s">
        <v>64</v>
      </c>
      <c r="H192" s="51" cm="1">
        <f t="array" ref="H192">_xlfn.IFS($G192=$G$5,H$5,$G192=$G$7,H$7,$G192=$G$10,H$10,$G192=$G$13,H$13,$G192=$G$14,H$14,$G192=$G$16,H$16,$G192=$G$17,H$17,$G192=$G$19,H$19,$G192=$G$20,H$20,$G192=$G$22,H$22,$G192=$G$23,H$23,$G192=$G$26,H$26,$G192=$G$29,H$29,$G192=$G$31,H$31,$G192=$G$34,H$34,$G192=$G$37,H$37,$G192=$G$107,H$107,$G192=$G$110,H$110,$G192=$G$140,H$140,$G192=$G$142,H$142,$G192=$G$408,H$408)</f>
        <v>41.410684000000003</v>
      </c>
      <c r="I192" s="51" cm="1">
        <f t="array" ref="I192">_xlfn.IFS($G192=$G$5,I$5,$G192=$G$7,I$7,$G192=$G$10,I$10,$G192=$G$13,I$13,$G192=$G$14,I$14,$G192=$G$16,I$16,$G192=$G$17,I$17,$G192=$G$19,I$19,$G192=$G$20,I$20,$G192=$G$22,I$22,$G192=$G$23,I$23,$G192=$G$26,I$26,$G192=$G$29,I$29,$G192=$G$31,I$31,$G192=$G$34,I$34,$G192=$G$37,I$37,$G192=$G$107,I$107,$G192=$G$110,I$110,$G192=$G$140,I$140,$G192=$G$142,I$142,$G192=$G$408,I$408)</f>
        <v>2.2208019999999999</v>
      </c>
      <c r="J192" s="51" cm="1">
        <f t="array" ref="J192">_xlfn.IFS($G192=$G$5,J$5,$G192=$G$7,J$7,$G192=$G$10,J$10,$G192=$G$13,J$13,$G192=$G$14,J$14,$G192=$G$16,J$16,$G192=$G$17,J$17,$G192=$G$19,J$19,$G192=$G$20,J$20,$G192=$G$22,J$22,$G192=$G$23,J$23,$G192=$G$26,J$26,$G192=$G$29,J$29,$G192=$G$31,J$31,$G192=$G$34,J$34,$G192=$G$37,J$37,$G192=$G$107,J$107,$G192=$G$110,J$110,$G192=$G$140,J$140,$G192=$G$142,J$142,$G192=$G$408,J$408)</f>
        <v>18</v>
      </c>
      <c r="K192" s="13" t="str" cm="1">
        <f t="array" ref="K192">_xlfn.IFS($G192=$G$5,K$5,$G192=$G$7,K$7,$G192=$G$10,K$10,$G192=$G$13,K$13,$G192=$G$14,K$14,$G192=$G$16,K$16,$G192=$G$17,K$17,$G192=$G$19,K$19,$G192=$G$20,K$20,$G192=$G$22,K$22,$G192=$G$23,K$23,$G192=$G$26,K$26,$G192=$G$29,K$29,$G192=$G$31,K$31,$G192=$G$34,K$34,$G192=$G$37,K$37,$G192=$G$107,K$107,$G192=$G$110,K$110,$G192=$G$140,K$140,$G192=$G$142,K$142,$G192=$G$408,K$408)</f>
        <v>BG sentinel + BG lure7</v>
      </c>
      <c r="O192" s="13" t="str">
        <f t="shared" si="12"/>
        <v>A_SP_BCN_5_220727</v>
      </c>
      <c r="P192" s="31">
        <v>44769</v>
      </c>
      <c r="Q192" s="29">
        <v>0.81944444444444453</v>
      </c>
      <c r="R192" s="41"/>
      <c r="S192" s="27">
        <v>44775</v>
      </c>
      <c r="T192" s="29">
        <v>0.78472222222222221</v>
      </c>
      <c r="V192" s="13" t="s">
        <v>86</v>
      </c>
      <c r="X192" s="13">
        <f t="shared" si="15"/>
        <v>6</v>
      </c>
      <c r="Z192" s="13" t="s">
        <v>164</v>
      </c>
      <c r="AA192" s="13">
        <f t="shared" si="19"/>
        <v>6</v>
      </c>
      <c r="AB192" s="13" t="str">
        <f t="shared" si="16"/>
        <v>Adult</v>
      </c>
      <c r="AC192" s="13">
        <v>5</v>
      </c>
      <c r="AD192" s="13">
        <v>1</v>
      </c>
      <c r="AE192" s="13" t="str">
        <f t="shared" si="17"/>
        <v>Morphological</v>
      </c>
      <c r="AF192" s="2">
        <v>4</v>
      </c>
    </row>
    <row r="193" spans="1:32" x14ac:dyDescent="0.25">
      <c r="A193" s="13">
        <v>189</v>
      </c>
      <c r="B193" s="23" t="s">
        <v>56</v>
      </c>
      <c r="C193" s="23" t="s">
        <v>57</v>
      </c>
      <c r="D193" s="23" t="s">
        <v>58</v>
      </c>
      <c r="E193" s="23" t="s">
        <v>58</v>
      </c>
      <c r="F193" s="35" cm="1">
        <f t="array" ref="F193">_xlfn.IFS($G193=$G$5,F$5,$G193=$G$7,F$7,$G193=$G$10,F$10,$G193=$G$13,F$13,$G193=$G$14,F$14,$G193=$G$16,F$16,$G193=$G$17,F$17,$G193=$G$19,F$19,$G193=$G$20,F$20,$G193=$G$22,F$22,$G193=$G$23,F$23,$G193=$G$26,F$26,$G193=$G$29,F$29,$G193=$G$31,F$31,$G193=$G$34,F$34,$G193=$G$37,F$37,$G193=$G$107,F$107,$G193=$G$110,F$110,$G193=$G$140,F$140,$G193=$G$142,F$142,$G193=$G$408,F$408)</f>
        <v>8002</v>
      </c>
      <c r="G193" s="13" t="s">
        <v>65</v>
      </c>
      <c r="H193" s="51" cm="1">
        <f t="array" ref="H193">_xlfn.IFS($G193=$G$5,H$5,$G193=$G$7,H$7,$G193=$G$10,H$10,$G193=$G$13,H$13,$G193=$G$14,H$14,$G193=$G$16,H$16,$G193=$G$17,H$17,$G193=$G$19,H$19,$G193=$G$20,H$20,$G193=$G$22,H$22,$G193=$G$23,H$23,$G193=$G$26,H$26,$G193=$G$29,H$29,$G193=$G$31,H$31,$G193=$G$34,H$34,$G193=$G$37,H$37,$G193=$G$107,H$107,$G193=$G$110,H$110,$G193=$G$140,H$140,$G193=$G$142,H$142,$G193=$G$408,H$408)</f>
        <v>41.382339999999999</v>
      </c>
      <c r="I193" s="51" cm="1">
        <f t="array" ref="I193">_xlfn.IFS($G193=$G$5,I$5,$G193=$G$7,I$7,$G193=$G$10,I$10,$G193=$G$13,I$13,$G193=$G$14,I$14,$G193=$G$16,I$16,$G193=$G$17,I$17,$G193=$G$19,I$19,$G193=$G$20,I$20,$G193=$G$22,I$22,$G193=$G$23,I$23,$G193=$G$26,I$26,$G193=$G$29,I$29,$G193=$G$31,I$31,$G193=$G$34,I$34,$G193=$G$37,I$37,$G193=$G$107,I$107,$G193=$G$110,I$110,$G193=$G$140,I$140,$G193=$G$142,I$142,$G193=$G$408,I$408)</f>
        <v>2.1714790000000002</v>
      </c>
      <c r="J193" s="51" cm="1">
        <f t="array" ref="J193">_xlfn.IFS($G193=$G$5,J$5,$G193=$G$7,J$7,$G193=$G$10,J$10,$G193=$G$13,J$13,$G193=$G$14,J$14,$G193=$G$16,J$16,$G193=$G$17,J$17,$G193=$G$19,J$19,$G193=$G$20,J$20,$G193=$G$22,J$22,$G193=$G$23,J$23,$G193=$G$26,J$26,$G193=$G$29,J$29,$G193=$G$31,J$31,$G193=$G$34,J$34,$G193=$G$37,J$37,$G193=$G$107,J$107,$G193=$G$110,J$110,$G193=$G$140,J$140,$G193=$G$142,J$142,$G193=$G$408,J$408)</f>
        <v>19</v>
      </c>
      <c r="K193" s="13" t="str" cm="1">
        <f t="array" ref="K193">_xlfn.IFS($G193=$G$5,K$5,$G193=$G$7,K$7,$G193=$G$10,K$10,$G193=$G$13,K$13,$G193=$G$14,K$14,$G193=$G$16,K$16,$G193=$G$17,K$17,$G193=$G$19,K$19,$G193=$G$20,K$20,$G193=$G$22,K$22,$G193=$G$23,K$23,$G193=$G$26,K$26,$G193=$G$29,K$29,$G193=$G$31,K$31,$G193=$G$34,K$34,$G193=$G$37,K$37,$G193=$G$107,K$107,$G193=$G$110,K$110,$G193=$G$140,K$140,$G193=$G$142,K$142,$G193=$G$408,K$408)</f>
        <v>BG sentinel + BG lure7</v>
      </c>
      <c r="O193" s="13" t="str">
        <f t="shared" si="12"/>
        <v>A_SP_BCN_6_220727</v>
      </c>
      <c r="P193" s="31">
        <v>44769</v>
      </c>
      <c r="Q193" s="29">
        <v>0.78125</v>
      </c>
      <c r="R193" s="41"/>
      <c r="S193" s="27">
        <v>44775</v>
      </c>
      <c r="T193" s="29">
        <v>0.85416666666666663</v>
      </c>
      <c r="V193" s="13" t="s">
        <v>86</v>
      </c>
      <c r="X193" s="13">
        <f t="shared" si="15"/>
        <v>6</v>
      </c>
      <c r="Z193" s="13" t="s">
        <v>60</v>
      </c>
      <c r="AA193" s="13">
        <f t="shared" si="19"/>
        <v>1</v>
      </c>
      <c r="AB193" s="13" t="str">
        <f t="shared" si="16"/>
        <v>Adult</v>
      </c>
      <c r="AC193" s="13">
        <v>1</v>
      </c>
      <c r="AD193" s="13">
        <v>0</v>
      </c>
      <c r="AE193" s="13" t="str">
        <f t="shared" si="17"/>
        <v>Morphological</v>
      </c>
      <c r="AF193" s="2">
        <v>4</v>
      </c>
    </row>
    <row r="194" spans="1:32" x14ac:dyDescent="0.25">
      <c r="A194" s="13">
        <v>190</v>
      </c>
      <c r="B194" s="23" t="s">
        <v>56</v>
      </c>
      <c r="C194" s="23" t="s">
        <v>57</v>
      </c>
      <c r="D194" s="23" t="s">
        <v>58</v>
      </c>
      <c r="E194" s="23" t="s">
        <v>58</v>
      </c>
      <c r="F194" s="35" cm="1">
        <f t="array" ref="F194">_xlfn.IFS($G194=$G$5,F$5,$G194=$G$7,F$7,$G194=$G$10,F$10,$G194=$G$13,F$13,$G194=$G$14,F$14,$G194=$G$16,F$16,$G194=$G$17,F$17,$G194=$G$19,F$19,$G194=$G$20,F$20,$G194=$G$22,F$22,$G194=$G$23,F$23,$G194=$G$26,F$26,$G194=$G$29,F$29,$G194=$G$31,F$31,$G194=$G$34,F$34,$G194=$G$37,F$37,$G194=$G$107,F$107,$G194=$G$110,F$110,$G194=$G$140,F$140,$G194=$G$142,F$142,$G194=$G$408,F$408)</f>
        <v>8040</v>
      </c>
      <c r="G194" s="13" t="s">
        <v>68</v>
      </c>
      <c r="H194" s="51" cm="1">
        <f t="array" ref="H194">_xlfn.IFS($G194=$G$5,H$5,$G194=$G$7,H$7,$G194=$G$10,H$10,$G194=$G$13,H$13,$G194=$G$14,H$14,$G194=$G$16,H$16,$G194=$G$17,H$17,$G194=$G$19,H$19,$G194=$G$20,H$20,$G194=$G$22,H$22,$G194=$G$23,H$23,$G194=$G$26,H$26,$G194=$G$29,H$29,$G194=$G$31,H$31,$G194=$G$34,H$34,$G194=$G$37,H$37,$G194=$G$107,H$107,$G194=$G$110,H$110,$G194=$G$140,H$140,$G194=$G$142,H$142,$G194=$G$408,H$408)</f>
        <v>41.343685000000001</v>
      </c>
      <c r="I194" s="51" cm="1">
        <f t="array" ref="I194">_xlfn.IFS($G194=$G$5,I$5,$G194=$G$7,I$7,$G194=$G$10,I$10,$G194=$G$13,I$13,$G194=$G$14,I$14,$G194=$G$16,I$16,$G194=$G$17,I$17,$G194=$G$19,I$19,$G194=$G$20,I$20,$G194=$G$22,I$22,$G194=$G$23,I$23,$G194=$G$26,I$26,$G194=$G$29,I$29,$G194=$G$31,I$31,$G194=$G$34,I$34,$G194=$G$37,I$37,$G194=$G$107,I$107,$G194=$G$110,I$110,$G194=$G$140,I$140,$G194=$G$142,I$142,$G194=$G$408,I$408)</f>
        <v>2.1441490000000001</v>
      </c>
      <c r="J194" s="51" cm="1">
        <f t="array" ref="J194">_xlfn.IFS($G194=$G$5,J$5,$G194=$G$7,J$7,$G194=$G$10,J$10,$G194=$G$13,J$13,$G194=$G$14,J$14,$G194=$G$16,J$16,$G194=$G$17,J$17,$G194=$G$19,J$19,$G194=$G$20,J$20,$G194=$G$22,J$22,$G194=$G$23,J$23,$G194=$G$26,J$26,$G194=$G$29,J$29,$G194=$G$31,J$31,$G194=$G$34,J$34,$G194=$G$37,J$37,$G194=$G$107,J$107,$G194=$G$110,J$110,$G194=$G$140,J$140,$G194=$G$142,J$142,$G194=$G$408,J$408)</f>
        <v>4</v>
      </c>
      <c r="K194" s="13" t="str" cm="1">
        <f t="array" ref="K194">_xlfn.IFS($G194=$G$5,K$5,$G194=$G$7,K$7,$G194=$G$10,K$10,$G194=$G$13,K$13,$G194=$G$14,K$14,$G194=$G$16,K$16,$G194=$G$17,K$17,$G194=$G$19,K$19,$G194=$G$20,K$20,$G194=$G$22,K$22,$G194=$G$23,K$23,$G194=$G$26,K$26,$G194=$G$29,K$29,$G194=$G$31,K$31,$G194=$G$34,K$34,$G194=$G$37,K$37,$G194=$G$107,K$107,$G194=$G$110,K$110,$G194=$G$140,K$140,$G194=$G$142,K$142,$G194=$G$408,K$408)</f>
        <v>BG sentinel + BG lure7</v>
      </c>
      <c r="O194" s="13" t="str">
        <f t="shared" si="12"/>
        <v>A_SP_BCN_10_220727</v>
      </c>
      <c r="P194" s="31">
        <v>44769</v>
      </c>
      <c r="Q194" s="29">
        <v>0.53125</v>
      </c>
      <c r="R194" s="41"/>
      <c r="S194" s="27">
        <v>44775</v>
      </c>
      <c r="T194" s="29">
        <v>0.59375</v>
      </c>
      <c r="V194" s="13" t="s">
        <v>86</v>
      </c>
      <c r="X194" s="13">
        <f t="shared" si="15"/>
        <v>6</v>
      </c>
      <c r="Z194" s="13" t="s">
        <v>60</v>
      </c>
      <c r="AA194" s="13">
        <f t="shared" si="19"/>
        <v>16</v>
      </c>
      <c r="AB194" s="13" t="str">
        <f t="shared" si="16"/>
        <v>Adult</v>
      </c>
      <c r="AC194" s="13">
        <v>5</v>
      </c>
      <c r="AD194" s="13">
        <v>11</v>
      </c>
      <c r="AE194" s="13" t="str">
        <f t="shared" si="17"/>
        <v>Morphological</v>
      </c>
      <c r="AF194" s="2">
        <v>4</v>
      </c>
    </row>
    <row r="195" spans="1:32" x14ac:dyDescent="0.25">
      <c r="A195" s="13">
        <v>191</v>
      </c>
      <c r="B195" s="23" t="s">
        <v>56</v>
      </c>
      <c r="C195" s="23" t="s">
        <v>57</v>
      </c>
      <c r="D195" s="23" t="s">
        <v>58</v>
      </c>
      <c r="E195" s="23" t="s">
        <v>58</v>
      </c>
      <c r="F195" s="35" cm="1">
        <f t="array" ref="F195">_xlfn.IFS($G195=$G$5,F$5,$G195=$G$7,F$7,$G195=$G$10,F$10,$G195=$G$13,F$13,$G195=$G$14,F$14,$G195=$G$16,F$16,$G195=$G$17,F$17,$G195=$G$19,F$19,$G195=$G$20,F$20,$G195=$G$22,F$22,$G195=$G$23,F$23,$G195=$G$26,F$26,$G195=$G$29,F$29,$G195=$G$31,F$31,$G195=$G$34,F$34,$G195=$G$37,F$37,$G195=$G$107,F$107,$G195=$G$110,F$110,$G195=$G$140,F$140,$G195=$G$142,F$142,$G195=$G$408,F$408)</f>
        <v>8040</v>
      </c>
      <c r="G195" s="13" t="s">
        <v>68</v>
      </c>
      <c r="H195" s="51" cm="1">
        <f t="array" ref="H195">_xlfn.IFS($G195=$G$5,H$5,$G195=$G$7,H$7,$G195=$G$10,H$10,$G195=$G$13,H$13,$G195=$G$14,H$14,$G195=$G$16,H$16,$G195=$G$17,H$17,$G195=$G$19,H$19,$G195=$G$20,H$20,$G195=$G$22,H$22,$G195=$G$23,H$23,$G195=$G$26,H$26,$G195=$G$29,H$29,$G195=$G$31,H$31,$G195=$G$34,H$34,$G195=$G$37,H$37,$G195=$G$107,H$107,$G195=$G$110,H$110,$G195=$G$140,H$140,$G195=$G$142,H$142,$G195=$G$408,H$408)</f>
        <v>41.343685000000001</v>
      </c>
      <c r="I195" s="51" cm="1">
        <f t="array" ref="I195">_xlfn.IFS($G195=$G$5,I$5,$G195=$G$7,I$7,$G195=$G$10,I$10,$G195=$G$13,I$13,$G195=$G$14,I$14,$G195=$G$16,I$16,$G195=$G$17,I$17,$G195=$G$19,I$19,$G195=$G$20,I$20,$G195=$G$22,I$22,$G195=$G$23,I$23,$G195=$G$26,I$26,$G195=$G$29,I$29,$G195=$G$31,I$31,$G195=$G$34,I$34,$G195=$G$37,I$37,$G195=$G$107,I$107,$G195=$G$110,I$110,$G195=$G$140,I$140,$G195=$G$142,I$142,$G195=$G$408,I$408)</f>
        <v>2.1441490000000001</v>
      </c>
      <c r="J195" s="51" cm="1">
        <f t="array" ref="J195">_xlfn.IFS($G195=$G$5,J$5,$G195=$G$7,J$7,$G195=$G$10,J$10,$G195=$G$13,J$13,$G195=$G$14,J$14,$G195=$G$16,J$16,$G195=$G$17,J$17,$G195=$G$19,J$19,$G195=$G$20,J$20,$G195=$G$22,J$22,$G195=$G$23,J$23,$G195=$G$26,J$26,$G195=$G$29,J$29,$G195=$G$31,J$31,$G195=$G$34,J$34,$G195=$G$37,J$37,$G195=$G$107,J$107,$G195=$G$110,J$110,$G195=$G$140,J$140,$G195=$G$142,J$142,$G195=$G$408,J$408)</f>
        <v>4</v>
      </c>
      <c r="K195" s="13" t="str" cm="1">
        <f t="array" ref="K195">_xlfn.IFS($G195=$G$5,K$5,$G195=$G$7,K$7,$G195=$G$10,K$10,$G195=$G$13,K$13,$G195=$G$14,K$14,$G195=$G$16,K$16,$G195=$G$17,K$17,$G195=$G$19,K$19,$G195=$G$20,K$20,$G195=$G$22,K$22,$G195=$G$23,K$23,$G195=$G$26,K$26,$G195=$G$29,K$29,$G195=$G$31,K$31,$G195=$G$34,K$34,$G195=$G$37,K$37,$G195=$G$107,K$107,$G195=$G$110,K$110,$G195=$G$140,K$140,$G195=$G$142,K$142,$G195=$G$408,K$408)</f>
        <v>BG sentinel + BG lure7</v>
      </c>
      <c r="O195" s="13" t="str">
        <f t="shared" si="12"/>
        <v>A_SP_BCN_10_220727</v>
      </c>
      <c r="P195" s="31">
        <v>44769</v>
      </c>
      <c r="Q195" s="29">
        <v>0.53125</v>
      </c>
      <c r="R195" s="41"/>
      <c r="S195" s="27">
        <v>44775</v>
      </c>
      <c r="T195" s="29">
        <v>0.59375</v>
      </c>
      <c r="V195" s="13" t="s">
        <v>86</v>
      </c>
      <c r="X195" s="13">
        <f t="shared" si="15"/>
        <v>6</v>
      </c>
      <c r="Z195" s="13" t="s">
        <v>164</v>
      </c>
      <c r="AA195" s="13">
        <f t="shared" si="19"/>
        <v>4</v>
      </c>
      <c r="AB195" s="13" t="str">
        <f t="shared" si="16"/>
        <v>Adult</v>
      </c>
      <c r="AC195" s="13">
        <v>4</v>
      </c>
      <c r="AD195" s="13">
        <v>0</v>
      </c>
      <c r="AE195" s="13" t="str">
        <f t="shared" si="17"/>
        <v>Morphological</v>
      </c>
      <c r="AF195" s="2">
        <v>4</v>
      </c>
    </row>
    <row r="196" spans="1:32" x14ac:dyDescent="0.25">
      <c r="A196" s="13">
        <v>192</v>
      </c>
      <c r="B196" s="23" t="s">
        <v>56</v>
      </c>
      <c r="C196" s="23" t="s">
        <v>57</v>
      </c>
      <c r="D196" s="23" t="s">
        <v>58</v>
      </c>
      <c r="E196" s="23" t="s">
        <v>58</v>
      </c>
      <c r="F196" s="35" cm="1">
        <f t="array" ref="F196">_xlfn.IFS($G196=$G$5,F$5,$G196=$G$7,F$7,$G196=$G$10,F$10,$G196=$G$13,F$13,$G196=$G$14,F$14,$G196=$G$16,F$16,$G196=$G$17,F$17,$G196=$G$19,F$19,$G196=$G$20,F$20,$G196=$G$22,F$22,$G196=$G$23,F$23,$G196=$G$26,F$26,$G196=$G$29,F$29,$G196=$G$31,F$31,$G196=$G$34,F$34,$G196=$G$37,F$37,$G196=$G$107,F$107,$G196=$G$110,F$110,$G196=$G$140,F$140,$G196=$G$142,F$142,$G196=$G$408,F$408)</f>
        <v>8038</v>
      </c>
      <c r="G196" s="13" t="s">
        <v>69</v>
      </c>
      <c r="H196" s="51" cm="1">
        <f t="array" ref="H196">_xlfn.IFS($G196=$G$5,H$5,$G196=$G$7,H$7,$G196=$G$10,H$10,$G196=$G$13,H$13,$G196=$G$14,H$14,$G196=$G$16,H$16,$G196=$G$17,H$17,$G196=$G$19,H$19,$G196=$G$20,H$20,$G196=$G$22,H$22,$G196=$G$23,H$23,$G196=$G$26,H$26,$G196=$G$29,H$29,$G196=$G$31,H$31,$G196=$G$34,H$34,$G196=$G$37,H$37,$G196=$G$107,H$107,$G196=$G$110,H$110,$G196=$G$140,H$140,$G196=$G$142,H$142,$G196=$G$408,H$408)</f>
        <v>41.363377999999997</v>
      </c>
      <c r="I196" s="51" cm="1">
        <f t="array" ref="I196">_xlfn.IFS($G196=$G$5,I$5,$G196=$G$7,I$7,$G196=$G$10,I$10,$G196=$G$13,I$13,$G196=$G$14,I$14,$G196=$G$16,I$16,$G196=$G$17,I$17,$G196=$G$19,I$19,$G196=$G$20,I$20,$G196=$G$22,I$22,$G196=$G$23,I$23,$G196=$G$26,I$26,$G196=$G$29,I$29,$G196=$G$31,I$31,$G196=$G$34,I$34,$G196=$G$37,I$37,$G196=$G$107,I$107,$G196=$G$110,I$110,$G196=$G$140,I$140,$G196=$G$142,I$142,$G196=$G$408,I$408)</f>
        <v>2.164879</v>
      </c>
      <c r="J196" s="51" cm="1">
        <f t="array" ref="J196">_xlfn.IFS($G196=$G$5,J$5,$G196=$G$7,J$7,$G196=$G$10,J$10,$G196=$G$13,J$13,$G196=$G$14,J$14,$G196=$G$16,J$16,$G196=$G$17,J$17,$G196=$G$19,J$19,$G196=$G$20,J$20,$G196=$G$22,J$22,$G196=$G$23,J$23,$G196=$G$26,J$26,$G196=$G$29,J$29,$G196=$G$31,J$31,$G196=$G$34,J$34,$G196=$G$37,J$37,$G196=$G$107,J$107,$G196=$G$110,J$110,$G196=$G$140,J$140,$G196=$G$142,J$142,$G196=$G$408,J$408)</f>
        <v>185</v>
      </c>
      <c r="K196" s="13" t="str" cm="1">
        <f t="array" ref="K196">_xlfn.IFS($G196=$G$5,K$5,$G196=$G$7,K$7,$G196=$G$10,K$10,$G196=$G$13,K$13,$G196=$G$14,K$14,$G196=$G$16,K$16,$G196=$G$17,K$17,$G196=$G$19,K$19,$G196=$G$20,K$20,$G196=$G$22,K$22,$G196=$G$23,K$23,$G196=$G$26,K$26,$G196=$G$29,K$29,$G196=$G$31,K$31,$G196=$G$34,K$34,$G196=$G$37,K$37,$G196=$G$107,K$107,$G196=$G$110,K$110,$G196=$G$140,K$140,$G196=$G$142,K$142,$G196=$G$408,K$408)</f>
        <v>BG sentinel + BG lure7</v>
      </c>
      <c r="O196" s="13" t="str">
        <f t="shared" si="12"/>
        <v>A_SP_BCN_12_220727</v>
      </c>
      <c r="P196" s="31">
        <v>44769</v>
      </c>
      <c r="Q196" s="29">
        <v>0.56944444444444442</v>
      </c>
      <c r="R196" s="41"/>
      <c r="S196" s="27">
        <v>44775</v>
      </c>
      <c r="T196" s="29">
        <v>0.625</v>
      </c>
      <c r="V196" s="13" t="s">
        <v>86</v>
      </c>
      <c r="W196" s="15" t="s">
        <v>108</v>
      </c>
      <c r="X196" s="13">
        <f t="shared" si="15"/>
        <v>6</v>
      </c>
      <c r="Z196" s="13" t="s">
        <v>60</v>
      </c>
      <c r="AA196" s="13">
        <f t="shared" si="19"/>
        <v>21</v>
      </c>
      <c r="AB196" s="13" t="str">
        <f t="shared" si="16"/>
        <v>Adult</v>
      </c>
      <c r="AC196" s="13">
        <v>11</v>
      </c>
      <c r="AD196" s="13">
        <v>10</v>
      </c>
      <c r="AE196" s="13" t="str">
        <f t="shared" si="17"/>
        <v>Morphological</v>
      </c>
      <c r="AF196" s="2">
        <v>3</v>
      </c>
    </row>
    <row r="197" spans="1:32" x14ac:dyDescent="0.25">
      <c r="A197" s="13">
        <v>193</v>
      </c>
      <c r="B197" s="23" t="s">
        <v>56</v>
      </c>
      <c r="C197" s="23" t="s">
        <v>57</v>
      </c>
      <c r="D197" s="23" t="s">
        <v>58</v>
      </c>
      <c r="E197" s="23" t="s">
        <v>58</v>
      </c>
      <c r="F197" s="35" cm="1">
        <f t="array" ref="F197">_xlfn.IFS($G197=$G$5,F$5,$G197=$G$7,F$7,$G197=$G$10,F$10,$G197=$G$13,F$13,$G197=$G$14,F$14,$G197=$G$16,F$16,$G197=$G$17,F$17,$G197=$G$19,F$19,$G197=$G$20,F$20,$G197=$G$22,F$22,$G197=$G$23,F$23,$G197=$G$26,F$26,$G197=$G$29,F$29,$G197=$G$31,F$31,$G197=$G$34,F$34,$G197=$G$37,F$37,$G197=$G$107,F$107,$G197=$G$110,F$110,$G197=$G$140,F$140,$G197=$G$142,F$142,$G197=$G$408,F$408)</f>
        <v>8038</v>
      </c>
      <c r="G197" s="13" t="s">
        <v>69</v>
      </c>
      <c r="H197" s="51" cm="1">
        <f t="array" ref="H197">_xlfn.IFS($G197=$G$5,H$5,$G197=$G$7,H$7,$G197=$G$10,H$10,$G197=$G$13,H$13,$G197=$G$14,H$14,$G197=$G$16,H$16,$G197=$G$17,H$17,$G197=$G$19,H$19,$G197=$G$20,H$20,$G197=$G$22,H$22,$G197=$G$23,H$23,$G197=$G$26,H$26,$G197=$G$29,H$29,$G197=$G$31,H$31,$G197=$G$34,H$34,$G197=$G$37,H$37,$G197=$G$107,H$107,$G197=$G$110,H$110,$G197=$G$140,H$140,$G197=$G$142,H$142,$G197=$G$408,H$408)</f>
        <v>41.363377999999997</v>
      </c>
      <c r="I197" s="51" cm="1">
        <f t="array" ref="I197">_xlfn.IFS($G197=$G$5,I$5,$G197=$G$7,I$7,$G197=$G$10,I$10,$G197=$G$13,I$13,$G197=$G$14,I$14,$G197=$G$16,I$16,$G197=$G$17,I$17,$G197=$G$19,I$19,$G197=$G$20,I$20,$G197=$G$22,I$22,$G197=$G$23,I$23,$G197=$G$26,I$26,$G197=$G$29,I$29,$G197=$G$31,I$31,$G197=$G$34,I$34,$G197=$G$37,I$37,$G197=$G$107,I$107,$G197=$G$110,I$110,$G197=$G$140,I$140,$G197=$G$142,I$142,$G197=$G$408,I$408)</f>
        <v>2.164879</v>
      </c>
      <c r="J197" s="51" cm="1">
        <f t="array" ref="J197">_xlfn.IFS($G197=$G$5,J$5,$G197=$G$7,J$7,$G197=$G$10,J$10,$G197=$G$13,J$13,$G197=$G$14,J$14,$G197=$G$16,J$16,$G197=$G$17,J$17,$G197=$G$19,J$19,$G197=$G$20,J$20,$G197=$G$22,J$22,$G197=$G$23,J$23,$G197=$G$26,J$26,$G197=$G$29,J$29,$G197=$G$31,J$31,$G197=$G$34,J$34,$G197=$G$37,J$37,$G197=$G$107,J$107,$G197=$G$110,J$110,$G197=$G$140,J$140,$G197=$G$142,J$142,$G197=$G$408,J$408)</f>
        <v>185</v>
      </c>
      <c r="K197" s="13" t="str" cm="1">
        <f t="array" ref="K197">_xlfn.IFS($G197=$G$5,K$5,$G197=$G$7,K$7,$G197=$G$10,K$10,$G197=$G$13,K$13,$G197=$G$14,K$14,$G197=$G$16,K$16,$G197=$G$17,K$17,$G197=$G$19,K$19,$G197=$G$20,K$20,$G197=$G$22,K$22,$G197=$G$23,K$23,$G197=$G$26,K$26,$G197=$G$29,K$29,$G197=$G$31,K$31,$G197=$G$34,K$34,$G197=$G$37,K$37,$G197=$G$107,K$107,$G197=$G$110,K$110,$G197=$G$140,K$140,$G197=$G$142,K$142,$G197=$G$408,K$408)</f>
        <v>BG sentinel + BG lure7</v>
      </c>
      <c r="O197" s="13" t="str">
        <f t="shared" si="12"/>
        <v>A_SP_BCN_12_220727</v>
      </c>
      <c r="P197" s="31">
        <v>44769</v>
      </c>
      <c r="Q197" s="29">
        <v>0.56944444444444442</v>
      </c>
      <c r="R197" s="41"/>
      <c r="S197" s="27">
        <v>44775</v>
      </c>
      <c r="T197" s="29">
        <v>0.625</v>
      </c>
      <c r="V197" s="13" t="s">
        <v>86</v>
      </c>
      <c r="W197" s="15" t="s">
        <v>108</v>
      </c>
      <c r="X197" s="13">
        <f t="shared" si="15"/>
        <v>6</v>
      </c>
      <c r="Z197" s="13" t="s">
        <v>164</v>
      </c>
      <c r="AA197" s="13">
        <f t="shared" si="19"/>
        <v>41</v>
      </c>
      <c r="AB197" s="13" t="str">
        <f t="shared" si="16"/>
        <v>Adult</v>
      </c>
      <c r="AC197" s="13">
        <v>41</v>
      </c>
      <c r="AD197" s="13">
        <v>0</v>
      </c>
      <c r="AE197" s="13" t="str">
        <f t="shared" si="17"/>
        <v>Morphological</v>
      </c>
      <c r="AF197" s="2">
        <v>3</v>
      </c>
    </row>
    <row r="198" spans="1:32" x14ac:dyDescent="0.25">
      <c r="A198" s="13">
        <v>194</v>
      </c>
      <c r="B198" s="23" t="s">
        <v>56</v>
      </c>
      <c r="C198" s="23" t="s">
        <v>57</v>
      </c>
      <c r="D198" s="23" t="s">
        <v>58</v>
      </c>
      <c r="E198" s="23" t="s">
        <v>58</v>
      </c>
      <c r="F198" s="35" cm="1">
        <f t="array" ref="F198">_xlfn.IFS($G198=$G$5,F$5,$G198=$G$7,F$7,$G198=$G$10,F$10,$G198=$G$13,F$13,$G198=$G$14,F$14,$G198=$G$16,F$16,$G198=$G$17,F$17,$G198=$G$19,F$19,$G198=$G$20,F$20,$G198=$G$22,F$22,$G198=$G$23,F$23,$G198=$G$26,F$26,$G198=$G$29,F$29,$G198=$G$31,F$31,$G198=$G$34,F$34,$G198=$G$37,F$37,$G198=$G$107,F$107,$G198=$G$110,F$110,$G198=$G$140,F$140,$G198=$G$142,F$142,$G198=$G$408,F$408)</f>
        <v>8038</v>
      </c>
      <c r="G198" s="13" t="s">
        <v>69</v>
      </c>
      <c r="H198" s="51" cm="1">
        <f t="array" ref="H198">_xlfn.IFS($G198=$G$5,H$5,$G198=$G$7,H$7,$G198=$G$10,H$10,$G198=$G$13,H$13,$G198=$G$14,H$14,$G198=$G$16,H$16,$G198=$G$17,H$17,$G198=$G$19,H$19,$G198=$G$20,H$20,$G198=$G$22,H$22,$G198=$G$23,H$23,$G198=$G$26,H$26,$G198=$G$29,H$29,$G198=$G$31,H$31,$G198=$G$34,H$34,$G198=$G$37,H$37,$G198=$G$107,H$107,$G198=$G$110,H$110,$G198=$G$140,H$140,$G198=$G$142,H$142,$G198=$G$408,H$408)</f>
        <v>41.363377999999997</v>
      </c>
      <c r="I198" s="51" cm="1">
        <f t="array" ref="I198">_xlfn.IFS($G198=$G$5,I$5,$G198=$G$7,I$7,$G198=$G$10,I$10,$G198=$G$13,I$13,$G198=$G$14,I$14,$G198=$G$16,I$16,$G198=$G$17,I$17,$G198=$G$19,I$19,$G198=$G$20,I$20,$G198=$G$22,I$22,$G198=$G$23,I$23,$G198=$G$26,I$26,$G198=$G$29,I$29,$G198=$G$31,I$31,$G198=$G$34,I$34,$G198=$G$37,I$37,$G198=$G$107,I$107,$G198=$G$110,I$110,$G198=$G$140,I$140,$G198=$G$142,I$142,$G198=$G$408,I$408)</f>
        <v>2.164879</v>
      </c>
      <c r="J198" s="51" cm="1">
        <f t="array" ref="J198">_xlfn.IFS($G198=$G$5,J$5,$G198=$G$7,J$7,$G198=$G$10,J$10,$G198=$G$13,J$13,$G198=$G$14,J$14,$G198=$G$16,J$16,$G198=$G$17,J$17,$G198=$G$19,J$19,$G198=$G$20,J$20,$G198=$G$22,J$22,$G198=$G$23,J$23,$G198=$G$26,J$26,$G198=$G$29,J$29,$G198=$G$31,J$31,$G198=$G$34,J$34,$G198=$G$37,J$37,$G198=$G$107,J$107,$G198=$G$110,J$110,$G198=$G$140,J$140,$G198=$G$142,J$142,$G198=$G$408,J$408)</f>
        <v>185</v>
      </c>
      <c r="K198" s="13" t="str" cm="1">
        <f t="array" ref="K198">_xlfn.IFS($G198=$G$5,K$5,$G198=$G$7,K$7,$G198=$G$10,K$10,$G198=$G$13,K$13,$G198=$G$14,K$14,$G198=$G$16,K$16,$G198=$G$17,K$17,$G198=$G$19,K$19,$G198=$G$20,K$20,$G198=$G$22,K$22,$G198=$G$23,K$23,$G198=$G$26,K$26,$G198=$G$29,K$29,$G198=$G$31,K$31,$G198=$G$34,K$34,$G198=$G$37,K$37,$G198=$G$107,K$107,$G198=$G$110,K$110,$G198=$G$140,K$140,$G198=$G$142,K$142,$G198=$G$408,K$408)</f>
        <v>BG sentinel + BG lure7</v>
      </c>
      <c r="O198" s="13" t="str">
        <f t="shared" si="12"/>
        <v>A_SP_BCN_12_220727</v>
      </c>
      <c r="P198" s="31">
        <v>44769</v>
      </c>
      <c r="Q198" s="29">
        <v>0.56944444444444442</v>
      </c>
      <c r="R198" s="41"/>
      <c r="S198" s="27">
        <v>44775</v>
      </c>
      <c r="T198" s="29">
        <v>0.625</v>
      </c>
      <c r="V198" s="13" t="s">
        <v>86</v>
      </c>
      <c r="W198" s="15" t="s">
        <v>108</v>
      </c>
      <c r="X198" s="13">
        <f t="shared" ref="X198:X261" si="20">S198-P198</f>
        <v>6</v>
      </c>
      <c r="Z198" s="32" t="s">
        <v>163</v>
      </c>
      <c r="AA198" s="13">
        <f t="shared" si="19"/>
        <v>1</v>
      </c>
      <c r="AB198" s="13" t="str">
        <f t="shared" ref="AB198:AB261" si="21">IF(AA198=0,"",IF(AA198="","",IF(AA198&gt;0,"Adult")))</f>
        <v>Adult</v>
      </c>
      <c r="AC198" s="13">
        <v>0</v>
      </c>
      <c r="AD198" s="13">
        <v>1</v>
      </c>
      <c r="AE198" s="13" t="str">
        <f t="shared" ref="AE198:AE261" si="22">IF(AA198=0,"",IF(AA198="","",IF(AA198&gt;0,"Morphological")))</f>
        <v>Morphological</v>
      </c>
      <c r="AF198" s="2">
        <v>3</v>
      </c>
    </row>
    <row r="199" spans="1:32" x14ac:dyDescent="0.25">
      <c r="A199" s="13">
        <v>195</v>
      </c>
      <c r="B199" s="23" t="s">
        <v>56</v>
      </c>
      <c r="C199" s="23" t="s">
        <v>57</v>
      </c>
      <c r="D199" s="23" t="s">
        <v>58</v>
      </c>
      <c r="E199" s="23" t="s">
        <v>58</v>
      </c>
      <c r="F199" s="35" cm="1">
        <f t="array" ref="F199">_xlfn.IFS($G199=$G$5,F$5,$G199=$G$7,F$7,$G199=$G$10,F$10,$G199=$G$13,F$13,$G199=$G$14,F$14,$G199=$G$16,F$16,$G199=$G$17,F$17,$G199=$G$19,F$19,$G199=$G$20,F$20,$G199=$G$22,F$22,$G199=$G$23,F$23,$G199=$G$26,F$26,$G199=$G$29,F$29,$G199=$G$31,F$31,$G199=$G$34,F$34,$G199=$G$37,F$37,$G199=$G$107,F$107,$G199=$G$110,F$110,$G199=$G$140,F$140,$G199=$G$142,F$142,$G199=$G$408,F$408)</f>
        <v>8035</v>
      </c>
      <c r="G199" s="13" t="s">
        <v>70</v>
      </c>
      <c r="H199" s="51" cm="1">
        <f t="array" ref="H199">_xlfn.IFS($G199=$G$5,H$5,$G199=$G$7,H$7,$G199=$G$10,H$10,$G199=$G$13,H$13,$G199=$G$14,H$14,$G199=$G$16,H$16,$G199=$G$17,H$17,$G199=$G$19,H$19,$G199=$G$20,H$20,$G199=$G$22,H$22,$G199=$G$23,H$23,$G199=$G$26,H$26,$G199=$G$29,H$29,$G199=$G$31,H$31,$G199=$G$34,H$34,$G199=$G$37,H$37,$G199=$G$107,H$107,$G199=$G$110,H$110,$G199=$G$140,H$140,$G199=$G$142,H$142,$G199=$G$408,H$408)</f>
        <v>41.434472</v>
      </c>
      <c r="I199" s="51" cm="1">
        <f t="array" ref="I199">_xlfn.IFS($G199=$G$5,I$5,$G199=$G$7,I$7,$G199=$G$10,I$10,$G199=$G$13,I$13,$G199=$G$14,I$14,$G199=$G$16,I$16,$G199=$G$17,I$17,$G199=$G$19,I$19,$G199=$G$20,I$20,$G199=$G$22,I$22,$G199=$G$23,I$23,$G199=$G$26,I$26,$G199=$G$29,I$29,$G199=$G$31,I$31,$G199=$G$34,I$34,$G199=$G$37,I$37,$G199=$G$107,I$107,$G199=$G$110,I$110,$G199=$G$140,I$140,$G199=$G$142,I$142,$G199=$G$408,I$408)</f>
        <v>2.1315789999999999</v>
      </c>
      <c r="J199" s="51" cm="1">
        <f t="array" ref="J199">_xlfn.IFS($G199=$G$5,J$5,$G199=$G$7,J$7,$G199=$G$10,J$10,$G199=$G$13,J$13,$G199=$G$14,J$14,$G199=$G$16,J$16,$G199=$G$17,J$17,$G199=$G$19,J$19,$G199=$G$20,J$20,$G199=$G$22,J$22,$G199=$G$23,J$23,$G199=$G$26,J$26,$G199=$G$29,J$29,$G199=$G$31,J$31,$G199=$G$34,J$34,$G199=$G$37,J$37,$G199=$G$107,J$107,$G199=$G$110,J$110,$G199=$G$140,J$140,$G199=$G$142,J$142,$G199=$G$408,J$408)</f>
        <v>365</v>
      </c>
      <c r="K199" s="13" t="str" cm="1">
        <f t="array" ref="K199">_xlfn.IFS($G199=$G$5,K$5,$G199=$G$7,K$7,$G199=$G$10,K$10,$G199=$G$13,K$13,$G199=$G$14,K$14,$G199=$G$16,K$16,$G199=$G$17,K$17,$G199=$G$19,K$19,$G199=$G$20,K$20,$G199=$G$22,K$22,$G199=$G$23,K$23,$G199=$G$26,K$26,$G199=$G$29,K$29,$G199=$G$31,K$31,$G199=$G$34,K$34,$G199=$G$37,K$37,$G199=$G$107,K$107,$G199=$G$110,K$110,$G199=$G$140,K$140,$G199=$G$142,K$142,$G199=$G$408,K$408)</f>
        <v>BG sentinel + BG lure7</v>
      </c>
      <c r="O199" s="13" t="str">
        <f t="shared" si="12"/>
        <v>A_SP_BCN_13_220727</v>
      </c>
      <c r="P199" s="31">
        <v>44769</v>
      </c>
      <c r="Q199" s="29">
        <v>0.63888888888888895</v>
      </c>
      <c r="R199" s="41"/>
      <c r="S199" s="27">
        <v>44775</v>
      </c>
      <c r="T199" s="29">
        <v>0.65972222222222221</v>
      </c>
      <c r="V199" s="13" t="s">
        <v>86</v>
      </c>
      <c r="X199" s="13">
        <f t="shared" si="20"/>
        <v>6</v>
      </c>
      <c r="Z199" s="13" t="s">
        <v>164</v>
      </c>
      <c r="AA199" s="13">
        <f t="shared" si="19"/>
        <v>2</v>
      </c>
      <c r="AB199" s="13" t="str">
        <f t="shared" si="21"/>
        <v>Adult</v>
      </c>
      <c r="AC199" s="13">
        <v>2</v>
      </c>
      <c r="AD199" s="13">
        <v>0</v>
      </c>
      <c r="AE199" s="13" t="str">
        <f t="shared" si="22"/>
        <v>Morphological</v>
      </c>
      <c r="AF199" s="2">
        <v>4</v>
      </c>
    </row>
    <row r="200" spans="1:32" x14ac:dyDescent="0.25">
      <c r="A200" s="13">
        <v>196</v>
      </c>
      <c r="B200" s="23" t="s">
        <v>56</v>
      </c>
      <c r="C200" s="23" t="s">
        <v>57</v>
      </c>
      <c r="D200" s="23" t="s">
        <v>58</v>
      </c>
      <c r="E200" s="23" t="s">
        <v>58</v>
      </c>
      <c r="F200" s="35" cm="1">
        <f t="array" ref="F200">_xlfn.IFS($G200=$G$5,F$5,$G200=$G$7,F$7,$G200=$G$10,F$10,$G200=$G$13,F$13,$G200=$G$14,F$14,$G200=$G$16,F$16,$G200=$G$17,F$17,$G200=$G$19,F$19,$G200=$G$20,F$20,$G200=$G$22,F$22,$G200=$G$23,F$23,$G200=$G$26,F$26,$G200=$G$29,F$29,$G200=$G$31,F$31,$G200=$G$34,F$34,$G200=$G$37,F$37,$G200=$G$107,F$107,$G200=$G$110,F$110,$G200=$G$140,F$140,$G200=$G$142,F$142,$G200=$G$408,F$408)</f>
        <v>8035</v>
      </c>
      <c r="G200" s="13" t="s">
        <v>70</v>
      </c>
      <c r="H200" s="51" cm="1">
        <f t="array" ref="H200">_xlfn.IFS($G200=$G$5,H$5,$G200=$G$7,H$7,$G200=$G$10,H$10,$G200=$G$13,H$13,$G200=$G$14,H$14,$G200=$G$16,H$16,$G200=$G$17,H$17,$G200=$G$19,H$19,$G200=$G$20,H$20,$G200=$G$22,H$22,$G200=$G$23,H$23,$G200=$G$26,H$26,$G200=$G$29,H$29,$G200=$G$31,H$31,$G200=$G$34,H$34,$G200=$G$37,H$37,$G200=$G$107,H$107,$G200=$G$110,H$110,$G200=$G$140,H$140,$G200=$G$142,H$142,$G200=$G$408,H$408)</f>
        <v>41.434472</v>
      </c>
      <c r="I200" s="51" cm="1">
        <f t="array" ref="I200">_xlfn.IFS($G200=$G$5,I$5,$G200=$G$7,I$7,$G200=$G$10,I$10,$G200=$G$13,I$13,$G200=$G$14,I$14,$G200=$G$16,I$16,$G200=$G$17,I$17,$G200=$G$19,I$19,$G200=$G$20,I$20,$G200=$G$22,I$22,$G200=$G$23,I$23,$G200=$G$26,I$26,$G200=$G$29,I$29,$G200=$G$31,I$31,$G200=$G$34,I$34,$G200=$G$37,I$37,$G200=$G$107,I$107,$G200=$G$110,I$110,$G200=$G$140,I$140,$G200=$G$142,I$142,$G200=$G$408,I$408)</f>
        <v>2.1315789999999999</v>
      </c>
      <c r="J200" s="51" cm="1">
        <f t="array" ref="J200">_xlfn.IFS($G200=$G$5,J$5,$G200=$G$7,J$7,$G200=$G$10,J$10,$G200=$G$13,J$13,$G200=$G$14,J$14,$G200=$G$16,J$16,$G200=$G$17,J$17,$G200=$G$19,J$19,$G200=$G$20,J$20,$G200=$G$22,J$22,$G200=$G$23,J$23,$G200=$G$26,J$26,$G200=$G$29,J$29,$G200=$G$31,J$31,$G200=$G$34,J$34,$G200=$G$37,J$37,$G200=$G$107,J$107,$G200=$G$110,J$110,$G200=$G$140,J$140,$G200=$G$142,J$142,$G200=$G$408,J$408)</f>
        <v>365</v>
      </c>
      <c r="K200" s="13" t="str" cm="1">
        <f t="array" ref="K200">_xlfn.IFS($G200=$G$5,K$5,$G200=$G$7,K$7,$G200=$G$10,K$10,$G200=$G$13,K$13,$G200=$G$14,K$14,$G200=$G$16,K$16,$G200=$G$17,K$17,$G200=$G$19,K$19,$G200=$G$20,K$20,$G200=$G$22,K$22,$G200=$G$23,K$23,$G200=$G$26,K$26,$G200=$G$29,K$29,$G200=$G$31,K$31,$G200=$G$34,K$34,$G200=$G$37,K$37,$G200=$G$107,K$107,$G200=$G$110,K$110,$G200=$G$140,K$140,$G200=$G$142,K$142,$G200=$G$408,K$408)</f>
        <v>BG sentinel + BG lure7</v>
      </c>
      <c r="O200" s="13" t="str">
        <f t="shared" si="12"/>
        <v>A_SP_BCN_13_220727</v>
      </c>
      <c r="P200" s="31">
        <v>44769</v>
      </c>
      <c r="Q200" s="29">
        <v>0.63888888888888895</v>
      </c>
      <c r="R200" s="41"/>
      <c r="S200" s="27">
        <v>44775</v>
      </c>
      <c r="T200" s="29">
        <v>0.65972222222222221</v>
      </c>
      <c r="V200" s="13" t="s">
        <v>86</v>
      </c>
      <c r="X200" s="13">
        <f t="shared" si="20"/>
        <v>6</v>
      </c>
      <c r="Z200" s="32" t="s">
        <v>163</v>
      </c>
      <c r="AA200" s="13">
        <f t="shared" si="19"/>
        <v>1</v>
      </c>
      <c r="AB200" s="13" t="str">
        <f t="shared" si="21"/>
        <v>Adult</v>
      </c>
      <c r="AC200" s="13">
        <v>1</v>
      </c>
      <c r="AD200" s="13">
        <v>0</v>
      </c>
      <c r="AE200" s="13" t="str">
        <f t="shared" si="22"/>
        <v>Morphological</v>
      </c>
      <c r="AF200" s="2">
        <v>4</v>
      </c>
    </row>
    <row r="201" spans="1:32" x14ac:dyDescent="0.25">
      <c r="A201" s="13">
        <v>197</v>
      </c>
      <c r="B201" s="23" t="s">
        <v>56</v>
      </c>
      <c r="C201" s="23" t="s">
        <v>57</v>
      </c>
      <c r="D201" s="23" t="s">
        <v>58</v>
      </c>
      <c r="E201" s="23" t="s">
        <v>58</v>
      </c>
      <c r="F201" s="35" cm="1">
        <f t="array" ref="F201">_xlfn.IFS($G201=$G$5,F$5,$G201=$G$7,F$7,$G201=$G$10,F$10,$G201=$G$13,F$13,$G201=$G$14,F$14,$G201=$G$16,F$16,$G201=$G$17,F$17,$G201=$G$19,F$19,$G201=$G$20,F$20,$G201=$G$22,F$22,$G201=$G$23,F$23,$G201=$G$26,F$26,$G201=$G$29,F$29,$G201=$G$31,F$31,$G201=$G$34,F$34,$G201=$G$37,F$37,$G201=$G$107,F$107,$G201=$G$110,F$110,$G201=$G$140,F$140,$G201=$G$142,F$142,$G201=$G$408,F$408)</f>
        <v>8017</v>
      </c>
      <c r="G201" s="13" t="s">
        <v>71</v>
      </c>
      <c r="H201" s="51" cm="1">
        <f t="array" ref="H201">_xlfn.IFS($G201=$G$5,H$5,$G201=$G$7,H$7,$G201=$G$10,H$10,$G201=$G$13,H$13,$G201=$G$14,H$14,$G201=$G$16,H$16,$G201=$G$17,H$17,$G201=$G$19,H$19,$G201=$G$20,H$20,$G201=$G$22,H$22,$G201=$G$23,H$23,$G201=$G$26,H$26,$G201=$G$29,H$29,$G201=$G$31,H$31,$G201=$G$34,H$34,$G201=$G$37,H$37,$G201=$G$107,H$107,$G201=$G$110,H$110,$G201=$G$140,H$140,$G201=$G$142,H$142,$G201=$G$408,H$408)</f>
        <v>41.428533999999999</v>
      </c>
      <c r="I201" s="51" cm="1">
        <f t="array" ref="I201">_xlfn.IFS($G201=$G$5,I$5,$G201=$G$7,I$7,$G201=$G$10,I$10,$G201=$G$13,I$13,$G201=$G$14,I$14,$G201=$G$16,I$16,$G201=$G$17,I$17,$G201=$G$19,I$19,$G201=$G$20,I$20,$G201=$G$22,I$22,$G201=$G$23,I$23,$G201=$G$26,I$26,$G201=$G$29,I$29,$G201=$G$31,I$31,$G201=$G$34,I$34,$G201=$G$37,I$37,$G201=$G$107,I$107,$G201=$G$110,I$110,$G201=$G$140,I$140,$G201=$G$142,I$142,$G201=$G$408,I$408)</f>
        <v>2.090954</v>
      </c>
      <c r="J201" s="51" cm="1">
        <f t="array" ref="J201">_xlfn.IFS($G201=$G$5,J$5,$G201=$G$7,J$7,$G201=$G$10,J$10,$G201=$G$13,J$13,$G201=$G$14,J$14,$G201=$G$16,J$16,$G201=$G$17,J$17,$G201=$G$19,J$19,$G201=$G$20,J$20,$G201=$G$22,J$22,$G201=$G$23,J$23,$G201=$G$26,J$26,$G201=$G$29,J$29,$G201=$G$31,J$31,$G201=$G$34,J$34,$G201=$G$37,J$37,$G201=$G$107,J$107,$G201=$G$110,J$110,$G201=$G$140,J$140,$G201=$G$142,J$142,$G201=$G$408,J$408)</f>
        <v>215</v>
      </c>
      <c r="K201" s="13" t="str" cm="1">
        <f t="array" ref="K201">_xlfn.IFS($G201=$G$5,K$5,$G201=$G$7,K$7,$G201=$G$10,K$10,$G201=$G$13,K$13,$G201=$G$14,K$14,$G201=$G$16,K$16,$G201=$G$17,K$17,$G201=$G$19,K$19,$G201=$G$20,K$20,$G201=$G$22,K$22,$G201=$G$23,K$23,$G201=$G$26,K$26,$G201=$G$29,K$29,$G201=$G$31,K$31,$G201=$G$34,K$34,$G201=$G$37,K$37,$G201=$G$107,K$107,$G201=$G$110,K$110,$G201=$G$140,K$140,$G201=$G$142,K$142,$G201=$G$408,K$408)</f>
        <v>BG sentinel + BG lure7</v>
      </c>
      <c r="O201" s="13" t="str">
        <f t="shared" si="12"/>
        <v>A_SP_BCN_14_220727</v>
      </c>
      <c r="P201" s="31">
        <v>44769</v>
      </c>
      <c r="Q201" s="29">
        <v>0.70833333333333337</v>
      </c>
      <c r="R201" s="41"/>
      <c r="S201" s="27">
        <v>44775</v>
      </c>
      <c r="T201" s="29">
        <v>0.6875</v>
      </c>
      <c r="V201" s="13" t="s">
        <v>86</v>
      </c>
      <c r="W201" s="15" t="s">
        <v>80</v>
      </c>
      <c r="X201" s="13">
        <f t="shared" si="20"/>
        <v>6</v>
      </c>
      <c r="Z201" s="13" t="s">
        <v>60</v>
      </c>
      <c r="AA201" s="13">
        <f t="shared" si="19"/>
        <v>15</v>
      </c>
      <c r="AB201" s="13" t="str">
        <f t="shared" si="21"/>
        <v>Adult</v>
      </c>
      <c r="AC201" s="13">
        <v>14</v>
      </c>
      <c r="AD201" s="13">
        <v>1</v>
      </c>
      <c r="AE201" s="13" t="str">
        <f t="shared" si="22"/>
        <v>Morphological</v>
      </c>
      <c r="AF201" s="2">
        <v>3</v>
      </c>
    </row>
    <row r="202" spans="1:32" x14ac:dyDescent="0.25">
      <c r="A202" s="13">
        <v>198</v>
      </c>
      <c r="B202" s="23" t="s">
        <v>56</v>
      </c>
      <c r="C202" s="23" t="s">
        <v>57</v>
      </c>
      <c r="D202" s="23" t="s">
        <v>58</v>
      </c>
      <c r="E202" s="23" t="s">
        <v>58</v>
      </c>
      <c r="F202" s="35" cm="1">
        <f t="array" ref="F202">_xlfn.IFS($G202=$G$5,F$5,$G202=$G$7,F$7,$G202=$G$10,F$10,$G202=$G$13,F$13,$G202=$G$14,F$14,$G202=$G$16,F$16,$G202=$G$17,F$17,$G202=$G$19,F$19,$G202=$G$20,F$20,$G202=$G$22,F$22,$G202=$G$23,F$23,$G202=$G$26,F$26,$G202=$G$29,F$29,$G202=$G$31,F$31,$G202=$G$34,F$34,$G202=$G$37,F$37,$G202=$G$107,F$107,$G202=$G$110,F$110,$G202=$G$140,F$140,$G202=$G$142,F$142,$G202=$G$408,F$408)</f>
        <v>8017</v>
      </c>
      <c r="G202" s="13" t="s">
        <v>71</v>
      </c>
      <c r="H202" s="51" cm="1">
        <f t="array" ref="H202">_xlfn.IFS($G202=$G$5,H$5,$G202=$G$7,H$7,$G202=$G$10,H$10,$G202=$G$13,H$13,$G202=$G$14,H$14,$G202=$G$16,H$16,$G202=$G$17,H$17,$G202=$G$19,H$19,$G202=$G$20,H$20,$G202=$G$22,H$22,$G202=$G$23,H$23,$G202=$G$26,H$26,$G202=$G$29,H$29,$G202=$G$31,H$31,$G202=$G$34,H$34,$G202=$G$37,H$37,$G202=$G$107,H$107,$G202=$G$110,H$110,$G202=$G$140,H$140,$G202=$G$142,H$142,$G202=$G$408,H$408)</f>
        <v>41.428533999999999</v>
      </c>
      <c r="I202" s="51" cm="1">
        <f t="array" ref="I202">_xlfn.IFS($G202=$G$5,I$5,$G202=$G$7,I$7,$G202=$G$10,I$10,$G202=$G$13,I$13,$G202=$G$14,I$14,$G202=$G$16,I$16,$G202=$G$17,I$17,$G202=$G$19,I$19,$G202=$G$20,I$20,$G202=$G$22,I$22,$G202=$G$23,I$23,$G202=$G$26,I$26,$G202=$G$29,I$29,$G202=$G$31,I$31,$G202=$G$34,I$34,$G202=$G$37,I$37,$G202=$G$107,I$107,$G202=$G$110,I$110,$G202=$G$140,I$140,$G202=$G$142,I$142,$G202=$G$408,I$408)</f>
        <v>2.090954</v>
      </c>
      <c r="J202" s="51" cm="1">
        <f t="array" ref="J202">_xlfn.IFS($G202=$G$5,J$5,$G202=$G$7,J$7,$G202=$G$10,J$10,$G202=$G$13,J$13,$G202=$G$14,J$14,$G202=$G$16,J$16,$G202=$G$17,J$17,$G202=$G$19,J$19,$G202=$G$20,J$20,$G202=$G$22,J$22,$G202=$G$23,J$23,$G202=$G$26,J$26,$G202=$G$29,J$29,$G202=$G$31,J$31,$G202=$G$34,J$34,$G202=$G$37,J$37,$G202=$G$107,J$107,$G202=$G$110,J$110,$G202=$G$140,J$140,$G202=$G$142,J$142,$G202=$G$408,J$408)</f>
        <v>215</v>
      </c>
      <c r="K202" s="13" t="str" cm="1">
        <f t="array" ref="K202">_xlfn.IFS($G202=$G$5,K$5,$G202=$G$7,K$7,$G202=$G$10,K$10,$G202=$G$13,K$13,$G202=$G$14,K$14,$G202=$G$16,K$16,$G202=$G$17,K$17,$G202=$G$19,K$19,$G202=$G$20,K$20,$G202=$G$22,K$22,$G202=$G$23,K$23,$G202=$G$26,K$26,$G202=$G$29,K$29,$G202=$G$31,K$31,$G202=$G$34,K$34,$G202=$G$37,K$37,$G202=$G$107,K$107,$G202=$G$110,K$110,$G202=$G$140,K$140,$G202=$G$142,K$142,$G202=$G$408,K$408)</f>
        <v>BG sentinel + BG lure7</v>
      </c>
      <c r="O202" s="13" t="str">
        <f t="shared" si="12"/>
        <v>A_SP_BCN_14_220727</v>
      </c>
      <c r="P202" s="31">
        <v>44769</v>
      </c>
      <c r="Q202" s="29">
        <v>0.70833333333333337</v>
      </c>
      <c r="R202" s="41"/>
      <c r="S202" s="27">
        <v>44775</v>
      </c>
      <c r="T202" s="29">
        <v>0.6875</v>
      </c>
      <c r="V202" s="13" t="s">
        <v>86</v>
      </c>
      <c r="W202" s="15" t="s">
        <v>80</v>
      </c>
      <c r="X202" s="13">
        <f t="shared" si="20"/>
        <v>6</v>
      </c>
      <c r="Z202" s="13" t="s">
        <v>164</v>
      </c>
      <c r="AA202" s="13">
        <f t="shared" si="19"/>
        <v>1</v>
      </c>
      <c r="AB202" s="13" t="str">
        <f t="shared" si="21"/>
        <v>Adult</v>
      </c>
      <c r="AC202" s="13">
        <v>1</v>
      </c>
      <c r="AD202" s="13">
        <v>0</v>
      </c>
      <c r="AE202" s="13" t="str">
        <f t="shared" si="22"/>
        <v>Morphological</v>
      </c>
      <c r="AF202" s="2">
        <v>3</v>
      </c>
    </row>
    <row r="203" spans="1:32" x14ac:dyDescent="0.25">
      <c r="A203" s="13">
        <v>199</v>
      </c>
      <c r="B203" s="23" t="s">
        <v>56</v>
      </c>
      <c r="C203" s="23" t="s">
        <v>57</v>
      </c>
      <c r="D203" s="23" t="s">
        <v>58</v>
      </c>
      <c r="E203" s="23" t="s">
        <v>58</v>
      </c>
      <c r="F203" s="35" cm="1">
        <f t="array" ref="F203">_xlfn.IFS($G203=$G$5,F$5,$G203=$G$7,F$7,$G203=$G$10,F$10,$G203=$G$13,F$13,$G203=$G$14,F$14,$G203=$G$16,F$16,$G203=$G$17,F$17,$G203=$G$19,F$19,$G203=$G$20,F$20,$G203=$G$22,F$22,$G203=$G$23,F$23,$G203=$G$26,F$26,$G203=$G$29,F$29,$G203=$G$31,F$31,$G203=$G$34,F$34,$G203=$G$37,F$37,$G203=$G$107,F$107,$G203=$G$110,F$110,$G203=$G$140,F$140,$G203=$G$142,F$142,$G203=$G$408,F$408)</f>
        <v>8017</v>
      </c>
      <c r="G203" s="13" t="s">
        <v>72</v>
      </c>
      <c r="H203" s="51" cm="1">
        <f t="array" ref="H203">_xlfn.IFS($G203=$G$5,H$5,$G203=$G$7,H$7,$G203=$G$10,H$10,$G203=$G$13,H$13,$G203=$G$14,H$14,$G203=$G$16,H$16,$G203=$G$17,H$17,$G203=$G$19,H$19,$G203=$G$20,H$20,$G203=$G$22,H$22,$G203=$G$23,H$23,$G203=$G$26,H$26,$G203=$G$29,H$29,$G203=$G$31,H$31,$G203=$G$34,H$34,$G203=$G$37,H$37,$G203=$G$107,H$107,$G203=$G$110,H$110,$G203=$G$140,H$140,$G203=$G$142,H$142,$G203=$G$408,H$408)</f>
        <v>41.419471000000001</v>
      </c>
      <c r="I203" s="51" cm="1">
        <f t="array" ref="I203">_xlfn.IFS($G203=$G$5,I$5,$G203=$G$7,I$7,$G203=$G$10,I$10,$G203=$G$13,I$13,$G203=$G$14,I$14,$G203=$G$16,I$16,$G203=$G$17,I$17,$G203=$G$19,I$19,$G203=$G$20,I$20,$G203=$G$22,I$22,$G203=$G$23,I$23,$G203=$G$26,I$26,$G203=$G$29,I$29,$G203=$G$31,I$31,$G203=$G$34,I$34,$G203=$G$37,I$37,$G203=$G$107,I$107,$G203=$G$110,I$110,$G203=$G$140,I$140,$G203=$G$142,I$142,$G203=$G$408,I$408)</f>
        <v>2.1010149999999999</v>
      </c>
      <c r="J203" s="51" cm="1">
        <f t="array" ref="J203">_xlfn.IFS($G203=$G$5,J$5,$G203=$G$7,J$7,$G203=$G$10,J$10,$G203=$G$13,J$13,$G203=$G$14,J$14,$G203=$G$16,J$16,$G203=$G$17,J$17,$G203=$G$19,J$19,$G203=$G$20,J$20,$G203=$G$22,J$22,$G203=$G$23,J$23,$G203=$G$26,J$26,$G203=$G$29,J$29,$G203=$G$31,J$31,$G203=$G$34,J$34,$G203=$G$37,J$37,$G203=$G$107,J$107,$G203=$G$110,J$110,$G203=$G$140,J$140,$G203=$G$142,J$142,$G203=$G$408,J$408)</f>
        <v>284</v>
      </c>
      <c r="K203" s="13" t="str" cm="1">
        <f t="array" ref="K203">_xlfn.IFS($G203=$G$5,K$5,$G203=$G$7,K$7,$G203=$G$10,K$10,$G203=$G$13,K$13,$G203=$G$14,K$14,$G203=$G$16,K$16,$G203=$G$17,K$17,$G203=$G$19,K$19,$G203=$G$20,K$20,$G203=$G$22,K$22,$G203=$G$23,K$23,$G203=$G$26,K$26,$G203=$G$29,K$29,$G203=$G$31,K$31,$G203=$G$34,K$34,$G203=$G$37,K$37,$G203=$G$107,K$107,$G203=$G$110,K$110,$G203=$G$140,K$140,$G203=$G$142,K$142,$G203=$G$408,K$408)</f>
        <v>BG sentinel + BG lure7</v>
      </c>
      <c r="O203" s="13" t="str">
        <f t="shared" si="12"/>
        <v>A_SP_BCN_15_220727</v>
      </c>
      <c r="P203" s="31">
        <v>44769</v>
      </c>
      <c r="Q203" s="29">
        <v>0.65277777777777779</v>
      </c>
      <c r="R203" s="41"/>
      <c r="S203" s="27">
        <v>44775</v>
      </c>
      <c r="T203" s="29">
        <v>0.67013888888888884</v>
      </c>
      <c r="V203" s="13" t="s">
        <v>86</v>
      </c>
      <c r="W203" s="15" t="s">
        <v>110</v>
      </c>
      <c r="X203" s="13">
        <f t="shared" si="20"/>
        <v>6</v>
      </c>
      <c r="AA203" s="13">
        <f>SUM(AC203:AD203)</f>
        <v>0</v>
      </c>
      <c r="AB203" s="13" t="str">
        <f t="shared" si="21"/>
        <v/>
      </c>
      <c r="AE203" s="13" t="str">
        <f t="shared" si="22"/>
        <v/>
      </c>
      <c r="AF203" s="2">
        <v>2</v>
      </c>
    </row>
    <row r="204" spans="1:32" x14ac:dyDescent="0.25">
      <c r="A204" s="13">
        <v>200</v>
      </c>
      <c r="B204" s="23" t="s">
        <v>56</v>
      </c>
      <c r="C204" s="23" t="s">
        <v>57</v>
      </c>
      <c r="D204" s="23" t="s">
        <v>58</v>
      </c>
      <c r="E204" s="23" t="s">
        <v>58</v>
      </c>
      <c r="F204" s="35" cm="1">
        <f t="array" ref="F204">_xlfn.IFS($G204=$G$5,F$5,$G204=$G$7,F$7,$G204=$G$10,F$10,$G204=$G$13,F$13,$G204=$G$14,F$14,$G204=$G$16,F$16,$G204=$G$17,F$17,$G204=$G$19,F$19,$G204=$G$20,F$20,$G204=$G$22,F$22,$G204=$G$23,F$23,$G204=$G$26,F$26,$G204=$G$29,F$29,$G204=$G$31,F$31,$G204=$G$34,F$34,$G204=$G$37,F$37,$G204=$G$107,F$107,$G204=$G$110,F$110,$G204=$G$140,F$140,$G204=$G$142,F$142,$G204=$G$408,F$408)</f>
        <v>8017</v>
      </c>
      <c r="G204" s="13" t="s">
        <v>73</v>
      </c>
      <c r="H204" s="51" cm="1">
        <f t="array" ref="H204">_xlfn.IFS($G204=$G$5,H$5,$G204=$G$7,H$7,$G204=$G$10,H$10,$G204=$G$13,H$13,$G204=$G$14,H$14,$G204=$G$16,H$16,$G204=$G$17,H$17,$G204=$G$19,H$19,$G204=$G$20,H$20,$G204=$G$22,H$22,$G204=$G$23,H$23,$G204=$G$26,H$26,$G204=$G$29,H$29,$G204=$G$31,H$31,$G204=$G$34,H$34,$G204=$G$37,H$37,$G204=$G$107,H$107,$G204=$G$110,H$110,$G204=$G$140,H$140,$G204=$G$142,H$142,$G204=$G$408,H$408)</f>
        <v>41.398387</v>
      </c>
      <c r="I204" s="51" cm="1">
        <f t="array" ref="I204">_xlfn.IFS($G204=$G$5,I$5,$G204=$G$7,I$7,$G204=$G$10,I$10,$G204=$G$13,I$13,$G204=$G$14,I$14,$G204=$G$16,I$16,$G204=$G$17,I$17,$G204=$G$19,I$19,$G204=$G$20,I$20,$G204=$G$22,I$22,$G204=$G$23,I$23,$G204=$G$26,I$26,$G204=$G$29,I$29,$G204=$G$31,I$31,$G204=$G$34,I$34,$G204=$G$37,I$37,$G204=$G$107,I$107,$G204=$G$110,I$110,$G204=$G$140,I$140,$G204=$G$142,I$142,$G204=$G$408,I$408)</f>
        <v>2.1244429999999999</v>
      </c>
      <c r="J204" s="51" cm="1">
        <f t="array" ref="J204">_xlfn.IFS($G204=$G$5,J$5,$G204=$G$7,J$7,$G204=$G$10,J$10,$G204=$G$13,J$13,$G204=$G$14,J$14,$G204=$G$16,J$16,$G204=$G$17,J$17,$G204=$G$19,J$19,$G204=$G$20,J$20,$G204=$G$22,J$22,$G204=$G$23,J$23,$G204=$G$26,J$26,$G204=$G$29,J$29,$G204=$G$31,J$31,$G204=$G$34,J$34,$G204=$G$37,J$37,$G204=$G$107,J$107,$G204=$G$110,J$110,$G204=$G$140,J$140,$G204=$G$142,J$142,$G204=$G$408,J$408)</f>
        <v>106</v>
      </c>
      <c r="K204" s="13" t="str" cm="1">
        <f t="array" ref="K204">_xlfn.IFS($G204=$G$5,K$5,$G204=$G$7,K$7,$G204=$G$10,K$10,$G204=$G$13,K$13,$G204=$G$14,K$14,$G204=$G$16,K$16,$G204=$G$17,K$17,$G204=$G$19,K$19,$G204=$G$20,K$20,$G204=$G$22,K$22,$G204=$G$23,K$23,$G204=$G$26,K$26,$G204=$G$29,K$29,$G204=$G$31,K$31,$G204=$G$34,K$34,$G204=$G$37,K$37,$G204=$G$107,K$107,$G204=$G$110,K$110,$G204=$G$140,K$140,$G204=$G$142,K$142,$G204=$G$408,K$408)</f>
        <v>BG sentinel + BG lure7</v>
      </c>
      <c r="O204" s="13" t="str">
        <f t="shared" ref="O204:O275" si="23">G204&amp;"_"&amp;TEXT(P204, "AAMMDD")</f>
        <v>A_SP_BCN_16_220727</v>
      </c>
      <c r="P204" s="31">
        <v>44769</v>
      </c>
      <c r="Q204" s="29">
        <v>0.72916666666666663</v>
      </c>
      <c r="R204" s="41"/>
      <c r="S204" s="27">
        <v>44775</v>
      </c>
      <c r="T204" s="29">
        <v>0.70833333333333337</v>
      </c>
      <c r="V204" s="13" t="s">
        <v>86</v>
      </c>
      <c r="W204" s="15" t="s">
        <v>99</v>
      </c>
      <c r="X204" s="13">
        <f t="shared" si="20"/>
        <v>6</v>
      </c>
      <c r="Z204" s="13" t="s">
        <v>60</v>
      </c>
      <c r="AA204" s="13">
        <f t="shared" ref="AA204:AA211" si="24">SUM(AC204:AD204)</f>
        <v>50</v>
      </c>
      <c r="AB204" s="13" t="str">
        <f t="shared" si="21"/>
        <v>Adult</v>
      </c>
      <c r="AC204" s="13">
        <v>32</v>
      </c>
      <c r="AD204" s="13">
        <v>18</v>
      </c>
      <c r="AE204" s="13" t="str">
        <f t="shared" si="22"/>
        <v>Morphological</v>
      </c>
      <c r="AF204" s="2">
        <v>3</v>
      </c>
    </row>
    <row r="205" spans="1:32" x14ac:dyDescent="0.25">
      <c r="A205" s="13">
        <v>201</v>
      </c>
      <c r="B205" s="23" t="s">
        <v>56</v>
      </c>
      <c r="C205" s="23" t="s">
        <v>57</v>
      </c>
      <c r="D205" s="23" t="s">
        <v>58</v>
      </c>
      <c r="E205" s="23" t="s">
        <v>58</v>
      </c>
      <c r="F205" s="35" cm="1">
        <f t="array" ref="F205">_xlfn.IFS($G205=$G$5,F$5,$G205=$G$7,F$7,$G205=$G$10,F$10,$G205=$G$13,F$13,$G205=$G$14,F$14,$G205=$G$16,F$16,$G205=$G$17,F$17,$G205=$G$19,F$19,$G205=$G$20,F$20,$G205=$G$22,F$22,$G205=$G$23,F$23,$G205=$G$26,F$26,$G205=$G$29,F$29,$G205=$G$31,F$31,$G205=$G$34,F$34,$G205=$G$37,F$37,$G205=$G$107,F$107,$G205=$G$110,F$110,$G205=$G$140,F$140,$G205=$G$142,F$142,$G205=$G$408,F$408)</f>
        <v>8017</v>
      </c>
      <c r="G205" s="13" t="s">
        <v>73</v>
      </c>
      <c r="H205" s="51" cm="1">
        <f t="array" ref="H205">_xlfn.IFS($G205=$G$5,H$5,$G205=$G$7,H$7,$G205=$G$10,H$10,$G205=$G$13,H$13,$G205=$G$14,H$14,$G205=$G$16,H$16,$G205=$G$17,H$17,$G205=$G$19,H$19,$G205=$G$20,H$20,$G205=$G$22,H$22,$G205=$G$23,H$23,$G205=$G$26,H$26,$G205=$G$29,H$29,$G205=$G$31,H$31,$G205=$G$34,H$34,$G205=$G$37,H$37,$G205=$G$107,H$107,$G205=$G$110,H$110,$G205=$G$140,H$140,$G205=$G$142,H$142,$G205=$G$408,H$408)</f>
        <v>41.398387</v>
      </c>
      <c r="I205" s="51" cm="1">
        <f t="array" ref="I205">_xlfn.IFS($G205=$G$5,I$5,$G205=$G$7,I$7,$G205=$G$10,I$10,$G205=$G$13,I$13,$G205=$G$14,I$14,$G205=$G$16,I$16,$G205=$G$17,I$17,$G205=$G$19,I$19,$G205=$G$20,I$20,$G205=$G$22,I$22,$G205=$G$23,I$23,$G205=$G$26,I$26,$G205=$G$29,I$29,$G205=$G$31,I$31,$G205=$G$34,I$34,$G205=$G$37,I$37,$G205=$G$107,I$107,$G205=$G$110,I$110,$G205=$G$140,I$140,$G205=$G$142,I$142,$G205=$G$408,I$408)</f>
        <v>2.1244429999999999</v>
      </c>
      <c r="J205" s="51" cm="1">
        <f t="array" ref="J205">_xlfn.IFS($G205=$G$5,J$5,$G205=$G$7,J$7,$G205=$G$10,J$10,$G205=$G$13,J$13,$G205=$G$14,J$14,$G205=$G$16,J$16,$G205=$G$17,J$17,$G205=$G$19,J$19,$G205=$G$20,J$20,$G205=$G$22,J$22,$G205=$G$23,J$23,$G205=$G$26,J$26,$G205=$G$29,J$29,$G205=$G$31,J$31,$G205=$G$34,J$34,$G205=$G$37,J$37,$G205=$G$107,J$107,$G205=$G$110,J$110,$G205=$G$140,J$140,$G205=$G$142,J$142,$G205=$G$408,J$408)</f>
        <v>106</v>
      </c>
      <c r="K205" s="13" t="str" cm="1">
        <f t="array" ref="K205">_xlfn.IFS($G205=$G$5,K$5,$G205=$G$7,K$7,$G205=$G$10,K$10,$G205=$G$13,K$13,$G205=$G$14,K$14,$G205=$G$16,K$16,$G205=$G$17,K$17,$G205=$G$19,K$19,$G205=$G$20,K$20,$G205=$G$22,K$22,$G205=$G$23,K$23,$G205=$G$26,K$26,$G205=$G$29,K$29,$G205=$G$31,K$31,$G205=$G$34,K$34,$G205=$G$37,K$37,$G205=$G$107,K$107,$G205=$G$110,K$110,$G205=$G$140,K$140,$G205=$G$142,K$142,$G205=$G$408,K$408)</f>
        <v>BG sentinel + BG lure7</v>
      </c>
      <c r="O205" s="13" t="str">
        <f t="shared" si="23"/>
        <v>A_SP_BCN_16_220727</v>
      </c>
      <c r="P205" s="31">
        <v>44769</v>
      </c>
      <c r="Q205" s="29">
        <v>0.72916666666666663</v>
      </c>
      <c r="R205" s="41"/>
      <c r="S205" s="27">
        <v>44775</v>
      </c>
      <c r="T205" s="29">
        <v>0.70833333333333337</v>
      </c>
      <c r="V205" s="13" t="s">
        <v>86</v>
      </c>
      <c r="W205" s="15" t="s">
        <v>99</v>
      </c>
      <c r="X205" s="13">
        <f t="shared" si="20"/>
        <v>6</v>
      </c>
      <c r="Z205" s="13" t="s">
        <v>164</v>
      </c>
      <c r="AA205" s="13">
        <f t="shared" si="24"/>
        <v>20</v>
      </c>
      <c r="AB205" s="13" t="str">
        <f t="shared" si="21"/>
        <v>Adult</v>
      </c>
      <c r="AC205" s="13">
        <v>16</v>
      </c>
      <c r="AD205" s="13">
        <v>4</v>
      </c>
      <c r="AE205" s="13" t="str">
        <f t="shared" si="22"/>
        <v>Morphological</v>
      </c>
      <c r="AF205" s="2">
        <v>3</v>
      </c>
    </row>
    <row r="206" spans="1:32" x14ac:dyDescent="0.25">
      <c r="A206" s="13">
        <v>202</v>
      </c>
      <c r="B206" s="23" t="s">
        <v>56</v>
      </c>
      <c r="C206" s="23" t="s">
        <v>57</v>
      </c>
      <c r="D206" s="23" t="s">
        <v>58</v>
      </c>
      <c r="E206" s="23" t="s">
        <v>58</v>
      </c>
      <c r="F206" s="35" cm="1">
        <f t="array" ref="F206">_xlfn.IFS($G206=$G$5,F$5,$G206=$G$7,F$7,$G206=$G$10,F$10,$G206=$G$13,F$13,$G206=$G$14,F$14,$G206=$G$16,F$16,$G206=$G$17,F$17,$G206=$G$19,F$19,$G206=$G$20,F$20,$G206=$G$22,F$22,$G206=$G$23,F$23,$G206=$G$26,F$26,$G206=$G$29,F$29,$G206=$G$31,F$31,$G206=$G$34,F$34,$G206=$G$37,F$37,$G206=$G$107,F$107,$G206=$G$110,F$110,$G206=$G$140,F$140,$G206=$G$142,F$142,$G206=$G$408,F$408)</f>
        <v>8017</v>
      </c>
      <c r="G206" s="13" t="s">
        <v>73</v>
      </c>
      <c r="H206" s="51" cm="1">
        <f t="array" ref="H206">_xlfn.IFS($G206=$G$5,H$5,$G206=$G$7,H$7,$G206=$G$10,H$10,$G206=$G$13,H$13,$G206=$G$14,H$14,$G206=$G$16,H$16,$G206=$G$17,H$17,$G206=$G$19,H$19,$G206=$G$20,H$20,$G206=$G$22,H$22,$G206=$G$23,H$23,$G206=$G$26,H$26,$G206=$G$29,H$29,$G206=$G$31,H$31,$G206=$G$34,H$34,$G206=$G$37,H$37,$G206=$G$107,H$107,$G206=$G$110,H$110,$G206=$G$140,H$140,$G206=$G$142,H$142,$G206=$G$408,H$408)</f>
        <v>41.398387</v>
      </c>
      <c r="I206" s="51" cm="1">
        <f t="array" ref="I206">_xlfn.IFS($G206=$G$5,I$5,$G206=$G$7,I$7,$G206=$G$10,I$10,$G206=$G$13,I$13,$G206=$G$14,I$14,$G206=$G$16,I$16,$G206=$G$17,I$17,$G206=$G$19,I$19,$G206=$G$20,I$20,$G206=$G$22,I$22,$G206=$G$23,I$23,$G206=$G$26,I$26,$G206=$G$29,I$29,$G206=$G$31,I$31,$G206=$G$34,I$34,$G206=$G$37,I$37,$G206=$G$107,I$107,$G206=$G$110,I$110,$G206=$G$140,I$140,$G206=$G$142,I$142,$G206=$G$408,I$408)</f>
        <v>2.1244429999999999</v>
      </c>
      <c r="J206" s="51" cm="1">
        <f t="array" ref="J206">_xlfn.IFS($G206=$G$5,J$5,$G206=$G$7,J$7,$G206=$G$10,J$10,$G206=$G$13,J$13,$G206=$G$14,J$14,$G206=$G$16,J$16,$G206=$G$17,J$17,$G206=$G$19,J$19,$G206=$G$20,J$20,$G206=$G$22,J$22,$G206=$G$23,J$23,$G206=$G$26,J$26,$G206=$G$29,J$29,$G206=$G$31,J$31,$G206=$G$34,J$34,$G206=$G$37,J$37,$G206=$G$107,J$107,$G206=$G$110,J$110,$G206=$G$140,J$140,$G206=$G$142,J$142,$G206=$G$408,J$408)</f>
        <v>106</v>
      </c>
      <c r="K206" s="13" t="str" cm="1">
        <f t="array" ref="K206">_xlfn.IFS($G206=$G$5,K$5,$G206=$G$7,K$7,$G206=$G$10,K$10,$G206=$G$13,K$13,$G206=$G$14,K$14,$G206=$G$16,K$16,$G206=$G$17,K$17,$G206=$G$19,K$19,$G206=$G$20,K$20,$G206=$G$22,K$22,$G206=$G$23,K$23,$G206=$G$26,K$26,$G206=$G$29,K$29,$G206=$G$31,K$31,$G206=$G$34,K$34,$G206=$G$37,K$37,$G206=$G$107,K$107,$G206=$G$110,K$110,$G206=$G$140,K$140,$G206=$G$142,K$142,$G206=$G$408,K$408)</f>
        <v>BG sentinel + BG lure7</v>
      </c>
      <c r="O206" s="13" t="str">
        <f t="shared" si="23"/>
        <v>A_SP_BCN_16_220727</v>
      </c>
      <c r="P206" s="31">
        <v>44769</v>
      </c>
      <c r="Q206" s="29">
        <v>0.72916666666666663</v>
      </c>
      <c r="R206" s="41"/>
      <c r="S206" s="27">
        <v>44775</v>
      </c>
      <c r="T206" s="29">
        <v>0.70833333333333337</v>
      </c>
      <c r="V206" s="13" t="s">
        <v>86</v>
      </c>
      <c r="W206" s="15" t="s">
        <v>99</v>
      </c>
      <c r="X206" s="13">
        <f t="shared" si="20"/>
        <v>6</v>
      </c>
      <c r="Z206" s="32" t="s">
        <v>163</v>
      </c>
      <c r="AA206" s="13">
        <f t="shared" si="24"/>
        <v>1</v>
      </c>
      <c r="AB206" s="13" t="str">
        <f t="shared" si="21"/>
        <v>Adult</v>
      </c>
      <c r="AC206" s="13">
        <v>0</v>
      </c>
      <c r="AD206" s="13">
        <v>1</v>
      </c>
      <c r="AE206" s="13" t="str">
        <f t="shared" si="22"/>
        <v>Morphological</v>
      </c>
      <c r="AF206" s="2">
        <v>3</v>
      </c>
    </row>
    <row r="207" spans="1:32" x14ac:dyDescent="0.25">
      <c r="A207" s="13">
        <v>203</v>
      </c>
      <c r="B207" s="23" t="s">
        <v>56</v>
      </c>
      <c r="C207" s="23" t="s">
        <v>57</v>
      </c>
      <c r="D207" s="23" t="s">
        <v>58</v>
      </c>
      <c r="E207" s="23" t="s">
        <v>58</v>
      </c>
      <c r="F207" s="35" cm="1">
        <f t="array" ref="F207">_xlfn.IFS($G207=$G$5,F$5,$G207=$G$7,F$7,$G207=$G$10,F$10,$G207=$G$13,F$13,$G207=$G$14,F$14,$G207=$G$16,F$16,$G207=$G$17,F$17,$G207=$G$19,F$19,$G207=$G$20,F$20,$G207=$G$22,F$22,$G207=$G$23,F$23,$G207=$G$26,F$26,$G207=$G$29,F$29,$G207=$G$31,F$31,$G207=$G$34,F$34,$G207=$G$37,F$37,$G207=$G$107,F$107,$G207=$G$110,F$110,$G207=$G$140,F$140,$G207=$G$142,F$142,$G207=$G$408,F$408)</f>
        <v>8038</v>
      </c>
      <c r="G207" s="13" t="s">
        <v>76</v>
      </c>
      <c r="H207" s="51" cm="1">
        <f t="array" ref="H207">_xlfn.IFS($G207=$G$5,H$5,$G207=$G$7,H$7,$G207=$G$10,H$10,$G207=$G$13,H$13,$G207=$G$14,H$14,$G207=$G$16,H$16,$G207=$G$17,H$17,$G207=$G$19,H$19,$G207=$G$20,H$20,$G207=$G$22,H$22,$G207=$G$23,H$23,$G207=$G$26,H$26,$G207=$G$29,H$29,$G207=$G$31,H$31,$G207=$G$34,H$34,$G207=$G$37,H$37,$G207=$G$107,H$107,$G207=$G$110,H$110,$G207=$G$140,H$140,$G207=$G$142,H$142,$G207=$G$408,H$408)</f>
        <v>41.359864999999999</v>
      </c>
      <c r="I207" s="51" cm="1">
        <f t="array" ref="I207">_xlfn.IFS($G207=$G$5,I$5,$G207=$G$7,I$7,$G207=$G$10,I$10,$G207=$G$13,I$13,$G207=$G$14,I$14,$G207=$G$16,I$16,$G207=$G$17,I$17,$G207=$G$19,I$19,$G207=$G$20,I$20,$G207=$G$22,I$22,$G207=$G$23,I$23,$G207=$G$26,I$26,$G207=$G$29,I$29,$G207=$G$31,I$31,$G207=$G$34,I$34,$G207=$G$37,I$37,$G207=$G$107,I$107,$G207=$G$110,I$110,$G207=$G$140,I$140,$G207=$G$142,I$142,$G207=$G$408,I$408)</f>
        <v>2.1445430000000001</v>
      </c>
      <c r="J207" s="51" cm="1">
        <f t="array" ref="J207">_xlfn.IFS($G207=$G$5,J$5,$G207=$G$7,J$7,$G207=$G$10,J$10,$G207=$G$13,J$13,$G207=$G$14,J$14,$G207=$G$16,J$16,$G207=$G$17,J$17,$G207=$G$19,J$19,$G207=$G$20,J$20,$G207=$G$22,J$22,$G207=$G$23,J$23,$G207=$G$26,J$26,$G207=$G$29,J$29,$G207=$G$31,J$31,$G207=$G$34,J$34,$G207=$G$37,J$37,$G207=$G$107,J$107,$G207=$G$110,J$110,$G207=$G$140,J$140,$G207=$G$142,J$142,$G207=$G$408,J$408)</f>
        <v>11.4</v>
      </c>
      <c r="K207" s="13" t="str" cm="1">
        <f t="array" ref="K207">_xlfn.IFS($G207=$G$5,K$5,$G207=$G$7,K$7,$G207=$G$10,K$10,$G207=$G$13,K$13,$G207=$G$14,K$14,$G207=$G$16,K$16,$G207=$G$17,K$17,$G207=$G$19,K$19,$G207=$G$20,K$20,$G207=$G$22,K$22,$G207=$G$23,K$23,$G207=$G$26,K$26,$G207=$G$29,K$29,$G207=$G$31,K$31,$G207=$G$34,K$34,$G207=$G$37,K$37,$G207=$G$107,K$107,$G207=$G$110,K$110,$G207=$G$140,K$140,$G207=$G$142,K$142,$G207=$G$408,K$408)</f>
        <v>BG sentinel + BG lure7</v>
      </c>
      <c r="O207" s="13" t="str">
        <f t="shared" si="23"/>
        <v>A_SP_BCN_19_220727</v>
      </c>
      <c r="P207" s="31">
        <v>44769</v>
      </c>
      <c r="Q207" s="29">
        <v>0.54861111111111105</v>
      </c>
      <c r="R207" s="41"/>
      <c r="S207" s="27">
        <v>44775</v>
      </c>
      <c r="T207" s="29">
        <v>0.60416666666666663</v>
      </c>
      <c r="V207" s="13" t="s">
        <v>86</v>
      </c>
      <c r="W207" s="15" t="s">
        <v>112</v>
      </c>
      <c r="X207" s="13">
        <f t="shared" si="20"/>
        <v>6</v>
      </c>
      <c r="Z207" s="13" t="s">
        <v>60</v>
      </c>
      <c r="AA207" s="13">
        <f t="shared" si="24"/>
        <v>29</v>
      </c>
      <c r="AB207" s="13" t="str">
        <f t="shared" si="21"/>
        <v>Adult</v>
      </c>
      <c r="AC207" s="13">
        <v>29</v>
      </c>
      <c r="AD207" s="13">
        <v>0</v>
      </c>
      <c r="AE207" s="13" t="str">
        <f t="shared" si="22"/>
        <v>Morphological</v>
      </c>
      <c r="AF207" s="2">
        <v>2</v>
      </c>
    </row>
    <row r="208" spans="1:32" x14ac:dyDescent="0.25">
      <c r="A208" s="13">
        <v>204</v>
      </c>
      <c r="B208" s="23" t="s">
        <v>56</v>
      </c>
      <c r="C208" s="23" t="s">
        <v>57</v>
      </c>
      <c r="D208" s="23" t="s">
        <v>58</v>
      </c>
      <c r="E208" s="23" t="s">
        <v>58</v>
      </c>
      <c r="F208" s="35" cm="1">
        <f t="array" ref="F208">_xlfn.IFS($G208=$G$5,F$5,$G208=$G$7,F$7,$G208=$G$10,F$10,$G208=$G$13,F$13,$G208=$G$14,F$14,$G208=$G$16,F$16,$G208=$G$17,F$17,$G208=$G$19,F$19,$G208=$G$20,F$20,$G208=$G$22,F$22,$G208=$G$23,F$23,$G208=$G$26,F$26,$G208=$G$29,F$29,$G208=$G$31,F$31,$G208=$G$34,F$34,$G208=$G$37,F$37,$G208=$G$107,F$107,$G208=$G$110,F$110,$G208=$G$140,F$140,$G208=$G$142,F$142,$G208=$G$408,F$408)</f>
        <v>8038</v>
      </c>
      <c r="G208" s="13" t="s">
        <v>76</v>
      </c>
      <c r="H208" s="51" cm="1">
        <f t="array" ref="H208">_xlfn.IFS($G208=$G$5,H$5,$G208=$G$7,H$7,$G208=$G$10,H$10,$G208=$G$13,H$13,$G208=$G$14,H$14,$G208=$G$16,H$16,$G208=$G$17,H$17,$G208=$G$19,H$19,$G208=$G$20,H$20,$G208=$G$22,H$22,$G208=$G$23,H$23,$G208=$G$26,H$26,$G208=$G$29,H$29,$G208=$G$31,H$31,$G208=$G$34,H$34,$G208=$G$37,H$37,$G208=$G$107,H$107,$G208=$G$110,H$110,$G208=$G$140,H$140,$G208=$G$142,H$142,$G208=$G$408,H$408)</f>
        <v>41.359864999999999</v>
      </c>
      <c r="I208" s="51" cm="1">
        <f t="array" ref="I208">_xlfn.IFS($G208=$G$5,I$5,$G208=$G$7,I$7,$G208=$G$10,I$10,$G208=$G$13,I$13,$G208=$G$14,I$14,$G208=$G$16,I$16,$G208=$G$17,I$17,$G208=$G$19,I$19,$G208=$G$20,I$20,$G208=$G$22,I$22,$G208=$G$23,I$23,$G208=$G$26,I$26,$G208=$G$29,I$29,$G208=$G$31,I$31,$G208=$G$34,I$34,$G208=$G$37,I$37,$G208=$G$107,I$107,$G208=$G$110,I$110,$G208=$G$140,I$140,$G208=$G$142,I$142,$G208=$G$408,I$408)</f>
        <v>2.1445430000000001</v>
      </c>
      <c r="J208" s="51" cm="1">
        <f t="array" ref="J208">_xlfn.IFS($G208=$G$5,J$5,$G208=$G$7,J$7,$G208=$G$10,J$10,$G208=$G$13,J$13,$G208=$G$14,J$14,$G208=$G$16,J$16,$G208=$G$17,J$17,$G208=$G$19,J$19,$G208=$G$20,J$20,$G208=$G$22,J$22,$G208=$G$23,J$23,$G208=$G$26,J$26,$G208=$G$29,J$29,$G208=$G$31,J$31,$G208=$G$34,J$34,$G208=$G$37,J$37,$G208=$G$107,J$107,$G208=$G$110,J$110,$G208=$G$140,J$140,$G208=$G$142,J$142,$G208=$G$408,J$408)</f>
        <v>11.4</v>
      </c>
      <c r="K208" s="13" t="str" cm="1">
        <f t="array" ref="K208">_xlfn.IFS($G208=$G$5,K$5,$G208=$G$7,K$7,$G208=$G$10,K$10,$G208=$G$13,K$13,$G208=$G$14,K$14,$G208=$G$16,K$16,$G208=$G$17,K$17,$G208=$G$19,K$19,$G208=$G$20,K$20,$G208=$G$22,K$22,$G208=$G$23,K$23,$G208=$G$26,K$26,$G208=$G$29,K$29,$G208=$G$31,K$31,$G208=$G$34,K$34,$G208=$G$37,K$37,$G208=$G$107,K$107,$G208=$G$110,K$110,$G208=$G$140,K$140,$G208=$G$142,K$142,$G208=$G$408,K$408)</f>
        <v>BG sentinel + BG lure7</v>
      </c>
      <c r="O208" s="13" t="str">
        <f t="shared" si="23"/>
        <v>A_SP_BCN_19_220727</v>
      </c>
      <c r="P208" s="31">
        <v>44769</v>
      </c>
      <c r="Q208" s="29">
        <v>0.54861111111111105</v>
      </c>
      <c r="R208" s="41"/>
      <c r="S208" s="27">
        <v>44775</v>
      </c>
      <c r="T208" s="29">
        <v>0.60416666666666663</v>
      </c>
      <c r="V208" s="13" t="s">
        <v>86</v>
      </c>
      <c r="W208" s="15" t="s">
        <v>112</v>
      </c>
      <c r="X208" s="13">
        <f t="shared" si="20"/>
        <v>6</v>
      </c>
      <c r="Z208" s="13" t="s">
        <v>164</v>
      </c>
      <c r="AA208" s="13">
        <f t="shared" si="24"/>
        <v>57</v>
      </c>
      <c r="AB208" s="13" t="str">
        <f t="shared" si="21"/>
        <v>Adult</v>
      </c>
      <c r="AC208" s="13">
        <v>55</v>
      </c>
      <c r="AD208" s="13">
        <v>2</v>
      </c>
      <c r="AE208" s="13" t="str">
        <f t="shared" si="22"/>
        <v>Morphological</v>
      </c>
      <c r="AF208" s="2">
        <v>2</v>
      </c>
    </row>
    <row r="209" spans="1:32" x14ac:dyDescent="0.25">
      <c r="A209" s="13">
        <v>205</v>
      </c>
      <c r="B209" s="23" t="s">
        <v>56</v>
      </c>
      <c r="C209" s="23" t="s">
        <v>57</v>
      </c>
      <c r="D209" s="23" t="s">
        <v>58</v>
      </c>
      <c r="E209" s="23" t="s">
        <v>58</v>
      </c>
      <c r="F209" s="35" cm="1">
        <f t="array" ref="F209">_xlfn.IFS($G209=$G$5,F$5,$G209=$G$7,F$7,$G209=$G$10,F$10,$G209=$G$13,F$13,$G209=$G$14,F$14,$G209=$G$16,F$16,$G209=$G$17,F$17,$G209=$G$19,F$19,$G209=$G$20,F$20,$G209=$G$22,F$22,$G209=$G$23,F$23,$G209=$G$26,F$26,$G209=$G$29,F$29,$G209=$G$31,F$31,$G209=$G$34,F$34,$G209=$G$37,F$37,$G209=$G$107,F$107,$G209=$G$110,F$110,$G209=$G$140,F$140,$G209=$G$142,F$142,$G209=$G$408,F$408)</f>
        <v>8017</v>
      </c>
      <c r="G209" s="13" t="s">
        <v>77</v>
      </c>
      <c r="H209" s="51" cm="1">
        <f t="array" ref="H209">_xlfn.IFS($G209=$G$5,H$5,$G209=$G$7,H$7,$G209=$G$10,H$10,$G209=$G$13,H$13,$G209=$G$14,H$14,$G209=$G$16,H$16,$G209=$G$17,H$17,$G209=$G$19,H$19,$G209=$G$20,H$20,$G209=$G$22,H$22,$G209=$G$23,H$23,$G209=$G$26,H$26,$G209=$G$29,H$29,$G209=$G$31,H$31,$G209=$G$34,H$34,$G209=$G$37,H$37,$G209=$G$107,H$107,$G209=$G$110,H$110,$G209=$G$140,H$140,$G209=$G$142,H$142,$G209=$G$408,H$408)</f>
        <v>41.430315999999998</v>
      </c>
      <c r="I209" s="51" cm="1">
        <f t="array" ref="I209">_xlfn.IFS($G209=$G$5,I$5,$G209=$G$7,I$7,$G209=$G$10,I$10,$G209=$G$13,I$13,$G209=$G$14,I$14,$G209=$G$16,I$16,$G209=$G$17,I$17,$G209=$G$19,I$19,$G209=$G$20,I$20,$G209=$G$22,I$22,$G209=$G$23,I$23,$G209=$G$26,I$26,$G209=$G$29,I$29,$G209=$G$31,I$31,$G209=$G$34,I$34,$G209=$G$37,I$37,$G209=$G$107,I$107,$G209=$G$110,I$110,$G209=$G$140,I$140,$G209=$G$142,I$142,$G209=$G$408,I$408)</f>
        <v>2.077556</v>
      </c>
      <c r="J209" s="51" cm="1">
        <f t="array" ref="J209">_xlfn.IFS($G209=$G$5,J$5,$G209=$G$7,J$7,$G209=$G$10,J$10,$G209=$G$13,J$13,$G209=$G$14,J$14,$G209=$G$16,J$16,$G209=$G$17,J$17,$G209=$G$19,J$19,$G209=$G$20,J$20,$G209=$G$22,J$22,$G209=$G$23,J$23,$G209=$G$26,J$26,$G209=$G$29,J$29,$G209=$G$31,J$31,$G209=$G$34,J$34,$G209=$G$37,J$37,$G209=$G$107,J$107,$G209=$G$110,J$110,$G209=$G$140,J$140,$G209=$G$142,J$142,$G209=$G$408,J$408)</f>
        <v>243.3</v>
      </c>
      <c r="K209" s="13" t="str" cm="1">
        <f t="array" ref="K209">_xlfn.IFS($G209=$G$5,K$5,$G209=$G$7,K$7,$G209=$G$10,K$10,$G209=$G$13,K$13,$G209=$G$14,K$14,$G209=$G$16,K$16,$G209=$G$17,K$17,$G209=$G$19,K$19,$G209=$G$20,K$20,$G209=$G$22,K$22,$G209=$G$23,K$23,$G209=$G$26,K$26,$G209=$G$29,K$29,$G209=$G$31,K$31,$G209=$G$34,K$34,$G209=$G$37,K$37,$G209=$G$107,K$107,$G209=$G$110,K$110,$G209=$G$140,K$140,$G209=$G$142,K$142,$G209=$G$408,K$408)</f>
        <v>BG sentinel + BG lure7</v>
      </c>
      <c r="O209" s="13" t="str">
        <f t="shared" si="23"/>
        <v>A_SP_BCN_22_220727</v>
      </c>
      <c r="P209" s="31">
        <v>44769</v>
      </c>
      <c r="Q209" s="29">
        <v>0.69444444444444453</v>
      </c>
      <c r="R209" s="41"/>
      <c r="S209" s="27">
        <v>44775</v>
      </c>
      <c r="T209" s="29">
        <v>0.68055555555555547</v>
      </c>
      <c r="V209" s="13" t="s">
        <v>86</v>
      </c>
      <c r="W209" s="15" t="s">
        <v>111</v>
      </c>
      <c r="X209" s="13">
        <f t="shared" si="20"/>
        <v>6</v>
      </c>
      <c r="Z209" s="13" t="s">
        <v>60</v>
      </c>
      <c r="AA209" s="13">
        <f t="shared" si="24"/>
        <v>4</v>
      </c>
      <c r="AB209" s="13" t="str">
        <f t="shared" si="21"/>
        <v>Adult</v>
      </c>
      <c r="AC209" s="13">
        <v>4</v>
      </c>
      <c r="AD209" s="13">
        <v>0</v>
      </c>
      <c r="AE209" s="13" t="str">
        <f t="shared" si="22"/>
        <v>Morphological</v>
      </c>
      <c r="AF209" s="2">
        <v>3</v>
      </c>
    </row>
    <row r="210" spans="1:32" x14ac:dyDescent="0.25">
      <c r="A210" s="13">
        <v>206</v>
      </c>
      <c r="B210" s="23" t="s">
        <v>56</v>
      </c>
      <c r="C210" s="23" t="s">
        <v>57</v>
      </c>
      <c r="D210" s="23" t="s">
        <v>58</v>
      </c>
      <c r="E210" s="23" t="s">
        <v>58</v>
      </c>
      <c r="F210" s="35" cm="1">
        <f t="array" ref="F210">_xlfn.IFS($G210=$G$5,F$5,$G210=$G$7,F$7,$G210=$G$10,F$10,$G210=$G$13,F$13,$G210=$G$14,F$14,$G210=$G$16,F$16,$G210=$G$17,F$17,$G210=$G$19,F$19,$G210=$G$20,F$20,$G210=$G$22,F$22,$G210=$G$23,F$23,$G210=$G$26,F$26,$G210=$G$29,F$29,$G210=$G$31,F$31,$G210=$G$34,F$34,$G210=$G$37,F$37,$G210=$G$107,F$107,$G210=$G$110,F$110,$G210=$G$140,F$140,$G210=$G$142,F$142,$G210=$G$408,F$408)</f>
        <v>8017</v>
      </c>
      <c r="G210" s="13" t="s">
        <v>77</v>
      </c>
      <c r="H210" s="51" cm="1">
        <f t="array" ref="H210">_xlfn.IFS($G210=$G$5,H$5,$G210=$G$7,H$7,$G210=$G$10,H$10,$G210=$G$13,H$13,$G210=$G$14,H$14,$G210=$G$16,H$16,$G210=$G$17,H$17,$G210=$G$19,H$19,$G210=$G$20,H$20,$G210=$G$22,H$22,$G210=$G$23,H$23,$G210=$G$26,H$26,$G210=$G$29,H$29,$G210=$G$31,H$31,$G210=$G$34,H$34,$G210=$G$37,H$37,$G210=$G$107,H$107,$G210=$G$110,H$110,$G210=$G$140,H$140,$G210=$G$142,H$142,$G210=$G$408,H$408)</f>
        <v>41.430315999999998</v>
      </c>
      <c r="I210" s="51" cm="1">
        <f t="array" ref="I210">_xlfn.IFS($G210=$G$5,I$5,$G210=$G$7,I$7,$G210=$G$10,I$10,$G210=$G$13,I$13,$G210=$G$14,I$14,$G210=$G$16,I$16,$G210=$G$17,I$17,$G210=$G$19,I$19,$G210=$G$20,I$20,$G210=$G$22,I$22,$G210=$G$23,I$23,$G210=$G$26,I$26,$G210=$G$29,I$29,$G210=$G$31,I$31,$G210=$G$34,I$34,$G210=$G$37,I$37,$G210=$G$107,I$107,$G210=$G$110,I$110,$G210=$G$140,I$140,$G210=$G$142,I$142,$G210=$G$408,I$408)</f>
        <v>2.077556</v>
      </c>
      <c r="J210" s="51" cm="1">
        <f t="array" ref="J210">_xlfn.IFS($G210=$G$5,J$5,$G210=$G$7,J$7,$G210=$G$10,J$10,$G210=$G$13,J$13,$G210=$G$14,J$14,$G210=$G$16,J$16,$G210=$G$17,J$17,$G210=$G$19,J$19,$G210=$G$20,J$20,$G210=$G$22,J$22,$G210=$G$23,J$23,$G210=$G$26,J$26,$G210=$G$29,J$29,$G210=$G$31,J$31,$G210=$G$34,J$34,$G210=$G$37,J$37,$G210=$G$107,J$107,$G210=$G$110,J$110,$G210=$G$140,J$140,$G210=$G$142,J$142,$G210=$G$408,J$408)</f>
        <v>243.3</v>
      </c>
      <c r="K210" s="13" t="str" cm="1">
        <f t="array" ref="K210">_xlfn.IFS($G210=$G$5,K$5,$G210=$G$7,K$7,$G210=$G$10,K$10,$G210=$G$13,K$13,$G210=$G$14,K$14,$G210=$G$16,K$16,$G210=$G$17,K$17,$G210=$G$19,K$19,$G210=$G$20,K$20,$G210=$G$22,K$22,$G210=$G$23,K$23,$G210=$G$26,K$26,$G210=$G$29,K$29,$G210=$G$31,K$31,$G210=$G$34,K$34,$G210=$G$37,K$37,$G210=$G$107,K$107,$G210=$G$110,K$110,$G210=$G$140,K$140,$G210=$G$142,K$142,$G210=$G$408,K$408)</f>
        <v>BG sentinel + BG lure7</v>
      </c>
      <c r="O210" s="13" t="str">
        <f t="shared" si="23"/>
        <v>A_SP_BCN_22_220727</v>
      </c>
      <c r="P210" s="31">
        <v>44769</v>
      </c>
      <c r="Q210" s="29">
        <v>0.69444444444444453</v>
      </c>
      <c r="R210" s="41"/>
      <c r="S210" s="27">
        <v>44775</v>
      </c>
      <c r="T210" s="29">
        <v>0.68055555555555547</v>
      </c>
      <c r="V210" s="13" t="s">
        <v>86</v>
      </c>
      <c r="W210" s="15" t="s">
        <v>111</v>
      </c>
      <c r="X210" s="13">
        <f t="shared" si="20"/>
        <v>6</v>
      </c>
      <c r="Z210" s="13" t="s">
        <v>164</v>
      </c>
      <c r="AA210" s="13">
        <f t="shared" si="24"/>
        <v>2</v>
      </c>
      <c r="AB210" s="13" t="str">
        <f t="shared" si="21"/>
        <v>Adult</v>
      </c>
      <c r="AC210" s="13">
        <v>1</v>
      </c>
      <c r="AD210" s="13">
        <v>1</v>
      </c>
      <c r="AE210" s="13" t="str">
        <f t="shared" si="22"/>
        <v>Morphological</v>
      </c>
      <c r="AF210" s="2">
        <v>3</v>
      </c>
    </row>
    <row r="211" spans="1:32" x14ac:dyDescent="0.25">
      <c r="A211" s="13">
        <v>207</v>
      </c>
      <c r="B211" s="23" t="s">
        <v>56</v>
      </c>
      <c r="C211" s="23" t="s">
        <v>57</v>
      </c>
      <c r="D211" s="23" t="s">
        <v>58</v>
      </c>
      <c r="E211" s="23" t="s">
        <v>58</v>
      </c>
      <c r="F211" s="35" cm="1">
        <f t="array" ref="F211">_xlfn.IFS($G211=$G$5,F$5,$G211=$G$7,F$7,$G211=$G$10,F$10,$G211=$G$13,F$13,$G211=$G$14,F$14,$G211=$G$16,F$16,$G211=$G$17,F$17,$G211=$G$19,F$19,$G211=$G$20,F$20,$G211=$G$22,F$22,$G211=$G$23,F$23,$G211=$G$26,F$26,$G211=$G$29,F$29,$G211=$G$31,F$31,$G211=$G$34,F$34,$G211=$G$37,F$37,$G211=$G$107,F$107,$G211=$G$110,F$110,$G211=$G$140,F$140,$G211=$G$142,F$142,$G211=$G$408,F$408)</f>
        <v>8017</v>
      </c>
      <c r="G211" s="13" t="s">
        <v>77</v>
      </c>
      <c r="H211" s="51" cm="1">
        <f t="array" ref="H211">_xlfn.IFS($G211=$G$5,H$5,$G211=$G$7,H$7,$G211=$G$10,H$10,$G211=$G$13,H$13,$G211=$G$14,H$14,$G211=$G$16,H$16,$G211=$G$17,H$17,$G211=$G$19,H$19,$G211=$G$20,H$20,$G211=$G$22,H$22,$G211=$G$23,H$23,$G211=$G$26,H$26,$G211=$G$29,H$29,$G211=$G$31,H$31,$G211=$G$34,H$34,$G211=$G$37,H$37,$G211=$G$107,H$107,$G211=$G$110,H$110,$G211=$G$140,H$140,$G211=$G$142,H$142,$G211=$G$408,H$408)</f>
        <v>41.430315999999998</v>
      </c>
      <c r="I211" s="51" cm="1">
        <f t="array" ref="I211">_xlfn.IFS($G211=$G$5,I$5,$G211=$G$7,I$7,$G211=$G$10,I$10,$G211=$G$13,I$13,$G211=$G$14,I$14,$G211=$G$16,I$16,$G211=$G$17,I$17,$G211=$G$19,I$19,$G211=$G$20,I$20,$G211=$G$22,I$22,$G211=$G$23,I$23,$G211=$G$26,I$26,$G211=$G$29,I$29,$G211=$G$31,I$31,$G211=$G$34,I$34,$G211=$G$37,I$37,$G211=$G$107,I$107,$G211=$G$110,I$110,$G211=$G$140,I$140,$G211=$G$142,I$142,$G211=$G$408,I$408)</f>
        <v>2.077556</v>
      </c>
      <c r="J211" s="51" cm="1">
        <f t="array" ref="J211">_xlfn.IFS($G211=$G$5,J$5,$G211=$G$7,J$7,$G211=$G$10,J$10,$G211=$G$13,J$13,$G211=$G$14,J$14,$G211=$G$16,J$16,$G211=$G$17,J$17,$G211=$G$19,J$19,$G211=$G$20,J$20,$G211=$G$22,J$22,$G211=$G$23,J$23,$G211=$G$26,J$26,$G211=$G$29,J$29,$G211=$G$31,J$31,$G211=$G$34,J$34,$G211=$G$37,J$37,$G211=$G$107,J$107,$G211=$G$110,J$110,$G211=$G$140,J$140,$G211=$G$142,J$142,$G211=$G$408,J$408)</f>
        <v>243.3</v>
      </c>
      <c r="K211" s="13" t="str" cm="1">
        <f t="array" ref="K211">_xlfn.IFS($G211=$G$5,K$5,$G211=$G$7,K$7,$G211=$G$10,K$10,$G211=$G$13,K$13,$G211=$G$14,K$14,$G211=$G$16,K$16,$G211=$G$17,K$17,$G211=$G$19,K$19,$G211=$G$20,K$20,$G211=$G$22,K$22,$G211=$G$23,K$23,$G211=$G$26,K$26,$G211=$G$29,K$29,$G211=$G$31,K$31,$G211=$G$34,K$34,$G211=$G$37,K$37,$G211=$G$107,K$107,$G211=$G$110,K$110,$G211=$G$140,K$140,$G211=$G$142,K$142,$G211=$G$408,K$408)</f>
        <v>BG sentinel + BG lure7</v>
      </c>
      <c r="O211" s="13" t="str">
        <f t="shared" si="23"/>
        <v>A_SP_BCN_22_220727</v>
      </c>
      <c r="P211" s="31">
        <v>44769</v>
      </c>
      <c r="Q211" s="29">
        <v>0.69444444444444453</v>
      </c>
      <c r="R211" s="41"/>
      <c r="S211" s="27">
        <v>44775</v>
      </c>
      <c r="T211" s="29">
        <v>0.68055555555555547</v>
      </c>
      <c r="V211" s="13" t="s">
        <v>86</v>
      </c>
      <c r="W211" s="15" t="s">
        <v>111</v>
      </c>
      <c r="X211" s="13">
        <f t="shared" si="20"/>
        <v>6</v>
      </c>
      <c r="Z211" s="32" t="s">
        <v>163</v>
      </c>
      <c r="AA211" s="13">
        <f t="shared" si="24"/>
        <v>1</v>
      </c>
      <c r="AB211" s="13" t="str">
        <f t="shared" si="21"/>
        <v>Adult</v>
      </c>
      <c r="AC211" s="13">
        <v>0</v>
      </c>
      <c r="AD211" s="13">
        <v>1</v>
      </c>
      <c r="AE211" s="13" t="str">
        <f t="shared" si="22"/>
        <v>Morphological</v>
      </c>
      <c r="AF211" s="2">
        <v>3</v>
      </c>
    </row>
    <row r="212" spans="1:32" x14ac:dyDescent="0.25">
      <c r="A212" s="13">
        <v>208</v>
      </c>
      <c r="B212" s="23" t="s">
        <v>56</v>
      </c>
      <c r="C212" s="23" t="s">
        <v>57</v>
      </c>
      <c r="D212" s="23" t="s">
        <v>58</v>
      </c>
      <c r="E212" s="23" t="s">
        <v>58</v>
      </c>
      <c r="F212" s="35" cm="1">
        <f t="array" ref="F212">_xlfn.IFS($G212=$G$5,F$5,$G212=$G$7,F$7,$G212=$G$10,F$10,$G212=$G$13,F$13,$G212=$G$14,F$14,$G212=$G$16,F$16,$G212=$G$17,F$17,$G212=$G$19,F$19,$G212=$G$20,F$20,$G212=$G$22,F$22,$G212=$G$23,F$23,$G212=$G$26,F$26,$G212=$G$29,F$29,$G212=$G$31,F$31,$G212=$G$34,F$34,$G212=$G$37,F$37,$G212=$G$107,F$107,$G212=$G$110,F$110,$G212=$G$140,F$140,$G212=$G$142,F$142,$G212=$G$408,F$408)</f>
        <v>8038</v>
      </c>
      <c r="G212" s="13" t="s">
        <v>79</v>
      </c>
      <c r="H212" s="51" cm="1">
        <f t="array" ref="H212">_xlfn.IFS($G212=$G$5,H$5,$G212=$G$7,H$7,$G212=$G$10,H$10,$G212=$G$13,H$13,$G212=$G$14,H$14,$G212=$G$16,H$16,$G212=$G$17,H$17,$G212=$G$19,H$19,$G212=$G$20,H$20,$G212=$G$22,H$22,$G212=$G$23,H$23,$G212=$G$26,H$26,$G212=$G$29,H$29,$G212=$G$31,H$31,$G212=$G$34,H$34,$G212=$G$37,H$37,$G212=$G$107,H$107,$G212=$G$110,H$110,$G212=$G$140,H$140,$G212=$G$142,H$142,$G212=$G$408,H$408)</f>
        <v>41.367100000000001</v>
      </c>
      <c r="I212" s="51" cm="1">
        <f t="array" ref="I212">_xlfn.IFS($G212=$G$5,I$5,$G212=$G$7,I$7,$G212=$G$10,I$10,$G212=$G$13,I$13,$G212=$G$14,I$14,$G212=$G$16,I$16,$G212=$G$17,I$17,$G212=$G$19,I$19,$G212=$G$20,I$20,$G212=$G$22,I$22,$G212=$G$23,I$23,$G212=$G$26,I$26,$G212=$G$29,I$29,$G212=$G$31,I$31,$G212=$G$34,I$34,$G212=$G$37,I$37,$G212=$G$107,I$107,$G212=$G$110,I$110,$G212=$G$140,I$140,$G212=$G$142,I$142,$G212=$G$408,I$408)</f>
        <v>2.1539079999999999</v>
      </c>
      <c r="J212" s="51" cm="1">
        <f t="array" ref="J212">_xlfn.IFS($G212=$G$5,J$5,$G212=$G$7,J$7,$G212=$G$10,J$10,$G212=$G$13,J$13,$G212=$G$14,J$14,$G212=$G$16,J$16,$G212=$G$17,J$17,$G212=$G$19,J$19,$G212=$G$20,J$20,$G212=$G$22,J$22,$G212=$G$23,J$23,$G212=$G$26,J$26,$G212=$G$29,J$29,$G212=$G$31,J$31,$G212=$G$34,J$34,$G212=$G$37,J$37,$G212=$G$107,J$107,$G212=$G$110,J$110,$G212=$G$140,J$140,$G212=$G$142,J$142,$G212=$G$408,J$408)</f>
        <v>68</v>
      </c>
      <c r="K212" s="13" t="str" cm="1">
        <f t="array" ref="K212">_xlfn.IFS($G212=$G$5,K$5,$G212=$G$7,K$7,$G212=$G$10,K$10,$G212=$G$13,K$13,$G212=$G$14,K$14,$G212=$G$16,K$16,$G212=$G$17,K$17,$G212=$G$19,K$19,$G212=$G$20,K$20,$G212=$G$22,K$22,$G212=$G$23,K$23,$G212=$G$26,K$26,$G212=$G$29,K$29,$G212=$G$31,K$31,$G212=$G$34,K$34,$G212=$G$37,K$37,$G212=$G$107,K$107,$G212=$G$110,K$110,$G212=$G$140,K$140,$G212=$G$142,K$142,$G212=$G$408,K$408)</f>
        <v>BG sentinel + BG lure7</v>
      </c>
      <c r="O212" s="13" t="str">
        <f t="shared" si="23"/>
        <v>A_SP_BCN_23_220727</v>
      </c>
      <c r="P212" s="31">
        <v>44769</v>
      </c>
      <c r="Q212" s="29">
        <v>0.55902777777777779</v>
      </c>
      <c r="R212" s="41"/>
      <c r="S212" s="27">
        <v>44775</v>
      </c>
      <c r="T212" s="29">
        <v>0.61458333333333337</v>
      </c>
      <c r="V212" s="13" t="s">
        <v>86</v>
      </c>
      <c r="W212" s="15" t="s">
        <v>98</v>
      </c>
      <c r="X212" s="13">
        <f t="shared" si="20"/>
        <v>6</v>
      </c>
      <c r="AA212" s="13">
        <f>SUM(AC212:AD212)</f>
        <v>0</v>
      </c>
      <c r="AB212" s="13" t="str">
        <f t="shared" si="21"/>
        <v/>
      </c>
      <c r="AE212" s="13" t="str">
        <f t="shared" si="22"/>
        <v/>
      </c>
      <c r="AF212" s="2">
        <v>2</v>
      </c>
    </row>
    <row r="213" spans="1:32" x14ac:dyDescent="0.25">
      <c r="A213" s="13">
        <v>209</v>
      </c>
      <c r="B213" s="23" t="s">
        <v>56</v>
      </c>
      <c r="C213" s="23" t="s">
        <v>57</v>
      </c>
      <c r="D213" s="23" t="s">
        <v>58</v>
      </c>
      <c r="E213" s="23" t="s">
        <v>58</v>
      </c>
      <c r="F213" s="35" cm="1">
        <f t="array" ref="F213">_xlfn.IFS($G213=$G$5,F$5,$G213=$G$7,F$7,$G213=$G$10,F$10,$G213=$G$13,F$13,$G213=$G$14,F$14,$G213=$G$16,F$16,$G213=$G$17,F$17,$G213=$G$19,F$19,$G213=$G$20,F$20,$G213=$G$22,F$22,$G213=$G$23,F$23,$G213=$G$26,F$26,$G213=$G$29,F$29,$G213=$G$31,F$31,$G213=$G$34,F$34,$G213=$G$37,F$37,$G213=$G$107,F$107,$G213=$G$110,F$110,$G213=$G$140,F$140,$G213=$G$142,F$142,$G213=$G$408,F$408)</f>
        <v>8015</v>
      </c>
      <c r="G213" s="13" t="s">
        <v>78</v>
      </c>
      <c r="H213" s="51" cm="1">
        <f t="array" ref="H213">_xlfn.IFS($G213=$G$5,H$5,$G213=$G$7,H$7,$G213=$G$10,H$10,$G213=$G$13,H$13,$G213=$G$14,H$14,$G213=$G$16,H$16,$G213=$G$17,H$17,$G213=$G$19,H$19,$G213=$G$20,H$20,$G213=$G$22,H$22,$G213=$G$23,H$23,$G213=$G$26,H$26,$G213=$G$29,H$29,$G213=$G$31,H$31,$G213=$G$34,H$34,$G213=$G$37,H$37,$G213=$G$107,H$107,$G213=$G$110,H$110,$G213=$G$140,H$140,$G213=$G$142,H$142,$G213=$G$408,H$408)</f>
        <v>41.381725000000003</v>
      </c>
      <c r="I213" s="51" cm="1">
        <f t="array" ref="I213">_xlfn.IFS($G213=$G$5,I$5,$G213=$G$7,I$7,$G213=$G$10,I$10,$G213=$G$13,I$13,$G213=$G$14,I$14,$G213=$G$16,I$16,$G213=$G$17,I$17,$G213=$G$19,I$19,$G213=$G$20,I$20,$G213=$G$22,I$22,$G213=$G$23,I$23,$G213=$G$26,I$26,$G213=$G$29,I$29,$G213=$G$31,I$31,$G213=$G$34,I$34,$G213=$G$37,I$37,$G213=$G$107,I$107,$G213=$G$110,I$110,$G213=$G$140,I$140,$G213=$G$142,I$142,$G213=$G$408,I$408)</f>
        <v>2.1543679999999998</v>
      </c>
      <c r="J213" s="51" cm="1">
        <f t="array" ref="J213">_xlfn.IFS($G213=$G$5,J$5,$G213=$G$7,J$7,$G213=$G$10,J$10,$G213=$G$13,J$13,$G213=$G$14,J$14,$G213=$G$16,J$16,$G213=$G$17,J$17,$G213=$G$19,J$19,$G213=$G$20,J$20,$G213=$G$22,J$22,$G213=$G$23,J$23,$G213=$G$26,J$26,$G213=$G$29,J$29,$G213=$G$31,J$31,$G213=$G$34,J$34,$G213=$G$37,J$37,$G213=$G$107,J$107,$G213=$G$110,J$110,$G213=$G$140,J$140,$G213=$G$142,J$142,$G213=$G$408,J$408)</f>
        <v>20.7</v>
      </c>
      <c r="K213" s="13" t="str" cm="1">
        <f t="array" ref="K213">_xlfn.IFS($G213=$G$5,K$5,$G213=$G$7,K$7,$G213=$G$10,K$10,$G213=$G$13,K$13,$G213=$G$14,K$14,$G213=$G$16,K$16,$G213=$G$17,K$17,$G213=$G$19,K$19,$G213=$G$20,K$20,$G213=$G$22,K$22,$G213=$G$23,K$23,$G213=$G$26,K$26,$G213=$G$29,K$29,$G213=$G$31,K$31,$G213=$G$34,K$34,$G213=$G$37,K$37,$G213=$G$107,K$107,$G213=$G$110,K$110,$G213=$G$140,K$140,$G213=$G$142,K$142,$G213=$G$408,K$408)</f>
        <v>BG sentinel + BG lure7</v>
      </c>
      <c r="O213" s="13" t="str">
        <f t="shared" si="23"/>
        <v>A_SP_BCN_24_220727</v>
      </c>
      <c r="P213" s="31">
        <v>44769</v>
      </c>
      <c r="Q213" s="29">
        <v>0.89583333333333337</v>
      </c>
      <c r="R213" s="41"/>
      <c r="S213" s="27">
        <v>44775</v>
      </c>
      <c r="T213" s="29">
        <v>0.875</v>
      </c>
      <c r="V213" s="13" t="s">
        <v>86</v>
      </c>
      <c r="X213" s="13">
        <f t="shared" si="20"/>
        <v>6</v>
      </c>
      <c r="Z213" s="13" t="s">
        <v>60</v>
      </c>
      <c r="AA213" s="13">
        <f t="shared" ref="AA213:AA263" si="25">SUM(AC213:AD213)</f>
        <v>21</v>
      </c>
      <c r="AB213" s="13" t="str">
        <f t="shared" si="21"/>
        <v>Adult</v>
      </c>
      <c r="AC213" s="13">
        <v>9</v>
      </c>
      <c r="AD213" s="13">
        <v>12</v>
      </c>
      <c r="AE213" s="13" t="str">
        <f t="shared" si="22"/>
        <v>Morphological</v>
      </c>
      <c r="AF213" s="2">
        <v>4</v>
      </c>
    </row>
    <row r="214" spans="1:32" x14ac:dyDescent="0.25">
      <c r="A214" s="13">
        <v>210</v>
      </c>
      <c r="B214" s="23" t="s">
        <v>56</v>
      </c>
      <c r="C214" s="23" t="s">
        <v>57</v>
      </c>
      <c r="D214" s="23" t="s">
        <v>58</v>
      </c>
      <c r="E214" s="23" t="s">
        <v>58</v>
      </c>
      <c r="F214" s="35" cm="1">
        <f t="array" ref="F214">_xlfn.IFS($G214=$G$5,F$5,$G214=$G$7,F$7,$G214=$G$10,F$10,$G214=$G$13,F$13,$G214=$G$14,F$14,$G214=$G$16,F$16,$G214=$G$17,F$17,$G214=$G$19,F$19,$G214=$G$20,F$20,$G214=$G$22,F$22,$G214=$G$23,F$23,$G214=$G$26,F$26,$G214=$G$29,F$29,$G214=$G$31,F$31,$G214=$G$34,F$34,$G214=$G$37,F$37,$G214=$G$107,F$107,$G214=$G$110,F$110,$G214=$G$140,F$140,$G214=$G$142,F$142,$G214=$G$408,F$408)</f>
        <v>8015</v>
      </c>
      <c r="G214" s="13" t="s">
        <v>78</v>
      </c>
      <c r="H214" s="51" cm="1">
        <f t="array" ref="H214">_xlfn.IFS($G214=$G$5,H$5,$G214=$G$7,H$7,$G214=$G$10,H$10,$G214=$G$13,H$13,$G214=$G$14,H$14,$G214=$G$16,H$16,$G214=$G$17,H$17,$G214=$G$19,H$19,$G214=$G$20,H$20,$G214=$G$22,H$22,$G214=$G$23,H$23,$G214=$G$26,H$26,$G214=$G$29,H$29,$G214=$G$31,H$31,$G214=$G$34,H$34,$G214=$G$37,H$37,$G214=$G$107,H$107,$G214=$G$110,H$110,$G214=$G$140,H$140,$G214=$G$142,H$142,$G214=$G$408,H$408)</f>
        <v>41.381725000000003</v>
      </c>
      <c r="I214" s="51" cm="1">
        <f t="array" ref="I214">_xlfn.IFS($G214=$G$5,I$5,$G214=$G$7,I$7,$G214=$G$10,I$10,$G214=$G$13,I$13,$G214=$G$14,I$14,$G214=$G$16,I$16,$G214=$G$17,I$17,$G214=$G$19,I$19,$G214=$G$20,I$20,$G214=$G$22,I$22,$G214=$G$23,I$23,$G214=$G$26,I$26,$G214=$G$29,I$29,$G214=$G$31,I$31,$G214=$G$34,I$34,$G214=$G$37,I$37,$G214=$G$107,I$107,$G214=$G$110,I$110,$G214=$G$140,I$140,$G214=$G$142,I$142,$G214=$G$408,I$408)</f>
        <v>2.1543679999999998</v>
      </c>
      <c r="J214" s="51" cm="1">
        <f t="array" ref="J214">_xlfn.IFS($G214=$G$5,J$5,$G214=$G$7,J$7,$G214=$G$10,J$10,$G214=$G$13,J$13,$G214=$G$14,J$14,$G214=$G$16,J$16,$G214=$G$17,J$17,$G214=$G$19,J$19,$G214=$G$20,J$20,$G214=$G$22,J$22,$G214=$G$23,J$23,$G214=$G$26,J$26,$G214=$G$29,J$29,$G214=$G$31,J$31,$G214=$G$34,J$34,$G214=$G$37,J$37,$G214=$G$107,J$107,$G214=$G$110,J$110,$G214=$G$140,J$140,$G214=$G$142,J$142,$G214=$G$408,J$408)</f>
        <v>20.7</v>
      </c>
      <c r="K214" s="13" t="str" cm="1">
        <f t="array" ref="K214">_xlfn.IFS($G214=$G$5,K$5,$G214=$G$7,K$7,$G214=$G$10,K$10,$G214=$G$13,K$13,$G214=$G$14,K$14,$G214=$G$16,K$16,$G214=$G$17,K$17,$G214=$G$19,K$19,$G214=$G$20,K$20,$G214=$G$22,K$22,$G214=$G$23,K$23,$G214=$G$26,K$26,$G214=$G$29,K$29,$G214=$G$31,K$31,$G214=$G$34,K$34,$G214=$G$37,K$37,$G214=$G$107,K$107,$G214=$G$110,K$110,$G214=$G$140,K$140,$G214=$G$142,K$142,$G214=$G$408,K$408)</f>
        <v>BG sentinel + BG lure7</v>
      </c>
      <c r="O214" s="13" t="str">
        <f t="shared" si="23"/>
        <v>A_SP_BCN_24_220727</v>
      </c>
      <c r="P214" s="31">
        <v>44769</v>
      </c>
      <c r="Q214" s="29">
        <v>0.89583333333333337</v>
      </c>
      <c r="R214" s="41"/>
      <c r="S214" s="27">
        <v>44775</v>
      </c>
      <c r="T214" s="29">
        <v>0.875</v>
      </c>
      <c r="V214" s="13" t="s">
        <v>86</v>
      </c>
      <c r="X214" s="13">
        <f t="shared" si="20"/>
        <v>6</v>
      </c>
      <c r="Z214" s="13" t="s">
        <v>164</v>
      </c>
      <c r="AA214" s="13">
        <f t="shared" si="25"/>
        <v>11</v>
      </c>
      <c r="AB214" s="13" t="str">
        <f t="shared" si="21"/>
        <v>Adult</v>
      </c>
      <c r="AC214" s="13">
        <v>7</v>
      </c>
      <c r="AD214" s="13">
        <v>4</v>
      </c>
      <c r="AE214" s="13" t="str">
        <f t="shared" si="22"/>
        <v>Morphological</v>
      </c>
      <c r="AF214" s="2">
        <v>4</v>
      </c>
    </row>
    <row r="215" spans="1:32" x14ac:dyDescent="0.25">
      <c r="A215" s="13">
        <v>211</v>
      </c>
      <c r="B215" s="23" t="s">
        <v>56</v>
      </c>
      <c r="C215" s="23" t="s">
        <v>57</v>
      </c>
      <c r="D215" s="23" t="s">
        <v>58</v>
      </c>
      <c r="E215" s="23" t="s">
        <v>58</v>
      </c>
      <c r="F215" s="35" cm="1">
        <f t="array" ref="F215">_xlfn.IFS($G215=$G$5,F$5,$G215=$G$7,F$7,$G215=$G$10,F$10,$G215=$G$13,F$13,$G215=$G$14,F$14,$G215=$G$16,F$16,$G215=$G$17,F$17,$G215=$G$19,F$19,$G215=$G$20,F$20,$G215=$G$22,F$22,$G215=$G$23,F$23,$G215=$G$26,F$26,$G215=$G$29,F$29,$G215=$G$31,F$31,$G215=$G$34,F$34,$G215=$G$37,F$37,$G215=$G$107,F$107,$G215=$G$110,F$110,$G215=$G$140,F$140,$G215=$G$142,F$142,$G215=$G$408,F$408)</f>
        <v>8025</v>
      </c>
      <c r="G215" s="13" t="s">
        <v>122</v>
      </c>
      <c r="H215" s="51" cm="1">
        <f t="array" ref="H215">_xlfn.IFS($G215=$G$5,H$5,$G215=$G$7,H$7,$G215=$G$10,H$10,$G215=$G$13,H$13,$G215=$G$14,H$14,$G215=$G$16,H$16,$G215=$G$17,H$17,$G215=$G$19,H$19,$G215=$G$20,H$20,$G215=$G$22,H$22,$G215=$G$23,H$23,$G215=$G$26,H$26,$G215=$G$29,H$29,$G215=$G$31,H$31,$G215=$G$34,H$34,$G215=$G$37,H$37,$G215=$G$107,H$107,$G215=$G$110,H$110,$G215=$G$140,H$140,$G215=$G$142,H$142,$G215=$G$408,H$408)</f>
        <v>41.407992</v>
      </c>
      <c r="I215" s="51" cm="1">
        <f t="array" ref="I215">_xlfn.IFS($G215=$G$5,I$5,$G215=$G$7,I$7,$G215=$G$10,I$10,$G215=$G$13,I$13,$G215=$G$14,I$14,$G215=$G$16,I$16,$G215=$G$17,I$17,$G215=$G$19,I$19,$G215=$G$20,I$20,$G215=$G$22,I$22,$G215=$G$23,I$23,$G215=$G$26,I$26,$G215=$G$29,I$29,$G215=$G$31,I$31,$G215=$G$34,I$34,$G215=$G$37,I$37,$G215=$G$107,I$107,$G215=$G$110,I$110,$G215=$G$140,I$140,$G215=$G$142,I$142,$G215=$G$408,I$408)</f>
        <v>2.1679379999999999</v>
      </c>
      <c r="J215" s="51" cm="1">
        <f t="array" ref="J215">_xlfn.IFS($G215=$G$5,J$5,$G215=$G$7,J$7,$G215=$G$10,J$10,$G215=$G$13,J$13,$G215=$G$14,J$14,$G215=$G$16,J$16,$G215=$G$17,J$17,$G215=$G$19,J$19,$G215=$G$20,J$20,$G215=$G$22,J$22,$G215=$G$23,J$23,$G215=$G$26,J$26,$G215=$G$29,J$29,$G215=$G$31,J$31,$G215=$G$34,J$34,$G215=$G$37,J$37,$G215=$G$107,J$107,$G215=$G$110,J$110,$G215=$G$140,J$140,$G215=$G$142,J$142,$G215=$G$408,J$408)</f>
        <v>61</v>
      </c>
      <c r="K215" s="13" t="str" cm="1">
        <f t="array" ref="K215">_xlfn.IFS($G215=$G$5,K$5,$G215=$G$7,K$7,$G215=$G$10,K$10,$G215=$G$13,K$13,$G215=$G$14,K$14,$G215=$G$16,K$16,$G215=$G$17,K$17,$G215=$G$19,K$19,$G215=$G$20,K$20,$G215=$G$22,K$22,$G215=$G$23,K$23,$G215=$G$26,K$26,$G215=$G$29,K$29,$G215=$G$31,K$31,$G215=$G$34,K$34,$G215=$G$37,K$37,$G215=$G$107,K$107,$G215=$G$110,K$110,$G215=$G$140,K$140,$G215=$G$142,K$142,$G215=$G$408,K$408)</f>
        <v>BG sentinel</v>
      </c>
      <c r="O215" s="13" t="str">
        <f t="shared" si="23"/>
        <v>A_SP_BCN_25_220727</v>
      </c>
      <c r="P215" s="27">
        <v>44769</v>
      </c>
      <c r="Q215" s="29">
        <v>0.60069444444444442</v>
      </c>
      <c r="R215" s="41"/>
      <c r="S215" s="31">
        <v>44810</v>
      </c>
      <c r="T215" s="29">
        <v>0.62152777777777779</v>
      </c>
      <c r="V215" s="13" t="s">
        <v>86</v>
      </c>
      <c r="W215" t="s">
        <v>180</v>
      </c>
      <c r="X215" s="13">
        <f t="shared" si="20"/>
        <v>41</v>
      </c>
      <c r="Z215" s="13" t="s">
        <v>60</v>
      </c>
      <c r="AA215" s="13">
        <f t="shared" si="25"/>
        <v>80</v>
      </c>
      <c r="AB215" s="13" t="str">
        <f t="shared" si="21"/>
        <v>Adult</v>
      </c>
      <c r="AC215" s="13">
        <v>46</v>
      </c>
      <c r="AD215" s="13">
        <v>34</v>
      </c>
      <c r="AE215" s="13" t="str">
        <f t="shared" si="22"/>
        <v>Morphological</v>
      </c>
      <c r="AF215" s="2">
        <v>3</v>
      </c>
    </row>
    <row r="216" spans="1:32" x14ac:dyDescent="0.25">
      <c r="A216" s="13">
        <v>212</v>
      </c>
      <c r="B216" s="23" t="s">
        <v>56</v>
      </c>
      <c r="C216" s="23" t="s">
        <v>57</v>
      </c>
      <c r="D216" s="23" t="s">
        <v>58</v>
      </c>
      <c r="E216" s="23" t="s">
        <v>58</v>
      </c>
      <c r="F216" s="35" cm="1">
        <f t="array" ref="F216">_xlfn.IFS($G216=$G$5,F$5,$G216=$G$7,F$7,$G216=$G$10,F$10,$G216=$G$13,F$13,$G216=$G$14,F$14,$G216=$G$16,F$16,$G216=$G$17,F$17,$G216=$G$19,F$19,$G216=$G$20,F$20,$G216=$G$22,F$22,$G216=$G$23,F$23,$G216=$G$26,F$26,$G216=$G$29,F$29,$G216=$G$31,F$31,$G216=$G$34,F$34,$G216=$G$37,F$37,$G216=$G$107,F$107,$G216=$G$110,F$110,$G216=$G$140,F$140,$G216=$G$142,F$142,$G216=$G$408,F$408)</f>
        <v>8025</v>
      </c>
      <c r="G216" s="13" t="s">
        <v>122</v>
      </c>
      <c r="H216" s="51" cm="1">
        <f t="array" ref="H216">_xlfn.IFS($G216=$G$5,H$5,$G216=$G$7,H$7,$G216=$G$10,H$10,$G216=$G$13,H$13,$G216=$G$14,H$14,$G216=$G$16,H$16,$G216=$G$17,H$17,$G216=$G$19,H$19,$G216=$G$20,H$20,$G216=$G$22,H$22,$G216=$G$23,H$23,$G216=$G$26,H$26,$G216=$G$29,H$29,$G216=$G$31,H$31,$G216=$G$34,H$34,$G216=$G$37,H$37,$G216=$G$107,H$107,$G216=$G$110,H$110,$G216=$G$140,H$140,$G216=$G$142,H$142,$G216=$G$408,H$408)</f>
        <v>41.407992</v>
      </c>
      <c r="I216" s="51" cm="1">
        <f t="array" ref="I216">_xlfn.IFS($G216=$G$5,I$5,$G216=$G$7,I$7,$G216=$G$10,I$10,$G216=$G$13,I$13,$G216=$G$14,I$14,$G216=$G$16,I$16,$G216=$G$17,I$17,$G216=$G$19,I$19,$G216=$G$20,I$20,$G216=$G$22,I$22,$G216=$G$23,I$23,$G216=$G$26,I$26,$G216=$G$29,I$29,$G216=$G$31,I$31,$G216=$G$34,I$34,$G216=$G$37,I$37,$G216=$G$107,I$107,$G216=$G$110,I$110,$G216=$G$140,I$140,$G216=$G$142,I$142,$G216=$G$408,I$408)</f>
        <v>2.1679379999999999</v>
      </c>
      <c r="J216" s="51" cm="1">
        <f t="array" ref="J216">_xlfn.IFS($G216=$G$5,J$5,$G216=$G$7,J$7,$G216=$G$10,J$10,$G216=$G$13,J$13,$G216=$G$14,J$14,$G216=$G$16,J$16,$G216=$G$17,J$17,$G216=$G$19,J$19,$G216=$G$20,J$20,$G216=$G$22,J$22,$G216=$G$23,J$23,$G216=$G$26,J$26,$G216=$G$29,J$29,$G216=$G$31,J$31,$G216=$G$34,J$34,$G216=$G$37,J$37,$G216=$G$107,J$107,$G216=$G$110,J$110,$G216=$G$140,J$140,$G216=$G$142,J$142,$G216=$G$408,J$408)</f>
        <v>61</v>
      </c>
      <c r="K216" s="13" t="str" cm="1">
        <f t="array" ref="K216">_xlfn.IFS($G216=$G$5,K$5,$G216=$G$7,K$7,$G216=$G$10,K$10,$G216=$G$13,K$13,$G216=$G$14,K$14,$G216=$G$16,K$16,$G216=$G$17,K$17,$G216=$G$19,K$19,$G216=$G$20,K$20,$G216=$G$22,K$22,$G216=$G$23,K$23,$G216=$G$26,K$26,$G216=$G$29,K$29,$G216=$G$31,K$31,$G216=$G$34,K$34,$G216=$G$37,K$37,$G216=$G$107,K$107,$G216=$G$110,K$110,$G216=$G$140,K$140,$G216=$G$142,K$142,$G216=$G$408,K$408)</f>
        <v>BG sentinel</v>
      </c>
      <c r="O216" s="13" t="str">
        <f t="shared" si="23"/>
        <v>A_SP_BCN_25_220727</v>
      </c>
      <c r="P216" s="27">
        <v>44769</v>
      </c>
      <c r="Q216" s="29">
        <v>0.60069444444444442</v>
      </c>
      <c r="R216" s="41"/>
      <c r="S216" s="31">
        <v>44810</v>
      </c>
      <c r="T216" s="29">
        <v>0.62152777777777779</v>
      </c>
      <c r="V216" s="13" t="s">
        <v>86</v>
      </c>
      <c r="W216" t="s">
        <v>180</v>
      </c>
      <c r="X216" s="13">
        <f t="shared" si="20"/>
        <v>41</v>
      </c>
      <c r="Z216" s="13" t="s">
        <v>164</v>
      </c>
      <c r="AA216" s="13">
        <f t="shared" si="25"/>
        <v>3</v>
      </c>
      <c r="AB216" s="13" t="str">
        <f t="shared" si="21"/>
        <v>Adult</v>
      </c>
      <c r="AC216" s="13">
        <v>3</v>
      </c>
      <c r="AD216" s="13">
        <v>0</v>
      </c>
      <c r="AE216" s="13" t="str">
        <f t="shared" si="22"/>
        <v>Morphological</v>
      </c>
      <c r="AF216" s="2">
        <v>3</v>
      </c>
    </row>
    <row r="217" spans="1:32" x14ac:dyDescent="0.25">
      <c r="A217" s="13">
        <v>213</v>
      </c>
      <c r="B217" s="23" t="s">
        <v>56</v>
      </c>
      <c r="C217" s="23" t="s">
        <v>57</v>
      </c>
      <c r="D217" s="23" t="s">
        <v>58</v>
      </c>
      <c r="E217" s="23" t="s">
        <v>58</v>
      </c>
      <c r="F217" s="35" cm="1">
        <f t="array" ref="F217">_xlfn.IFS($G217=$G$5,F$5,$G217=$G$7,F$7,$G217=$G$10,F$10,$G217=$G$13,F$13,$G217=$G$14,F$14,$G217=$G$16,F$16,$G217=$G$17,F$17,$G217=$G$19,F$19,$G217=$G$20,F$20,$G217=$G$22,F$22,$G217=$G$23,F$23,$G217=$G$26,F$26,$G217=$G$29,F$29,$G217=$G$31,F$31,$G217=$G$34,F$34,$G217=$G$37,F$37,$G217=$G$107,F$107,$G217=$G$110,F$110,$G217=$G$140,F$140,$G217=$G$142,F$142,$G217=$G$408,F$408)</f>
        <v>8025</v>
      </c>
      <c r="G217" s="13" t="s">
        <v>122</v>
      </c>
      <c r="H217" s="51" cm="1">
        <f t="array" ref="H217">_xlfn.IFS($G217=$G$5,H$5,$G217=$G$7,H$7,$G217=$G$10,H$10,$G217=$G$13,H$13,$G217=$G$14,H$14,$G217=$G$16,H$16,$G217=$G$17,H$17,$G217=$G$19,H$19,$G217=$G$20,H$20,$G217=$G$22,H$22,$G217=$G$23,H$23,$G217=$G$26,H$26,$G217=$G$29,H$29,$G217=$G$31,H$31,$G217=$G$34,H$34,$G217=$G$37,H$37,$G217=$G$107,H$107,$G217=$G$110,H$110,$G217=$G$140,H$140,$G217=$G$142,H$142,$G217=$G$408,H$408)</f>
        <v>41.407992</v>
      </c>
      <c r="I217" s="51" cm="1">
        <f t="array" ref="I217">_xlfn.IFS($G217=$G$5,I$5,$G217=$G$7,I$7,$G217=$G$10,I$10,$G217=$G$13,I$13,$G217=$G$14,I$14,$G217=$G$16,I$16,$G217=$G$17,I$17,$G217=$G$19,I$19,$G217=$G$20,I$20,$G217=$G$22,I$22,$G217=$G$23,I$23,$G217=$G$26,I$26,$G217=$G$29,I$29,$G217=$G$31,I$31,$G217=$G$34,I$34,$G217=$G$37,I$37,$G217=$G$107,I$107,$G217=$G$110,I$110,$G217=$G$140,I$140,$G217=$G$142,I$142,$G217=$G$408,I$408)</f>
        <v>2.1679379999999999</v>
      </c>
      <c r="J217" s="51" cm="1">
        <f t="array" ref="J217">_xlfn.IFS($G217=$G$5,J$5,$G217=$G$7,J$7,$G217=$G$10,J$10,$G217=$G$13,J$13,$G217=$G$14,J$14,$G217=$G$16,J$16,$G217=$G$17,J$17,$G217=$G$19,J$19,$G217=$G$20,J$20,$G217=$G$22,J$22,$G217=$G$23,J$23,$G217=$G$26,J$26,$G217=$G$29,J$29,$G217=$G$31,J$31,$G217=$G$34,J$34,$G217=$G$37,J$37,$G217=$G$107,J$107,$G217=$G$110,J$110,$G217=$G$140,J$140,$G217=$G$142,J$142,$G217=$G$408,J$408)</f>
        <v>61</v>
      </c>
      <c r="K217" s="13" t="str" cm="1">
        <f t="array" ref="K217">_xlfn.IFS($G217=$G$5,K$5,$G217=$G$7,K$7,$G217=$G$10,K$10,$G217=$G$13,K$13,$G217=$G$14,K$14,$G217=$G$16,K$16,$G217=$G$17,K$17,$G217=$G$19,K$19,$G217=$G$20,K$20,$G217=$G$22,K$22,$G217=$G$23,K$23,$G217=$G$26,K$26,$G217=$G$29,K$29,$G217=$G$31,K$31,$G217=$G$34,K$34,$G217=$G$37,K$37,$G217=$G$107,K$107,$G217=$G$110,K$110,$G217=$G$140,K$140,$G217=$G$142,K$142,$G217=$G$408,K$408)</f>
        <v>BG sentinel</v>
      </c>
      <c r="O217" s="13" t="str">
        <f t="shared" si="23"/>
        <v>A_SP_BCN_25_220727</v>
      </c>
      <c r="P217" s="27">
        <v>44769</v>
      </c>
      <c r="Q217" s="29">
        <v>0.60069444444444442</v>
      </c>
      <c r="R217" s="41"/>
      <c r="S217" s="31">
        <v>44810</v>
      </c>
      <c r="T217" s="29">
        <v>0.62152777777777779</v>
      </c>
      <c r="V217" s="13" t="s">
        <v>86</v>
      </c>
      <c r="W217" t="s">
        <v>180</v>
      </c>
      <c r="X217" s="13">
        <f t="shared" si="20"/>
        <v>41</v>
      </c>
      <c r="Z217" s="32" t="s">
        <v>163</v>
      </c>
      <c r="AA217" s="13">
        <f t="shared" si="25"/>
        <v>1</v>
      </c>
      <c r="AB217" s="13" t="str">
        <f t="shared" si="21"/>
        <v>Adult</v>
      </c>
      <c r="AC217" s="13">
        <v>1</v>
      </c>
      <c r="AD217" s="13">
        <v>0</v>
      </c>
      <c r="AE217" s="13" t="str">
        <f t="shared" si="22"/>
        <v>Morphological</v>
      </c>
      <c r="AF217" s="2">
        <v>3</v>
      </c>
    </row>
    <row r="218" spans="1:32" x14ac:dyDescent="0.25">
      <c r="A218" s="13">
        <v>214</v>
      </c>
      <c r="B218" s="23" t="s">
        <v>56</v>
      </c>
      <c r="C218" s="23" t="s">
        <v>57</v>
      </c>
      <c r="D218" s="23" t="s">
        <v>58</v>
      </c>
      <c r="E218" s="23" t="s">
        <v>58</v>
      </c>
      <c r="F218" s="35" cm="1">
        <f t="array" ref="F218">_xlfn.IFS($G218=$G$5,F$5,$G218=$G$7,F$7,$G218=$G$10,F$10,$G218=$G$13,F$13,$G218=$G$14,F$14,$G218=$G$16,F$16,$G218=$G$17,F$17,$G218=$G$19,F$19,$G218=$G$20,F$20,$G218=$G$22,F$22,$G218=$G$23,F$23,$G218=$G$26,F$26,$G218=$G$29,F$29,$G218=$G$31,F$31,$G218=$G$34,F$34,$G218=$G$37,F$37,$G218=$G$107,F$107,$G218=$G$110,F$110,$G218=$G$140,F$140,$G218=$G$142,F$142,$G218=$G$408,F$408)</f>
        <v>8025</v>
      </c>
      <c r="G218" s="13" t="s">
        <v>104</v>
      </c>
      <c r="H218" s="51" cm="1">
        <f t="array" ref="H218">_xlfn.IFS($G218=$G$5,H$5,$G218=$G$7,H$7,$G218=$G$10,H$10,$G218=$G$13,H$13,$G218=$G$14,H$14,$G218=$G$16,H$16,$G218=$G$17,H$17,$G218=$G$19,H$19,$G218=$G$20,H$20,$G218=$G$22,H$22,$G218=$G$23,H$23,$G218=$G$26,H$26,$G218=$G$29,H$29,$G218=$G$31,H$31,$G218=$G$34,H$34,$G218=$G$37,H$37,$G218=$G$107,H$107,$G218=$G$110,H$110,$G218=$G$140,H$140,$G218=$G$142,H$142,$G218=$G$408,H$408)</f>
        <v>41.408046826557602</v>
      </c>
      <c r="I218" s="51" cm="1">
        <f t="array" ref="I218">_xlfn.IFS($G218=$G$5,I$5,$G218=$G$7,I$7,$G218=$G$10,I$10,$G218=$G$13,I$13,$G218=$G$14,I$14,$G218=$G$16,I$16,$G218=$G$17,I$17,$G218=$G$19,I$19,$G218=$G$20,I$20,$G218=$G$22,I$22,$G218=$G$23,I$23,$G218=$G$26,I$26,$G218=$G$29,I$29,$G218=$G$31,I$31,$G218=$G$34,I$34,$G218=$G$37,I$37,$G218=$G$107,I$107,$G218=$G$110,I$110,$G218=$G$140,I$140,$G218=$G$142,I$142,$G218=$G$408,I$408)</f>
        <v>2.1678084611616502</v>
      </c>
      <c r="J218" s="51" cm="1">
        <f t="array" ref="J218">_xlfn.IFS($G218=$G$5,J$5,$G218=$G$7,J$7,$G218=$G$10,J$10,$G218=$G$13,J$13,$G218=$G$14,J$14,$G218=$G$16,J$16,$G218=$G$17,J$17,$G218=$G$19,J$19,$G218=$G$20,J$20,$G218=$G$22,J$22,$G218=$G$23,J$23,$G218=$G$26,J$26,$G218=$G$29,J$29,$G218=$G$31,J$31,$G218=$G$34,J$34,$G218=$G$37,J$37,$G218=$G$107,J$107,$G218=$G$110,J$110,$G218=$G$140,J$140,$G218=$G$142,J$142,$G218=$G$408,J$408)</f>
        <v>61</v>
      </c>
      <c r="K218" s="13" t="str" cm="1">
        <f t="array" ref="K218">_xlfn.IFS($G218=$G$5,K$5,$G218=$G$7,K$7,$G218=$G$10,K$10,$G218=$G$13,K$13,$G218=$G$14,K$14,$G218=$G$16,K$16,$G218=$G$17,K$17,$G218=$G$19,K$19,$G218=$G$20,K$20,$G218=$G$22,K$22,$G218=$G$23,K$23,$G218=$G$26,K$26,$G218=$G$29,K$29,$G218=$G$31,K$31,$G218=$G$34,K$34,$G218=$G$37,K$37,$G218=$G$107,K$107,$G218=$G$110,K$110,$G218=$G$140,K$140,$G218=$G$142,K$142,$G218=$G$408,K$408)</f>
        <v>BG sentinel</v>
      </c>
      <c r="O218" s="13" t="str">
        <f t="shared" si="23"/>
        <v>A_SP_BCN_26_220727</v>
      </c>
      <c r="P218" s="27">
        <v>44769</v>
      </c>
      <c r="Q218" s="29">
        <v>0.60416666666666663</v>
      </c>
      <c r="R218" s="41"/>
      <c r="S218" s="31">
        <v>44810</v>
      </c>
      <c r="T218" s="29">
        <v>0.62152777777777779</v>
      </c>
      <c r="V218" s="13" t="s">
        <v>86</v>
      </c>
      <c r="X218" s="13">
        <f t="shared" si="20"/>
        <v>41</v>
      </c>
      <c r="Z218" s="13" t="s">
        <v>60</v>
      </c>
      <c r="AA218" s="13">
        <f t="shared" si="25"/>
        <v>459</v>
      </c>
      <c r="AB218" s="13" t="str">
        <f t="shared" si="21"/>
        <v>Adult</v>
      </c>
      <c r="AC218" s="13">
        <v>216</v>
      </c>
      <c r="AD218" s="13">
        <v>243</v>
      </c>
      <c r="AE218" s="13" t="str">
        <f t="shared" si="22"/>
        <v>Morphological</v>
      </c>
      <c r="AF218" s="2">
        <v>4</v>
      </c>
    </row>
    <row r="219" spans="1:32" x14ac:dyDescent="0.25">
      <c r="A219" s="13">
        <v>215</v>
      </c>
      <c r="B219" s="23" t="s">
        <v>56</v>
      </c>
      <c r="C219" s="23" t="s">
        <v>57</v>
      </c>
      <c r="D219" s="23" t="s">
        <v>58</v>
      </c>
      <c r="E219" s="23" t="s">
        <v>58</v>
      </c>
      <c r="F219" s="35" cm="1">
        <f t="array" ref="F219">_xlfn.IFS($G219=$G$5,F$5,$G219=$G$7,F$7,$G219=$G$10,F$10,$G219=$G$13,F$13,$G219=$G$14,F$14,$G219=$G$16,F$16,$G219=$G$17,F$17,$G219=$G$19,F$19,$G219=$G$20,F$20,$G219=$G$22,F$22,$G219=$G$23,F$23,$G219=$G$26,F$26,$G219=$G$29,F$29,$G219=$G$31,F$31,$G219=$G$34,F$34,$G219=$G$37,F$37,$G219=$G$107,F$107,$G219=$G$110,F$110,$G219=$G$140,F$140,$G219=$G$142,F$142,$G219=$G$408,F$408)</f>
        <v>8025</v>
      </c>
      <c r="G219" s="13" t="s">
        <v>104</v>
      </c>
      <c r="H219" s="51" cm="1">
        <f t="array" ref="H219">_xlfn.IFS($G219=$G$5,H$5,$G219=$G$7,H$7,$G219=$G$10,H$10,$G219=$G$13,H$13,$G219=$G$14,H$14,$G219=$G$16,H$16,$G219=$G$17,H$17,$G219=$G$19,H$19,$G219=$G$20,H$20,$G219=$G$22,H$22,$G219=$G$23,H$23,$G219=$G$26,H$26,$G219=$G$29,H$29,$G219=$G$31,H$31,$G219=$G$34,H$34,$G219=$G$37,H$37,$G219=$G$107,H$107,$G219=$G$110,H$110,$G219=$G$140,H$140,$G219=$G$142,H$142,$G219=$G$408,H$408)</f>
        <v>41.408046826557602</v>
      </c>
      <c r="I219" s="51" cm="1">
        <f t="array" ref="I219">_xlfn.IFS($G219=$G$5,I$5,$G219=$G$7,I$7,$G219=$G$10,I$10,$G219=$G$13,I$13,$G219=$G$14,I$14,$G219=$G$16,I$16,$G219=$G$17,I$17,$G219=$G$19,I$19,$G219=$G$20,I$20,$G219=$G$22,I$22,$G219=$G$23,I$23,$G219=$G$26,I$26,$G219=$G$29,I$29,$G219=$G$31,I$31,$G219=$G$34,I$34,$G219=$G$37,I$37,$G219=$G$107,I$107,$G219=$G$110,I$110,$G219=$G$140,I$140,$G219=$G$142,I$142,$G219=$G$408,I$408)</f>
        <v>2.1678084611616502</v>
      </c>
      <c r="J219" s="51" cm="1">
        <f t="array" ref="J219">_xlfn.IFS($G219=$G$5,J$5,$G219=$G$7,J$7,$G219=$G$10,J$10,$G219=$G$13,J$13,$G219=$G$14,J$14,$G219=$G$16,J$16,$G219=$G$17,J$17,$G219=$G$19,J$19,$G219=$G$20,J$20,$G219=$G$22,J$22,$G219=$G$23,J$23,$G219=$G$26,J$26,$G219=$G$29,J$29,$G219=$G$31,J$31,$G219=$G$34,J$34,$G219=$G$37,J$37,$G219=$G$107,J$107,$G219=$G$110,J$110,$G219=$G$140,J$140,$G219=$G$142,J$142,$G219=$G$408,J$408)</f>
        <v>61</v>
      </c>
      <c r="K219" s="13" t="str" cm="1">
        <f t="array" ref="K219">_xlfn.IFS($G219=$G$5,K$5,$G219=$G$7,K$7,$G219=$G$10,K$10,$G219=$G$13,K$13,$G219=$G$14,K$14,$G219=$G$16,K$16,$G219=$G$17,K$17,$G219=$G$19,K$19,$G219=$G$20,K$20,$G219=$G$22,K$22,$G219=$G$23,K$23,$G219=$G$26,K$26,$G219=$G$29,K$29,$G219=$G$31,K$31,$G219=$G$34,K$34,$G219=$G$37,K$37,$G219=$G$107,K$107,$G219=$G$110,K$110,$G219=$G$140,K$140,$G219=$G$142,K$142,$G219=$G$408,K$408)</f>
        <v>BG sentinel</v>
      </c>
      <c r="O219" s="13" t="str">
        <f t="shared" si="23"/>
        <v>A_SP_BCN_26_220727</v>
      </c>
      <c r="P219" s="27">
        <v>44769</v>
      </c>
      <c r="Q219" s="29">
        <v>0.60416666666666663</v>
      </c>
      <c r="R219" s="41"/>
      <c r="S219" s="31">
        <v>44810</v>
      </c>
      <c r="T219" s="29">
        <v>0.62152777777777779</v>
      </c>
      <c r="V219" s="13" t="s">
        <v>86</v>
      </c>
      <c r="X219" s="13">
        <f t="shared" si="20"/>
        <v>41</v>
      </c>
      <c r="Z219" s="13" t="s">
        <v>164</v>
      </c>
      <c r="AA219" s="13">
        <f t="shared" si="25"/>
        <v>4</v>
      </c>
      <c r="AB219" s="13" t="str">
        <f t="shared" si="21"/>
        <v>Adult</v>
      </c>
      <c r="AC219" s="13">
        <v>3</v>
      </c>
      <c r="AD219" s="13">
        <v>1</v>
      </c>
      <c r="AE219" s="13" t="str">
        <f t="shared" si="22"/>
        <v>Morphological</v>
      </c>
      <c r="AF219" s="2">
        <v>4</v>
      </c>
    </row>
    <row r="220" spans="1:32" x14ac:dyDescent="0.25">
      <c r="A220" s="13">
        <v>216</v>
      </c>
      <c r="B220" s="23" t="s">
        <v>56</v>
      </c>
      <c r="C220" s="23" t="s">
        <v>57</v>
      </c>
      <c r="D220" s="23" t="s">
        <v>58</v>
      </c>
      <c r="E220" s="23" t="s">
        <v>58</v>
      </c>
      <c r="F220" s="35" cm="1">
        <f t="array" ref="F220">_xlfn.IFS($G220=$G$5,F$5,$G220=$G$7,F$7,$G220=$G$10,F$10,$G220=$G$13,F$13,$G220=$G$14,F$14,$G220=$G$16,F$16,$G220=$G$17,F$17,$G220=$G$19,F$19,$G220=$G$20,F$20,$G220=$G$22,F$22,$G220=$G$23,F$23,$G220=$G$26,F$26,$G220=$G$29,F$29,$G220=$G$31,F$31,$G220=$G$34,F$34,$G220=$G$37,F$37,$G220=$G$107,F$107,$G220=$G$110,F$110,$G220=$G$140,F$140,$G220=$G$142,F$142,$G220=$G$408,F$408)</f>
        <v>8025</v>
      </c>
      <c r="G220" s="13" t="s">
        <v>104</v>
      </c>
      <c r="H220" s="51" cm="1">
        <f t="array" ref="H220">_xlfn.IFS($G220=$G$5,H$5,$G220=$G$7,H$7,$G220=$G$10,H$10,$G220=$G$13,H$13,$G220=$G$14,H$14,$G220=$G$16,H$16,$G220=$G$17,H$17,$G220=$G$19,H$19,$G220=$G$20,H$20,$G220=$G$22,H$22,$G220=$G$23,H$23,$G220=$G$26,H$26,$G220=$G$29,H$29,$G220=$G$31,H$31,$G220=$G$34,H$34,$G220=$G$37,H$37,$G220=$G$107,H$107,$G220=$G$110,H$110,$G220=$G$140,H$140,$G220=$G$142,H$142,$G220=$G$408,H$408)</f>
        <v>41.408046826557602</v>
      </c>
      <c r="I220" s="51" cm="1">
        <f t="array" ref="I220">_xlfn.IFS($G220=$G$5,I$5,$G220=$G$7,I$7,$G220=$G$10,I$10,$G220=$G$13,I$13,$G220=$G$14,I$14,$G220=$G$16,I$16,$G220=$G$17,I$17,$G220=$G$19,I$19,$G220=$G$20,I$20,$G220=$G$22,I$22,$G220=$G$23,I$23,$G220=$G$26,I$26,$G220=$G$29,I$29,$G220=$G$31,I$31,$G220=$G$34,I$34,$G220=$G$37,I$37,$G220=$G$107,I$107,$G220=$G$110,I$110,$G220=$G$140,I$140,$G220=$G$142,I$142,$G220=$G$408,I$408)</f>
        <v>2.1678084611616502</v>
      </c>
      <c r="J220" s="51" cm="1">
        <f t="array" ref="J220">_xlfn.IFS($G220=$G$5,J$5,$G220=$G$7,J$7,$G220=$G$10,J$10,$G220=$G$13,J$13,$G220=$G$14,J$14,$G220=$G$16,J$16,$G220=$G$17,J$17,$G220=$G$19,J$19,$G220=$G$20,J$20,$G220=$G$22,J$22,$G220=$G$23,J$23,$G220=$G$26,J$26,$G220=$G$29,J$29,$G220=$G$31,J$31,$G220=$G$34,J$34,$G220=$G$37,J$37,$G220=$G$107,J$107,$G220=$G$110,J$110,$G220=$G$140,J$140,$G220=$G$142,J$142,$G220=$G$408,J$408)</f>
        <v>61</v>
      </c>
      <c r="K220" s="13" t="str" cm="1">
        <f t="array" ref="K220">_xlfn.IFS($G220=$G$5,K$5,$G220=$G$7,K$7,$G220=$G$10,K$10,$G220=$G$13,K$13,$G220=$G$14,K$14,$G220=$G$16,K$16,$G220=$G$17,K$17,$G220=$G$19,K$19,$G220=$G$20,K$20,$G220=$G$22,K$22,$G220=$G$23,K$23,$G220=$G$26,K$26,$G220=$G$29,K$29,$G220=$G$31,K$31,$G220=$G$34,K$34,$G220=$G$37,K$37,$G220=$G$107,K$107,$G220=$G$110,K$110,$G220=$G$140,K$140,$G220=$G$142,K$142,$G220=$G$408,K$408)</f>
        <v>BG sentinel</v>
      </c>
      <c r="O220" s="13" t="str">
        <f t="shared" si="23"/>
        <v>A_SP_BCN_26_220727</v>
      </c>
      <c r="P220" s="27">
        <v>44769</v>
      </c>
      <c r="Q220" s="29">
        <v>0.60416666666666663</v>
      </c>
      <c r="R220" s="41"/>
      <c r="S220" s="31">
        <v>44810</v>
      </c>
      <c r="T220" s="29">
        <v>0.62152777777777779</v>
      </c>
      <c r="V220" s="13" t="s">
        <v>86</v>
      </c>
      <c r="W220" s="15" t="s">
        <v>145</v>
      </c>
      <c r="X220" s="13">
        <f t="shared" si="20"/>
        <v>41</v>
      </c>
      <c r="Z220" s="32" t="s">
        <v>163</v>
      </c>
      <c r="AA220" s="13">
        <f t="shared" si="25"/>
        <v>13</v>
      </c>
      <c r="AB220" s="13" t="str">
        <f t="shared" si="21"/>
        <v>Adult</v>
      </c>
      <c r="AC220" s="13">
        <v>4</v>
      </c>
      <c r="AD220" s="13">
        <v>9</v>
      </c>
      <c r="AE220" s="13" t="str">
        <f t="shared" si="22"/>
        <v>Morphological</v>
      </c>
      <c r="AF220" s="2">
        <v>4</v>
      </c>
    </row>
    <row r="221" spans="1:32" x14ac:dyDescent="0.25">
      <c r="A221" s="13">
        <v>217</v>
      </c>
      <c r="B221" s="23" t="s">
        <v>56</v>
      </c>
      <c r="C221" s="23" t="s">
        <v>57</v>
      </c>
      <c r="D221" s="23" t="s">
        <v>58</v>
      </c>
      <c r="E221" s="23" t="s">
        <v>58</v>
      </c>
      <c r="F221" s="35" cm="1">
        <f t="array" ref="F221">_xlfn.IFS($G221=$G$5,F$5,$G221=$G$7,F$7,$G221=$G$10,F$10,$G221=$G$13,F$13,$G221=$G$14,F$14,$G221=$G$16,F$16,$G221=$G$17,F$17,$G221=$G$19,F$19,$G221=$G$20,F$20,$G221=$G$22,F$22,$G221=$G$23,F$23,$G221=$G$26,F$26,$G221=$G$29,F$29,$G221=$G$31,F$31,$G221=$G$34,F$34,$G221=$G$37,F$37,$G221=$G$107,F$107,$G221=$G$110,F$110,$G221=$G$140,F$140,$G221=$G$142,F$142,$G221=$G$408,F$408)</f>
        <v>8024</v>
      </c>
      <c r="G221" s="13" t="s">
        <v>117</v>
      </c>
      <c r="H221" s="51" cm="1">
        <f t="array" ref="H221">_xlfn.IFS($G221=$G$5,H$5,$G221=$G$7,H$7,$G221=$G$10,H$10,$G221=$G$13,H$13,$G221=$G$14,H$14,$G221=$G$16,H$16,$G221=$G$17,H$17,$G221=$G$19,H$19,$G221=$G$20,H$20,$G221=$G$22,H$22,$G221=$G$23,H$23,$G221=$G$26,H$26,$G221=$G$29,H$29,$G221=$G$31,H$31,$G221=$G$34,H$34,$G221=$G$37,H$37,$G221=$G$107,H$107,$G221=$G$110,H$110,$G221=$G$140,H$140,$G221=$G$142,H$142,$G221=$G$408,H$408)</f>
        <v>41.42</v>
      </c>
      <c r="I221" s="51" cm="1">
        <f t="array" ref="I221">_xlfn.IFS($G221=$G$5,I$5,$G221=$G$7,I$7,$G221=$G$10,I$10,$G221=$G$13,I$13,$G221=$G$14,I$14,$G221=$G$16,I$16,$G221=$G$17,I$17,$G221=$G$19,I$19,$G221=$G$20,I$20,$G221=$G$22,I$22,$G221=$G$23,I$23,$G221=$G$26,I$26,$G221=$G$29,I$29,$G221=$G$31,I$31,$G221=$G$34,I$34,$G221=$G$37,I$37,$G221=$G$107,I$107,$G221=$G$110,I$110,$G221=$G$140,I$140,$G221=$G$142,I$142,$G221=$G$408,I$408)</f>
        <v>2.16</v>
      </c>
      <c r="J221" s="51" cm="1">
        <f t="array" ref="J221">_xlfn.IFS($G221=$G$5,J$5,$G221=$G$7,J$7,$G221=$G$10,J$10,$G221=$G$13,J$13,$G221=$G$14,J$14,$G221=$G$16,J$16,$G221=$G$17,J$17,$G221=$G$19,J$19,$G221=$G$20,J$20,$G221=$G$22,J$22,$G221=$G$23,J$23,$G221=$G$26,J$26,$G221=$G$29,J$29,$G221=$G$31,J$31,$G221=$G$34,J$34,$G221=$G$37,J$37,$G221=$G$107,J$107,$G221=$G$110,J$110,$G221=$G$140,J$140,$G221=$G$142,J$142,$G221=$G$408,J$408)</f>
        <v>146.80000000000001</v>
      </c>
      <c r="K221" s="13" t="str" cm="1">
        <f t="array" ref="K221">_xlfn.IFS($G221=$G$5,K$5,$G221=$G$7,K$7,$G221=$G$10,K$10,$G221=$G$13,K$13,$G221=$G$14,K$14,$G221=$G$16,K$16,$G221=$G$17,K$17,$G221=$G$19,K$19,$G221=$G$20,K$20,$G221=$G$22,K$22,$G221=$G$23,K$23,$G221=$G$26,K$26,$G221=$G$29,K$29,$G221=$G$31,K$31,$G221=$G$34,K$34,$G221=$G$37,K$37,$G221=$G$107,K$107,$G221=$G$110,K$110,$G221=$G$140,K$140,$G221=$G$142,K$142,$G221=$G$408,K$408)</f>
        <v>BG sentinel + BG lure7</v>
      </c>
      <c r="O221" s="13" t="str">
        <f t="shared" si="23"/>
        <v>V4_220726</v>
      </c>
      <c r="P221" s="27">
        <v>44768</v>
      </c>
      <c r="Q221" s="29">
        <v>0.58333333333333337</v>
      </c>
      <c r="R221" s="41"/>
      <c r="S221" s="27">
        <v>44774</v>
      </c>
      <c r="T221" s="33"/>
      <c r="V221" s="13" t="s">
        <v>86</v>
      </c>
      <c r="W221" s="15" t="s">
        <v>118</v>
      </c>
      <c r="X221" s="13">
        <f t="shared" si="20"/>
        <v>6</v>
      </c>
      <c r="Z221" s="13" t="s">
        <v>60</v>
      </c>
      <c r="AA221" s="13">
        <f t="shared" si="25"/>
        <v>1</v>
      </c>
      <c r="AB221" s="13" t="str">
        <f t="shared" si="21"/>
        <v>Adult</v>
      </c>
      <c r="AC221" s="13">
        <v>0</v>
      </c>
      <c r="AD221" s="13">
        <v>1</v>
      </c>
      <c r="AE221" s="13" t="str">
        <f t="shared" si="22"/>
        <v>Morphological</v>
      </c>
      <c r="AF221" s="2">
        <v>2</v>
      </c>
    </row>
    <row r="222" spans="1:32" x14ac:dyDescent="0.25">
      <c r="A222" s="13">
        <v>218</v>
      </c>
      <c r="B222" s="23" t="s">
        <v>56</v>
      </c>
      <c r="C222" s="23" t="s">
        <v>57</v>
      </c>
      <c r="D222" s="23" t="s">
        <v>58</v>
      </c>
      <c r="E222" s="23" t="s">
        <v>58</v>
      </c>
      <c r="F222" s="35" cm="1">
        <f t="array" ref="F222">_xlfn.IFS($G222=$G$5,F$5,$G222=$G$7,F$7,$G222=$G$10,F$10,$G222=$G$13,F$13,$G222=$G$14,F$14,$G222=$G$16,F$16,$G222=$G$17,F$17,$G222=$G$19,F$19,$G222=$G$20,F$20,$G222=$G$22,F$22,$G222=$G$23,F$23,$G222=$G$26,F$26,$G222=$G$29,F$29,$G222=$G$31,F$31,$G222=$G$34,F$34,$G222=$G$37,F$37,$G222=$G$107,F$107,$G222=$G$110,F$110,$G222=$G$140,F$140,$G222=$G$142,F$142,$G222=$G$408,F$408)</f>
        <v>8017</v>
      </c>
      <c r="G222" s="13" t="s">
        <v>97</v>
      </c>
      <c r="H222" s="51" cm="1">
        <f t="array" ref="H222">_xlfn.IFS($G222=$G$5,H$5,$G222=$G$7,H$7,$G222=$G$10,H$10,$G222=$G$13,H$13,$G222=$G$14,H$14,$G222=$G$16,H$16,$G222=$G$17,H$17,$G222=$G$19,H$19,$G222=$G$20,H$20,$G222=$G$22,H$22,$G222=$G$23,H$23,$G222=$G$26,H$26,$G222=$G$29,H$29,$G222=$G$31,H$31,$G222=$G$34,H$34,$G222=$G$37,H$37,$G222=$G$107,H$107,$G222=$G$110,H$110,$G222=$G$140,H$140,$G222=$G$142,H$142,$G222=$G$408,H$408)</f>
        <v>41.430372407595499</v>
      </c>
      <c r="I222" s="51" cm="1">
        <f t="array" ref="I222">_xlfn.IFS($G222=$G$5,I$5,$G222=$G$7,I$7,$G222=$G$10,I$10,$G222=$G$13,I$13,$G222=$G$14,I$14,$G222=$G$16,I$16,$G222=$G$17,I$17,$G222=$G$19,I$19,$G222=$G$20,I$20,$G222=$G$22,I$22,$G222=$G$23,I$23,$G222=$G$26,I$26,$G222=$G$29,I$29,$G222=$G$31,I$31,$G222=$G$34,I$34,$G222=$G$37,I$37,$G222=$G$107,I$107,$G222=$G$110,I$110,$G222=$G$140,I$140,$G222=$G$142,I$142,$G222=$G$408,I$408)</f>
        <v>2.0778358219819002</v>
      </c>
      <c r="J222" s="51" cm="1">
        <f t="array" ref="J222">_xlfn.IFS($G222=$G$5,J$5,$G222=$G$7,J$7,$G222=$G$10,J$10,$G222=$G$13,J$13,$G222=$G$14,J$14,$G222=$G$16,J$16,$G222=$G$17,J$17,$G222=$G$19,J$19,$G222=$G$20,J$20,$G222=$G$22,J$22,$G222=$G$23,J$23,$G222=$G$26,J$26,$G222=$G$29,J$29,$G222=$G$31,J$31,$G222=$G$34,J$34,$G222=$G$37,J$37,$G222=$G$107,J$107,$G222=$G$110,J$110,$G222=$G$140,J$140,$G222=$G$142,J$142,$G222=$G$408,J$408)</f>
        <v>242</v>
      </c>
      <c r="K222" s="13" t="str" cm="1">
        <f t="array" ref="K222">_xlfn.IFS($G222=$G$5,K$5,$G222=$G$7,K$7,$G222=$G$10,K$10,$G222=$G$13,K$13,$G222=$G$14,K$14,$G222=$G$16,K$16,$G222=$G$17,K$17,$G222=$G$19,K$19,$G222=$G$20,K$20,$G222=$G$22,K$22,$G222=$G$23,K$23,$G222=$G$26,K$26,$G222=$G$29,K$29,$G222=$G$31,K$31,$G222=$G$34,K$34,$G222=$G$37,K$37,$G222=$G$107,K$107,$G222=$G$110,K$110,$G222=$G$140,K$140,$G222=$G$142,K$142,$G222=$G$408,K$408)</f>
        <v>Mtego</v>
      </c>
      <c r="O222" s="13" t="str">
        <f t="shared" si="23"/>
        <v>Premal_1_220727</v>
      </c>
      <c r="P222" s="31">
        <v>44769</v>
      </c>
      <c r="Q222" s="29">
        <v>0.69444444444444453</v>
      </c>
      <c r="R222" s="41"/>
      <c r="S222" s="27">
        <v>44775</v>
      </c>
      <c r="T222" s="29">
        <v>0.68055555555555547</v>
      </c>
      <c r="V222" s="13" t="s">
        <v>86</v>
      </c>
      <c r="X222" s="13">
        <f t="shared" si="20"/>
        <v>6</v>
      </c>
      <c r="Z222" s="13" t="s">
        <v>60</v>
      </c>
      <c r="AA222" s="13">
        <f t="shared" si="25"/>
        <v>1</v>
      </c>
      <c r="AB222" s="13" t="str">
        <f t="shared" si="21"/>
        <v>Adult</v>
      </c>
      <c r="AC222" s="13">
        <v>1</v>
      </c>
      <c r="AD222" s="13">
        <v>0</v>
      </c>
      <c r="AE222" s="13" t="str">
        <f t="shared" si="22"/>
        <v>Morphological</v>
      </c>
      <c r="AF222" s="2">
        <v>4</v>
      </c>
    </row>
    <row r="223" spans="1:32" x14ac:dyDescent="0.25">
      <c r="A223" s="13">
        <v>219</v>
      </c>
      <c r="B223" s="23" t="s">
        <v>56</v>
      </c>
      <c r="C223" s="23" t="s">
        <v>57</v>
      </c>
      <c r="D223" s="23" t="s">
        <v>58</v>
      </c>
      <c r="E223" s="23" t="s">
        <v>58</v>
      </c>
      <c r="F223" s="35" cm="1">
        <f t="array" ref="F223">_xlfn.IFS($G223=$G$5,F$5,$G223=$G$7,F$7,$G223=$G$10,F$10,$G223=$G$13,F$13,$G223=$G$14,F$14,$G223=$G$16,F$16,$G223=$G$17,F$17,$G223=$G$19,F$19,$G223=$G$20,F$20,$G223=$G$22,F$22,$G223=$G$23,F$23,$G223=$G$26,F$26,$G223=$G$29,F$29,$G223=$G$31,F$31,$G223=$G$34,F$34,$G223=$G$37,F$37,$G223=$G$107,F$107,$G223=$G$110,F$110,$G223=$G$140,F$140,$G223=$G$142,F$142,$G223=$G$408,F$408)</f>
        <v>8035</v>
      </c>
      <c r="G223" s="13" t="s">
        <v>61</v>
      </c>
      <c r="H223" s="51" cm="1">
        <f t="array" ref="H223">_xlfn.IFS($G223=$G$5,H$5,$G223=$G$7,H$7,$G223=$G$10,H$10,$G223=$G$13,H$13,$G223=$G$14,H$14,$G223=$G$16,H$16,$G223=$G$17,H$17,$G223=$G$19,H$19,$G223=$G$20,H$20,$G223=$G$22,H$22,$G223=$G$23,H$23,$G223=$G$26,H$26,$G223=$G$29,H$29,$G223=$G$31,H$31,$G223=$G$34,H$34,$G223=$G$37,H$37,$G223=$G$107,H$107,$G223=$G$110,H$110,$G223=$G$140,H$140,$G223=$G$142,H$142,$G223=$G$408,H$408)</f>
        <v>41.424387000000003</v>
      </c>
      <c r="I223" s="51" cm="1">
        <f t="array" ref="I223">_xlfn.IFS($G223=$G$5,I$5,$G223=$G$7,I$7,$G223=$G$10,I$10,$G223=$G$13,I$13,$G223=$G$14,I$14,$G223=$G$16,I$16,$G223=$G$17,I$17,$G223=$G$19,I$19,$G223=$G$20,I$20,$G223=$G$22,I$22,$G223=$G$23,I$23,$G223=$G$26,I$26,$G223=$G$29,I$29,$G223=$G$31,I$31,$G223=$G$34,I$34,$G223=$G$37,I$37,$G223=$G$107,I$107,$G223=$G$110,I$110,$G223=$G$140,I$140,$G223=$G$142,I$142,$G223=$G$408,I$408)</f>
        <v>2.1431439999999999</v>
      </c>
      <c r="J223" s="51" cm="1">
        <f t="array" ref="J223">_xlfn.IFS($G223=$G$5,J$5,$G223=$G$7,J$7,$G223=$G$10,J$10,$G223=$G$13,J$13,$G223=$G$14,J$14,$G223=$G$16,J$16,$G223=$G$17,J$17,$G223=$G$19,J$19,$G223=$G$20,J$20,$G223=$G$22,J$22,$G223=$G$23,J$23,$G223=$G$26,J$26,$G223=$G$29,J$29,$G223=$G$31,J$31,$G223=$G$34,J$34,$G223=$G$37,J$37,$G223=$G$107,J$107,$G223=$G$110,J$110,$G223=$G$140,J$140,$G223=$G$142,J$142,$G223=$G$408,J$408)</f>
        <v>160</v>
      </c>
      <c r="K223" s="13" t="str" cm="1">
        <f t="array" ref="K223">_xlfn.IFS($G223=$G$5,K$5,$G223=$G$7,K$7,$G223=$G$10,K$10,$G223=$G$13,K$13,$G223=$G$14,K$14,$G223=$G$16,K$16,$G223=$G$17,K$17,$G223=$G$19,K$19,$G223=$G$20,K$20,$G223=$G$22,K$22,$G223=$G$23,K$23,$G223=$G$26,K$26,$G223=$G$29,K$29,$G223=$G$31,K$31,$G223=$G$34,K$34,$G223=$G$37,K$37,$G223=$G$107,K$107,$G223=$G$110,K$110,$G223=$G$140,K$140,$G223=$G$142,K$142,$G223=$G$408,K$408)</f>
        <v>BG sentinel + BG lure7</v>
      </c>
      <c r="O223" s="13" t="str">
        <f t="shared" si="23"/>
        <v>A_SP_BCN_2_220802</v>
      </c>
      <c r="P223" s="27">
        <v>44775</v>
      </c>
      <c r="Q223" s="29">
        <v>0.64930555555555558</v>
      </c>
      <c r="R223" s="33"/>
      <c r="S223" s="27">
        <v>44782</v>
      </c>
      <c r="T223" s="29">
        <v>0.52430555555555558</v>
      </c>
      <c r="V223" s="13" t="s">
        <v>86</v>
      </c>
      <c r="X223" s="13">
        <f t="shared" si="20"/>
        <v>7</v>
      </c>
      <c r="Z223" s="13" t="s">
        <v>60</v>
      </c>
      <c r="AA223" s="13">
        <f t="shared" si="25"/>
        <v>3</v>
      </c>
      <c r="AB223" s="13" t="str">
        <f t="shared" si="21"/>
        <v>Adult</v>
      </c>
      <c r="AC223" s="13">
        <v>2</v>
      </c>
      <c r="AD223" s="13">
        <v>1</v>
      </c>
      <c r="AE223" s="13" t="str">
        <f t="shared" si="22"/>
        <v>Morphological</v>
      </c>
      <c r="AF223" s="2">
        <v>4</v>
      </c>
    </row>
    <row r="224" spans="1:32" x14ac:dyDescent="0.25">
      <c r="A224" s="13">
        <v>220</v>
      </c>
      <c r="B224" s="23" t="s">
        <v>56</v>
      </c>
      <c r="C224" s="23" t="s">
        <v>57</v>
      </c>
      <c r="D224" s="23" t="s">
        <v>58</v>
      </c>
      <c r="E224" s="23" t="s">
        <v>58</v>
      </c>
      <c r="F224" s="35" cm="1">
        <f t="array" ref="F224">_xlfn.IFS($G224=$G$5,F$5,$G224=$G$7,F$7,$G224=$G$10,F$10,$G224=$G$13,F$13,$G224=$G$14,F$14,$G224=$G$16,F$16,$G224=$G$17,F$17,$G224=$G$19,F$19,$G224=$G$20,F$20,$G224=$G$22,F$22,$G224=$G$23,F$23,$G224=$G$26,F$26,$G224=$G$29,F$29,$G224=$G$31,F$31,$G224=$G$34,F$34,$G224=$G$37,F$37,$G224=$G$107,F$107,$G224=$G$110,F$110,$G224=$G$140,F$140,$G224=$G$142,F$142,$G224=$G$408,F$408)</f>
        <v>8016</v>
      </c>
      <c r="G224" s="13" t="s">
        <v>62</v>
      </c>
      <c r="H224" s="51" cm="1">
        <f t="array" ref="H224">_xlfn.IFS($G224=$G$5,H$5,$G224=$G$7,H$7,$G224=$G$10,H$10,$G224=$G$13,H$13,$G224=$G$14,H$14,$G224=$G$16,H$16,$G224=$G$17,H$17,$G224=$G$19,H$19,$G224=$G$20,H$20,$G224=$G$22,H$22,$G224=$G$23,H$23,$G224=$G$26,H$26,$G224=$G$29,H$29,$G224=$G$31,H$31,$G224=$G$34,H$34,$G224=$G$37,H$37,$G224=$G$107,H$107,$G224=$G$110,H$110,$G224=$G$140,H$140,$G224=$G$142,H$142,$G224=$G$408,H$408)</f>
        <v>41.437435000000001</v>
      </c>
      <c r="I224" s="51" cm="1">
        <f t="array" ref="I224">_xlfn.IFS($G224=$G$5,I$5,$G224=$G$7,I$7,$G224=$G$10,I$10,$G224=$G$13,I$13,$G224=$G$14,I$14,$G224=$G$16,I$16,$G224=$G$17,I$17,$G224=$G$19,I$19,$G224=$G$20,I$20,$G224=$G$22,I$22,$G224=$G$23,I$23,$G224=$G$26,I$26,$G224=$G$29,I$29,$G224=$G$31,I$31,$G224=$G$34,I$34,$G224=$G$37,I$37,$G224=$G$107,I$107,$G224=$G$110,I$110,$G224=$G$140,I$140,$G224=$G$142,I$142,$G224=$G$408,I$408)</f>
        <v>2.1812779999999998</v>
      </c>
      <c r="J224" s="51" cm="1">
        <f t="array" ref="J224">_xlfn.IFS($G224=$G$5,J$5,$G224=$G$7,J$7,$G224=$G$10,J$10,$G224=$G$13,J$13,$G224=$G$14,J$14,$G224=$G$16,J$16,$G224=$G$17,J$17,$G224=$G$19,J$19,$G224=$G$20,J$20,$G224=$G$22,J$22,$G224=$G$23,J$23,$G224=$G$26,J$26,$G224=$G$29,J$29,$G224=$G$31,J$31,$G224=$G$34,J$34,$G224=$G$37,J$37,$G224=$G$107,J$107,$G224=$G$110,J$110,$G224=$G$140,J$140,$G224=$G$142,J$142,$G224=$G$408,J$408)</f>
        <v>47</v>
      </c>
      <c r="K224" s="13" t="str" cm="1">
        <f t="array" ref="K224">_xlfn.IFS($G224=$G$5,K$5,$G224=$G$7,K$7,$G224=$G$10,K$10,$G224=$G$13,K$13,$G224=$G$14,K$14,$G224=$G$16,K$16,$G224=$G$17,K$17,$G224=$G$19,K$19,$G224=$G$20,K$20,$G224=$G$22,K$22,$G224=$G$23,K$23,$G224=$G$26,K$26,$G224=$G$29,K$29,$G224=$G$31,K$31,$G224=$G$34,K$34,$G224=$G$37,K$37,$G224=$G$107,K$107,$G224=$G$110,K$110,$G224=$G$140,K$140,$G224=$G$142,K$142,$G224=$G$408,K$408)</f>
        <v>BG sentinel + BG lure7</v>
      </c>
      <c r="O224" s="13" t="str">
        <f t="shared" si="23"/>
        <v>A_SP_BCN_3_220802</v>
      </c>
      <c r="P224" s="27">
        <v>44775</v>
      </c>
      <c r="Q224" s="29">
        <v>0.82291666666666663</v>
      </c>
      <c r="R224" s="33"/>
      <c r="S224" s="27">
        <v>44782</v>
      </c>
      <c r="T224" s="29">
        <v>0.67361111111111116</v>
      </c>
      <c r="V224" s="13" t="s">
        <v>86</v>
      </c>
      <c r="X224" s="13">
        <f t="shared" si="20"/>
        <v>7</v>
      </c>
      <c r="Z224" s="13" t="s">
        <v>60</v>
      </c>
      <c r="AA224" s="13">
        <f t="shared" si="25"/>
        <v>24</v>
      </c>
      <c r="AB224" s="13" t="str">
        <f t="shared" si="21"/>
        <v>Adult</v>
      </c>
      <c r="AC224" s="13">
        <v>13</v>
      </c>
      <c r="AD224" s="13">
        <v>11</v>
      </c>
      <c r="AE224" s="13" t="str">
        <f t="shared" si="22"/>
        <v>Morphological</v>
      </c>
      <c r="AF224" s="2">
        <v>4</v>
      </c>
    </row>
    <row r="225" spans="1:32" x14ac:dyDescent="0.25">
      <c r="A225" s="13">
        <v>221</v>
      </c>
      <c r="B225" s="23" t="s">
        <v>56</v>
      </c>
      <c r="C225" s="23" t="s">
        <v>57</v>
      </c>
      <c r="D225" s="23" t="s">
        <v>58</v>
      </c>
      <c r="E225" s="23" t="s">
        <v>58</v>
      </c>
      <c r="F225" s="35" cm="1">
        <f t="array" ref="F225">_xlfn.IFS($G225=$G$5,F$5,$G225=$G$7,F$7,$G225=$G$10,F$10,$G225=$G$13,F$13,$G225=$G$14,F$14,$G225=$G$16,F$16,$G225=$G$17,F$17,$G225=$G$19,F$19,$G225=$G$20,F$20,$G225=$G$22,F$22,$G225=$G$23,F$23,$G225=$G$26,F$26,$G225=$G$29,F$29,$G225=$G$31,F$31,$G225=$G$34,F$34,$G225=$G$37,F$37,$G225=$G$107,F$107,$G225=$G$110,F$110,$G225=$G$140,F$140,$G225=$G$142,F$142,$G225=$G$408,F$408)</f>
        <v>8018</v>
      </c>
      <c r="G225" s="13" t="s">
        <v>63</v>
      </c>
      <c r="H225" s="51" cm="1">
        <f t="array" ref="H225">_xlfn.IFS($G225=$G$5,H$5,$G225=$G$7,H$7,$G225=$G$10,H$10,$G225=$G$13,H$13,$G225=$G$14,H$14,$G225=$G$16,H$16,$G225=$G$17,H$17,$G225=$G$19,H$19,$G225=$G$20,H$20,$G225=$G$22,H$22,$G225=$G$23,H$23,$G225=$G$26,H$26,$G225=$G$29,H$29,$G225=$G$31,H$31,$G225=$G$34,H$34,$G225=$G$37,H$37,$G225=$G$107,H$107,$G225=$G$110,H$110,$G225=$G$140,H$140,$G225=$G$142,H$142,$G225=$G$408,H$408)</f>
        <v>41.404924999999999</v>
      </c>
      <c r="I225" s="51" cm="1">
        <f t="array" ref="I225">_xlfn.IFS($G225=$G$5,I$5,$G225=$G$7,I$7,$G225=$G$10,I$10,$G225=$G$13,I$13,$G225=$G$14,I$14,$G225=$G$16,I$16,$G225=$G$17,I$17,$G225=$G$19,I$19,$G225=$G$20,I$20,$G225=$G$22,I$22,$G225=$G$23,I$23,$G225=$G$26,I$26,$G225=$G$29,I$29,$G225=$G$31,I$31,$G225=$G$34,I$34,$G225=$G$37,I$37,$G225=$G$107,I$107,$G225=$G$110,I$110,$G225=$G$140,I$140,$G225=$G$142,I$142,$G225=$G$408,I$408)</f>
        <v>2.1987909999999999</v>
      </c>
      <c r="J225" s="51" cm="1">
        <f t="array" ref="J225">_xlfn.IFS($G225=$G$5,J$5,$G225=$G$7,J$7,$G225=$G$10,J$10,$G225=$G$13,J$13,$G225=$G$14,J$14,$G225=$G$16,J$16,$G225=$G$17,J$17,$G225=$G$19,J$19,$G225=$G$20,J$20,$G225=$G$22,J$22,$G225=$G$23,J$23,$G225=$G$26,J$26,$G225=$G$29,J$29,$G225=$G$31,J$31,$G225=$G$34,J$34,$G225=$G$37,J$37,$G225=$G$107,J$107,$G225=$G$110,J$110,$G225=$G$140,J$140,$G225=$G$142,J$142,$G225=$G$408,J$408)</f>
        <v>4</v>
      </c>
      <c r="K225" s="13" t="str" cm="1">
        <f t="array" ref="K225">_xlfn.IFS($G225=$G$5,K$5,$G225=$G$7,K$7,$G225=$G$10,K$10,$G225=$G$13,K$13,$G225=$G$14,K$14,$G225=$G$16,K$16,$G225=$G$17,K$17,$G225=$G$19,K$19,$G225=$G$20,K$20,$G225=$G$22,K$22,$G225=$G$23,K$23,$G225=$G$26,K$26,$G225=$G$29,K$29,$G225=$G$31,K$31,$G225=$G$34,K$34,$G225=$G$37,K$37,$G225=$G$107,K$107,$G225=$G$110,K$110,$G225=$G$140,K$140,$G225=$G$142,K$142,$G225=$G$408,K$408)</f>
        <v>BG sentinel + BG lure7</v>
      </c>
      <c r="O225" s="13" t="str">
        <f t="shared" si="23"/>
        <v>A_SP_BCN_4_220802</v>
      </c>
      <c r="P225" s="27">
        <v>44775</v>
      </c>
      <c r="Q225" s="29">
        <v>0.80208333333333337</v>
      </c>
      <c r="R225" s="33"/>
      <c r="S225" s="27">
        <v>44782</v>
      </c>
      <c r="T225" s="29">
        <v>0.72569444444444453</v>
      </c>
      <c r="V225" s="13" t="s">
        <v>86</v>
      </c>
      <c r="X225" s="13">
        <f t="shared" si="20"/>
        <v>7</v>
      </c>
      <c r="Z225" s="13" t="s">
        <v>60</v>
      </c>
      <c r="AA225" s="13">
        <f t="shared" si="25"/>
        <v>11</v>
      </c>
      <c r="AB225" s="13" t="str">
        <f t="shared" si="21"/>
        <v>Adult</v>
      </c>
      <c r="AC225" s="13">
        <v>6</v>
      </c>
      <c r="AD225" s="13">
        <v>5</v>
      </c>
      <c r="AE225" s="13" t="str">
        <f t="shared" si="22"/>
        <v>Morphological</v>
      </c>
      <c r="AF225" s="2">
        <v>4</v>
      </c>
    </row>
    <row r="226" spans="1:32" x14ac:dyDescent="0.25">
      <c r="A226" s="13">
        <v>222</v>
      </c>
      <c r="B226" s="23" t="s">
        <v>56</v>
      </c>
      <c r="C226" s="23" t="s">
        <v>57</v>
      </c>
      <c r="D226" s="23" t="s">
        <v>58</v>
      </c>
      <c r="E226" s="23" t="s">
        <v>58</v>
      </c>
      <c r="F226" s="35" cm="1">
        <f t="array" ref="F226">_xlfn.IFS($G226=$G$5,F$5,$G226=$G$7,F$7,$G226=$G$10,F$10,$G226=$G$13,F$13,$G226=$G$14,F$14,$G226=$G$16,F$16,$G226=$G$17,F$17,$G226=$G$19,F$19,$G226=$G$20,F$20,$G226=$G$22,F$22,$G226=$G$23,F$23,$G226=$G$26,F$26,$G226=$G$29,F$29,$G226=$G$31,F$31,$G226=$G$34,F$34,$G226=$G$37,F$37,$G226=$G$107,F$107,$G226=$G$110,F$110,$G226=$G$140,F$140,$G226=$G$142,F$142,$G226=$G$408,F$408)</f>
        <v>8019</v>
      </c>
      <c r="G226" s="13" t="s">
        <v>64</v>
      </c>
      <c r="H226" s="51" cm="1">
        <f t="array" ref="H226">_xlfn.IFS($G226=$G$5,H$5,$G226=$G$7,H$7,$G226=$G$10,H$10,$G226=$G$13,H$13,$G226=$G$14,H$14,$G226=$G$16,H$16,$G226=$G$17,H$17,$G226=$G$19,H$19,$G226=$G$20,H$20,$G226=$G$22,H$22,$G226=$G$23,H$23,$G226=$G$26,H$26,$G226=$G$29,H$29,$G226=$G$31,H$31,$G226=$G$34,H$34,$G226=$G$37,H$37,$G226=$G$107,H$107,$G226=$G$110,H$110,$G226=$G$140,H$140,$G226=$G$142,H$142,$G226=$G$408,H$408)</f>
        <v>41.410684000000003</v>
      </c>
      <c r="I226" s="51" cm="1">
        <f t="array" ref="I226">_xlfn.IFS($G226=$G$5,I$5,$G226=$G$7,I$7,$G226=$G$10,I$10,$G226=$G$13,I$13,$G226=$G$14,I$14,$G226=$G$16,I$16,$G226=$G$17,I$17,$G226=$G$19,I$19,$G226=$G$20,I$20,$G226=$G$22,I$22,$G226=$G$23,I$23,$G226=$G$26,I$26,$G226=$G$29,I$29,$G226=$G$31,I$31,$G226=$G$34,I$34,$G226=$G$37,I$37,$G226=$G$107,I$107,$G226=$G$110,I$110,$G226=$G$140,I$140,$G226=$G$142,I$142,$G226=$G$408,I$408)</f>
        <v>2.2208019999999999</v>
      </c>
      <c r="J226" s="51" cm="1">
        <f t="array" ref="J226">_xlfn.IFS($G226=$G$5,J$5,$G226=$G$7,J$7,$G226=$G$10,J$10,$G226=$G$13,J$13,$G226=$G$14,J$14,$G226=$G$16,J$16,$G226=$G$17,J$17,$G226=$G$19,J$19,$G226=$G$20,J$20,$G226=$G$22,J$22,$G226=$G$23,J$23,$G226=$G$26,J$26,$G226=$G$29,J$29,$G226=$G$31,J$31,$G226=$G$34,J$34,$G226=$G$37,J$37,$G226=$G$107,J$107,$G226=$G$110,J$110,$G226=$G$140,J$140,$G226=$G$142,J$142,$G226=$G$408,J$408)</f>
        <v>18</v>
      </c>
      <c r="K226" s="13" t="str" cm="1">
        <f t="array" ref="K226">_xlfn.IFS($G226=$G$5,K$5,$G226=$G$7,K$7,$G226=$G$10,K$10,$G226=$G$13,K$13,$G226=$G$14,K$14,$G226=$G$16,K$16,$G226=$G$17,K$17,$G226=$G$19,K$19,$G226=$G$20,K$20,$G226=$G$22,K$22,$G226=$G$23,K$23,$G226=$G$26,K$26,$G226=$G$29,K$29,$G226=$G$31,K$31,$G226=$G$34,K$34,$G226=$G$37,K$37,$G226=$G$107,K$107,$G226=$G$110,K$110,$G226=$G$140,K$140,$G226=$G$142,K$142,$G226=$G$408,K$408)</f>
        <v>BG sentinel + BG lure7</v>
      </c>
      <c r="O226" s="13" t="str">
        <f t="shared" si="23"/>
        <v>A_SP_BCN_5_220802</v>
      </c>
      <c r="P226" s="27">
        <v>44775</v>
      </c>
      <c r="Q226" s="29">
        <v>0.78472222222222221</v>
      </c>
      <c r="R226" s="33"/>
      <c r="S226" s="27">
        <v>44782</v>
      </c>
      <c r="T226" s="29">
        <v>0.70833333333333337</v>
      </c>
      <c r="V226" s="13" t="s">
        <v>86</v>
      </c>
      <c r="X226" s="13">
        <f t="shared" si="20"/>
        <v>7</v>
      </c>
      <c r="Z226" s="13" t="s">
        <v>164</v>
      </c>
      <c r="AA226" s="13">
        <f t="shared" si="25"/>
        <v>4</v>
      </c>
      <c r="AB226" s="13" t="str">
        <f t="shared" si="21"/>
        <v>Adult</v>
      </c>
      <c r="AC226" s="13">
        <v>3</v>
      </c>
      <c r="AD226" s="13">
        <v>1</v>
      </c>
      <c r="AE226" s="13" t="str">
        <f t="shared" si="22"/>
        <v>Morphological</v>
      </c>
      <c r="AF226" s="2">
        <v>4</v>
      </c>
    </row>
    <row r="227" spans="1:32" x14ac:dyDescent="0.25">
      <c r="A227" s="13">
        <v>223</v>
      </c>
      <c r="B227" s="23" t="s">
        <v>56</v>
      </c>
      <c r="C227" s="23" t="s">
        <v>57</v>
      </c>
      <c r="D227" s="23" t="s">
        <v>58</v>
      </c>
      <c r="E227" s="23" t="s">
        <v>58</v>
      </c>
      <c r="F227" s="35" cm="1">
        <f t="array" ref="F227">_xlfn.IFS($G227=$G$5,F$5,$G227=$G$7,F$7,$G227=$G$10,F$10,$G227=$G$13,F$13,$G227=$G$14,F$14,$G227=$G$16,F$16,$G227=$G$17,F$17,$G227=$G$19,F$19,$G227=$G$20,F$20,$G227=$G$22,F$22,$G227=$G$23,F$23,$G227=$G$26,F$26,$G227=$G$29,F$29,$G227=$G$31,F$31,$G227=$G$34,F$34,$G227=$G$37,F$37,$G227=$G$107,F$107,$G227=$G$110,F$110,$G227=$G$140,F$140,$G227=$G$142,F$142,$G227=$G$408,F$408)</f>
        <v>8002</v>
      </c>
      <c r="G227" s="13" t="s">
        <v>65</v>
      </c>
      <c r="H227" s="51" cm="1">
        <f t="array" ref="H227">_xlfn.IFS($G227=$G$5,H$5,$G227=$G$7,H$7,$G227=$G$10,H$10,$G227=$G$13,H$13,$G227=$G$14,H$14,$G227=$G$16,H$16,$G227=$G$17,H$17,$G227=$G$19,H$19,$G227=$G$20,H$20,$G227=$G$22,H$22,$G227=$G$23,H$23,$G227=$G$26,H$26,$G227=$G$29,H$29,$G227=$G$31,H$31,$G227=$G$34,H$34,$G227=$G$37,H$37,$G227=$G$107,H$107,$G227=$G$110,H$110,$G227=$G$140,H$140,$G227=$G$142,H$142,$G227=$G$408,H$408)</f>
        <v>41.382339999999999</v>
      </c>
      <c r="I227" s="51" cm="1">
        <f t="array" ref="I227">_xlfn.IFS($G227=$G$5,I$5,$G227=$G$7,I$7,$G227=$G$10,I$10,$G227=$G$13,I$13,$G227=$G$14,I$14,$G227=$G$16,I$16,$G227=$G$17,I$17,$G227=$G$19,I$19,$G227=$G$20,I$20,$G227=$G$22,I$22,$G227=$G$23,I$23,$G227=$G$26,I$26,$G227=$G$29,I$29,$G227=$G$31,I$31,$G227=$G$34,I$34,$G227=$G$37,I$37,$G227=$G$107,I$107,$G227=$G$110,I$110,$G227=$G$140,I$140,$G227=$G$142,I$142,$G227=$G$408,I$408)</f>
        <v>2.1714790000000002</v>
      </c>
      <c r="J227" s="51" cm="1">
        <f t="array" ref="J227">_xlfn.IFS($G227=$G$5,J$5,$G227=$G$7,J$7,$G227=$G$10,J$10,$G227=$G$13,J$13,$G227=$G$14,J$14,$G227=$G$16,J$16,$G227=$G$17,J$17,$G227=$G$19,J$19,$G227=$G$20,J$20,$G227=$G$22,J$22,$G227=$G$23,J$23,$G227=$G$26,J$26,$G227=$G$29,J$29,$G227=$G$31,J$31,$G227=$G$34,J$34,$G227=$G$37,J$37,$G227=$G$107,J$107,$G227=$G$110,J$110,$G227=$G$140,J$140,$G227=$G$142,J$142,$G227=$G$408,J$408)</f>
        <v>19</v>
      </c>
      <c r="K227" s="13" t="str" cm="1">
        <f t="array" ref="K227">_xlfn.IFS($G227=$G$5,K$5,$G227=$G$7,K$7,$G227=$G$10,K$10,$G227=$G$13,K$13,$G227=$G$14,K$14,$G227=$G$16,K$16,$G227=$G$17,K$17,$G227=$G$19,K$19,$G227=$G$20,K$20,$G227=$G$22,K$22,$G227=$G$23,K$23,$G227=$G$26,K$26,$G227=$G$29,K$29,$G227=$G$31,K$31,$G227=$G$34,K$34,$G227=$G$37,K$37,$G227=$G$107,K$107,$G227=$G$110,K$110,$G227=$G$140,K$140,$G227=$G$142,K$142,$G227=$G$408,K$408)</f>
        <v>BG sentinel + BG lure7</v>
      </c>
      <c r="O227" s="13" t="str">
        <f t="shared" si="23"/>
        <v>A_SP_BCN_6_220802</v>
      </c>
      <c r="P227" s="27">
        <v>44775</v>
      </c>
      <c r="Q227" s="29">
        <v>0.85416666666666663</v>
      </c>
      <c r="R227" s="33"/>
      <c r="S227" s="27">
        <v>44782</v>
      </c>
      <c r="T227" s="29">
        <v>0.75</v>
      </c>
      <c r="V227" s="13" t="s">
        <v>86</v>
      </c>
      <c r="X227" s="13">
        <f t="shared" si="20"/>
        <v>7</v>
      </c>
      <c r="Z227" s="13" t="s">
        <v>60</v>
      </c>
      <c r="AA227" s="13">
        <f t="shared" si="25"/>
        <v>3</v>
      </c>
      <c r="AB227" s="13" t="str">
        <f t="shared" si="21"/>
        <v>Adult</v>
      </c>
      <c r="AC227" s="13">
        <v>3</v>
      </c>
      <c r="AD227" s="13">
        <v>0</v>
      </c>
      <c r="AE227" s="13" t="str">
        <f t="shared" si="22"/>
        <v>Morphological</v>
      </c>
      <c r="AF227" s="2">
        <v>4</v>
      </c>
    </row>
    <row r="228" spans="1:32" x14ac:dyDescent="0.25">
      <c r="A228" s="13">
        <v>224</v>
      </c>
      <c r="B228" s="23" t="s">
        <v>56</v>
      </c>
      <c r="C228" s="23" t="s">
        <v>57</v>
      </c>
      <c r="D228" s="23" t="s">
        <v>58</v>
      </c>
      <c r="E228" s="23" t="s">
        <v>58</v>
      </c>
      <c r="F228" s="35" cm="1">
        <f t="array" ref="F228">_xlfn.IFS($G228=$G$5,F$5,$G228=$G$7,F$7,$G228=$G$10,F$10,$G228=$G$13,F$13,$G228=$G$14,F$14,$G228=$G$16,F$16,$G228=$G$17,F$17,$G228=$G$19,F$19,$G228=$G$20,F$20,$G228=$G$22,F$22,$G228=$G$23,F$23,$G228=$G$26,F$26,$G228=$G$29,F$29,$G228=$G$31,F$31,$G228=$G$34,F$34,$G228=$G$37,F$37,$G228=$G$107,F$107,$G228=$G$110,F$110,$G228=$G$140,F$140,$G228=$G$142,F$142,$G228=$G$408,F$408)</f>
        <v>8040</v>
      </c>
      <c r="G228" s="13" t="s">
        <v>68</v>
      </c>
      <c r="H228" s="51" cm="1">
        <f t="array" ref="H228">_xlfn.IFS($G228=$G$5,H$5,$G228=$G$7,H$7,$G228=$G$10,H$10,$G228=$G$13,H$13,$G228=$G$14,H$14,$G228=$G$16,H$16,$G228=$G$17,H$17,$G228=$G$19,H$19,$G228=$G$20,H$20,$G228=$G$22,H$22,$G228=$G$23,H$23,$G228=$G$26,H$26,$G228=$G$29,H$29,$G228=$G$31,H$31,$G228=$G$34,H$34,$G228=$G$37,H$37,$G228=$G$107,H$107,$G228=$G$110,H$110,$G228=$G$140,H$140,$G228=$G$142,H$142,$G228=$G$408,H$408)</f>
        <v>41.343685000000001</v>
      </c>
      <c r="I228" s="51" cm="1">
        <f t="array" ref="I228">_xlfn.IFS($G228=$G$5,I$5,$G228=$G$7,I$7,$G228=$G$10,I$10,$G228=$G$13,I$13,$G228=$G$14,I$14,$G228=$G$16,I$16,$G228=$G$17,I$17,$G228=$G$19,I$19,$G228=$G$20,I$20,$G228=$G$22,I$22,$G228=$G$23,I$23,$G228=$G$26,I$26,$G228=$G$29,I$29,$G228=$G$31,I$31,$G228=$G$34,I$34,$G228=$G$37,I$37,$G228=$G$107,I$107,$G228=$G$110,I$110,$G228=$G$140,I$140,$G228=$G$142,I$142,$G228=$G$408,I$408)</f>
        <v>2.1441490000000001</v>
      </c>
      <c r="J228" s="51" cm="1">
        <f t="array" ref="J228">_xlfn.IFS($G228=$G$5,J$5,$G228=$G$7,J$7,$G228=$G$10,J$10,$G228=$G$13,J$13,$G228=$G$14,J$14,$G228=$G$16,J$16,$G228=$G$17,J$17,$G228=$G$19,J$19,$G228=$G$20,J$20,$G228=$G$22,J$22,$G228=$G$23,J$23,$G228=$G$26,J$26,$G228=$G$29,J$29,$G228=$G$31,J$31,$G228=$G$34,J$34,$G228=$G$37,J$37,$G228=$G$107,J$107,$G228=$G$110,J$110,$G228=$G$140,J$140,$G228=$G$142,J$142,$G228=$G$408,J$408)</f>
        <v>4</v>
      </c>
      <c r="K228" s="13" t="str" cm="1">
        <f t="array" ref="K228">_xlfn.IFS($G228=$G$5,K$5,$G228=$G$7,K$7,$G228=$G$10,K$10,$G228=$G$13,K$13,$G228=$G$14,K$14,$G228=$G$16,K$16,$G228=$G$17,K$17,$G228=$G$19,K$19,$G228=$G$20,K$20,$G228=$G$22,K$22,$G228=$G$23,K$23,$G228=$G$26,K$26,$G228=$G$29,K$29,$G228=$G$31,K$31,$G228=$G$34,K$34,$G228=$G$37,K$37,$G228=$G$107,K$107,$G228=$G$110,K$110,$G228=$G$140,K$140,$G228=$G$142,K$142,$G228=$G$408,K$408)</f>
        <v>BG sentinel + BG lure7</v>
      </c>
      <c r="O228" s="13" t="str">
        <f t="shared" si="23"/>
        <v>A_SP_BCN_10_220802</v>
      </c>
      <c r="P228" s="27">
        <v>44775</v>
      </c>
      <c r="Q228" s="29">
        <v>0.59375</v>
      </c>
      <c r="R228" s="33"/>
      <c r="S228" s="27">
        <v>44782</v>
      </c>
      <c r="T228" s="29">
        <v>0.46875</v>
      </c>
      <c r="V228" s="13" t="s">
        <v>86</v>
      </c>
      <c r="X228" s="13">
        <f t="shared" si="20"/>
        <v>7</v>
      </c>
      <c r="Z228" s="13" t="s">
        <v>60</v>
      </c>
      <c r="AA228" s="13">
        <f t="shared" si="25"/>
        <v>50</v>
      </c>
      <c r="AB228" s="13" t="str">
        <f t="shared" si="21"/>
        <v>Adult</v>
      </c>
      <c r="AC228" s="13">
        <v>22</v>
      </c>
      <c r="AD228" s="13">
        <v>28</v>
      </c>
      <c r="AE228" s="13" t="str">
        <f t="shared" si="22"/>
        <v>Morphological</v>
      </c>
      <c r="AF228" s="2">
        <v>4</v>
      </c>
    </row>
    <row r="229" spans="1:32" x14ac:dyDescent="0.25">
      <c r="A229" s="13">
        <v>225</v>
      </c>
      <c r="B229" s="23" t="s">
        <v>56</v>
      </c>
      <c r="C229" s="23" t="s">
        <v>57</v>
      </c>
      <c r="D229" s="23" t="s">
        <v>58</v>
      </c>
      <c r="E229" s="23" t="s">
        <v>58</v>
      </c>
      <c r="F229" s="35" cm="1">
        <f t="array" ref="F229">_xlfn.IFS($G229=$G$5,F$5,$G229=$G$7,F$7,$G229=$G$10,F$10,$G229=$G$13,F$13,$G229=$G$14,F$14,$G229=$G$16,F$16,$G229=$G$17,F$17,$G229=$G$19,F$19,$G229=$G$20,F$20,$G229=$G$22,F$22,$G229=$G$23,F$23,$G229=$G$26,F$26,$G229=$G$29,F$29,$G229=$G$31,F$31,$G229=$G$34,F$34,$G229=$G$37,F$37,$G229=$G$107,F$107,$G229=$G$110,F$110,$G229=$G$140,F$140,$G229=$G$142,F$142,$G229=$G$408,F$408)</f>
        <v>8040</v>
      </c>
      <c r="G229" s="13" t="s">
        <v>68</v>
      </c>
      <c r="H229" s="51" cm="1">
        <f t="array" ref="H229">_xlfn.IFS($G229=$G$5,H$5,$G229=$G$7,H$7,$G229=$G$10,H$10,$G229=$G$13,H$13,$G229=$G$14,H$14,$G229=$G$16,H$16,$G229=$G$17,H$17,$G229=$G$19,H$19,$G229=$G$20,H$20,$G229=$G$22,H$22,$G229=$G$23,H$23,$G229=$G$26,H$26,$G229=$G$29,H$29,$G229=$G$31,H$31,$G229=$G$34,H$34,$G229=$G$37,H$37,$G229=$G$107,H$107,$G229=$G$110,H$110,$G229=$G$140,H$140,$G229=$G$142,H$142,$G229=$G$408,H$408)</f>
        <v>41.343685000000001</v>
      </c>
      <c r="I229" s="51" cm="1">
        <f t="array" ref="I229">_xlfn.IFS($G229=$G$5,I$5,$G229=$G$7,I$7,$G229=$G$10,I$10,$G229=$G$13,I$13,$G229=$G$14,I$14,$G229=$G$16,I$16,$G229=$G$17,I$17,$G229=$G$19,I$19,$G229=$G$20,I$20,$G229=$G$22,I$22,$G229=$G$23,I$23,$G229=$G$26,I$26,$G229=$G$29,I$29,$G229=$G$31,I$31,$G229=$G$34,I$34,$G229=$G$37,I$37,$G229=$G$107,I$107,$G229=$G$110,I$110,$G229=$G$140,I$140,$G229=$G$142,I$142,$G229=$G$408,I$408)</f>
        <v>2.1441490000000001</v>
      </c>
      <c r="J229" s="51" cm="1">
        <f t="array" ref="J229">_xlfn.IFS($G229=$G$5,J$5,$G229=$G$7,J$7,$G229=$G$10,J$10,$G229=$G$13,J$13,$G229=$G$14,J$14,$G229=$G$16,J$16,$G229=$G$17,J$17,$G229=$G$19,J$19,$G229=$G$20,J$20,$G229=$G$22,J$22,$G229=$G$23,J$23,$G229=$G$26,J$26,$G229=$G$29,J$29,$G229=$G$31,J$31,$G229=$G$34,J$34,$G229=$G$37,J$37,$G229=$G$107,J$107,$G229=$G$110,J$110,$G229=$G$140,J$140,$G229=$G$142,J$142,$G229=$G$408,J$408)</f>
        <v>4</v>
      </c>
      <c r="K229" s="13" t="str" cm="1">
        <f t="array" ref="K229">_xlfn.IFS($G229=$G$5,K$5,$G229=$G$7,K$7,$G229=$G$10,K$10,$G229=$G$13,K$13,$G229=$G$14,K$14,$G229=$G$16,K$16,$G229=$G$17,K$17,$G229=$G$19,K$19,$G229=$G$20,K$20,$G229=$G$22,K$22,$G229=$G$23,K$23,$G229=$G$26,K$26,$G229=$G$29,K$29,$G229=$G$31,K$31,$G229=$G$34,K$34,$G229=$G$37,K$37,$G229=$G$107,K$107,$G229=$G$110,K$110,$G229=$G$140,K$140,$G229=$G$142,K$142,$G229=$G$408,K$408)</f>
        <v>BG sentinel + BG lure7</v>
      </c>
      <c r="O229" s="13" t="str">
        <f t="shared" si="23"/>
        <v>A_SP_BCN_10_220802</v>
      </c>
      <c r="P229" s="27">
        <v>44775</v>
      </c>
      <c r="Q229" s="29">
        <v>0.59375</v>
      </c>
      <c r="R229" s="33"/>
      <c r="S229" s="27">
        <v>44782</v>
      </c>
      <c r="T229" s="29">
        <v>0.46875</v>
      </c>
      <c r="V229" s="13" t="s">
        <v>86</v>
      </c>
      <c r="X229" s="13">
        <f t="shared" si="20"/>
        <v>7</v>
      </c>
      <c r="Z229" s="13" t="s">
        <v>164</v>
      </c>
      <c r="AA229" s="13">
        <f t="shared" si="25"/>
        <v>5</v>
      </c>
      <c r="AB229" s="13" t="str">
        <f t="shared" si="21"/>
        <v>Adult</v>
      </c>
      <c r="AC229" s="13">
        <v>5</v>
      </c>
      <c r="AD229" s="13">
        <v>0</v>
      </c>
      <c r="AE229" s="13" t="str">
        <f t="shared" si="22"/>
        <v>Morphological</v>
      </c>
      <c r="AF229" s="2">
        <v>4</v>
      </c>
    </row>
    <row r="230" spans="1:32" x14ac:dyDescent="0.25">
      <c r="A230" s="13">
        <v>226</v>
      </c>
      <c r="B230" s="23" t="s">
        <v>56</v>
      </c>
      <c r="C230" s="23" t="s">
        <v>57</v>
      </c>
      <c r="D230" s="23" t="s">
        <v>58</v>
      </c>
      <c r="E230" s="23" t="s">
        <v>58</v>
      </c>
      <c r="F230" s="35" cm="1">
        <f t="array" ref="F230">_xlfn.IFS($G230=$G$5,F$5,$G230=$G$7,F$7,$G230=$G$10,F$10,$G230=$G$13,F$13,$G230=$G$14,F$14,$G230=$G$16,F$16,$G230=$G$17,F$17,$G230=$G$19,F$19,$G230=$G$20,F$20,$G230=$G$22,F$22,$G230=$G$23,F$23,$G230=$G$26,F$26,$G230=$G$29,F$29,$G230=$G$31,F$31,$G230=$G$34,F$34,$G230=$G$37,F$37,$G230=$G$107,F$107,$G230=$G$110,F$110,$G230=$G$140,F$140,$G230=$G$142,F$142,$G230=$G$408,F$408)</f>
        <v>8038</v>
      </c>
      <c r="G230" s="13" t="s">
        <v>69</v>
      </c>
      <c r="H230" s="51" cm="1">
        <f t="array" ref="H230">_xlfn.IFS($G230=$G$5,H$5,$G230=$G$7,H$7,$G230=$G$10,H$10,$G230=$G$13,H$13,$G230=$G$14,H$14,$G230=$G$16,H$16,$G230=$G$17,H$17,$G230=$G$19,H$19,$G230=$G$20,H$20,$G230=$G$22,H$22,$G230=$G$23,H$23,$G230=$G$26,H$26,$G230=$G$29,H$29,$G230=$G$31,H$31,$G230=$G$34,H$34,$G230=$G$37,H$37,$G230=$G$107,H$107,$G230=$G$110,H$110,$G230=$G$140,H$140,$G230=$G$142,H$142,$G230=$G$408,H$408)</f>
        <v>41.363377999999997</v>
      </c>
      <c r="I230" s="51" cm="1">
        <f t="array" ref="I230">_xlfn.IFS($G230=$G$5,I$5,$G230=$G$7,I$7,$G230=$G$10,I$10,$G230=$G$13,I$13,$G230=$G$14,I$14,$G230=$G$16,I$16,$G230=$G$17,I$17,$G230=$G$19,I$19,$G230=$G$20,I$20,$G230=$G$22,I$22,$G230=$G$23,I$23,$G230=$G$26,I$26,$G230=$G$29,I$29,$G230=$G$31,I$31,$G230=$G$34,I$34,$G230=$G$37,I$37,$G230=$G$107,I$107,$G230=$G$110,I$110,$G230=$G$140,I$140,$G230=$G$142,I$142,$G230=$G$408,I$408)</f>
        <v>2.164879</v>
      </c>
      <c r="J230" s="51" cm="1">
        <f t="array" ref="J230">_xlfn.IFS($G230=$G$5,J$5,$G230=$G$7,J$7,$G230=$G$10,J$10,$G230=$G$13,J$13,$G230=$G$14,J$14,$G230=$G$16,J$16,$G230=$G$17,J$17,$G230=$G$19,J$19,$G230=$G$20,J$20,$G230=$G$22,J$22,$G230=$G$23,J$23,$G230=$G$26,J$26,$G230=$G$29,J$29,$G230=$G$31,J$31,$G230=$G$34,J$34,$G230=$G$37,J$37,$G230=$G$107,J$107,$G230=$G$110,J$110,$G230=$G$140,J$140,$G230=$G$142,J$142,$G230=$G$408,J$408)</f>
        <v>185</v>
      </c>
      <c r="K230" s="13" t="str" cm="1">
        <f t="array" ref="K230">_xlfn.IFS($G230=$G$5,K$5,$G230=$G$7,K$7,$G230=$G$10,K$10,$G230=$G$13,K$13,$G230=$G$14,K$14,$G230=$G$16,K$16,$G230=$G$17,K$17,$G230=$G$19,K$19,$G230=$G$20,K$20,$G230=$G$22,K$22,$G230=$G$23,K$23,$G230=$G$26,K$26,$G230=$G$29,K$29,$G230=$G$31,K$31,$G230=$G$34,K$34,$G230=$G$37,K$37,$G230=$G$107,K$107,$G230=$G$110,K$110,$G230=$G$140,K$140,$G230=$G$142,K$142,$G230=$G$408,K$408)</f>
        <v>BG sentinel + BG lure7</v>
      </c>
      <c r="O230" s="13" t="str">
        <f t="shared" si="23"/>
        <v>A_SP_BCN_12_220802</v>
      </c>
      <c r="P230" s="27">
        <v>44775</v>
      </c>
      <c r="Q230" s="29">
        <v>0.625</v>
      </c>
      <c r="R230" s="33"/>
      <c r="S230" s="27">
        <v>44782</v>
      </c>
      <c r="T230" s="29">
        <v>0.5</v>
      </c>
      <c r="V230" s="13" t="s">
        <v>86</v>
      </c>
      <c r="X230" s="13">
        <f t="shared" si="20"/>
        <v>7</v>
      </c>
      <c r="Z230" s="13" t="s">
        <v>60</v>
      </c>
      <c r="AA230" s="13">
        <f t="shared" si="25"/>
        <v>17</v>
      </c>
      <c r="AB230" s="13" t="str">
        <f t="shared" si="21"/>
        <v>Adult</v>
      </c>
      <c r="AC230" s="13">
        <v>14</v>
      </c>
      <c r="AD230" s="13">
        <v>3</v>
      </c>
      <c r="AE230" s="13" t="str">
        <f t="shared" si="22"/>
        <v>Morphological</v>
      </c>
      <c r="AF230" s="2">
        <v>4</v>
      </c>
    </row>
    <row r="231" spans="1:32" x14ac:dyDescent="0.25">
      <c r="A231" s="13">
        <v>227</v>
      </c>
      <c r="B231" s="23" t="s">
        <v>56</v>
      </c>
      <c r="C231" s="23" t="s">
        <v>57</v>
      </c>
      <c r="D231" s="23" t="s">
        <v>58</v>
      </c>
      <c r="E231" s="23" t="s">
        <v>58</v>
      </c>
      <c r="F231" s="35" cm="1">
        <f t="array" ref="F231">_xlfn.IFS($G231=$G$5,F$5,$G231=$G$7,F$7,$G231=$G$10,F$10,$G231=$G$13,F$13,$G231=$G$14,F$14,$G231=$G$16,F$16,$G231=$G$17,F$17,$G231=$G$19,F$19,$G231=$G$20,F$20,$G231=$G$22,F$22,$G231=$G$23,F$23,$G231=$G$26,F$26,$G231=$G$29,F$29,$G231=$G$31,F$31,$G231=$G$34,F$34,$G231=$G$37,F$37,$G231=$G$107,F$107,$G231=$G$110,F$110,$G231=$G$140,F$140,$G231=$G$142,F$142,$G231=$G$408,F$408)</f>
        <v>8038</v>
      </c>
      <c r="G231" s="13" t="s">
        <v>69</v>
      </c>
      <c r="H231" s="51" cm="1">
        <f t="array" ref="H231">_xlfn.IFS($G231=$G$5,H$5,$G231=$G$7,H$7,$G231=$G$10,H$10,$G231=$G$13,H$13,$G231=$G$14,H$14,$G231=$G$16,H$16,$G231=$G$17,H$17,$G231=$G$19,H$19,$G231=$G$20,H$20,$G231=$G$22,H$22,$G231=$G$23,H$23,$G231=$G$26,H$26,$G231=$G$29,H$29,$G231=$G$31,H$31,$G231=$G$34,H$34,$G231=$G$37,H$37,$G231=$G$107,H$107,$G231=$G$110,H$110,$G231=$G$140,H$140,$G231=$G$142,H$142,$G231=$G$408,H$408)</f>
        <v>41.363377999999997</v>
      </c>
      <c r="I231" s="51" cm="1">
        <f t="array" ref="I231">_xlfn.IFS($G231=$G$5,I$5,$G231=$G$7,I$7,$G231=$G$10,I$10,$G231=$G$13,I$13,$G231=$G$14,I$14,$G231=$G$16,I$16,$G231=$G$17,I$17,$G231=$G$19,I$19,$G231=$G$20,I$20,$G231=$G$22,I$22,$G231=$G$23,I$23,$G231=$G$26,I$26,$G231=$G$29,I$29,$G231=$G$31,I$31,$G231=$G$34,I$34,$G231=$G$37,I$37,$G231=$G$107,I$107,$G231=$G$110,I$110,$G231=$G$140,I$140,$G231=$G$142,I$142,$G231=$G$408,I$408)</f>
        <v>2.164879</v>
      </c>
      <c r="J231" s="51" cm="1">
        <f t="array" ref="J231">_xlfn.IFS($G231=$G$5,J$5,$G231=$G$7,J$7,$G231=$G$10,J$10,$G231=$G$13,J$13,$G231=$G$14,J$14,$G231=$G$16,J$16,$G231=$G$17,J$17,$G231=$G$19,J$19,$G231=$G$20,J$20,$G231=$G$22,J$22,$G231=$G$23,J$23,$G231=$G$26,J$26,$G231=$G$29,J$29,$G231=$G$31,J$31,$G231=$G$34,J$34,$G231=$G$37,J$37,$G231=$G$107,J$107,$G231=$G$110,J$110,$G231=$G$140,J$140,$G231=$G$142,J$142,$G231=$G$408,J$408)</f>
        <v>185</v>
      </c>
      <c r="K231" s="13" t="str" cm="1">
        <f t="array" ref="K231">_xlfn.IFS($G231=$G$5,K$5,$G231=$G$7,K$7,$G231=$G$10,K$10,$G231=$G$13,K$13,$G231=$G$14,K$14,$G231=$G$16,K$16,$G231=$G$17,K$17,$G231=$G$19,K$19,$G231=$G$20,K$20,$G231=$G$22,K$22,$G231=$G$23,K$23,$G231=$G$26,K$26,$G231=$G$29,K$29,$G231=$G$31,K$31,$G231=$G$34,K$34,$G231=$G$37,K$37,$G231=$G$107,K$107,$G231=$G$110,K$110,$G231=$G$140,K$140,$G231=$G$142,K$142,$G231=$G$408,K$408)</f>
        <v>BG sentinel + BG lure7</v>
      </c>
      <c r="O231" s="13" t="str">
        <f t="shared" si="23"/>
        <v>A_SP_BCN_12_220802</v>
      </c>
      <c r="P231" s="27">
        <v>44775</v>
      </c>
      <c r="Q231" s="29">
        <v>0.625</v>
      </c>
      <c r="R231" s="33"/>
      <c r="S231" s="27">
        <v>44782</v>
      </c>
      <c r="T231" s="29">
        <v>0.5</v>
      </c>
      <c r="V231" s="13" t="s">
        <v>86</v>
      </c>
      <c r="X231" s="13">
        <f t="shared" si="20"/>
        <v>7</v>
      </c>
      <c r="Z231" s="13" t="s">
        <v>164</v>
      </c>
      <c r="AA231" s="13">
        <f t="shared" si="25"/>
        <v>20</v>
      </c>
      <c r="AB231" s="13" t="str">
        <f t="shared" si="21"/>
        <v>Adult</v>
      </c>
      <c r="AC231" s="13">
        <v>18</v>
      </c>
      <c r="AD231" s="13">
        <v>2</v>
      </c>
      <c r="AE231" s="13" t="str">
        <f t="shared" si="22"/>
        <v>Morphological</v>
      </c>
      <c r="AF231" s="2">
        <v>4</v>
      </c>
    </row>
    <row r="232" spans="1:32" x14ac:dyDescent="0.25">
      <c r="A232" s="13">
        <v>228</v>
      </c>
      <c r="B232" s="23" t="s">
        <v>56</v>
      </c>
      <c r="C232" s="23" t="s">
        <v>57</v>
      </c>
      <c r="D232" s="23" t="s">
        <v>58</v>
      </c>
      <c r="E232" s="23" t="s">
        <v>58</v>
      </c>
      <c r="F232" s="35" cm="1">
        <f t="array" ref="F232">_xlfn.IFS($G232=$G$5,F$5,$G232=$G$7,F$7,$G232=$G$10,F$10,$G232=$G$13,F$13,$G232=$G$14,F$14,$G232=$G$16,F$16,$G232=$G$17,F$17,$G232=$G$19,F$19,$G232=$G$20,F$20,$G232=$G$22,F$22,$G232=$G$23,F$23,$G232=$G$26,F$26,$G232=$G$29,F$29,$G232=$G$31,F$31,$G232=$G$34,F$34,$G232=$G$37,F$37,$G232=$G$107,F$107,$G232=$G$110,F$110,$G232=$G$140,F$140,$G232=$G$142,F$142,$G232=$G$408,F$408)</f>
        <v>8038</v>
      </c>
      <c r="G232" s="13" t="s">
        <v>69</v>
      </c>
      <c r="H232" s="51" cm="1">
        <f t="array" ref="H232">_xlfn.IFS($G232=$G$5,H$5,$G232=$G$7,H$7,$G232=$G$10,H$10,$G232=$G$13,H$13,$G232=$G$14,H$14,$G232=$G$16,H$16,$G232=$G$17,H$17,$G232=$G$19,H$19,$G232=$G$20,H$20,$G232=$G$22,H$22,$G232=$G$23,H$23,$G232=$G$26,H$26,$G232=$G$29,H$29,$G232=$G$31,H$31,$G232=$G$34,H$34,$G232=$G$37,H$37,$G232=$G$107,H$107,$G232=$G$110,H$110,$G232=$G$140,H$140,$G232=$G$142,H$142,$G232=$G$408,H$408)</f>
        <v>41.363377999999997</v>
      </c>
      <c r="I232" s="51" cm="1">
        <f t="array" ref="I232">_xlfn.IFS($G232=$G$5,I$5,$G232=$G$7,I$7,$G232=$G$10,I$10,$G232=$G$13,I$13,$G232=$G$14,I$14,$G232=$G$16,I$16,$G232=$G$17,I$17,$G232=$G$19,I$19,$G232=$G$20,I$20,$G232=$G$22,I$22,$G232=$G$23,I$23,$G232=$G$26,I$26,$G232=$G$29,I$29,$G232=$G$31,I$31,$G232=$G$34,I$34,$G232=$G$37,I$37,$G232=$G$107,I$107,$G232=$G$110,I$110,$G232=$G$140,I$140,$G232=$G$142,I$142,$G232=$G$408,I$408)</f>
        <v>2.164879</v>
      </c>
      <c r="J232" s="51" cm="1">
        <f t="array" ref="J232">_xlfn.IFS($G232=$G$5,J$5,$G232=$G$7,J$7,$G232=$G$10,J$10,$G232=$G$13,J$13,$G232=$G$14,J$14,$G232=$G$16,J$16,$G232=$G$17,J$17,$G232=$G$19,J$19,$G232=$G$20,J$20,$G232=$G$22,J$22,$G232=$G$23,J$23,$G232=$G$26,J$26,$G232=$G$29,J$29,$G232=$G$31,J$31,$G232=$G$34,J$34,$G232=$G$37,J$37,$G232=$G$107,J$107,$G232=$G$110,J$110,$G232=$G$140,J$140,$G232=$G$142,J$142,$G232=$G$408,J$408)</f>
        <v>185</v>
      </c>
      <c r="K232" s="13" t="str" cm="1">
        <f t="array" ref="K232">_xlfn.IFS($G232=$G$5,K$5,$G232=$G$7,K$7,$G232=$G$10,K$10,$G232=$G$13,K$13,$G232=$G$14,K$14,$G232=$G$16,K$16,$G232=$G$17,K$17,$G232=$G$19,K$19,$G232=$G$20,K$20,$G232=$G$22,K$22,$G232=$G$23,K$23,$G232=$G$26,K$26,$G232=$G$29,K$29,$G232=$G$31,K$31,$G232=$G$34,K$34,$G232=$G$37,K$37,$G232=$G$107,K$107,$G232=$G$110,K$110,$G232=$G$140,K$140,$G232=$G$142,K$142,$G232=$G$408,K$408)</f>
        <v>BG sentinel + BG lure7</v>
      </c>
      <c r="O232" s="13" t="str">
        <f t="shared" si="23"/>
        <v>A_SP_BCN_12_220802</v>
      </c>
      <c r="P232" s="27">
        <v>44775</v>
      </c>
      <c r="Q232" s="29">
        <v>0.625</v>
      </c>
      <c r="R232" s="33"/>
      <c r="S232" s="27">
        <v>44782</v>
      </c>
      <c r="T232" s="29">
        <v>0.5</v>
      </c>
      <c r="V232" s="13" t="s">
        <v>86</v>
      </c>
      <c r="X232" s="13">
        <f t="shared" si="20"/>
        <v>7</v>
      </c>
      <c r="Z232" s="32" t="s">
        <v>163</v>
      </c>
      <c r="AA232" s="13">
        <f t="shared" si="25"/>
        <v>3</v>
      </c>
      <c r="AB232" s="13" t="str">
        <f t="shared" si="21"/>
        <v>Adult</v>
      </c>
      <c r="AC232" s="13">
        <v>1</v>
      </c>
      <c r="AD232" s="13">
        <v>2</v>
      </c>
      <c r="AE232" s="13" t="str">
        <f t="shared" si="22"/>
        <v>Morphological</v>
      </c>
      <c r="AF232" s="2">
        <v>4</v>
      </c>
    </row>
    <row r="233" spans="1:32" ht="15.75" customHeight="1" x14ac:dyDescent="0.25">
      <c r="A233" s="13">
        <v>229</v>
      </c>
      <c r="B233" s="23" t="s">
        <v>56</v>
      </c>
      <c r="C233" s="23" t="s">
        <v>57</v>
      </c>
      <c r="D233" s="23" t="s">
        <v>58</v>
      </c>
      <c r="E233" s="23" t="s">
        <v>58</v>
      </c>
      <c r="F233" s="35" cm="1">
        <f t="array" ref="F233">_xlfn.IFS($G233=$G$5,F$5,$G233=$G$7,F$7,$G233=$G$10,F$10,$G233=$G$13,F$13,$G233=$G$14,F$14,$G233=$G$16,F$16,$G233=$G$17,F$17,$G233=$G$19,F$19,$G233=$G$20,F$20,$G233=$G$22,F$22,$G233=$G$23,F$23,$G233=$G$26,F$26,$G233=$G$29,F$29,$G233=$G$31,F$31,$G233=$G$34,F$34,$G233=$G$37,F$37,$G233=$G$107,F$107,$G233=$G$110,F$110,$G233=$G$140,F$140,$G233=$G$142,F$142,$G233=$G$408,F$408)</f>
        <v>8035</v>
      </c>
      <c r="G233" s="13" t="s">
        <v>70</v>
      </c>
      <c r="H233" s="51" cm="1">
        <f t="array" ref="H233">_xlfn.IFS($G233=$G$5,H$5,$G233=$G$7,H$7,$G233=$G$10,H$10,$G233=$G$13,H$13,$G233=$G$14,H$14,$G233=$G$16,H$16,$G233=$G$17,H$17,$G233=$G$19,H$19,$G233=$G$20,H$20,$G233=$G$22,H$22,$G233=$G$23,H$23,$G233=$G$26,H$26,$G233=$G$29,H$29,$G233=$G$31,H$31,$G233=$G$34,H$34,$G233=$G$37,H$37,$G233=$G$107,H$107,$G233=$G$110,H$110,$G233=$G$140,H$140,$G233=$G$142,H$142,$G233=$G$408,H$408)</f>
        <v>41.434472</v>
      </c>
      <c r="I233" s="51" cm="1">
        <f t="array" ref="I233">_xlfn.IFS($G233=$G$5,I$5,$G233=$G$7,I$7,$G233=$G$10,I$10,$G233=$G$13,I$13,$G233=$G$14,I$14,$G233=$G$16,I$16,$G233=$G$17,I$17,$G233=$G$19,I$19,$G233=$G$20,I$20,$G233=$G$22,I$22,$G233=$G$23,I$23,$G233=$G$26,I$26,$G233=$G$29,I$29,$G233=$G$31,I$31,$G233=$G$34,I$34,$G233=$G$37,I$37,$G233=$G$107,I$107,$G233=$G$110,I$110,$G233=$G$140,I$140,$G233=$G$142,I$142,$G233=$G$408,I$408)</f>
        <v>2.1315789999999999</v>
      </c>
      <c r="J233" s="51" cm="1">
        <f t="array" ref="J233">_xlfn.IFS($G233=$G$5,J$5,$G233=$G$7,J$7,$G233=$G$10,J$10,$G233=$G$13,J$13,$G233=$G$14,J$14,$G233=$G$16,J$16,$G233=$G$17,J$17,$G233=$G$19,J$19,$G233=$G$20,J$20,$G233=$G$22,J$22,$G233=$G$23,J$23,$G233=$G$26,J$26,$G233=$G$29,J$29,$G233=$G$31,J$31,$G233=$G$34,J$34,$G233=$G$37,J$37,$G233=$G$107,J$107,$G233=$G$110,J$110,$G233=$G$140,J$140,$G233=$G$142,J$142,$G233=$G$408,J$408)</f>
        <v>365</v>
      </c>
      <c r="K233" s="13" t="str" cm="1">
        <f t="array" ref="K233">_xlfn.IFS($G233=$G$5,K$5,$G233=$G$7,K$7,$G233=$G$10,K$10,$G233=$G$13,K$13,$G233=$G$14,K$14,$G233=$G$16,K$16,$G233=$G$17,K$17,$G233=$G$19,K$19,$G233=$G$20,K$20,$G233=$G$22,K$22,$G233=$G$23,K$23,$G233=$G$26,K$26,$G233=$G$29,K$29,$G233=$G$31,K$31,$G233=$G$34,K$34,$G233=$G$37,K$37,$G233=$G$107,K$107,$G233=$G$110,K$110,$G233=$G$140,K$140,$G233=$G$142,K$142,$G233=$G$408,K$408)</f>
        <v>BG sentinel + BG lure7</v>
      </c>
      <c r="O233" s="13" t="str">
        <f t="shared" si="23"/>
        <v>A_SP_BCN_13_220802</v>
      </c>
      <c r="P233" s="27">
        <v>44775</v>
      </c>
      <c r="Q233" s="29">
        <v>0.65972222222222221</v>
      </c>
      <c r="R233" s="33"/>
      <c r="S233" s="27">
        <v>44782</v>
      </c>
      <c r="T233" s="29">
        <v>0.53472222222222221</v>
      </c>
      <c r="V233" s="13" t="s">
        <v>86</v>
      </c>
      <c r="W233" s="15" t="s">
        <v>115</v>
      </c>
      <c r="X233" s="13">
        <f t="shared" si="20"/>
        <v>7</v>
      </c>
      <c r="Z233" s="13" t="s">
        <v>60</v>
      </c>
      <c r="AA233" s="13">
        <f t="shared" si="25"/>
        <v>1</v>
      </c>
      <c r="AB233" s="13" t="str">
        <f t="shared" si="21"/>
        <v>Adult</v>
      </c>
      <c r="AC233" s="13">
        <v>1</v>
      </c>
      <c r="AD233" s="13">
        <v>0</v>
      </c>
      <c r="AE233" s="13" t="str">
        <f t="shared" si="22"/>
        <v>Morphological</v>
      </c>
      <c r="AF233" s="2">
        <v>3</v>
      </c>
    </row>
    <row r="234" spans="1:32" x14ac:dyDescent="0.25">
      <c r="A234" s="13">
        <v>230</v>
      </c>
      <c r="B234" s="23" t="s">
        <v>56</v>
      </c>
      <c r="C234" s="23" t="s">
        <v>57</v>
      </c>
      <c r="D234" s="23" t="s">
        <v>58</v>
      </c>
      <c r="E234" s="23" t="s">
        <v>58</v>
      </c>
      <c r="F234" s="35" cm="1">
        <f t="array" ref="F234">_xlfn.IFS($G234=$G$5,F$5,$G234=$G$7,F$7,$G234=$G$10,F$10,$G234=$G$13,F$13,$G234=$G$14,F$14,$G234=$G$16,F$16,$G234=$G$17,F$17,$G234=$G$19,F$19,$G234=$G$20,F$20,$G234=$G$22,F$22,$G234=$G$23,F$23,$G234=$G$26,F$26,$G234=$G$29,F$29,$G234=$G$31,F$31,$G234=$G$34,F$34,$G234=$G$37,F$37,$G234=$G$107,F$107,$G234=$G$110,F$110,$G234=$G$140,F$140,$G234=$G$142,F$142,$G234=$G$408,F$408)</f>
        <v>8017</v>
      </c>
      <c r="G234" s="13" t="s">
        <v>71</v>
      </c>
      <c r="H234" s="51" cm="1">
        <f t="array" ref="H234">_xlfn.IFS($G234=$G$5,H$5,$G234=$G$7,H$7,$G234=$G$10,H$10,$G234=$G$13,H$13,$G234=$G$14,H$14,$G234=$G$16,H$16,$G234=$G$17,H$17,$G234=$G$19,H$19,$G234=$G$20,H$20,$G234=$G$22,H$22,$G234=$G$23,H$23,$G234=$G$26,H$26,$G234=$G$29,H$29,$G234=$G$31,H$31,$G234=$G$34,H$34,$G234=$G$37,H$37,$G234=$G$107,H$107,$G234=$G$110,H$110,$G234=$G$140,H$140,$G234=$G$142,H$142,$G234=$G$408,H$408)</f>
        <v>41.428533999999999</v>
      </c>
      <c r="I234" s="51" cm="1">
        <f t="array" ref="I234">_xlfn.IFS($G234=$G$5,I$5,$G234=$G$7,I$7,$G234=$G$10,I$10,$G234=$G$13,I$13,$G234=$G$14,I$14,$G234=$G$16,I$16,$G234=$G$17,I$17,$G234=$G$19,I$19,$G234=$G$20,I$20,$G234=$G$22,I$22,$G234=$G$23,I$23,$G234=$G$26,I$26,$G234=$G$29,I$29,$G234=$G$31,I$31,$G234=$G$34,I$34,$G234=$G$37,I$37,$G234=$G$107,I$107,$G234=$G$110,I$110,$G234=$G$140,I$140,$G234=$G$142,I$142,$G234=$G$408,I$408)</f>
        <v>2.090954</v>
      </c>
      <c r="J234" s="51" cm="1">
        <f t="array" ref="J234">_xlfn.IFS($G234=$G$5,J$5,$G234=$G$7,J$7,$G234=$G$10,J$10,$G234=$G$13,J$13,$G234=$G$14,J$14,$G234=$G$16,J$16,$G234=$G$17,J$17,$G234=$G$19,J$19,$G234=$G$20,J$20,$G234=$G$22,J$22,$G234=$G$23,J$23,$G234=$G$26,J$26,$G234=$G$29,J$29,$G234=$G$31,J$31,$G234=$G$34,J$34,$G234=$G$37,J$37,$G234=$G$107,J$107,$G234=$G$110,J$110,$G234=$G$140,J$140,$G234=$G$142,J$142,$G234=$G$408,J$408)</f>
        <v>215</v>
      </c>
      <c r="K234" s="13" t="str" cm="1">
        <f t="array" ref="K234">_xlfn.IFS($G234=$G$5,K$5,$G234=$G$7,K$7,$G234=$G$10,K$10,$G234=$G$13,K$13,$G234=$G$14,K$14,$G234=$G$16,K$16,$G234=$G$17,K$17,$G234=$G$19,K$19,$G234=$G$20,K$20,$G234=$G$22,K$22,$G234=$G$23,K$23,$G234=$G$26,K$26,$G234=$G$29,K$29,$G234=$G$31,K$31,$G234=$G$34,K$34,$G234=$G$37,K$37,$G234=$G$107,K$107,$G234=$G$110,K$110,$G234=$G$140,K$140,$G234=$G$142,K$142,$G234=$G$408,K$408)</f>
        <v>BG sentinel + BG lure7</v>
      </c>
      <c r="O234" s="13" t="str">
        <f t="shared" si="23"/>
        <v>A_SP_BCN_14_220802</v>
      </c>
      <c r="P234" s="27">
        <v>44775</v>
      </c>
      <c r="Q234" s="29">
        <v>0.6875</v>
      </c>
      <c r="R234" s="33"/>
      <c r="S234" s="27">
        <v>44782</v>
      </c>
      <c r="T234" s="29">
        <v>0.65625</v>
      </c>
      <c r="V234" s="13" t="s">
        <v>86</v>
      </c>
      <c r="W234" s="15" t="s">
        <v>113</v>
      </c>
      <c r="X234" s="13">
        <f t="shared" si="20"/>
        <v>7</v>
      </c>
      <c r="Z234" s="13" t="s">
        <v>60</v>
      </c>
      <c r="AA234" s="13">
        <f t="shared" si="25"/>
        <v>16</v>
      </c>
      <c r="AB234" s="13" t="str">
        <f t="shared" si="21"/>
        <v>Adult</v>
      </c>
      <c r="AC234" s="13">
        <v>15</v>
      </c>
      <c r="AD234" s="13">
        <v>1</v>
      </c>
      <c r="AE234" s="13" t="str">
        <f t="shared" si="22"/>
        <v>Morphological</v>
      </c>
      <c r="AF234" s="2">
        <v>3</v>
      </c>
    </row>
    <row r="235" spans="1:32" x14ac:dyDescent="0.25">
      <c r="A235" s="13">
        <v>231</v>
      </c>
      <c r="B235" s="23" t="s">
        <v>56</v>
      </c>
      <c r="C235" s="23" t="s">
        <v>57</v>
      </c>
      <c r="D235" s="23" t="s">
        <v>58</v>
      </c>
      <c r="E235" s="23" t="s">
        <v>58</v>
      </c>
      <c r="F235" s="35" cm="1">
        <f t="array" ref="F235">_xlfn.IFS($G235=$G$5,F$5,$G235=$G$7,F$7,$G235=$G$10,F$10,$G235=$G$13,F$13,$G235=$G$14,F$14,$G235=$G$16,F$16,$G235=$G$17,F$17,$G235=$G$19,F$19,$G235=$G$20,F$20,$G235=$G$22,F$22,$G235=$G$23,F$23,$G235=$G$26,F$26,$G235=$G$29,F$29,$G235=$G$31,F$31,$G235=$G$34,F$34,$G235=$G$37,F$37,$G235=$G$107,F$107,$G235=$G$110,F$110,$G235=$G$140,F$140,$G235=$G$142,F$142,$G235=$G$408,F$408)</f>
        <v>8017</v>
      </c>
      <c r="G235" s="13" t="s">
        <v>72</v>
      </c>
      <c r="H235" s="51" cm="1">
        <f t="array" ref="H235">_xlfn.IFS($G235=$G$5,H$5,$G235=$G$7,H$7,$G235=$G$10,H$10,$G235=$G$13,H$13,$G235=$G$14,H$14,$G235=$G$16,H$16,$G235=$G$17,H$17,$G235=$G$19,H$19,$G235=$G$20,H$20,$G235=$G$22,H$22,$G235=$G$23,H$23,$G235=$G$26,H$26,$G235=$G$29,H$29,$G235=$G$31,H$31,$G235=$G$34,H$34,$G235=$G$37,H$37,$G235=$G$107,H$107,$G235=$G$110,H$110,$G235=$G$140,H$140,$G235=$G$142,H$142,$G235=$G$408,H$408)</f>
        <v>41.419471000000001</v>
      </c>
      <c r="I235" s="51" cm="1">
        <f t="array" ref="I235">_xlfn.IFS($G235=$G$5,I$5,$G235=$G$7,I$7,$G235=$G$10,I$10,$G235=$G$13,I$13,$G235=$G$14,I$14,$G235=$G$16,I$16,$G235=$G$17,I$17,$G235=$G$19,I$19,$G235=$G$20,I$20,$G235=$G$22,I$22,$G235=$G$23,I$23,$G235=$G$26,I$26,$G235=$G$29,I$29,$G235=$G$31,I$31,$G235=$G$34,I$34,$G235=$G$37,I$37,$G235=$G$107,I$107,$G235=$G$110,I$110,$G235=$G$140,I$140,$G235=$G$142,I$142,$G235=$G$408,I$408)</f>
        <v>2.1010149999999999</v>
      </c>
      <c r="J235" s="51" cm="1">
        <f t="array" ref="J235">_xlfn.IFS($G235=$G$5,J$5,$G235=$G$7,J$7,$G235=$G$10,J$10,$G235=$G$13,J$13,$G235=$G$14,J$14,$G235=$G$16,J$16,$G235=$G$17,J$17,$G235=$G$19,J$19,$G235=$G$20,J$20,$G235=$G$22,J$22,$G235=$G$23,J$23,$G235=$G$26,J$26,$G235=$G$29,J$29,$G235=$G$31,J$31,$G235=$G$34,J$34,$G235=$G$37,J$37,$G235=$G$107,J$107,$G235=$G$110,J$110,$G235=$G$140,J$140,$G235=$G$142,J$142,$G235=$G$408,J$408)</f>
        <v>284</v>
      </c>
      <c r="K235" s="13" t="str" cm="1">
        <f t="array" ref="K235">_xlfn.IFS($G235=$G$5,K$5,$G235=$G$7,K$7,$G235=$G$10,K$10,$G235=$G$13,K$13,$G235=$G$14,K$14,$G235=$G$16,K$16,$G235=$G$17,K$17,$G235=$G$19,K$19,$G235=$G$20,K$20,$G235=$G$22,K$22,$G235=$G$23,K$23,$G235=$G$26,K$26,$G235=$G$29,K$29,$G235=$G$31,K$31,$G235=$G$34,K$34,$G235=$G$37,K$37,$G235=$G$107,K$107,$G235=$G$110,K$110,$G235=$G$140,K$140,$G235=$G$142,K$142,$G235=$G$408,K$408)</f>
        <v>BG sentinel + BG lure7</v>
      </c>
      <c r="O235" s="13" t="str">
        <f t="shared" si="23"/>
        <v>A_SP_BCN_15_220802</v>
      </c>
      <c r="P235" s="27">
        <v>44775</v>
      </c>
      <c r="Q235" s="29">
        <v>0.67013888888888884</v>
      </c>
      <c r="R235" s="33"/>
      <c r="S235" s="27">
        <v>44782</v>
      </c>
      <c r="T235" s="29">
        <v>0.54513888888888895</v>
      </c>
      <c r="V235" s="13" t="s">
        <v>86</v>
      </c>
      <c r="X235" s="13">
        <f t="shared" si="20"/>
        <v>7</v>
      </c>
      <c r="Z235" s="13" t="s">
        <v>60</v>
      </c>
      <c r="AA235" s="13">
        <f t="shared" si="25"/>
        <v>1</v>
      </c>
      <c r="AB235" s="13" t="str">
        <f t="shared" si="21"/>
        <v>Adult</v>
      </c>
      <c r="AC235" s="13">
        <v>1</v>
      </c>
      <c r="AD235" s="13">
        <v>0</v>
      </c>
      <c r="AE235" s="13" t="str">
        <f t="shared" si="22"/>
        <v>Morphological</v>
      </c>
      <c r="AF235" s="2">
        <v>4</v>
      </c>
    </row>
    <row r="236" spans="1:32" x14ac:dyDescent="0.25">
      <c r="A236" s="13">
        <v>232</v>
      </c>
      <c r="B236" s="23" t="s">
        <v>56</v>
      </c>
      <c r="C236" s="23" t="s">
        <v>57</v>
      </c>
      <c r="D236" s="23" t="s">
        <v>58</v>
      </c>
      <c r="E236" s="23" t="s">
        <v>58</v>
      </c>
      <c r="F236" s="35" cm="1">
        <f t="array" ref="F236">_xlfn.IFS($G236=$G$5,F$5,$G236=$G$7,F$7,$G236=$G$10,F$10,$G236=$G$13,F$13,$G236=$G$14,F$14,$G236=$G$16,F$16,$G236=$G$17,F$17,$G236=$G$19,F$19,$G236=$G$20,F$20,$G236=$G$22,F$22,$G236=$G$23,F$23,$G236=$G$26,F$26,$G236=$G$29,F$29,$G236=$G$31,F$31,$G236=$G$34,F$34,$G236=$G$37,F$37,$G236=$G$107,F$107,$G236=$G$110,F$110,$G236=$G$140,F$140,$G236=$G$142,F$142,$G236=$G$408,F$408)</f>
        <v>8038</v>
      </c>
      <c r="G236" s="13" t="s">
        <v>76</v>
      </c>
      <c r="H236" s="51" cm="1">
        <f t="array" ref="H236">_xlfn.IFS($G236=$G$5,H$5,$G236=$G$7,H$7,$G236=$G$10,H$10,$G236=$G$13,H$13,$G236=$G$14,H$14,$G236=$G$16,H$16,$G236=$G$17,H$17,$G236=$G$19,H$19,$G236=$G$20,H$20,$G236=$G$22,H$22,$G236=$G$23,H$23,$G236=$G$26,H$26,$G236=$G$29,H$29,$G236=$G$31,H$31,$G236=$G$34,H$34,$G236=$G$37,H$37,$G236=$G$107,H$107,$G236=$G$110,H$110,$G236=$G$140,H$140,$G236=$G$142,H$142,$G236=$G$408,H$408)</f>
        <v>41.359864999999999</v>
      </c>
      <c r="I236" s="51" cm="1">
        <f t="array" ref="I236">_xlfn.IFS($G236=$G$5,I$5,$G236=$G$7,I$7,$G236=$G$10,I$10,$G236=$G$13,I$13,$G236=$G$14,I$14,$G236=$G$16,I$16,$G236=$G$17,I$17,$G236=$G$19,I$19,$G236=$G$20,I$20,$G236=$G$22,I$22,$G236=$G$23,I$23,$G236=$G$26,I$26,$G236=$G$29,I$29,$G236=$G$31,I$31,$G236=$G$34,I$34,$G236=$G$37,I$37,$G236=$G$107,I$107,$G236=$G$110,I$110,$G236=$G$140,I$140,$G236=$G$142,I$142,$G236=$G$408,I$408)</f>
        <v>2.1445430000000001</v>
      </c>
      <c r="J236" s="51" cm="1">
        <f t="array" ref="J236">_xlfn.IFS($G236=$G$5,J$5,$G236=$G$7,J$7,$G236=$G$10,J$10,$G236=$G$13,J$13,$G236=$G$14,J$14,$G236=$G$16,J$16,$G236=$G$17,J$17,$G236=$G$19,J$19,$G236=$G$20,J$20,$G236=$G$22,J$22,$G236=$G$23,J$23,$G236=$G$26,J$26,$G236=$G$29,J$29,$G236=$G$31,J$31,$G236=$G$34,J$34,$G236=$G$37,J$37,$G236=$G$107,J$107,$G236=$G$110,J$110,$G236=$G$140,J$140,$G236=$G$142,J$142,$G236=$G$408,J$408)</f>
        <v>11.4</v>
      </c>
      <c r="K236" s="13" t="str" cm="1">
        <f t="array" ref="K236">_xlfn.IFS($G236=$G$5,K$5,$G236=$G$7,K$7,$G236=$G$10,K$10,$G236=$G$13,K$13,$G236=$G$14,K$14,$G236=$G$16,K$16,$G236=$G$17,K$17,$G236=$G$19,K$19,$G236=$G$20,K$20,$G236=$G$22,K$22,$G236=$G$23,K$23,$G236=$G$26,K$26,$G236=$G$29,K$29,$G236=$G$31,K$31,$G236=$G$34,K$34,$G236=$G$37,K$37,$G236=$G$107,K$107,$G236=$G$110,K$110,$G236=$G$140,K$140,$G236=$G$142,K$142,$G236=$G$408,K$408)</f>
        <v>BG sentinel + BG lure7</v>
      </c>
      <c r="O236" s="13" t="str">
        <f t="shared" si="23"/>
        <v>A_SP_BCN_19_220802</v>
      </c>
      <c r="P236" s="27">
        <v>44775</v>
      </c>
      <c r="Q236" s="29">
        <v>0.60416666666666663</v>
      </c>
      <c r="R236" s="33"/>
      <c r="S236" s="27">
        <v>44782</v>
      </c>
      <c r="T236" s="29">
        <v>0.47916666666666669</v>
      </c>
      <c r="V236" s="13" t="s">
        <v>86</v>
      </c>
      <c r="W236" s="15" t="s">
        <v>116</v>
      </c>
      <c r="X236" s="13">
        <f t="shared" si="20"/>
        <v>7</v>
      </c>
      <c r="Z236" s="13" t="s">
        <v>60</v>
      </c>
      <c r="AA236" s="13">
        <f t="shared" si="25"/>
        <v>19</v>
      </c>
      <c r="AB236" s="13" t="str">
        <f t="shared" si="21"/>
        <v>Adult</v>
      </c>
      <c r="AC236" s="13">
        <v>18</v>
      </c>
      <c r="AD236" s="13">
        <v>1</v>
      </c>
      <c r="AE236" s="13" t="str">
        <f t="shared" si="22"/>
        <v>Morphological</v>
      </c>
      <c r="AF236" s="2">
        <v>3</v>
      </c>
    </row>
    <row r="237" spans="1:32" x14ac:dyDescent="0.25">
      <c r="A237" s="13">
        <v>233</v>
      </c>
      <c r="B237" s="23" t="s">
        <v>56</v>
      </c>
      <c r="C237" s="23" t="s">
        <v>57</v>
      </c>
      <c r="D237" s="23" t="s">
        <v>58</v>
      </c>
      <c r="E237" s="23" t="s">
        <v>58</v>
      </c>
      <c r="F237" s="35" cm="1">
        <f t="array" ref="F237">_xlfn.IFS($G237=$G$5,F$5,$G237=$G$7,F$7,$G237=$G$10,F$10,$G237=$G$13,F$13,$G237=$G$14,F$14,$G237=$G$16,F$16,$G237=$G$17,F$17,$G237=$G$19,F$19,$G237=$G$20,F$20,$G237=$G$22,F$22,$G237=$G$23,F$23,$G237=$G$26,F$26,$G237=$G$29,F$29,$G237=$G$31,F$31,$G237=$G$34,F$34,$G237=$G$37,F$37,$G237=$G$107,F$107,$G237=$G$110,F$110,$G237=$G$140,F$140,$G237=$G$142,F$142,$G237=$G$408,F$408)</f>
        <v>8038</v>
      </c>
      <c r="G237" s="13" t="s">
        <v>76</v>
      </c>
      <c r="H237" s="51" cm="1">
        <f t="array" ref="H237">_xlfn.IFS($G237=$G$5,H$5,$G237=$G$7,H$7,$G237=$G$10,H$10,$G237=$G$13,H$13,$G237=$G$14,H$14,$G237=$G$16,H$16,$G237=$G$17,H$17,$G237=$G$19,H$19,$G237=$G$20,H$20,$G237=$G$22,H$22,$G237=$G$23,H$23,$G237=$G$26,H$26,$G237=$G$29,H$29,$G237=$G$31,H$31,$G237=$G$34,H$34,$G237=$G$37,H$37,$G237=$G$107,H$107,$G237=$G$110,H$110,$G237=$G$140,H$140,$G237=$G$142,H$142,$G237=$G$408,H$408)</f>
        <v>41.359864999999999</v>
      </c>
      <c r="I237" s="51" cm="1">
        <f t="array" ref="I237">_xlfn.IFS($G237=$G$5,I$5,$G237=$G$7,I$7,$G237=$G$10,I$10,$G237=$G$13,I$13,$G237=$G$14,I$14,$G237=$G$16,I$16,$G237=$G$17,I$17,$G237=$G$19,I$19,$G237=$G$20,I$20,$G237=$G$22,I$22,$G237=$G$23,I$23,$G237=$G$26,I$26,$G237=$G$29,I$29,$G237=$G$31,I$31,$G237=$G$34,I$34,$G237=$G$37,I$37,$G237=$G$107,I$107,$G237=$G$110,I$110,$G237=$G$140,I$140,$G237=$G$142,I$142,$G237=$G$408,I$408)</f>
        <v>2.1445430000000001</v>
      </c>
      <c r="J237" s="51" cm="1">
        <f t="array" ref="J237">_xlfn.IFS($G237=$G$5,J$5,$G237=$G$7,J$7,$G237=$G$10,J$10,$G237=$G$13,J$13,$G237=$G$14,J$14,$G237=$G$16,J$16,$G237=$G$17,J$17,$G237=$G$19,J$19,$G237=$G$20,J$20,$G237=$G$22,J$22,$G237=$G$23,J$23,$G237=$G$26,J$26,$G237=$G$29,J$29,$G237=$G$31,J$31,$G237=$G$34,J$34,$G237=$G$37,J$37,$G237=$G$107,J$107,$G237=$G$110,J$110,$G237=$G$140,J$140,$G237=$G$142,J$142,$G237=$G$408,J$408)</f>
        <v>11.4</v>
      </c>
      <c r="K237" s="13" t="str" cm="1">
        <f t="array" ref="K237">_xlfn.IFS($G237=$G$5,K$5,$G237=$G$7,K$7,$G237=$G$10,K$10,$G237=$G$13,K$13,$G237=$G$14,K$14,$G237=$G$16,K$16,$G237=$G$17,K$17,$G237=$G$19,K$19,$G237=$G$20,K$20,$G237=$G$22,K$22,$G237=$G$23,K$23,$G237=$G$26,K$26,$G237=$G$29,K$29,$G237=$G$31,K$31,$G237=$G$34,K$34,$G237=$G$37,K$37,$G237=$G$107,K$107,$G237=$G$110,K$110,$G237=$G$140,K$140,$G237=$G$142,K$142,$G237=$G$408,K$408)</f>
        <v>BG sentinel + BG lure7</v>
      </c>
      <c r="O237" s="13" t="str">
        <f t="shared" si="23"/>
        <v>A_SP_BCN_19_220802</v>
      </c>
      <c r="P237" s="27">
        <v>44775</v>
      </c>
      <c r="Q237" s="29">
        <v>0.60416666666666663</v>
      </c>
      <c r="R237" s="33"/>
      <c r="S237" s="27">
        <v>44782</v>
      </c>
      <c r="T237" s="29">
        <v>0.47916666666666669</v>
      </c>
      <c r="V237" s="13" t="s">
        <v>86</v>
      </c>
      <c r="W237" s="15" t="s">
        <v>116</v>
      </c>
      <c r="X237" s="13">
        <f t="shared" si="20"/>
        <v>7</v>
      </c>
      <c r="Z237" s="13" t="s">
        <v>164</v>
      </c>
      <c r="AA237" s="13">
        <f t="shared" si="25"/>
        <v>21</v>
      </c>
      <c r="AB237" s="13" t="str">
        <f t="shared" si="21"/>
        <v>Adult</v>
      </c>
      <c r="AC237" s="13">
        <v>21</v>
      </c>
      <c r="AD237" s="13">
        <v>0</v>
      </c>
      <c r="AE237" s="13" t="str">
        <f t="shared" si="22"/>
        <v>Morphological</v>
      </c>
      <c r="AF237" s="2">
        <v>3</v>
      </c>
    </row>
    <row r="238" spans="1:32" x14ac:dyDescent="0.25">
      <c r="A238" s="13">
        <v>234</v>
      </c>
      <c r="B238" s="23" t="s">
        <v>56</v>
      </c>
      <c r="C238" s="23" t="s">
        <v>57</v>
      </c>
      <c r="D238" s="23" t="s">
        <v>58</v>
      </c>
      <c r="E238" s="23" t="s">
        <v>58</v>
      </c>
      <c r="F238" s="35" cm="1">
        <f t="array" ref="F238">_xlfn.IFS($G238=$G$5,F$5,$G238=$G$7,F$7,$G238=$G$10,F$10,$G238=$G$13,F$13,$G238=$G$14,F$14,$G238=$G$16,F$16,$G238=$G$17,F$17,$G238=$G$19,F$19,$G238=$G$20,F$20,$G238=$G$22,F$22,$G238=$G$23,F$23,$G238=$G$26,F$26,$G238=$G$29,F$29,$G238=$G$31,F$31,$G238=$G$34,F$34,$G238=$G$37,F$37,$G238=$G$107,F$107,$G238=$G$110,F$110,$G238=$G$140,F$140,$G238=$G$142,F$142,$G238=$G$408,F$408)</f>
        <v>8017</v>
      </c>
      <c r="G238" s="13" t="s">
        <v>77</v>
      </c>
      <c r="H238" s="51" cm="1">
        <f t="array" ref="H238">_xlfn.IFS($G238=$G$5,H$5,$G238=$G$7,H$7,$G238=$G$10,H$10,$G238=$G$13,H$13,$G238=$G$14,H$14,$G238=$G$16,H$16,$G238=$G$17,H$17,$G238=$G$19,H$19,$G238=$G$20,H$20,$G238=$G$22,H$22,$G238=$G$23,H$23,$G238=$G$26,H$26,$G238=$G$29,H$29,$G238=$G$31,H$31,$G238=$G$34,H$34,$G238=$G$37,H$37,$G238=$G$107,H$107,$G238=$G$110,H$110,$G238=$G$140,H$140,$G238=$G$142,H$142,$G238=$G$408,H$408)</f>
        <v>41.430315999999998</v>
      </c>
      <c r="I238" s="51" cm="1">
        <f t="array" ref="I238">_xlfn.IFS($G238=$G$5,I$5,$G238=$G$7,I$7,$G238=$G$10,I$10,$G238=$G$13,I$13,$G238=$G$14,I$14,$G238=$G$16,I$16,$G238=$G$17,I$17,$G238=$G$19,I$19,$G238=$G$20,I$20,$G238=$G$22,I$22,$G238=$G$23,I$23,$G238=$G$26,I$26,$G238=$G$29,I$29,$G238=$G$31,I$31,$G238=$G$34,I$34,$G238=$G$37,I$37,$G238=$G$107,I$107,$G238=$G$110,I$110,$G238=$G$140,I$140,$G238=$G$142,I$142,$G238=$G$408,I$408)</f>
        <v>2.077556</v>
      </c>
      <c r="J238" s="51" cm="1">
        <f t="array" ref="J238">_xlfn.IFS($G238=$G$5,J$5,$G238=$G$7,J$7,$G238=$G$10,J$10,$G238=$G$13,J$13,$G238=$G$14,J$14,$G238=$G$16,J$16,$G238=$G$17,J$17,$G238=$G$19,J$19,$G238=$G$20,J$20,$G238=$G$22,J$22,$G238=$G$23,J$23,$G238=$G$26,J$26,$G238=$G$29,J$29,$G238=$G$31,J$31,$G238=$G$34,J$34,$G238=$G$37,J$37,$G238=$G$107,J$107,$G238=$G$110,J$110,$G238=$G$140,J$140,$G238=$G$142,J$142,$G238=$G$408,J$408)</f>
        <v>243.3</v>
      </c>
      <c r="K238" s="13" t="str" cm="1">
        <f t="array" ref="K238">_xlfn.IFS($G238=$G$5,K$5,$G238=$G$7,K$7,$G238=$G$10,K$10,$G238=$G$13,K$13,$G238=$G$14,K$14,$G238=$G$16,K$16,$G238=$G$17,K$17,$G238=$G$19,K$19,$G238=$G$20,K$20,$G238=$G$22,K$22,$G238=$G$23,K$23,$G238=$G$26,K$26,$G238=$G$29,K$29,$G238=$G$31,K$31,$G238=$G$34,K$34,$G238=$G$37,K$37,$G238=$G$107,K$107,$G238=$G$110,K$110,$G238=$G$140,K$140,$G238=$G$142,K$142,$G238=$G$408,K$408)</f>
        <v>BG sentinel + BG lure7</v>
      </c>
      <c r="O238" s="13" t="str">
        <f t="shared" si="23"/>
        <v>A_SP_BCN_22_220802</v>
      </c>
      <c r="P238" s="27">
        <v>44775</v>
      </c>
      <c r="Q238" s="29">
        <v>0.68055555555555547</v>
      </c>
      <c r="R238" s="33"/>
      <c r="S238" s="27">
        <v>44782</v>
      </c>
      <c r="T238" s="29">
        <v>0.64583333333333337</v>
      </c>
      <c r="V238" s="13" t="s">
        <v>86</v>
      </c>
      <c r="X238" s="13">
        <f t="shared" si="20"/>
        <v>7</v>
      </c>
      <c r="Z238" s="13" t="s">
        <v>60</v>
      </c>
      <c r="AA238" s="13">
        <f t="shared" si="25"/>
        <v>3</v>
      </c>
      <c r="AB238" s="13" t="str">
        <f t="shared" si="21"/>
        <v>Adult</v>
      </c>
      <c r="AC238" s="13">
        <v>2</v>
      </c>
      <c r="AD238" s="13">
        <v>1</v>
      </c>
      <c r="AE238" s="13" t="str">
        <f t="shared" si="22"/>
        <v>Morphological</v>
      </c>
      <c r="AF238" s="2">
        <v>4</v>
      </c>
    </row>
    <row r="239" spans="1:32" x14ac:dyDescent="0.25">
      <c r="A239" s="13">
        <v>235</v>
      </c>
      <c r="B239" s="23" t="s">
        <v>56</v>
      </c>
      <c r="C239" s="23" t="s">
        <v>57</v>
      </c>
      <c r="D239" s="23" t="s">
        <v>58</v>
      </c>
      <c r="E239" s="23" t="s">
        <v>58</v>
      </c>
      <c r="F239" s="35" cm="1">
        <f t="array" ref="F239">_xlfn.IFS($G239=$G$5,F$5,$G239=$G$7,F$7,$G239=$G$10,F$10,$G239=$G$13,F$13,$G239=$G$14,F$14,$G239=$G$16,F$16,$G239=$G$17,F$17,$G239=$G$19,F$19,$G239=$G$20,F$20,$G239=$G$22,F$22,$G239=$G$23,F$23,$G239=$G$26,F$26,$G239=$G$29,F$29,$G239=$G$31,F$31,$G239=$G$34,F$34,$G239=$G$37,F$37,$G239=$G$107,F$107,$G239=$G$110,F$110,$G239=$G$140,F$140,$G239=$G$142,F$142,$G239=$G$408,F$408)</f>
        <v>8017</v>
      </c>
      <c r="G239" s="13" t="s">
        <v>77</v>
      </c>
      <c r="H239" s="51" cm="1">
        <f t="array" ref="H239">_xlfn.IFS($G239=$G$5,H$5,$G239=$G$7,H$7,$G239=$G$10,H$10,$G239=$G$13,H$13,$G239=$G$14,H$14,$G239=$G$16,H$16,$G239=$G$17,H$17,$G239=$G$19,H$19,$G239=$G$20,H$20,$G239=$G$22,H$22,$G239=$G$23,H$23,$G239=$G$26,H$26,$G239=$G$29,H$29,$G239=$G$31,H$31,$G239=$G$34,H$34,$G239=$G$37,H$37,$G239=$G$107,H$107,$G239=$G$110,H$110,$G239=$G$140,H$140,$G239=$G$142,H$142,$G239=$G$408,H$408)</f>
        <v>41.430315999999998</v>
      </c>
      <c r="I239" s="51" cm="1">
        <f t="array" ref="I239">_xlfn.IFS($G239=$G$5,I$5,$G239=$G$7,I$7,$G239=$G$10,I$10,$G239=$G$13,I$13,$G239=$G$14,I$14,$G239=$G$16,I$16,$G239=$G$17,I$17,$G239=$G$19,I$19,$G239=$G$20,I$20,$G239=$G$22,I$22,$G239=$G$23,I$23,$G239=$G$26,I$26,$G239=$G$29,I$29,$G239=$G$31,I$31,$G239=$G$34,I$34,$G239=$G$37,I$37,$G239=$G$107,I$107,$G239=$G$110,I$110,$G239=$G$140,I$140,$G239=$G$142,I$142,$G239=$G$408,I$408)</f>
        <v>2.077556</v>
      </c>
      <c r="J239" s="51" cm="1">
        <f t="array" ref="J239">_xlfn.IFS($G239=$G$5,J$5,$G239=$G$7,J$7,$G239=$G$10,J$10,$G239=$G$13,J$13,$G239=$G$14,J$14,$G239=$G$16,J$16,$G239=$G$17,J$17,$G239=$G$19,J$19,$G239=$G$20,J$20,$G239=$G$22,J$22,$G239=$G$23,J$23,$G239=$G$26,J$26,$G239=$G$29,J$29,$G239=$G$31,J$31,$G239=$G$34,J$34,$G239=$G$37,J$37,$G239=$G$107,J$107,$G239=$G$110,J$110,$G239=$G$140,J$140,$G239=$G$142,J$142,$G239=$G$408,J$408)</f>
        <v>243.3</v>
      </c>
      <c r="K239" s="13" t="str" cm="1">
        <f t="array" ref="K239">_xlfn.IFS($G239=$G$5,K$5,$G239=$G$7,K$7,$G239=$G$10,K$10,$G239=$G$13,K$13,$G239=$G$14,K$14,$G239=$G$16,K$16,$G239=$G$17,K$17,$G239=$G$19,K$19,$G239=$G$20,K$20,$G239=$G$22,K$22,$G239=$G$23,K$23,$G239=$G$26,K$26,$G239=$G$29,K$29,$G239=$G$31,K$31,$G239=$G$34,K$34,$G239=$G$37,K$37,$G239=$G$107,K$107,$G239=$G$110,K$110,$G239=$G$140,K$140,$G239=$G$142,K$142,$G239=$G$408,K$408)</f>
        <v>BG sentinel + BG lure7</v>
      </c>
      <c r="O239" s="13" t="str">
        <f t="shared" si="23"/>
        <v>A_SP_BCN_22_220802</v>
      </c>
      <c r="P239" s="27">
        <v>44775</v>
      </c>
      <c r="Q239" s="29">
        <v>0.68055555555555547</v>
      </c>
      <c r="R239" s="33"/>
      <c r="S239" s="27">
        <v>44782</v>
      </c>
      <c r="T239" s="29">
        <v>0.64583333333333337</v>
      </c>
      <c r="V239" s="13" t="s">
        <v>86</v>
      </c>
      <c r="X239" s="13">
        <f t="shared" si="20"/>
        <v>7</v>
      </c>
      <c r="Z239" s="13" t="s">
        <v>164</v>
      </c>
      <c r="AA239" s="13">
        <f t="shared" si="25"/>
        <v>1</v>
      </c>
      <c r="AB239" s="13" t="str">
        <f t="shared" si="21"/>
        <v>Adult</v>
      </c>
      <c r="AC239" s="13">
        <v>1</v>
      </c>
      <c r="AD239" s="13">
        <v>0</v>
      </c>
      <c r="AE239" s="13" t="str">
        <f t="shared" si="22"/>
        <v>Morphological</v>
      </c>
      <c r="AF239" s="2">
        <v>4</v>
      </c>
    </row>
    <row r="240" spans="1:32" x14ac:dyDescent="0.25">
      <c r="A240" s="13">
        <v>236</v>
      </c>
      <c r="B240" s="23" t="s">
        <v>56</v>
      </c>
      <c r="C240" s="23" t="s">
        <v>57</v>
      </c>
      <c r="D240" s="23" t="s">
        <v>58</v>
      </c>
      <c r="E240" s="23" t="s">
        <v>58</v>
      </c>
      <c r="F240" s="35" cm="1">
        <f t="array" ref="F240">_xlfn.IFS($G240=$G$5,F$5,$G240=$G$7,F$7,$G240=$G$10,F$10,$G240=$G$13,F$13,$G240=$G$14,F$14,$G240=$G$16,F$16,$G240=$G$17,F$17,$G240=$G$19,F$19,$G240=$G$20,F$20,$G240=$G$22,F$22,$G240=$G$23,F$23,$G240=$G$26,F$26,$G240=$G$29,F$29,$G240=$G$31,F$31,$G240=$G$34,F$34,$G240=$G$37,F$37,$G240=$G$107,F$107,$G240=$G$110,F$110,$G240=$G$140,F$140,$G240=$G$142,F$142,$G240=$G$408,F$408)</f>
        <v>8038</v>
      </c>
      <c r="G240" s="13" t="s">
        <v>79</v>
      </c>
      <c r="H240" s="51" cm="1">
        <f t="array" ref="H240">_xlfn.IFS($G240=$G$5,H$5,$G240=$G$7,H$7,$G240=$G$10,H$10,$G240=$G$13,H$13,$G240=$G$14,H$14,$G240=$G$16,H$16,$G240=$G$17,H$17,$G240=$G$19,H$19,$G240=$G$20,H$20,$G240=$G$22,H$22,$G240=$G$23,H$23,$G240=$G$26,H$26,$G240=$G$29,H$29,$G240=$G$31,H$31,$G240=$G$34,H$34,$G240=$G$37,H$37,$G240=$G$107,H$107,$G240=$G$110,H$110,$G240=$G$140,H$140,$G240=$G$142,H$142,$G240=$G$408,H$408)</f>
        <v>41.367100000000001</v>
      </c>
      <c r="I240" s="51" cm="1">
        <f t="array" ref="I240">_xlfn.IFS($G240=$G$5,I$5,$G240=$G$7,I$7,$G240=$G$10,I$10,$G240=$G$13,I$13,$G240=$G$14,I$14,$G240=$G$16,I$16,$G240=$G$17,I$17,$G240=$G$19,I$19,$G240=$G$20,I$20,$G240=$G$22,I$22,$G240=$G$23,I$23,$G240=$G$26,I$26,$G240=$G$29,I$29,$G240=$G$31,I$31,$G240=$G$34,I$34,$G240=$G$37,I$37,$G240=$G$107,I$107,$G240=$G$110,I$110,$G240=$G$140,I$140,$G240=$G$142,I$142,$G240=$G$408,I$408)</f>
        <v>2.1539079999999999</v>
      </c>
      <c r="J240" s="51" cm="1">
        <f t="array" ref="J240">_xlfn.IFS($G240=$G$5,J$5,$G240=$G$7,J$7,$G240=$G$10,J$10,$G240=$G$13,J$13,$G240=$G$14,J$14,$G240=$G$16,J$16,$G240=$G$17,J$17,$G240=$G$19,J$19,$G240=$G$20,J$20,$G240=$G$22,J$22,$G240=$G$23,J$23,$G240=$G$26,J$26,$G240=$G$29,J$29,$G240=$G$31,J$31,$G240=$G$34,J$34,$G240=$G$37,J$37,$G240=$G$107,J$107,$G240=$G$110,J$110,$G240=$G$140,J$140,$G240=$G$142,J$142,$G240=$G$408,J$408)</f>
        <v>68</v>
      </c>
      <c r="K240" s="13" t="str" cm="1">
        <f t="array" ref="K240">_xlfn.IFS($G240=$G$5,K$5,$G240=$G$7,K$7,$G240=$G$10,K$10,$G240=$G$13,K$13,$G240=$G$14,K$14,$G240=$G$16,K$16,$G240=$G$17,K$17,$G240=$G$19,K$19,$G240=$G$20,K$20,$G240=$G$22,K$22,$G240=$G$23,K$23,$G240=$G$26,K$26,$G240=$G$29,K$29,$G240=$G$31,K$31,$G240=$G$34,K$34,$G240=$G$37,K$37,$G240=$G$107,K$107,$G240=$G$110,K$110,$G240=$G$140,K$140,$G240=$G$142,K$142,$G240=$G$408,K$408)</f>
        <v>BG sentinel + BG lure7</v>
      </c>
      <c r="O240" s="13" t="str">
        <f t="shared" si="23"/>
        <v>A_SP_BCN_23_220802</v>
      </c>
      <c r="P240" s="27">
        <v>44775</v>
      </c>
      <c r="Q240" s="29">
        <v>0.61458333333333337</v>
      </c>
      <c r="R240" s="33"/>
      <c r="S240" s="27">
        <v>44782</v>
      </c>
      <c r="T240" s="29">
        <v>0.48958333333333331</v>
      </c>
      <c r="V240" s="13" t="s">
        <v>86</v>
      </c>
      <c r="W240" s="15" t="s">
        <v>88</v>
      </c>
      <c r="X240" s="13">
        <f t="shared" si="20"/>
        <v>7</v>
      </c>
      <c r="Z240" s="13" t="s">
        <v>60</v>
      </c>
      <c r="AA240" s="13">
        <f t="shared" si="25"/>
        <v>27</v>
      </c>
      <c r="AB240" s="13" t="str">
        <f t="shared" si="21"/>
        <v>Adult</v>
      </c>
      <c r="AC240" s="13">
        <v>17</v>
      </c>
      <c r="AD240" s="13">
        <v>10</v>
      </c>
      <c r="AE240" s="13" t="str">
        <f t="shared" si="22"/>
        <v>Morphological</v>
      </c>
      <c r="AF240" s="2">
        <v>3</v>
      </c>
    </row>
    <row r="241" spans="1:32" x14ac:dyDescent="0.25">
      <c r="A241" s="13">
        <v>237</v>
      </c>
      <c r="B241" s="23" t="s">
        <v>56</v>
      </c>
      <c r="C241" s="23" t="s">
        <v>57</v>
      </c>
      <c r="D241" s="23" t="s">
        <v>58</v>
      </c>
      <c r="E241" s="23" t="s">
        <v>58</v>
      </c>
      <c r="F241" s="35" cm="1">
        <f t="array" ref="F241">_xlfn.IFS($G241=$G$5,F$5,$G241=$G$7,F$7,$G241=$G$10,F$10,$G241=$G$13,F$13,$G241=$G$14,F$14,$G241=$G$16,F$16,$G241=$G$17,F$17,$G241=$G$19,F$19,$G241=$G$20,F$20,$G241=$G$22,F$22,$G241=$G$23,F$23,$G241=$G$26,F$26,$G241=$G$29,F$29,$G241=$G$31,F$31,$G241=$G$34,F$34,$G241=$G$37,F$37,$G241=$G$107,F$107,$G241=$G$110,F$110,$G241=$G$140,F$140,$G241=$G$142,F$142,$G241=$G$408,F$408)</f>
        <v>8038</v>
      </c>
      <c r="G241" s="13" t="s">
        <v>79</v>
      </c>
      <c r="H241" s="51" cm="1">
        <f t="array" ref="H241">_xlfn.IFS($G241=$G$5,H$5,$G241=$G$7,H$7,$G241=$G$10,H$10,$G241=$G$13,H$13,$G241=$G$14,H$14,$G241=$G$16,H$16,$G241=$G$17,H$17,$G241=$G$19,H$19,$G241=$G$20,H$20,$G241=$G$22,H$22,$G241=$G$23,H$23,$G241=$G$26,H$26,$G241=$G$29,H$29,$G241=$G$31,H$31,$G241=$G$34,H$34,$G241=$G$37,H$37,$G241=$G$107,H$107,$G241=$G$110,H$110,$G241=$G$140,H$140,$G241=$G$142,H$142,$G241=$G$408,H$408)</f>
        <v>41.367100000000001</v>
      </c>
      <c r="I241" s="51" cm="1">
        <f t="array" ref="I241">_xlfn.IFS($G241=$G$5,I$5,$G241=$G$7,I$7,$G241=$G$10,I$10,$G241=$G$13,I$13,$G241=$G$14,I$14,$G241=$G$16,I$16,$G241=$G$17,I$17,$G241=$G$19,I$19,$G241=$G$20,I$20,$G241=$G$22,I$22,$G241=$G$23,I$23,$G241=$G$26,I$26,$G241=$G$29,I$29,$G241=$G$31,I$31,$G241=$G$34,I$34,$G241=$G$37,I$37,$G241=$G$107,I$107,$G241=$G$110,I$110,$G241=$G$140,I$140,$G241=$G$142,I$142,$G241=$G$408,I$408)</f>
        <v>2.1539079999999999</v>
      </c>
      <c r="J241" s="51" cm="1">
        <f t="array" ref="J241">_xlfn.IFS($G241=$G$5,J$5,$G241=$G$7,J$7,$G241=$G$10,J$10,$G241=$G$13,J$13,$G241=$G$14,J$14,$G241=$G$16,J$16,$G241=$G$17,J$17,$G241=$G$19,J$19,$G241=$G$20,J$20,$G241=$G$22,J$22,$G241=$G$23,J$23,$G241=$G$26,J$26,$G241=$G$29,J$29,$G241=$G$31,J$31,$G241=$G$34,J$34,$G241=$G$37,J$37,$G241=$G$107,J$107,$G241=$G$110,J$110,$G241=$G$140,J$140,$G241=$G$142,J$142,$G241=$G$408,J$408)</f>
        <v>68</v>
      </c>
      <c r="K241" s="13" t="str" cm="1">
        <f t="array" ref="K241">_xlfn.IFS($G241=$G$5,K$5,$G241=$G$7,K$7,$G241=$G$10,K$10,$G241=$G$13,K$13,$G241=$G$14,K$14,$G241=$G$16,K$16,$G241=$G$17,K$17,$G241=$G$19,K$19,$G241=$G$20,K$20,$G241=$G$22,K$22,$G241=$G$23,K$23,$G241=$G$26,K$26,$G241=$G$29,K$29,$G241=$G$31,K$31,$G241=$G$34,K$34,$G241=$G$37,K$37,$G241=$G$107,K$107,$G241=$G$110,K$110,$G241=$G$140,K$140,$G241=$G$142,K$142,$G241=$G$408,K$408)</f>
        <v>BG sentinel + BG lure7</v>
      </c>
      <c r="O241" s="13" t="str">
        <f t="shared" si="23"/>
        <v>A_SP_BCN_23_220802</v>
      </c>
      <c r="P241" s="27">
        <v>44775</v>
      </c>
      <c r="Q241" s="29">
        <v>0.61458333333333337</v>
      </c>
      <c r="R241" s="33"/>
      <c r="S241" s="27">
        <v>44782</v>
      </c>
      <c r="T241" s="29">
        <v>0.48958333333333331</v>
      </c>
      <c r="V241" s="13" t="s">
        <v>86</v>
      </c>
      <c r="W241" s="15" t="s">
        <v>88</v>
      </c>
      <c r="X241" s="13">
        <f t="shared" si="20"/>
        <v>7</v>
      </c>
      <c r="Z241" s="13" t="s">
        <v>164</v>
      </c>
      <c r="AA241" s="13">
        <f t="shared" si="25"/>
        <v>1</v>
      </c>
      <c r="AB241" s="13" t="str">
        <f t="shared" si="21"/>
        <v>Adult</v>
      </c>
      <c r="AC241" s="13">
        <v>0</v>
      </c>
      <c r="AD241" s="13">
        <v>1</v>
      </c>
      <c r="AE241" s="13" t="str">
        <f t="shared" si="22"/>
        <v>Morphological</v>
      </c>
      <c r="AF241" s="2">
        <v>3</v>
      </c>
    </row>
    <row r="242" spans="1:32" x14ac:dyDescent="0.25">
      <c r="A242" s="13">
        <v>238</v>
      </c>
      <c r="B242" s="23" t="s">
        <v>56</v>
      </c>
      <c r="C242" s="23" t="s">
        <v>57</v>
      </c>
      <c r="D242" s="23" t="s">
        <v>58</v>
      </c>
      <c r="E242" s="23" t="s">
        <v>58</v>
      </c>
      <c r="F242" s="35" cm="1">
        <f t="array" ref="F242">_xlfn.IFS($G242=$G$5,F$5,$G242=$G$7,F$7,$G242=$G$10,F$10,$G242=$G$13,F$13,$G242=$G$14,F$14,$G242=$G$16,F$16,$G242=$G$17,F$17,$G242=$G$19,F$19,$G242=$G$20,F$20,$G242=$G$22,F$22,$G242=$G$23,F$23,$G242=$G$26,F$26,$G242=$G$29,F$29,$G242=$G$31,F$31,$G242=$G$34,F$34,$G242=$G$37,F$37,$G242=$G$107,F$107,$G242=$G$110,F$110,$G242=$G$140,F$140,$G242=$G$142,F$142,$G242=$G$408,F$408)</f>
        <v>8015</v>
      </c>
      <c r="G242" s="13" t="s">
        <v>78</v>
      </c>
      <c r="H242" s="51" cm="1">
        <f t="array" ref="H242">_xlfn.IFS($G242=$G$5,H$5,$G242=$G$7,H$7,$G242=$G$10,H$10,$G242=$G$13,H$13,$G242=$G$14,H$14,$G242=$G$16,H$16,$G242=$G$17,H$17,$G242=$G$19,H$19,$G242=$G$20,H$20,$G242=$G$22,H$22,$G242=$G$23,H$23,$G242=$G$26,H$26,$G242=$G$29,H$29,$G242=$G$31,H$31,$G242=$G$34,H$34,$G242=$G$37,H$37,$G242=$G$107,H$107,$G242=$G$110,H$110,$G242=$G$140,H$140,$G242=$G$142,H$142,$G242=$G$408,H$408)</f>
        <v>41.381725000000003</v>
      </c>
      <c r="I242" s="51" cm="1">
        <f t="array" ref="I242">_xlfn.IFS($G242=$G$5,I$5,$G242=$G$7,I$7,$G242=$G$10,I$10,$G242=$G$13,I$13,$G242=$G$14,I$14,$G242=$G$16,I$16,$G242=$G$17,I$17,$G242=$G$19,I$19,$G242=$G$20,I$20,$G242=$G$22,I$22,$G242=$G$23,I$23,$G242=$G$26,I$26,$G242=$G$29,I$29,$G242=$G$31,I$31,$G242=$G$34,I$34,$G242=$G$37,I$37,$G242=$G$107,I$107,$G242=$G$110,I$110,$G242=$G$140,I$140,$G242=$G$142,I$142,$G242=$G$408,I$408)</f>
        <v>2.1543679999999998</v>
      </c>
      <c r="J242" s="51" cm="1">
        <f t="array" ref="J242">_xlfn.IFS($G242=$G$5,J$5,$G242=$G$7,J$7,$G242=$G$10,J$10,$G242=$G$13,J$13,$G242=$G$14,J$14,$G242=$G$16,J$16,$G242=$G$17,J$17,$G242=$G$19,J$19,$G242=$G$20,J$20,$G242=$G$22,J$22,$G242=$G$23,J$23,$G242=$G$26,J$26,$G242=$G$29,J$29,$G242=$G$31,J$31,$G242=$G$34,J$34,$G242=$G$37,J$37,$G242=$G$107,J$107,$G242=$G$110,J$110,$G242=$G$140,J$140,$G242=$G$142,J$142,$G242=$G$408,J$408)</f>
        <v>20.7</v>
      </c>
      <c r="K242" s="13" t="str" cm="1">
        <f t="array" ref="K242">_xlfn.IFS($G242=$G$5,K$5,$G242=$G$7,K$7,$G242=$G$10,K$10,$G242=$G$13,K$13,$G242=$G$14,K$14,$G242=$G$16,K$16,$G242=$G$17,K$17,$G242=$G$19,K$19,$G242=$G$20,K$20,$G242=$G$22,K$22,$G242=$G$23,K$23,$G242=$G$26,K$26,$G242=$G$29,K$29,$G242=$G$31,K$31,$G242=$G$34,K$34,$G242=$G$37,K$37,$G242=$G$107,K$107,$G242=$G$110,K$110,$G242=$G$140,K$140,$G242=$G$142,K$142,$G242=$G$408,K$408)</f>
        <v>BG sentinel + BG lure7</v>
      </c>
      <c r="O242" s="13" t="str">
        <f t="shared" si="23"/>
        <v>A_SP_BCN_24_220802</v>
      </c>
      <c r="P242" s="27">
        <v>44775</v>
      </c>
      <c r="Q242" s="29">
        <v>0.875</v>
      </c>
      <c r="R242" s="33"/>
      <c r="S242" s="27">
        <v>44782</v>
      </c>
      <c r="T242" s="29">
        <v>0.77083333333333337</v>
      </c>
      <c r="V242" s="13" t="s">
        <v>86</v>
      </c>
      <c r="X242" s="13">
        <f t="shared" si="20"/>
        <v>7</v>
      </c>
      <c r="Z242" s="13" t="s">
        <v>60</v>
      </c>
      <c r="AA242" s="13">
        <f t="shared" si="25"/>
        <v>26</v>
      </c>
      <c r="AB242" s="13" t="str">
        <f t="shared" si="21"/>
        <v>Adult</v>
      </c>
      <c r="AC242" s="13">
        <v>15</v>
      </c>
      <c r="AD242" s="13">
        <v>11</v>
      </c>
      <c r="AE242" s="13" t="str">
        <f t="shared" si="22"/>
        <v>Morphological</v>
      </c>
      <c r="AF242" s="2">
        <v>4</v>
      </c>
    </row>
    <row r="243" spans="1:32" x14ac:dyDescent="0.25">
      <c r="A243" s="13">
        <v>239</v>
      </c>
      <c r="B243" s="23" t="s">
        <v>56</v>
      </c>
      <c r="C243" s="23" t="s">
        <v>57</v>
      </c>
      <c r="D243" s="23" t="s">
        <v>58</v>
      </c>
      <c r="E243" s="23" t="s">
        <v>58</v>
      </c>
      <c r="F243" s="35" cm="1">
        <f t="array" ref="F243">_xlfn.IFS($G243=$G$5,F$5,$G243=$G$7,F$7,$G243=$G$10,F$10,$G243=$G$13,F$13,$G243=$G$14,F$14,$G243=$G$16,F$16,$G243=$G$17,F$17,$G243=$G$19,F$19,$G243=$G$20,F$20,$G243=$G$22,F$22,$G243=$G$23,F$23,$G243=$G$26,F$26,$G243=$G$29,F$29,$G243=$G$31,F$31,$G243=$G$34,F$34,$G243=$G$37,F$37,$G243=$G$107,F$107,$G243=$G$110,F$110,$G243=$G$140,F$140,$G243=$G$142,F$142,$G243=$G$408,F$408)</f>
        <v>8015</v>
      </c>
      <c r="G243" s="13" t="s">
        <v>78</v>
      </c>
      <c r="H243" s="51" cm="1">
        <f t="array" ref="H243">_xlfn.IFS($G243=$G$5,H$5,$G243=$G$7,H$7,$G243=$G$10,H$10,$G243=$G$13,H$13,$G243=$G$14,H$14,$G243=$G$16,H$16,$G243=$G$17,H$17,$G243=$G$19,H$19,$G243=$G$20,H$20,$G243=$G$22,H$22,$G243=$G$23,H$23,$G243=$G$26,H$26,$G243=$G$29,H$29,$G243=$G$31,H$31,$G243=$G$34,H$34,$G243=$G$37,H$37,$G243=$G$107,H$107,$G243=$G$110,H$110,$G243=$G$140,H$140,$G243=$G$142,H$142,$G243=$G$408,H$408)</f>
        <v>41.381725000000003</v>
      </c>
      <c r="I243" s="51" cm="1">
        <f t="array" ref="I243">_xlfn.IFS($G243=$G$5,I$5,$G243=$G$7,I$7,$G243=$G$10,I$10,$G243=$G$13,I$13,$G243=$G$14,I$14,$G243=$G$16,I$16,$G243=$G$17,I$17,$G243=$G$19,I$19,$G243=$G$20,I$20,$G243=$G$22,I$22,$G243=$G$23,I$23,$G243=$G$26,I$26,$G243=$G$29,I$29,$G243=$G$31,I$31,$G243=$G$34,I$34,$G243=$G$37,I$37,$G243=$G$107,I$107,$G243=$G$110,I$110,$G243=$G$140,I$140,$G243=$G$142,I$142,$G243=$G$408,I$408)</f>
        <v>2.1543679999999998</v>
      </c>
      <c r="J243" s="51" cm="1">
        <f t="array" ref="J243">_xlfn.IFS($G243=$G$5,J$5,$G243=$G$7,J$7,$G243=$G$10,J$10,$G243=$G$13,J$13,$G243=$G$14,J$14,$G243=$G$16,J$16,$G243=$G$17,J$17,$G243=$G$19,J$19,$G243=$G$20,J$20,$G243=$G$22,J$22,$G243=$G$23,J$23,$G243=$G$26,J$26,$G243=$G$29,J$29,$G243=$G$31,J$31,$G243=$G$34,J$34,$G243=$G$37,J$37,$G243=$G$107,J$107,$G243=$G$110,J$110,$G243=$G$140,J$140,$G243=$G$142,J$142,$G243=$G$408,J$408)</f>
        <v>20.7</v>
      </c>
      <c r="K243" s="13" t="str" cm="1">
        <f t="array" ref="K243">_xlfn.IFS($G243=$G$5,K$5,$G243=$G$7,K$7,$G243=$G$10,K$10,$G243=$G$13,K$13,$G243=$G$14,K$14,$G243=$G$16,K$16,$G243=$G$17,K$17,$G243=$G$19,K$19,$G243=$G$20,K$20,$G243=$G$22,K$22,$G243=$G$23,K$23,$G243=$G$26,K$26,$G243=$G$29,K$29,$G243=$G$31,K$31,$G243=$G$34,K$34,$G243=$G$37,K$37,$G243=$G$107,K$107,$G243=$G$110,K$110,$G243=$G$140,K$140,$G243=$G$142,K$142,$G243=$G$408,K$408)</f>
        <v>BG sentinel + BG lure7</v>
      </c>
      <c r="O243" s="13" t="str">
        <f t="shared" si="23"/>
        <v>A_SP_BCN_24_220802</v>
      </c>
      <c r="P243" s="27">
        <v>44775</v>
      </c>
      <c r="Q243" s="29">
        <v>0.875</v>
      </c>
      <c r="R243" s="33"/>
      <c r="S243" s="27">
        <v>44782</v>
      </c>
      <c r="T243" s="29">
        <v>0.77083333333333337</v>
      </c>
      <c r="V243" s="13" t="s">
        <v>86</v>
      </c>
      <c r="X243" s="13">
        <f t="shared" si="20"/>
        <v>7</v>
      </c>
      <c r="Z243" s="13" t="s">
        <v>164</v>
      </c>
      <c r="AA243" s="13">
        <f t="shared" si="25"/>
        <v>1</v>
      </c>
      <c r="AB243" s="13" t="str">
        <f t="shared" si="21"/>
        <v>Adult</v>
      </c>
      <c r="AC243" s="13">
        <v>1</v>
      </c>
      <c r="AD243" s="13">
        <v>0</v>
      </c>
      <c r="AE243" s="13" t="str">
        <f t="shared" si="22"/>
        <v>Morphological</v>
      </c>
      <c r="AF243" s="2">
        <v>4</v>
      </c>
    </row>
    <row r="244" spans="1:32" x14ac:dyDescent="0.25">
      <c r="A244" s="13">
        <v>240</v>
      </c>
      <c r="B244" s="23" t="s">
        <v>56</v>
      </c>
      <c r="C244" s="23" t="s">
        <v>57</v>
      </c>
      <c r="D244" s="23" t="s">
        <v>58</v>
      </c>
      <c r="E244" s="23" t="s">
        <v>58</v>
      </c>
      <c r="F244" s="35" cm="1">
        <f t="array" ref="F244">_xlfn.IFS($G244=$G$5,F$5,$G244=$G$7,F$7,$G244=$G$10,F$10,$G244=$G$13,F$13,$G244=$G$14,F$14,$G244=$G$16,F$16,$G244=$G$17,F$17,$G244=$G$19,F$19,$G244=$G$20,F$20,$G244=$G$22,F$22,$G244=$G$23,F$23,$G244=$G$26,F$26,$G244=$G$29,F$29,$G244=$G$31,F$31,$G244=$G$34,F$34,$G244=$G$37,F$37,$G244=$G$107,F$107,$G244=$G$110,F$110,$G244=$G$140,F$140,$G244=$G$142,F$142,$G244=$G$408,F$408)</f>
        <v>8015</v>
      </c>
      <c r="G244" s="13" t="s">
        <v>78</v>
      </c>
      <c r="H244" s="51" cm="1">
        <f t="array" ref="H244">_xlfn.IFS($G244=$G$5,H$5,$G244=$G$7,H$7,$G244=$G$10,H$10,$G244=$G$13,H$13,$G244=$G$14,H$14,$G244=$G$16,H$16,$G244=$G$17,H$17,$G244=$G$19,H$19,$G244=$G$20,H$20,$G244=$G$22,H$22,$G244=$G$23,H$23,$G244=$G$26,H$26,$G244=$G$29,H$29,$G244=$G$31,H$31,$G244=$G$34,H$34,$G244=$G$37,H$37,$G244=$G$107,H$107,$G244=$G$110,H$110,$G244=$G$140,H$140,$G244=$G$142,H$142,$G244=$G$408,H$408)</f>
        <v>41.381725000000003</v>
      </c>
      <c r="I244" s="51" cm="1">
        <f t="array" ref="I244">_xlfn.IFS($G244=$G$5,I$5,$G244=$G$7,I$7,$G244=$G$10,I$10,$G244=$G$13,I$13,$G244=$G$14,I$14,$G244=$G$16,I$16,$G244=$G$17,I$17,$G244=$G$19,I$19,$G244=$G$20,I$20,$G244=$G$22,I$22,$G244=$G$23,I$23,$G244=$G$26,I$26,$G244=$G$29,I$29,$G244=$G$31,I$31,$G244=$G$34,I$34,$G244=$G$37,I$37,$G244=$G$107,I$107,$G244=$G$110,I$110,$G244=$G$140,I$140,$G244=$G$142,I$142,$G244=$G$408,I$408)</f>
        <v>2.1543679999999998</v>
      </c>
      <c r="J244" s="51" cm="1">
        <f t="array" ref="J244">_xlfn.IFS($G244=$G$5,J$5,$G244=$G$7,J$7,$G244=$G$10,J$10,$G244=$G$13,J$13,$G244=$G$14,J$14,$G244=$G$16,J$16,$G244=$G$17,J$17,$G244=$G$19,J$19,$G244=$G$20,J$20,$G244=$G$22,J$22,$G244=$G$23,J$23,$G244=$G$26,J$26,$G244=$G$29,J$29,$G244=$G$31,J$31,$G244=$G$34,J$34,$G244=$G$37,J$37,$G244=$G$107,J$107,$G244=$G$110,J$110,$G244=$G$140,J$140,$G244=$G$142,J$142,$G244=$G$408,J$408)</f>
        <v>20.7</v>
      </c>
      <c r="K244" s="13" t="str" cm="1">
        <f t="array" ref="K244">_xlfn.IFS($G244=$G$5,K$5,$G244=$G$7,K$7,$G244=$G$10,K$10,$G244=$G$13,K$13,$G244=$G$14,K$14,$G244=$G$16,K$16,$G244=$G$17,K$17,$G244=$G$19,K$19,$G244=$G$20,K$20,$G244=$G$22,K$22,$G244=$G$23,K$23,$G244=$G$26,K$26,$G244=$G$29,K$29,$G244=$G$31,K$31,$G244=$G$34,K$34,$G244=$G$37,K$37,$G244=$G$107,K$107,$G244=$G$110,K$110,$G244=$G$140,K$140,$G244=$G$142,K$142,$G244=$G$408,K$408)</f>
        <v>BG sentinel + BG lure7</v>
      </c>
      <c r="O244" s="13" t="str">
        <f t="shared" si="23"/>
        <v>A_SP_BCN_24_220802</v>
      </c>
      <c r="P244" s="27">
        <v>44775</v>
      </c>
      <c r="Q244" s="29">
        <v>0.875</v>
      </c>
      <c r="R244" s="33"/>
      <c r="S244" s="27">
        <v>44782</v>
      </c>
      <c r="T244" s="29">
        <v>0.77083333333333337</v>
      </c>
      <c r="V244" s="13" t="s">
        <v>86</v>
      </c>
      <c r="X244" s="13">
        <f t="shared" si="20"/>
        <v>7</v>
      </c>
      <c r="Z244" s="32" t="s">
        <v>163</v>
      </c>
      <c r="AA244" s="13">
        <f t="shared" si="25"/>
        <v>1</v>
      </c>
      <c r="AB244" s="13" t="str">
        <f t="shared" si="21"/>
        <v>Adult</v>
      </c>
      <c r="AC244" s="13">
        <v>0</v>
      </c>
      <c r="AD244" s="13">
        <v>1</v>
      </c>
      <c r="AE244" s="13" t="str">
        <f t="shared" si="22"/>
        <v>Morphological</v>
      </c>
      <c r="AF244" s="2">
        <v>4</v>
      </c>
    </row>
    <row r="245" spans="1:32" x14ac:dyDescent="0.25">
      <c r="A245" s="13">
        <v>241</v>
      </c>
      <c r="B245" s="23" t="s">
        <v>56</v>
      </c>
      <c r="C245" s="23" t="s">
        <v>57</v>
      </c>
      <c r="D245" s="23" t="s">
        <v>58</v>
      </c>
      <c r="E245" s="23" t="s">
        <v>58</v>
      </c>
      <c r="F245" s="35" cm="1">
        <f t="array" ref="F245">_xlfn.IFS($G245=$G$5,F$5,$G245=$G$7,F$7,$G245=$G$10,F$10,$G245=$G$13,F$13,$G245=$G$14,F$14,$G245=$G$16,F$16,$G245=$G$17,F$17,$G245=$G$19,F$19,$G245=$G$20,F$20,$G245=$G$22,F$22,$G245=$G$23,F$23,$G245=$G$26,F$26,$G245=$G$29,F$29,$G245=$G$31,F$31,$G245=$G$34,F$34,$G245=$G$37,F$37,$G245=$G$107,F$107,$G245=$G$110,F$110,$G245=$G$140,F$140,$G245=$G$142,F$142,$G245=$G$408,F$408)</f>
        <v>8024</v>
      </c>
      <c r="G245" s="13" t="s">
        <v>117</v>
      </c>
      <c r="H245" s="51" cm="1">
        <f t="array" ref="H245">_xlfn.IFS($G245=$G$5,H$5,$G245=$G$7,H$7,$G245=$G$10,H$10,$G245=$G$13,H$13,$G245=$G$14,H$14,$G245=$G$16,H$16,$G245=$G$17,H$17,$G245=$G$19,H$19,$G245=$G$20,H$20,$G245=$G$22,H$22,$G245=$G$23,H$23,$G245=$G$26,H$26,$G245=$G$29,H$29,$G245=$G$31,H$31,$G245=$G$34,H$34,$G245=$G$37,H$37,$G245=$G$107,H$107,$G245=$G$110,H$110,$G245=$G$140,H$140,$G245=$G$142,H$142,$G245=$G$408,H$408)</f>
        <v>41.42</v>
      </c>
      <c r="I245" s="51" cm="1">
        <f t="array" ref="I245">_xlfn.IFS($G245=$G$5,I$5,$G245=$G$7,I$7,$G245=$G$10,I$10,$G245=$G$13,I$13,$G245=$G$14,I$14,$G245=$G$16,I$16,$G245=$G$17,I$17,$G245=$G$19,I$19,$G245=$G$20,I$20,$G245=$G$22,I$22,$G245=$G$23,I$23,$G245=$G$26,I$26,$G245=$G$29,I$29,$G245=$G$31,I$31,$G245=$G$34,I$34,$G245=$G$37,I$37,$G245=$G$107,I$107,$G245=$G$110,I$110,$G245=$G$140,I$140,$G245=$G$142,I$142,$G245=$G$408,I$408)</f>
        <v>2.16</v>
      </c>
      <c r="J245" s="51" cm="1">
        <f t="array" ref="J245">_xlfn.IFS($G245=$G$5,J$5,$G245=$G$7,J$7,$G245=$G$10,J$10,$G245=$G$13,J$13,$G245=$G$14,J$14,$G245=$G$16,J$16,$G245=$G$17,J$17,$G245=$G$19,J$19,$G245=$G$20,J$20,$G245=$G$22,J$22,$G245=$G$23,J$23,$G245=$G$26,J$26,$G245=$G$29,J$29,$G245=$G$31,J$31,$G245=$G$34,J$34,$G245=$G$37,J$37,$G245=$G$107,J$107,$G245=$G$110,J$110,$G245=$G$140,J$140,$G245=$G$142,J$142,$G245=$G$408,J$408)</f>
        <v>146.80000000000001</v>
      </c>
      <c r="K245" s="13" t="str" cm="1">
        <f t="array" ref="K245">_xlfn.IFS($G245=$G$5,K$5,$G245=$G$7,K$7,$G245=$G$10,K$10,$G245=$G$13,K$13,$G245=$G$14,K$14,$G245=$G$16,K$16,$G245=$G$17,K$17,$G245=$G$19,K$19,$G245=$G$20,K$20,$G245=$G$22,K$22,$G245=$G$23,K$23,$G245=$G$26,K$26,$G245=$G$29,K$29,$G245=$G$31,K$31,$G245=$G$34,K$34,$G245=$G$37,K$37,$G245=$G$107,K$107,$G245=$G$110,K$110,$G245=$G$140,K$140,$G245=$G$142,K$142,$G245=$G$408,K$408)</f>
        <v>BG sentinel + BG lure7</v>
      </c>
      <c r="O245" s="13" t="str">
        <f t="shared" si="23"/>
        <v>V4_220801</v>
      </c>
      <c r="P245" s="27">
        <v>44774</v>
      </c>
      <c r="Q245" s="33"/>
      <c r="R245" s="33"/>
      <c r="S245" s="27">
        <v>44783</v>
      </c>
      <c r="T245" s="33"/>
      <c r="V245" s="13" t="s">
        <v>86</v>
      </c>
      <c r="W245" s="15" t="s">
        <v>119</v>
      </c>
      <c r="X245" s="13">
        <f t="shared" si="20"/>
        <v>9</v>
      </c>
      <c r="Z245" s="13" t="s">
        <v>60</v>
      </c>
      <c r="AA245" s="13">
        <f t="shared" si="25"/>
        <v>54</v>
      </c>
      <c r="AB245" s="13" t="str">
        <f t="shared" si="21"/>
        <v>Adult</v>
      </c>
      <c r="AC245" s="13">
        <v>35</v>
      </c>
      <c r="AD245" s="13">
        <v>19</v>
      </c>
      <c r="AE245" s="13" t="str">
        <f t="shared" si="22"/>
        <v>Morphological</v>
      </c>
      <c r="AF245" s="2">
        <v>2</v>
      </c>
    </row>
    <row r="246" spans="1:32" x14ac:dyDescent="0.25">
      <c r="A246" s="13">
        <v>242</v>
      </c>
      <c r="B246" s="23" t="s">
        <v>56</v>
      </c>
      <c r="C246" s="23" t="s">
        <v>57</v>
      </c>
      <c r="D246" s="23" t="s">
        <v>58</v>
      </c>
      <c r="E246" s="23" t="s">
        <v>58</v>
      </c>
      <c r="F246" s="35" cm="1">
        <f t="array" ref="F246">_xlfn.IFS($G246=$G$5,F$5,$G246=$G$7,F$7,$G246=$G$10,F$10,$G246=$G$13,F$13,$G246=$G$14,F$14,$G246=$G$16,F$16,$G246=$G$17,F$17,$G246=$G$19,F$19,$G246=$G$20,F$20,$G246=$G$22,F$22,$G246=$G$23,F$23,$G246=$G$26,F$26,$G246=$G$29,F$29,$G246=$G$31,F$31,$G246=$G$34,F$34,$G246=$G$37,F$37,$G246=$G$107,F$107,$G246=$G$110,F$110,$G246=$G$140,F$140,$G246=$G$142,F$142,$G246=$G$408,F$408)</f>
        <v>8024</v>
      </c>
      <c r="G246" s="13" t="s">
        <v>117</v>
      </c>
      <c r="H246" s="51" cm="1">
        <f t="array" ref="H246">_xlfn.IFS($G246=$G$5,H$5,$G246=$G$7,H$7,$G246=$G$10,H$10,$G246=$G$13,H$13,$G246=$G$14,H$14,$G246=$G$16,H$16,$G246=$G$17,H$17,$G246=$G$19,H$19,$G246=$G$20,H$20,$G246=$G$22,H$22,$G246=$G$23,H$23,$G246=$G$26,H$26,$G246=$G$29,H$29,$G246=$G$31,H$31,$G246=$G$34,H$34,$G246=$G$37,H$37,$G246=$G$107,H$107,$G246=$G$110,H$110,$G246=$G$140,H$140,$G246=$G$142,H$142,$G246=$G$408,H$408)</f>
        <v>41.42</v>
      </c>
      <c r="I246" s="51" cm="1">
        <f t="array" ref="I246">_xlfn.IFS($G246=$G$5,I$5,$G246=$G$7,I$7,$G246=$G$10,I$10,$G246=$G$13,I$13,$G246=$G$14,I$14,$G246=$G$16,I$16,$G246=$G$17,I$17,$G246=$G$19,I$19,$G246=$G$20,I$20,$G246=$G$22,I$22,$G246=$G$23,I$23,$G246=$G$26,I$26,$G246=$G$29,I$29,$G246=$G$31,I$31,$G246=$G$34,I$34,$G246=$G$37,I$37,$G246=$G$107,I$107,$G246=$G$110,I$110,$G246=$G$140,I$140,$G246=$G$142,I$142,$G246=$G$408,I$408)</f>
        <v>2.16</v>
      </c>
      <c r="J246" s="51" cm="1">
        <f t="array" ref="J246">_xlfn.IFS($G246=$G$5,J$5,$G246=$G$7,J$7,$G246=$G$10,J$10,$G246=$G$13,J$13,$G246=$G$14,J$14,$G246=$G$16,J$16,$G246=$G$17,J$17,$G246=$G$19,J$19,$G246=$G$20,J$20,$G246=$G$22,J$22,$G246=$G$23,J$23,$G246=$G$26,J$26,$G246=$G$29,J$29,$G246=$G$31,J$31,$G246=$G$34,J$34,$G246=$G$37,J$37,$G246=$G$107,J$107,$G246=$G$110,J$110,$G246=$G$140,J$140,$G246=$G$142,J$142,$G246=$G$408,J$408)</f>
        <v>146.80000000000001</v>
      </c>
      <c r="K246" s="13" t="str" cm="1">
        <f t="array" ref="K246">_xlfn.IFS($G246=$G$5,K$5,$G246=$G$7,K$7,$G246=$G$10,K$10,$G246=$G$13,K$13,$G246=$G$14,K$14,$G246=$G$16,K$16,$G246=$G$17,K$17,$G246=$G$19,K$19,$G246=$G$20,K$20,$G246=$G$22,K$22,$G246=$G$23,K$23,$G246=$G$26,K$26,$G246=$G$29,K$29,$G246=$G$31,K$31,$G246=$G$34,K$34,$G246=$G$37,K$37,$G246=$G$107,K$107,$G246=$G$110,K$110,$G246=$G$140,K$140,$G246=$G$142,K$142,$G246=$G$408,K$408)</f>
        <v>BG sentinel + BG lure7</v>
      </c>
      <c r="O246" s="13" t="str">
        <f t="shared" si="23"/>
        <v>V4_220801</v>
      </c>
      <c r="P246" s="27">
        <v>44774</v>
      </c>
      <c r="Q246" s="33"/>
      <c r="R246" s="33"/>
      <c r="S246" s="27">
        <v>44783</v>
      </c>
      <c r="T246" s="33"/>
      <c r="V246" s="13" t="s">
        <v>86</v>
      </c>
      <c r="W246" s="15" t="s">
        <v>119</v>
      </c>
      <c r="X246" s="13">
        <f t="shared" si="20"/>
        <v>9</v>
      </c>
      <c r="Z246" s="13" t="s">
        <v>164</v>
      </c>
      <c r="AA246" s="13">
        <f t="shared" si="25"/>
        <v>1</v>
      </c>
      <c r="AB246" s="13" t="str">
        <f t="shared" si="21"/>
        <v>Adult</v>
      </c>
      <c r="AC246" s="13">
        <v>0</v>
      </c>
      <c r="AD246" s="13">
        <v>1</v>
      </c>
      <c r="AE246" s="13" t="str">
        <f t="shared" si="22"/>
        <v>Morphological</v>
      </c>
      <c r="AF246" s="2">
        <v>2</v>
      </c>
    </row>
    <row r="247" spans="1:32" x14ac:dyDescent="0.25">
      <c r="A247" s="13">
        <v>243</v>
      </c>
      <c r="B247" s="23" t="s">
        <v>56</v>
      </c>
      <c r="C247" s="23" t="s">
        <v>57</v>
      </c>
      <c r="D247" s="23" t="s">
        <v>58</v>
      </c>
      <c r="E247" s="23" t="s">
        <v>58</v>
      </c>
      <c r="F247" s="35" cm="1">
        <f t="array" ref="F247">_xlfn.IFS($G247=$G$5,F$5,$G247=$G$7,F$7,$G247=$G$10,F$10,$G247=$G$13,F$13,$G247=$G$14,F$14,$G247=$G$16,F$16,$G247=$G$17,F$17,$G247=$G$19,F$19,$G247=$G$20,F$20,$G247=$G$22,F$22,$G247=$G$23,F$23,$G247=$G$26,F$26,$G247=$G$29,F$29,$G247=$G$31,F$31,$G247=$G$34,F$34,$G247=$G$37,F$37,$G247=$G$107,F$107,$G247=$G$110,F$110,$G247=$G$140,F$140,$G247=$G$142,F$142,$G247=$G$408,F$408)</f>
        <v>8017</v>
      </c>
      <c r="G247" s="13" t="s">
        <v>97</v>
      </c>
      <c r="H247" s="51" cm="1">
        <f t="array" ref="H247">_xlfn.IFS($G247=$G$5,H$5,$G247=$G$7,H$7,$G247=$G$10,H$10,$G247=$G$13,H$13,$G247=$G$14,H$14,$G247=$G$16,H$16,$G247=$G$17,H$17,$G247=$G$19,H$19,$G247=$G$20,H$20,$G247=$G$22,H$22,$G247=$G$23,H$23,$G247=$G$26,H$26,$G247=$G$29,H$29,$G247=$G$31,H$31,$G247=$G$34,H$34,$G247=$G$37,H$37,$G247=$G$107,H$107,$G247=$G$110,H$110,$G247=$G$140,H$140,$G247=$G$142,H$142,$G247=$G$408,H$408)</f>
        <v>41.430372407595499</v>
      </c>
      <c r="I247" s="51" cm="1">
        <f t="array" ref="I247">_xlfn.IFS($G247=$G$5,I$5,$G247=$G$7,I$7,$G247=$G$10,I$10,$G247=$G$13,I$13,$G247=$G$14,I$14,$G247=$G$16,I$16,$G247=$G$17,I$17,$G247=$G$19,I$19,$G247=$G$20,I$20,$G247=$G$22,I$22,$G247=$G$23,I$23,$G247=$G$26,I$26,$G247=$G$29,I$29,$G247=$G$31,I$31,$G247=$G$34,I$34,$G247=$G$37,I$37,$G247=$G$107,I$107,$G247=$G$110,I$110,$G247=$G$140,I$140,$G247=$G$142,I$142,$G247=$G$408,I$408)</f>
        <v>2.0778358219819002</v>
      </c>
      <c r="J247" s="51" cm="1">
        <f t="array" ref="J247">_xlfn.IFS($G247=$G$5,J$5,$G247=$G$7,J$7,$G247=$G$10,J$10,$G247=$G$13,J$13,$G247=$G$14,J$14,$G247=$G$16,J$16,$G247=$G$17,J$17,$G247=$G$19,J$19,$G247=$G$20,J$20,$G247=$G$22,J$22,$G247=$G$23,J$23,$G247=$G$26,J$26,$G247=$G$29,J$29,$G247=$G$31,J$31,$G247=$G$34,J$34,$G247=$G$37,J$37,$G247=$G$107,J$107,$G247=$G$110,J$110,$G247=$G$140,J$140,$G247=$G$142,J$142,$G247=$G$408,J$408)</f>
        <v>242</v>
      </c>
      <c r="K247" s="13" t="str" cm="1">
        <f t="array" ref="K247">_xlfn.IFS($G247=$G$5,K$5,$G247=$G$7,K$7,$G247=$G$10,K$10,$G247=$G$13,K$13,$G247=$G$14,K$14,$G247=$G$16,K$16,$G247=$G$17,K$17,$G247=$G$19,K$19,$G247=$G$20,K$20,$G247=$G$22,K$22,$G247=$G$23,K$23,$G247=$G$26,K$26,$G247=$G$29,K$29,$G247=$G$31,K$31,$G247=$G$34,K$34,$G247=$G$37,K$37,$G247=$G$107,K$107,$G247=$G$110,K$110,$G247=$G$140,K$140,$G247=$G$142,K$142,$G247=$G$408,K$408)</f>
        <v>Mtego</v>
      </c>
      <c r="O247" s="13" t="str">
        <f t="shared" si="23"/>
        <v>Premal_1_220802</v>
      </c>
      <c r="P247" s="27">
        <v>44775</v>
      </c>
      <c r="Q247" s="29">
        <v>0.68055555555555547</v>
      </c>
      <c r="R247" s="33"/>
      <c r="S247" s="27">
        <v>44782</v>
      </c>
      <c r="T247" s="29">
        <v>0.64583333333333337</v>
      </c>
      <c r="V247" s="13" t="s">
        <v>86</v>
      </c>
      <c r="W247" s="15" t="s">
        <v>114</v>
      </c>
      <c r="X247" s="13">
        <f t="shared" si="20"/>
        <v>7</v>
      </c>
      <c r="Z247" s="13" t="s">
        <v>60</v>
      </c>
      <c r="AA247" s="13">
        <f t="shared" si="25"/>
        <v>1</v>
      </c>
      <c r="AB247" s="13" t="str">
        <f t="shared" si="21"/>
        <v>Adult</v>
      </c>
      <c r="AC247" s="13">
        <v>1</v>
      </c>
      <c r="AD247" s="13">
        <v>0</v>
      </c>
      <c r="AE247" s="13" t="str">
        <f t="shared" si="22"/>
        <v>Morphological</v>
      </c>
      <c r="AF247" s="2">
        <v>3</v>
      </c>
    </row>
    <row r="248" spans="1:32" x14ac:dyDescent="0.25">
      <c r="A248" s="13">
        <v>244</v>
      </c>
      <c r="B248" s="23" t="s">
        <v>56</v>
      </c>
      <c r="C248" s="23" t="s">
        <v>57</v>
      </c>
      <c r="D248" s="23" t="s">
        <v>58</v>
      </c>
      <c r="E248" s="23" t="s">
        <v>58</v>
      </c>
      <c r="F248" s="35" cm="1">
        <f t="array" ref="F248">_xlfn.IFS($G248=$G$5,F$5,$G248=$G$7,F$7,$G248=$G$10,F$10,$G248=$G$13,F$13,$G248=$G$14,F$14,$G248=$G$16,F$16,$G248=$G$17,F$17,$G248=$G$19,F$19,$G248=$G$20,F$20,$G248=$G$22,F$22,$G248=$G$23,F$23,$G248=$G$26,F$26,$G248=$G$29,F$29,$G248=$G$31,F$31,$G248=$G$34,F$34,$G248=$G$37,F$37,$G248=$G$107,F$107,$G248=$G$110,F$110,$G248=$G$140,F$140,$G248=$G$142,F$142,$G248=$G$408,F$408)</f>
        <v>8017</v>
      </c>
      <c r="G248" s="13" t="s">
        <v>97</v>
      </c>
      <c r="H248" s="51" cm="1">
        <f t="array" ref="H248">_xlfn.IFS($G248=$G$5,H$5,$G248=$G$7,H$7,$G248=$G$10,H$10,$G248=$G$13,H$13,$G248=$G$14,H$14,$G248=$G$16,H$16,$G248=$G$17,H$17,$G248=$G$19,H$19,$G248=$G$20,H$20,$G248=$G$22,H$22,$G248=$G$23,H$23,$G248=$G$26,H$26,$G248=$G$29,H$29,$G248=$G$31,H$31,$G248=$G$34,H$34,$G248=$G$37,H$37,$G248=$G$107,H$107,$G248=$G$110,H$110,$G248=$G$140,H$140,$G248=$G$142,H$142,$G248=$G$408,H$408)</f>
        <v>41.430372407595499</v>
      </c>
      <c r="I248" s="51" cm="1">
        <f t="array" ref="I248">_xlfn.IFS($G248=$G$5,I$5,$G248=$G$7,I$7,$G248=$G$10,I$10,$G248=$G$13,I$13,$G248=$G$14,I$14,$G248=$G$16,I$16,$G248=$G$17,I$17,$G248=$G$19,I$19,$G248=$G$20,I$20,$G248=$G$22,I$22,$G248=$G$23,I$23,$G248=$G$26,I$26,$G248=$G$29,I$29,$G248=$G$31,I$31,$G248=$G$34,I$34,$G248=$G$37,I$37,$G248=$G$107,I$107,$G248=$G$110,I$110,$G248=$G$140,I$140,$G248=$G$142,I$142,$G248=$G$408,I$408)</f>
        <v>2.0778358219819002</v>
      </c>
      <c r="J248" s="51" cm="1">
        <f t="array" ref="J248">_xlfn.IFS($G248=$G$5,J$5,$G248=$G$7,J$7,$G248=$G$10,J$10,$G248=$G$13,J$13,$G248=$G$14,J$14,$G248=$G$16,J$16,$G248=$G$17,J$17,$G248=$G$19,J$19,$G248=$G$20,J$20,$G248=$G$22,J$22,$G248=$G$23,J$23,$G248=$G$26,J$26,$G248=$G$29,J$29,$G248=$G$31,J$31,$G248=$G$34,J$34,$G248=$G$37,J$37,$G248=$G$107,J$107,$G248=$G$110,J$110,$G248=$G$140,J$140,$G248=$G$142,J$142,$G248=$G$408,J$408)</f>
        <v>242</v>
      </c>
      <c r="K248" s="13" t="str" cm="1">
        <f t="array" ref="K248">_xlfn.IFS($G248=$G$5,K$5,$G248=$G$7,K$7,$G248=$G$10,K$10,$G248=$G$13,K$13,$G248=$G$14,K$14,$G248=$G$16,K$16,$G248=$G$17,K$17,$G248=$G$19,K$19,$G248=$G$20,K$20,$G248=$G$22,K$22,$G248=$G$23,K$23,$G248=$G$26,K$26,$G248=$G$29,K$29,$G248=$G$31,K$31,$G248=$G$34,K$34,$G248=$G$37,K$37,$G248=$G$107,K$107,$G248=$G$110,K$110,$G248=$G$140,K$140,$G248=$G$142,K$142,$G248=$G$408,K$408)</f>
        <v>Mtego</v>
      </c>
      <c r="O248" s="13" t="str">
        <f t="shared" si="23"/>
        <v>Premal_1_220802</v>
      </c>
      <c r="P248" s="27">
        <v>44775</v>
      </c>
      <c r="Q248" s="29">
        <v>0.68055555555555547</v>
      </c>
      <c r="R248" s="33"/>
      <c r="S248" s="27">
        <v>44782</v>
      </c>
      <c r="T248" s="29">
        <v>0.64583333333333337</v>
      </c>
      <c r="V248" s="13" t="s">
        <v>86</v>
      </c>
      <c r="W248" s="15" t="s">
        <v>114</v>
      </c>
      <c r="X248" s="13">
        <f t="shared" si="20"/>
        <v>7</v>
      </c>
      <c r="Z248" s="13" t="s">
        <v>164</v>
      </c>
      <c r="AA248" s="13">
        <f t="shared" si="25"/>
        <v>2</v>
      </c>
      <c r="AB248" s="13" t="str">
        <f t="shared" si="21"/>
        <v>Adult</v>
      </c>
      <c r="AC248" s="13">
        <v>2</v>
      </c>
      <c r="AD248" s="13">
        <v>0</v>
      </c>
      <c r="AE248" s="13" t="str">
        <f t="shared" si="22"/>
        <v>Morphological</v>
      </c>
      <c r="AF248" s="2">
        <v>3</v>
      </c>
    </row>
    <row r="249" spans="1:32" x14ac:dyDescent="0.25">
      <c r="A249" s="13">
        <v>245</v>
      </c>
      <c r="B249" s="23" t="s">
        <v>56</v>
      </c>
      <c r="C249" s="23" t="s">
        <v>57</v>
      </c>
      <c r="D249" s="23" t="s">
        <v>58</v>
      </c>
      <c r="E249" s="23" t="s">
        <v>58</v>
      </c>
      <c r="F249" s="35" cm="1">
        <f t="array" ref="F249">_xlfn.IFS($G249=$G$5,F$5,$G249=$G$7,F$7,$G249=$G$10,F$10,$G249=$G$13,F$13,$G249=$G$14,F$14,$G249=$G$16,F$16,$G249=$G$17,F$17,$G249=$G$19,F$19,$G249=$G$20,F$20,$G249=$G$22,F$22,$G249=$G$23,F$23,$G249=$G$26,F$26,$G249=$G$29,F$29,$G249=$G$31,F$31,$G249=$G$34,F$34,$G249=$G$37,F$37,$G249=$G$107,F$107,$G249=$G$110,F$110,$G249=$G$140,F$140,$G249=$G$142,F$142,$G249=$G$408,F$408)</f>
        <v>8035</v>
      </c>
      <c r="G249" s="13" t="s">
        <v>61</v>
      </c>
      <c r="H249" s="51" cm="1">
        <f t="array" ref="H249">_xlfn.IFS($G249=$G$5,H$5,$G249=$G$7,H$7,$G249=$G$10,H$10,$G249=$G$13,H$13,$G249=$G$14,H$14,$G249=$G$16,H$16,$G249=$G$17,H$17,$G249=$G$19,H$19,$G249=$G$20,H$20,$G249=$G$22,H$22,$G249=$G$23,H$23,$G249=$G$26,H$26,$G249=$G$29,H$29,$G249=$G$31,H$31,$G249=$G$34,H$34,$G249=$G$37,H$37,$G249=$G$107,H$107,$G249=$G$110,H$110,$G249=$G$140,H$140,$G249=$G$142,H$142,$G249=$G$408,H$408)</f>
        <v>41.424387000000003</v>
      </c>
      <c r="I249" s="51" cm="1">
        <f t="array" ref="I249">_xlfn.IFS($G249=$G$5,I$5,$G249=$G$7,I$7,$G249=$G$10,I$10,$G249=$G$13,I$13,$G249=$G$14,I$14,$G249=$G$16,I$16,$G249=$G$17,I$17,$G249=$G$19,I$19,$G249=$G$20,I$20,$G249=$G$22,I$22,$G249=$G$23,I$23,$G249=$G$26,I$26,$G249=$G$29,I$29,$G249=$G$31,I$31,$G249=$G$34,I$34,$G249=$G$37,I$37,$G249=$G$107,I$107,$G249=$G$110,I$110,$G249=$G$140,I$140,$G249=$G$142,I$142,$G249=$G$408,I$408)</f>
        <v>2.1431439999999999</v>
      </c>
      <c r="J249" s="51" cm="1">
        <f t="array" ref="J249">_xlfn.IFS($G249=$G$5,J$5,$G249=$G$7,J$7,$G249=$G$10,J$10,$G249=$G$13,J$13,$G249=$G$14,J$14,$G249=$G$16,J$16,$G249=$G$17,J$17,$G249=$G$19,J$19,$G249=$G$20,J$20,$G249=$G$22,J$22,$G249=$G$23,J$23,$G249=$G$26,J$26,$G249=$G$29,J$29,$G249=$G$31,J$31,$G249=$G$34,J$34,$G249=$G$37,J$37,$G249=$G$107,J$107,$G249=$G$110,J$110,$G249=$G$140,J$140,$G249=$G$142,J$142,$G249=$G$408,J$408)</f>
        <v>160</v>
      </c>
      <c r="K249" s="13" t="str" cm="1">
        <f t="array" ref="K249">_xlfn.IFS($G249=$G$5,K$5,$G249=$G$7,K$7,$G249=$G$10,K$10,$G249=$G$13,K$13,$G249=$G$14,K$14,$G249=$G$16,K$16,$G249=$G$17,K$17,$G249=$G$19,K$19,$G249=$G$20,K$20,$G249=$G$22,K$22,$G249=$G$23,K$23,$G249=$G$26,K$26,$G249=$G$29,K$29,$G249=$G$31,K$31,$G249=$G$34,K$34,$G249=$G$37,K$37,$G249=$G$107,K$107,$G249=$G$110,K$110,$G249=$G$140,K$140,$G249=$G$142,K$142,$G249=$G$408,K$408)</f>
        <v>BG sentinel + BG lure7</v>
      </c>
      <c r="O249" s="13" t="str">
        <f t="shared" si="23"/>
        <v>A_SP_BCN_2_220809</v>
      </c>
      <c r="P249" s="27">
        <v>44782</v>
      </c>
      <c r="Q249" s="29">
        <v>0.52430555555555558</v>
      </c>
      <c r="R249" s="33"/>
      <c r="S249" s="27">
        <v>44789</v>
      </c>
      <c r="T249" s="29">
        <v>0.6875</v>
      </c>
      <c r="V249" s="13" t="s">
        <v>86</v>
      </c>
      <c r="W249" s="15" t="s">
        <v>88</v>
      </c>
      <c r="X249" s="13">
        <f t="shared" si="20"/>
        <v>7</v>
      </c>
      <c r="Z249" s="13" t="s">
        <v>60</v>
      </c>
      <c r="AA249" s="13">
        <f t="shared" si="25"/>
        <v>3</v>
      </c>
      <c r="AB249" s="13" t="str">
        <f t="shared" si="21"/>
        <v>Adult</v>
      </c>
      <c r="AC249" s="13">
        <v>2</v>
      </c>
      <c r="AD249" s="13">
        <v>1</v>
      </c>
      <c r="AE249" s="13" t="str">
        <f t="shared" si="22"/>
        <v>Morphological</v>
      </c>
      <c r="AF249" s="2">
        <v>3</v>
      </c>
    </row>
    <row r="250" spans="1:32" x14ac:dyDescent="0.25">
      <c r="A250" s="13">
        <v>246</v>
      </c>
      <c r="B250" s="23" t="s">
        <v>56</v>
      </c>
      <c r="C250" s="23" t="s">
        <v>57</v>
      </c>
      <c r="D250" s="23" t="s">
        <v>58</v>
      </c>
      <c r="E250" s="23" t="s">
        <v>58</v>
      </c>
      <c r="F250" s="35" cm="1">
        <f t="array" ref="F250">_xlfn.IFS($G250=$G$5,F$5,$G250=$G$7,F$7,$G250=$G$10,F$10,$G250=$G$13,F$13,$G250=$G$14,F$14,$G250=$G$16,F$16,$G250=$G$17,F$17,$G250=$G$19,F$19,$G250=$G$20,F$20,$G250=$G$22,F$22,$G250=$G$23,F$23,$G250=$G$26,F$26,$G250=$G$29,F$29,$G250=$G$31,F$31,$G250=$G$34,F$34,$G250=$G$37,F$37,$G250=$G$107,F$107,$G250=$G$110,F$110,$G250=$G$140,F$140,$G250=$G$142,F$142,$G250=$G$408,F$408)</f>
        <v>8016</v>
      </c>
      <c r="G250" s="13" t="s">
        <v>62</v>
      </c>
      <c r="H250" s="51" cm="1">
        <f t="array" ref="H250">_xlfn.IFS($G250=$G$5,H$5,$G250=$G$7,H$7,$G250=$G$10,H$10,$G250=$G$13,H$13,$G250=$G$14,H$14,$G250=$G$16,H$16,$G250=$G$17,H$17,$G250=$G$19,H$19,$G250=$G$20,H$20,$G250=$G$22,H$22,$G250=$G$23,H$23,$G250=$G$26,H$26,$G250=$G$29,H$29,$G250=$G$31,H$31,$G250=$G$34,H$34,$G250=$G$37,H$37,$G250=$G$107,H$107,$G250=$G$110,H$110,$G250=$G$140,H$140,$G250=$G$142,H$142,$G250=$G$408,H$408)</f>
        <v>41.437435000000001</v>
      </c>
      <c r="I250" s="51" cm="1">
        <f t="array" ref="I250">_xlfn.IFS($G250=$G$5,I$5,$G250=$G$7,I$7,$G250=$G$10,I$10,$G250=$G$13,I$13,$G250=$G$14,I$14,$G250=$G$16,I$16,$G250=$G$17,I$17,$G250=$G$19,I$19,$G250=$G$20,I$20,$G250=$G$22,I$22,$G250=$G$23,I$23,$G250=$G$26,I$26,$G250=$G$29,I$29,$G250=$G$31,I$31,$G250=$G$34,I$34,$G250=$G$37,I$37,$G250=$G$107,I$107,$G250=$G$110,I$110,$G250=$G$140,I$140,$G250=$G$142,I$142,$G250=$G$408,I$408)</f>
        <v>2.1812779999999998</v>
      </c>
      <c r="J250" s="51" cm="1">
        <f t="array" ref="J250">_xlfn.IFS($G250=$G$5,J$5,$G250=$G$7,J$7,$G250=$G$10,J$10,$G250=$G$13,J$13,$G250=$G$14,J$14,$G250=$G$16,J$16,$G250=$G$17,J$17,$G250=$G$19,J$19,$G250=$G$20,J$20,$G250=$G$22,J$22,$G250=$G$23,J$23,$G250=$G$26,J$26,$G250=$G$29,J$29,$G250=$G$31,J$31,$G250=$G$34,J$34,$G250=$G$37,J$37,$G250=$G$107,J$107,$G250=$G$110,J$110,$G250=$G$140,J$140,$G250=$G$142,J$142,$G250=$G$408,J$408)</f>
        <v>47</v>
      </c>
      <c r="K250" s="13" t="str" cm="1">
        <f t="array" ref="K250">_xlfn.IFS($G250=$G$5,K$5,$G250=$G$7,K$7,$G250=$G$10,K$10,$G250=$G$13,K$13,$G250=$G$14,K$14,$G250=$G$16,K$16,$G250=$G$17,K$17,$G250=$G$19,K$19,$G250=$G$20,K$20,$G250=$G$22,K$22,$G250=$G$23,K$23,$G250=$G$26,K$26,$G250=$G$29,K$29,$G250=$G$31,K$31,$G250=$G$34,K$34,$G250=$G$37,K$37,$G250=$G$107,K$107,$G250=$G$110,K$110,$G250=$G$140,K$140,$G250=$G$142,K$142,$G250=$G$408,K$408)</f>
        <v>BG sentinel + BG lure7</v>
      </c>
      <c r="O250" s="13" t="str">
        <f t="shared" si="23"/>
        <v>A_SP_BCN_3_220809</v>
      </c>
      <c r="P250" s="27">
        <v>44782</v>
      </c>
      <c r="Q250" s="29">
        <v>0.67361111111111116</v>
      </c>
      <c r="R250" s="33"/>
      <c r="S250" s="27">
        <v>44789</v>
      </c>
      <c r="T250" s="29">
        <v>0.77083333333333337</v>
      </c>
      <c r="V250" s="13" t="s">
        <v>86</v>
      </c>
      <c r="X250" s="13">
        <f t="shared" si="20"/>
        <v>7</v>
      </c>
      <c r="Z250" s="13" t="s">
        <v>60</v>
      </c>
      <c r="AA250" s="13">
        <f t="shared" si="25"/>
        <v>41</v>
      </c>
      <c r="AB250" s="13" t="str">
        <f t="shared" si="21"/>
        <v>Adult</v>
      </c>
      <c r="AC250" s="13">
        <v>26</v>
      </c>
      <c r="AD250" s="13">
        <v>15</v>
      </c>
      <c r="AE250" s="13" t="str">
        <f t="shared" si="22"/>
        <v>Morphological</v>
      </c>
      <c r="AF250" s="2">
        <v>4</v>
      </c>
    </row>
    <row r="251" spans="1:32" x14ac:dyDescent="0.25">
      <c r="A251" s="13">
        <v>247</v>
      </c>
      <c r="B251" s="23" t="s">
        <v>56</v>
      </c>
      <c r="C251" s="23" t="s">
        <v>57</v>
      </c>
      <c r="D251" s="23" t="s">
        <v>58</v>
      </c>
      <c r="E251" s="23" t="s">
        <v>58</v>
      </c>
      <c r="F251" s="35" cm="1">
        <f t="array" ref="F251">_xlfn.IFS($G251=$G$5,F$5,$G251=$G$7,F$7,$G251=$G$10,F$10,$G251=$G$13,F$13,$G251=$G$14,F$14,$G251=$G$16,F$16,$G251=$G$17,F$17,$G251=$G$19,F$19,$G251=$G$20,F$20,$G251=$G$22,F$22,$G251=$G$23,F$23,$G251=$G$26,F$26,$G251=$G$29,F$29,$G251=$G$31,F$31,$G251=$G$34,F$34,$G251=$G$37,F$37,$G251=$G$107,F$107,$G251=$G$110,F$110,$G251=$G$140,F$140,$G251=$G$142,F$142,$G251=$G$408,F$408)</f>
        <v>8016</v>
      </c>
      <c r="G251" s="13" t="s">
        <v>62</v>
      </c>
      <c r="H251" s="51" cm="1">
        <f t="array" ref="H251">_xlfn.IFS($G251=$G$5,H$5,$G251=$G$7,H$7,$G251=$G$10,H$10,$G251=$G$13,H$13,$G251=$G$14,H$14,$G251=$G$16,H$16,$G251=$G$17,H$17,$G251=$G$19,H$19,$G251=$G$20,H$20,$G251=$G$22,H$22,$G251=$G$23,H$23,$G251=$G$26,H$26,$G251=$G$29,H$29,$G251=$G$31,H$31,$G251=$G$34,H$34,$G251=$G$37,H$37,$G251=$G$107,H$107,$G251=$G$110,H$110,$G251=$G$140,H$140,$G251=$G$142,H$142,$G251=$G$408,H$408)</f>
        <v>41.437435000000001</v>
      </c>
      <c r="I251" s="51" cm="1">
        <f t="array" ref="I251">_xlfn.IFS($G251=$G$5,I$5,$G251=$G$7,I$7,$G251=$G$10,I$10,$G251=$G$13,I$13,$G251=$G$14,I$14,$G251=$G$16,I$16,$G251=$G$17,I$17,$G251=$G$19,I$19,$G251=$G$20,I$20,$G251=$G$22,I$22,$G251=$G$23,I$23,$G251=$G$26,I$26,$G251=$G$29,I$29,$G251=$G$31,I$31,$G251=$G$34,I$34,$G251=$G$37,I$37,$G251=$G$107,I$107,$G251=$G$110,I$110,$G251=$G$140,I$140,$G251=$G$142,I$142,$G251=$G$408,I$408)</f>
        <v>2.1812779999999998</v>
      </c>
      <c r="J251" s="51" cm="1">
        <f t="array" ref="J251">_xlfn.IFS($G251=$G$5,J$5,$G251=$G$7,J$7,$G251=$G$10,J$10,$G251=$G$13,J$13,$G251=$G$14,J$14,$G251=$G$16,J$16,$G251=$G$17,J$17,$G251=$G$19,J$19,$G251=$G$20,J$20,$G251=$G$22,J$22,$G251=$G$23,J$23,$G251=$G$26,J$26,$G251=$G$29,J$29,$G251=$G$31,J$31,$G251=$G$34,J$34,$G251=$G$37,J$37,$G251=$G$107,J$107,$G251=$G$110,J$110,$G251=$G$140,J$140,$G251=$G$142,J$142,$G251=$G$408,J$408)</f>
        <v>47</v>
      </c>
      <c r="K251" s="13" t="str" cm="1">
        <f t="array" ref="K251">_xlfn.IFS($G251=$G$5,K$5,$G251=$G$7,K$7,$G251=$G$10,K$10,$G251=$G$13,K$13,$G251=$G$14,K$14,$G251=$G$16,K$16,$G251=$G$17,K$17,$G251=$G$19,K$19,$G251=$G$20,K$20,$G251=$G$22,K$22,$G251=$G$23,K$23,$G251=$G$26,K$26,$G251=$G$29,K$29,$G251=$G$31,K$31,$G251=$G$34,K$34,$G251=$G$37,K$37,$G251=$G$107,K$107,$G251=$G$110,K$110,$G251=$G$140,K$140,$G251=$G$142,K$142,$G251=$G$408,K$408)</f>
        <v>BG sentinel + BG lure7</v>
      </c>
      <c r="O251" s="13" t="str">
        <f t="shared" si="23"/>
        <v>A_SP_BCN_3_220809</v>
      </c>
      <c r="P251" s="27">
        <v>44782</v>
      </c>
      <c r="Q251" s="29">
        <v>0.67361111111111116</v>
      </c>
      <c r="R251" s="33"/>
      <c r="S251" s="27">
        <v>44789</v>
      </c>
      <c r="T251" s="29">
        <v>0.77083333333333337</v>
      </c>
      <c r="V251" s="13" t="s">
        <v>86</v>
      </c>
      <c r="X251" s="13">
        <f t="shared" si="20"/>
        <v>7</v>
      </c>
      <c r="Z251" s="13" t="s">
        <v>164</v>
      </c>
      <c r="AA251" s="13">
        <f t="shared" si="25"/>
        <v>1</v>
      </c>
      <c r="AB251" s="13" t="str">
        <f t="shared" si="21"/>
        <v>Adult</v>
      </c>
      <c r="AC251" s="13">
        <v>1</v>
      </c>
      <c r="AD251" s="13">
        <v>0</v>
      </c>
      <c r="AE251" s="13" t="str">
        <f t="shared" si="22"/>
        <v>Morphological</v>
      </c>
      <c r="AF251" s="2">
        <v>4</v>
      </c>
    </row>
    <row r="252" spans="1:32" x14ac:dyDescent="0.25">
      <c r="A252" s="13">
        <v>248</v>
      </c>
      <c r="B252" s="23" t="s">
        <v>56</v>
      </c>
      <c r="C252" s="23" t="s">
        <v>57</v>
      </c>
      <c r="D252" s="23" t="s">
        <v>58</v>
      </c>
      <c r="E252" s="23" t="s">
        <v>58</v>
      </c>
      <c r="F252" s="35" cm="1">
        <f t="array" ref="F252">_xlfn.IFS($G252=$G$5,F$5,$G252=$G$7,F$7,$G252=$G$10,F$10,$G252=$G$13,F$13,$G252=$G$14,F$14,$G252=$G$16,F$16,$G252=$G$17,F$17,$G252=$G$19,F$19,$G252=$G$20,F$20,$G252=$G$22,F$22,$G252=$G$23,F$23,$G252=$G$26,F$26,$G252=$G$29,F$29,$G252=$G$31,F$31,$G252=$G$34,F$34,$G252=$G$37,F$37,$G252=$G$107,F$107,$G252=$G$110,F$110,$G252=$G$140,F$140,$G252=$G$142,F$142,$G252=$G$408,F$408)</f>
        <v>8018</v>
      </c>
      <c r="G252" s="13" t="s">
        <v>63</v>
      </c>
      <c r="H252" s="51" cm="1">
        <f t="array" ref="H252">_xlfn.IFS($G252=$G$5,H$5,$G252=$G$7,H$7,$G252=$G$10,H$10,$G252=$G$13,H$13,$G252=$G$14,H$14,$G252=$G$16,H$16,$G252=$G$17,H$17,$G252=$G$19,H$19,$G252=$G$20,H$20,$G252=$G$22,H$22,$G252=$G$23,H$23,$G252=$G$26,H$26,$G252=$G$29,H$29,$G252=$G$31,H$31,$G252=$G$34,H$34,$G252=$G$37,H$37,$G252=$G$107,H$107,$G252=$G$110,H$110,$G252=$G$140,H$140,$G252=$G$142,H$142,$G252=$G$408,H$408)</f>
        <v>41.404924999999999</v>
      </c>
      <c r="I252" s="51" cm="1">
        <f t="array" ref="I252">_xlfn.IFS($G252=$G$5,I$5,$G252=$G$7,I$7,$G252=$G$10,I$10,$G252=$G$13,I$13,$G252=$G$14,I$14,$G252=$G$16,I$16,$G252=$G$17,I$17,$G252=$G$19,I$19,$G252=$G$20,I$20,$G252=$G$22,I$22,$G252=$G$23,I$23,$G252=$G$26,I$26,$G252=$G$29,I$29,$G252=$G$31,I$31,$G252=$G$34,I$34,$G252=$G$37,I$37,$G252=$G$107,I$107,$G252=$G$110,I$110,$G252=$G$140,I$140,$G252=$G$142,I$142,$G252=$G$408,I$408)</f>
        <v>2.1987909999999999</v>
      </c>
      <c r="J252" s="51" cm="1">
        <f t="array" ref="J252">_xlfn.IFS($G252=$G$5,J$5,$G252=$G$7,J$7,$G252=$G$10,J$10,$G252=$G$13,J$13,$G252=$G$14,J$14,$G252=$G$16,J$16,$G252=$G$17,J$17,$G252=$G$19,J$19,$G252=$G$20,J$20,$G252=$G$22,J$22,$G252=$G$23,J$23,$G252=$G$26,J$26,$G252=$G$29,J$29,$G252=$G$31,J$31,$G252=$G$34,J$34,$G252=$G$37,J$37,$G252=$G$107,J$107,$G252=$G$110,J$110,$G252=$G$140,J$140,$G252=$G$142,J$142,$G252=$G$408,J$408)</f>
        <v>4</v>
      </c>
      <c r="K252" s="13" t="str" cm="1">
        <f t="array" ref="K252">_xlfn.IFS($G252=$G$5,K$5,$G252=$G$7,K$7,$G252=$G$10,K$10,$G252=$G$13,K$13,$G252=$G$14,K$14,$G252=$G$16,K$16,$G252=$G$17,K$17,$G252=$G$19,K$19,$G252=$G$20,K$20,$G252=$G$22,K$22,$G252=$G$23,K$23,$G252=$G$26,K$26,$G252=$G$29,K$29,$G252=$G$31,K$31,$G252=$G$34,K$34,$G252=$G$37,K$37,$G252=$G$107,K$107,$G252=$G$110,K$110,$G252=$G$140,K$140,$G252=$G$142,K$142,$G252=$G$408,K$408)</f>
        <v>BG sentinel + BG lure7</v>
      </c>
      <c r="O252" s="13" t="str">
        <f t="shared" si="23"/>
        <v>A_SP_BCN_4_220809</v>
      </c>
      <c r="P252" s="27">
        <v>44782</v>
      </c>
      <c r="Q252" s="29">
        <v>0.72569444444444453</v>
      </c>
      <c r="R252" s="33"/>
      <c r="S252" s="27">
        <v>44789</v>
      </c>
      <c r="T252" s="29">
        <v>0.80902777777777779</v>
      </c>
      <c r="V252" s="13" t="s">
        <v>86</v>
      </c>
      <c r="X252" s="13">
        <f t="shared" si="20"/>
        <v>7</v>
      </c>
      <c r="Z252" s="13" t="s">
        <v>60</v>
      </c>
      <c r="AA252" s="13">
        <f t="shared" si="25"/>
        <v>20</v>
      </c>
      <c r="AB252" s="13" t="str">
        <f t="shared" si="21"/>
        <v>Adult</v>
      </c>
      <c r="AC252" s="13">
        <v>12</v>
      </c>
      <c r="AD252" s="13">
        <v>8</v>
      </c>
      <c r="AE252" s="13" t="str">
        <f t="shared" si="22"/>
        <v>Morphological</v>
      </c>
      <c r="AF252" s="2">
        <v>4</v>
      </c>
    </row>
    <row r="253" spans="1:32" x14ac:dyDescent="0.25">
      <c r="A253" s="13">
        <v>249</v>
      </c>
      <c r="B253" s="23" t="s">
        <v>56</v>
      </c>
      <c r="C253" s="23" t="s">
        <v>57</v>
      </c>
      <c r="D253" s="23" t="s">
        <v>58</v>
      </c>
      <c r="E253" s="23" t="s">
        <v>58</v>
      </c>
      <c r="F253" s="35" cm="1">
        <f t="array" ref="F253">_xlfn.IFS($G253=$G$5,F$5,$G253=$G$7,F$7,$G253=$G$10,F$10,$G253=$G$13,F$13,$G253=$G$14,F$14,$G253=$G$16,F$16,$G253=$G$17,F$17,$G253=$G$19,F$19,$G253=$G$20,F$20,$G253=$G$22,F$22,$G253=$G$23,F$23,$G253=$G$26,F$26,$G253=$G$29,F$29,$G253=$G$31,F$31,$G253=$G$34,F$34,$G253=$G$37,F$37,$G253=$G$107,F$107,$G253=$G$110,F$110,$G253=$G$140,F$140,$G253=$G$142,F$142,$G253=$G$408,F$408)</f>
        <v>8018</v>
      </c>
      <c r="G253" s="13" t="s">
        <v>63</v>
      </c>
      <c r="H253" s="51" cm="1">
        <f t="array" ref="H253">_xlfn.IFS($G253=$G$5,H$5,$G253=$G$7,H$7,$G253=$G$10,H$10,$G253=$G$13,H$13,$G253=$G$14,H$14,$G253=$G$16,H$16,$G253=$G$17,H$17,$G253=$G$19,H$19,$G253=$G$20,H$20,$G253=$G$22,H$22,$G253=$G$23,H$23,$G253=$G$26,H$26,$G253=$G$29,H$29,$G253=$G$31,H$31,$G253=$G$34,H$34,$G253=$G$37,H$37,$G253=$G$107,H$107,$G253=$G$110,H$110,$G253=$G$140,H$140,$G253=$G$142,H$142,$G253=$G$408,H$408)</f>
        <v>41.404924999999999</v>
      </c>
      <c r="I253" s="51" cm="1">
        <f t="array" ref="I253">_xlfn.IFS($G253=$G$5,I$5,$G253=$G$7,I$7,$G253=$G$10,I$10,$G253=$G$13,I$13,$G253=$G$14,I$14,$G253=$G$16,I$16,$G253=$G$17,I$17,$G253=$G$19,I$19,$G253=$G$20,I$20,$G253=$G$22,I$22,$G253=$G$23,I$23,$G253=$G$26,I$26,$G253=$G$29,I$29,$G253=$G$31,I$31,$G253=$G$34,I$34,$G253=$G$37,I$37,$G253=$G$107,I$107,$G253=$G$110,I$110,$G253=$G$140,I$140,$G253=$G$142,I$142,$G253=$G$408,I$408)</f>
        <v>2.1987909999999999</v>
      </c>
      <c r="J253" s="51" cm="1">
        <f t="array" ref="J253">_xlfn.IFS($G253=$G$5,J$5,$G253=$G$7,J$7,$G253=$G$10,J$10,$G253=$G$13,J$13,$G253=$G$14,J$14,$G253=$G$16,J$16,$G253=$G$17,J$17,$G253=$G$19,J$19,$G253=$G$20,J$20,$G253=$G$22,J$22,$G253=$G$23,J$23,$G253=$G$26,J$26,$G253=$G$29,J$29,$G253=$G$31,J$31,$G253=$G$34,J$34,$G253=$G$37,J$37,$G253=$G$107,J$107,$G253=$G$110,J$110,$G253=$G$140,J$140,$G253=$G$142,J$142,$G253=$G$408,J$408)</f>
        <v>4</v>
      </c>
      <c r="K253" s="13" t="str" cm="1">
        <f t="array" ref="K253">_xlfn.IFS($G253=$G$5,K$5,$G253=$G$7,K$7,$G253=$G$10,K$10,$G253=$G$13,K$13,$G253=$G$14,K$14,$G253=$G$16,K$16,$G253=$G$17,K$17,$G253=$G$19,K$19,$G253=$G$20,K$20,$G253=$G$22,K$22,$G253=$G$23,K$23,$G253=$G$26,K$26,$G253=$G$29,K$29,$G253=$G$31,K$31,$G253=$G$34,K$34,$G253=$G$37,K$37,$G253=$G$107,K$107,$G253=$G$110,K$110,$G253=$G$140,K$140,$G253=$G$142,K$142,$G253=$G$408,K$408)</f>
        <v>BG sentinel + BG lure7</v>
      </c>
      <c r="O253" s="13" t="str">
        <f t="shared" si="23"/>
        <v>A_SP_BCN_4_220809</v>
      </c>
      <c r="P253" s="27">
        <v>44782</v>
      </c>
      <c r="Q253" s="29">
        <v>0.72569444444444453</v>
      </c>
      <c r="R253" s="33"/>
      <c r="S253" s="27">
        <v>44789</v>
      </c>
      <c r="T253" s="29">
        <v>0.80902777777777779</v>
      </c>
      <c r="V253" s="13" t="s">
        <v>86</v>
      </c>
      <c r="X253" s="13">
        <f t="shared" si="20"/>
        <v>7</v>
      </c>
      <c r="Z253" s="13" t="s">
        <v>164</v>
      </c>
      <c r="AA253" s="13">
        <f t="shared" si="25"/>
        <v>2</v>
      </c>
      <c r="AB253" s="13" t="str">
        <f t="shared" si="21"/>
        <v>Adult</v>
      </c>
      <c r="AC253" s="13">
        <v>2</v>
      </c>
      <c r="AD253" s="13">
        <v>0</v>
      </c>
      <c r="AE253" s="13" t="str">
        <f t="shared" si="22"/>
        <v>Morphological</v>
      </c>
      <c r="AF253" s="2">
        <v>4</v>
      </c>
    </row>
    <row r="254" spans="1:32" x14ac:dyDescent="0.25">
      <c r="A254" s="13">
        <v>250</v>
      </c>
      <c r="B254" s="23" t="s">
        <v>56</v>
      </c>
      <c r="C254" s="23" t="s">
        <v>57</v>
      </c>
      <c r="D254" s="23" t="s">
        <v>58</v>
      </c>
      <c r="E254" s="23" t="s">
        <v>58</v>
      </c>
      <c r="F254" s="35" cm="1">
        <f t="array" ref="F254">_xlfn.IFS($G254=$G$5,F$5,$G254=$G$7,F$7,$G254=$G$10,F$10,$G254=$G$13,F$13,$G254=$G$14,F$14,$G254=$G$16,F$16,$G254=$G$17,F$17,$G254=$G$19,F$19,$G254=$G$20,F$20,$G254=$G$22,F$22,$G254=$G$23,F$23,$G254=$G$26,F$26,$G254=$G$29,F$29,$G254=$G$31,F$31,$G254=$G$34,F$34,$G254=$G$37,F$37,$G254=$G$107,F$107,$G254=$G$110,F$110,$G254=$G$140,F$140,$G254=$G$142,F$142,$G254=$G$408,F$408)</f>
        <v>8019</v>
      </c>
      <c r="G254" s="13" t="s">
        <v>64</v>
      </c>
      <c r="H254" s="51" cm="1">
        <f t="array" ref="H254">_xlfn.IFS($G254=$G$5,H$5,$G254=$G$7,H$7,$G254=$G$10,H$10,$G254=$G$13,H$13,$G254=$G$14,H$14,$G254=$G$16,H$16,$G254=$G$17,H$17,$G254=$G$19,H$19,$G254=$G$20,H$20,$G254=$G$22,H$22,$G254=$G$23,H$23,$G254=$G$26,H$26,$G254=$G$29,H$29,$G254=$G$31,H$31,$G254=$G$34,H$34,$G254=$G$37,H$37,$G254=$G$107,H$107,$G254=$G$110,H$110,$G254=$G$140,H$140,$G254=$G$142,H$142,$G254=$G$408,H$408)</f>
        <v>41.410684000000003</v>
      </c>
      <c r="I254" s="51" cm="1">
        <f t="array" ref="I254">_xlfn.IFS($G254=$G$5,I$5,$G254=$G$7,I$7,$G254=$G$10,I$10,$G254=$G$13,I$13,$G254=$G$14,I$14,$G254=$G$16,I$16,$G254=$G$17,I$17,$G254=$G$19,I$19,$G254=$G$20,I$20,$G254=$G$22,I$22,$G254=$G$23,I$23,$G254=$G$26,I$26,$G254=$G$29,I$29,$G254=$G$31,I$31,$G254=$G$34,I$34,$G254=$G$37,I$37,$G254=$G$107,I$107,$G254=$G$110,I$110,$G254=$G$140,I$140,$G254=$G$142,I$142,$G254=$G$408,I$408)</f>
        <v>2.2208019999999999</v>
      </c>
      <c r="J254" s="51" cm="1">
        <f t="array" ref="J254">_xlfn.IFS($G254=$G$5,J$5,$G254=$G$7,J$7,$G254=$G$10,J$10,$G254=$G$13,J$13,$G254=$G$14,J$14,$G254=$G$16,J$16,$G254=$G$17,J$17,$G254=$G$19,J$19,$G254=$G$20,J$20,$G254=$G$22,J$22,$G254=$G$23,J$23,$G254=$G$26,J$26,$G254=$G$29,J$29,$G254=$G$31,J$31,$G254=$G$34,J$34,$G254=$G$37,J$37,$G254=$G$107,J$107,$G254=$G$110,J$110,$G254=$G$140,J$140,$G254=$G$142,J$142,$G254=$G$408,J$408)</f>
        <v>18</v>
      </c>
      <c r="K254" s="13" t="str" cm="1">
        <f t="array" ref="K254">_xlfn.IFS($G254=$G$5,K$5,$G254=$G$7,K$7,$G254=$G$10,K$10,$G254=$G$13,K$13,$G254=$G$14,K$14,$G254=$G$16,K$16,$G254=$G$17,K$17,$G254=$G$19,K$19,$G254=$G$20,K$20,$G254=$G$22,K$22,$G254=$G$23,K$23,$G254=$G$26,K$26,$G254=$G$29,K$29,$G254=$G$31,K$31,$G254=$G$34,K$34,$G254=$G$37,K$37,$G254=$G$107,K$107,$G254=$G$110,K$110,$G254=$G$140,K$140,$G254=$G$142,K$142,$G254=$G$408,K$408)</f>
        <v>BG sentinel + BG lure7</v>
      </c>
      <c r="O254" s="13" t="str">
        <f t="shared" si="23"/>
        <v>A_SP_BCN_5_220809</v>
      </c>
      <c r="P254" s="27">
        <v>44782</v>
      </c>
      <c r="Q254" s="29">
        <v>0.70833333333333337</v>
      </c>
      <c r="R254" s="33"/>
      <c r="S254" s="27">
        <v>44789</v>
      </c>
      <c r="T254" s="29">
        <v>0.78819444444444453</v>
      </c>
      <c r="V254" s="13" t="s">
        <v>86</v>
      </c>
      <c r="X254" s="13">
        <f t="shared" si="20"/>
        <v>7</v>
      </c>
      <c r="Z254" s="13" t="s">
        <v>164</v>
      </c>
      <c r="AA254" s="13">
        <f t="shared" si="25"/>
        <v>5</v>
      </c>
      <c r="AB254" s="13" t="str">
        <f t="shared" si="21"/>
        <v>Adult</v>
      </c>
      <c r="AC254" s="13">
        <v>5</v>
      </c>
      <c r="AD254" s="13">
        <v>0</v>
      </c>
      <c r="AE254" s="13" t="str">
        <f t="shared" si="22"/>
        <v>Morphological</v>
      </c>
      <c r="AF254" s="2">
        <v>4</v>
      </c>
    </row>
    <row r="255" spans="1:32" x14ac:dyDescent="0.25">
      <c r="A255" s="13">
        <v>251</v>
      </c>
      <c r="B255" s="23" t="s">
        <v>56</v>
      </c>
      <c r="C255" s="23" t="s">
        <v>57</v>
      </c>
      <c r="D255" s="23" t="s">
        <v>58</v>
      </c>
      <c r="E255" s="23" t="s">
        <v>58</v>
      </c>
      <c r="F255" s="35" cm="1">
        <f t="array" ref="F255">_xlfn.IFS($G255=$G$5,F$5,$G255=$G$7,F$7,$G255=$G$10,F$10,$G255=$G$13,F$13,$G255=$G$14,F$14,$G255=$G$16,F$16,$G255=$G$17,F$17,$G255=$G$19,F$19,$G255=$G$20,F$20,$G255=$G$22,F$22,$G255=$G$23,F$23,$G255=$G$26,F$26,$G255=$G$29,F$29,$G255=$G$31,F$31,$G255=$G$34,F$34,$G255=$G$37,F$37,$G255=$G$107,F$107,$G255=$G$110,F$110,$G255=$G$140,F$140,$G255=$G$142,F$142,$G255=$G$408,F$408)</f>
        <v>8002</v>
      </c>
      <c r="G255" s="13" t="s">
        <v>65</v>
      </c>
      <c r="H255" s="51" cm="1">
        <f t="array" ref="H255">_xlfn.IFS($G255=$G$5,H$5,$G255=$G$7,H$7,$G255=$G$10,H$10,$G255=$G$13,H$13,$G255=$G$14,H$14,$G255=$G$16,H$16,$G255=$G$17,H$17,$G255=$G$19,H$19,$G255=$G$20,H$20,$G255=$G$22,H$22,$G255=$G$23,H$23,$G255=$G$26,H$26,$G255=$G$29,H$29,$G255=$G$31,H$31,$G255=$G$34,H$34,$G255=$G$37,H$37,$G255=$G$107,H$107,$G255=$G$110,H$110,$G255=$G$140,H$140,$G255=$G$142,H$142,$G255=$G$408,H$408)</f>
        <v>41.382339999999999</v>
      </c>
      <c r="I255" s="51" cm="1">
        <f t="array" ref="I255">_xlfn.IFS($G255=$G$5,I$5,$G255=$G$7,I$7,$G255=$G$10,I$10,$G255=$G$13,I$13,$G255=$G$14,I$14,$G255=$G$16,I$16,$G255=$G$17,I$17,$G255=$G$19,I$19,$G255=$G$20,I$20,$G255=$G$22,I$22,$G255=$G$23,I$23,$G255=$G$26,I$26,$G255=$G$29,I$29,$G255=$G$31,I$31,$G255=$G$34,I$34,$G255=$G$37,I$37,$G255=$G$107,I$107,$G255=$G$110,I$110,$G255=$G$140,I$140,$G255=$G$142,I$142,$G255=$G$408,I$408)</f>
        <v>2.1714790000000002</v>
      </c>
      <c r="J255" s="51" cm="1">
        <f t="array" ref="J255">_xlfn.IFS($G255=$G$5,J$5,$G255=$G$7,J$7,$G255=$G$10,J$10,$G255=$G$13,J$13,$G255=$G$14,J$14,$G255=$G$16,J$16,$G255=$G$17,J$17,$G255=$G$19,J$19,$G255=$G$20,J$20,$G255=$G$22,J$22,$G255=$G$23,J$23,$G255=$G$26,J$26,$G255=$G$29,J$29,$G255=$G$31,J$31,$G255=$G$34,J$34,$G255=$G$37,J$37,$G255=$G$107,J$107,$G255=$G$110,J$110,$G255=$G$140,J$140,$G255=$G$142,J$142,$G255=$G$408,J$408)</f>
        <v>19</v>
      </c>
      <c r="K255" s="13" t="str" cm="1">
        <f t="array" ref="K255">_xlfn.IFS($G255=$G$5,K$5,$G255=$G$7,K$7,$G255=$G$10,K$10,$G255=$G$13,K$13,$G255=$G$14,K$14,$G255=$G$16,K$16,$G255=$G$17,K$17,$G255=$G$19,K$19,$G255=$G$20,K$20,$G255=$G$22,K$22,$G255=$G$23,K$23,$G255=$G$26,K$26,$G255=$G$29,K$29,$G255=$G$31,K$31,$G255=$G$34,K$34,$G255=$G$37,K$37,$G255=$G$107,K$107,$G255=$G$110,K$110,$G255=$G$140,K$140,$G255=$G$142,K$142,$G255=$G$408,K$408)</f>
        <v>BG sentinel + BG lure7</v>
      </c>
      <c r="O255" s="13" t="str">
        <f t="shared" si="23"/>
        <v>A_SP_BCN_6_220809</v>
      </c>
      <c r="P255" s="27">
        <v>44782</v>
      </c>
      <c r="Q255" s="29">
        <v>0.75</v>
      </c>
      <c r="R255" s="33"/>
      <c r="S255" s="27">
        <v>44789</v>
      </c>
      <c r="T255" s="29">
        <v>0.84375</v>
      </c>
      <c r="V255" s="13" t="s">
        <v>86</v>
      </c>
      <c r="X255" s="13">
        <f t="shared" si="20"/>
        <v>7</v>
      </c>
      <c r="Z255" s="13" t="s">
        <v>60</v>
      </c>
      <c r="AA255" s="13">
        <f t="shared" si="25"/>
        <v>1</v>
      </c>
      <c r="AB255" s="13" t="str">
        <f t="shared" si="21"/>
        <v>Adult</v>
      </c>
      <c r="AC255" s="13">
        <v>1</v>
      </c>
      <c r="AD255" s="13">
        <v>0</v>
      </c>
      <c r="AE255" s="13" t="str">
        <f t="shared" si="22"/>
        <v>Morphological</v>
      </c>
      <c r="AF255" s="2">
        <v>4</v>
      </c>
    </row>
    <row r="256" spans="1:32" x14ac:dyDescent="0.25">
      <c r="A256" s="13">
        <v>252</v>
      </c>
      <c r="B256" s="23" t="s">
        <v>56</v>
      </c>
      <c r="C256" s="23" t="s">
        <v>57</v>
      </c>
      <c r="D256" s="23" t="s">
        <v>58</v>
      </c>
      <c r="E256" s="23" t="s">
        <v>58</v>
      </c>
      <c r="F256" s="35" cm="1">
        <f t="array" ref="F256">_xlfn.IFS($G256=$G$5,F$5,$G256=$G$7,F$7,$G256=$G$10,F$10,$G256=$G$13,F$13,$G256=$G$14,F$14,$G256=$G$16,F$16,$G256=$G$17,F$17,$G256=$G$19,F$19,$G256=$G$20,F$20,$G256=$G$22,F$22,$G256=$G$23,F$23,$G256=$G$26,F$26,$G256=$G$29,F$29,$G256=$G$31,F$31,$G256=$G$34,F$34,$G256=$G$37,F$37,$G256=$G$107,F$107,$G256=$G$110,F$110,$G256=$G$140,F$140,$G256=$G$142,F$142,$G256=$G$408,F$408)</f>
        <v>8040</v>
      </c>
      <c r="G256" s="13" t="s">
        <v>68</v>
      </c>
      <c r="H256" s="51" cm="1">
        <f t="array" ref="H256">_xlfn.IFS($G256=$G$5,H$5,$G256=$G$7,H$7,$G256=$G$10,H$10,$G256=$G$13,H$13,$G256=$G$14,H$14,$G256=$G$16,H$16,$G256=$G$17,H$17,$G256=$G$19,H$19,$G256=$G$20,H$20,$G256=$G$22,H$22,$G256=$G$23,H$23,$G256=$G$26,H$26,$G256=$G$29,H$29,$G256=$G$31,H$31,$G256=$G$34,H$34,$G256=$G$37,H$37,$G256=$G$107,H$107,$G256=$G$110,H$110,$G256=$G$140,H$140,$G256=$G$142,H$142,$G256=$G$408,H$408)</f>
        <v>41.343685000000001</v>
      </c>
      <c r="I256" s="51" cm="1">
        <f t="array" ref="I256">_xlfn.IFS($G256=$G$5,I$5,$G256=$G$7,I$7,$G256=$G$10,I$10,$G256=$G$13,I$13,$G256=$G$14,I$14,$G256=$G$16,I$16,$G256=$G$17,I$17,$G256=$G$19,I$19,$G256=$G$20,I$20,$G256=$G$22,I$22,$G256=$G$23,I$23,$G256=$G$26,I$26,$G256=$G$29,I$29,$G256=$G$31,I$31,$G256=$G$34,I$34,$G256=$G$37,I$37,$G256=$G$107,I$107,$G256=$G$110,I$110,$G256=$G$140,I$140,$G256=$G$142,I$142,$G256=$G$408,I$408)</f>
        <v>2.1441490000000001</v>
      </c>
      <c r="J256" s="51" cm="1">
        <f t="array" ref="J256">_xlfn.IFS($G256=$G$5,J$5,$G256=$G$7,J$7,$G256=$G$10,J$10,$G256=$G$13,J$13,$G256=$G$14,J$14,$G256=$G$16,J$16,$G256=$G$17,J$17,$G256=$G$19,J$19,$G256=$G$20,J$20,$G256=$G$22,J$22,$G256=$G$23,J$23,$G256=$G$26,J$26,$G256=$G$29,J$29,$G256=$G$31,J$31,$G256=$G$34,J$34,$G256=$G$37,J$37,$G256=$G$107,J$107,$G256=$G$110,J$110,$G256=$G$140,J$140,$G256=$G$142,J$142,$G256=$G$408,J$408)</f>
        <v>4</v>
      </c>
      <c r="K256" s="13" t="str" cm="1">
        <f t="array" ref="K256">_xlfn.IFS($G256=$G$5,K$5,$G256=$G$7,K$7,$G256=$G$10,K$10,$G256=$G$13,K$13,$G256=$G$14,K$14,$G256=$G$16,K$16,$G256=$G$17,K$17,$G256=$G$19,K$19,$G256=$G$20,K$20,$G256=$G$22,K$22,$G256=$G$23,K$23,$G256=$G$26,K$26,$G256=$G$29,K$29,$G256=$G$31,K$31,$G256=$G$34,K$34,$G256=$G$37,K$37,$G256=$G$107,K$107,$G256=$G$110,K$110,$G256=$G$140,K$140,$G256=$G$142,K$142,$G256=$G$408,K$408)</f>
        <v>BG sentinel + BG lure7</v>
      </c>
      <c r="O256" s="13" t="str">
        <f t="shared" si="23"/>
        <v>A_SP_BCN_10_220809</v>
      </c>
      <c r="P256" s="27">
        <v>44782</v>
      </c>
      <c r="Q256" s="29">
        <v>0.46875</v>
      </c>
      <c r="R256" s="33"/>
      <c r="S256" s="27">
        <v>44789</v>
      </c>
      <c r="T256" s="29">
        <v>0.63194444444444442</v>
      </c>
      <c r="V256" s="13" t="s">
        <v>86</v>
      </c>
      <c r="W256" s="15" t="s">
        <v>89</v>
      </c>
      <c r="X256" s="13">
        <f t="shared" si="20"/>
        <v>7</v>
      </c>
      <c r="Z256" s="13" t="s">
        <v>60</v>
      </c>
      <c r="AA256" s="13">
        <f t="shared" si="25"/>
        <v>62</v>
      </c>
      <c r="AB256" s="13" t="str">
        <f t="shared" si="21"/>
        <v>Adult</v>
      </c>
      <c r="AC256" s="13">
        <v>23</v>
      </c>
      <c r="AD256" s="13">
        <v>39</v>
      </c>
      <c r="AE256" s="13" t="str">
        <f t="shared" si="22"/>
        <v>Morphological</v>
      </c>
      <c r="AF256" s="2">
        <v>3</v>
      </c>
    </row>
    <row r="257" spans="1:32" x14ac:dyDescent="0.25">
      <c r="A257" s="13">
        <v>253</v>
      </c>
      <c r="B257" s="23" t="s">
        <v>56</v>
      </c>
      <c r="C257" s="23" t="s">
        <v>57</v>
      </c>
      <c r="D257" s="23" t="s">
        <v>58</v>
      </c>
      <c r="E257" s="23" t="s">
        <v>58</v>
      </c>
      <c r="F257" s="35" cm="1">
        <f t="array" ref="F257">_xlfn.IFS($G257=$G$5,F$5,$G257=$G$7,F$7,$G257=$G$10,F$10,$G257=$G$13,F$13,$G257=$G$14,F$14,$G257=$G$16,F$16,$G257=$G$17,F$17,$G257=$G$19,F$19,$G257=$G$20,F$20,$G257=$G$22,F$22,$G257=$G$23,F$23,$G257=$G$26,F$26,$G257=$G$29,F$29,$G257=$G$31,F$31,$G257=$G$34,F$34,$G257=$G$37,F$37,$G257=$G$107,F$107,$G257=$G$110,F$110,$G257=$G$140,F$140,$G257=$G$142,F$142,$G257=$G$408,F$408)</f>
        <v>8040</v>
      </c>
      <c r="G257" s="13" t="s">
        <v>68</v>
      </c>
      <c r="H257" s="51" cm="1">
        <f t="array" ref="H257">_xlfn.IFS($G257=$G$5,H$5,$G257=$G$7,H$7,$G257=$G$10,H$10,$G257=$G$13,H$13,$G257=$G$14,H$14,$G257=$G$16,H$16,$G257=$G$17,H$17,$G257=$G$19,H$19,$G257=$G$20,H$20,$G257=$G$22,H$22,$G257=$G$23,H$23,$G257=$G$26,H$26,$G257=$G$29,H$29,$G257=$G$31,H$31,$G257=$G$34,H$34,$G257=$G$37,H$37,$G257=$G$107,H$107,$G257=$G$110,H$110,$G257=$G$140,H$140,$G257=$G$142,H$142,$G257=$G$408,H$408)</f>
        <v>41.343685000000001</v>
      </c>
      <c r="I257" s="51" cm="1">
        <f t="array" ref="I257">_xlfn.IFS($G257=$G$5,I$5,$G257=$G$7,I$7,$G257=$G$10,I$10,$G257=$G$13,I$13,$G257=$G$14,I$14,$G257=$G$16,I$16,$G257=$G$17,I$17,$G257=$G$19,I$19,$G257=$G$20,I$20,$G257=$G$22,I$22,$G257=$G$23,I$23,$G257=$G$26,I$26,$G257=$G$29,I$29,$G257=$G$31,I$31,$G257=$G$34,I$34,$G257=$G$37,I$37,$G257=$G$107,I$107,$G257=$G$110,I$110,$G257=$G$140,I$140,$G257=$G$142,I$142,$G257=$G$408,I$408)</f>
        <v>2.1441490000000001</v>
      </c>
      <c r="J257" s="51" cm="1">
        <f t="array" ref="J257">_xlfn.IFS($G257=$G$5,J$5,$G257=$G$7,J$7,$G257=$G$10,J$10,$G257=$G$13,J$13,$G257=$G$14,J$14,$G257=$G$16,J$16,$G257=$G$17,J$17,$G257=$G$19,J$19,$G257=$G$20,J$20,$G257=$G$22,J$22,$G257=$G$23,J$23,$G257=$G$26,J$26,$G257=$G$29,J$29,$G257=$G$31,J$31,$G257=$G$34,J$34,$G257=$G$37,J$37,$G257=$G$107,J$107,$G257=$G$110,J$110,$G257=$G$140,J$140,$G257=$G$142,J$142,$G257=$G$408,J$408)</f>
        <v>4</v>
      </c>
      <c r="K257" s="13" t="str" cm="1">
        <f t="array" ref="K257">_xlfn.IFS($G257=$G$5,K$5,$G257=$G$7,K$7,$G257=$G$10,K$10,$G257=$G$13,K$13,$G257=$G$14,K$14,$G257=$G$16,K$16,$G257=$G$17,K$17,$G257=$G$19,K$19,$G257=$G$20,K$20,$G257=$G$22,K$22,$G257=$G$23,K$23,$G257=$G$26,K$26,$G257=$G$29,K$29,$G257=$G$31,K$31,$G257=$G$34,K$34,$G257=$G$37,K$37,$G257=$G$107,K$107,$G257=$G$110,K$110,$G257=$G$140,K$140,$G257=$G$142,K$142,$G257=$G$408,K$408)</f>
        <v>BG sentinel + BG lure7</v>
      </c>
      <c r="O257" s="13" t="str">
        <f t="shared" si="23"/>
        <v>A_SP_BCN_10_220809</v>
      </c>
      <c r="P257" s="27">
        <v>44782</v>
      </c>
      <c r="Q257" s="29">
        <v>0.46875</v>
      </c>
      <c r="R257" s="33"/>
      <c r="S257" s="27">
        <v>44789</v>
      </c>
      <c r="T257" s="29">
        <v>0.63194444444444442</v>
      </c>
      <c r="V257" s="13" t="s">
        <v>86</v>
      </c>
      <c r="W257" s="15" t="s">
        <v>89</v>
      </c>
      <c r="X257" s="13">
        <f t="shared" si="20"/>
        <v>7</v>
      </c>
      <c r="Z257" s="13" t="s">
        <v>164</v>
      </c>
      <c r="AA257" s="13">
        <f t="shared" si="25"/>
        <v>1</v>
      </c>
      <c r="AB257" s="13" t="str">
        <f t="shared" si="21"/>
        <v>Adult</v>
      </c>
      <c r="AC257" s="13">
        <v>1</v>
      </c>
      <c r="AD257" s="13">
        <v>0</v>
      </c>
      <c r="AE257" s="13" t="str">
        <f t="shared" si="22"/>
        <v>Morphological</v>
      </c>
      <c r="AF257" s="2">
        <v>3</v>
      </c>
    </row>
    <row r="258" spans="1:32" x14ac:dyDescent="0.25">
      <c r="A258" s="13">
        <v>254</v>
      </c>
      <c r="B258" s="23" t="s">
        <v>56</v>
      </c>
      <c r="C258" s="23" t="s">
        <v>57</v>
      </c>
      <c r="D258" s="23" t="s">
        <v>58</v>
      </c>
      <c r="E258" s="23" t="s">
        <v>58</v>
      </c>
      <c r="F258" s="35" cm="1">
        <f t="array" ref="F258">_xlfn.IFS($G258=$G$5,F$5,$G258=$G$7,F$7,$G258=$G$10,F$10,$G258=$G$13,F$13,$G258=$G$14,F$14,$G258=$G$16,F$16,$G258=$G$17,F$17,$G258=$G$19,F$19,$G258=$G$20,F$20,$G258=$G$22,F$22,$G258=$G$23,F$23,$G258=$G$26,F$26,$G258=$G$29,F$29,$G258=$G$31,F$31,$G258=$G$34,F$34,$G258=$G$37,F$37,$G258=$G$107,F$107,$G258=$G$110,F$110,$G258=$G$140,F$140,$G258=$G$142,F$142,$G258=$G$408,F$408)</f>
        <v>8038</v>
      </c>
      <c r="G258" s="13" t="s">
        <v>69</v>
      </c>
      <c r="H258" s="51" cm="1">
        <f t="array" ref="H258">_xlfn.IFS($G258=$G$5,H$5,$G258=$G$7,H$7,$G258=$G$10,H$10,$G258=$G$13,H$13,$G258=$G$14,H$14,$G258=$G$16,H$16,$G258=$G$17,H$17,$G258=$G$19,H$19,$G258=$G$20,H$20,$G258=$G$22,H$22,$G258=$G$23,H$23,$G258=$G$26,H$26,$G258=$G$29,H$29,$G258=$G$31,H$31,$G258=$G$34,H$34,$G258=$G$37,H$37,$G258=$G$107,H$107,$G258=$G$110,H$110,$G258=$G$140,H$140,$G258=$G$142,H$142,$G258=$G$408,H$408)</f>
        <v>41.363377999999997</v>
      </c>
      <c r="I258" s="51" cm="1">
        <f t="array" ref="I258">_xlfn.IFS($G258=$G$5,I$5,$G258=$G$7,I$7,$G258=$G$10,I$10,$G258=$G$13,I$13,$G258=$G$14,I$14,$G258=$G$16,I$16,$G258=$G$17,I$17,$G258=$G$19,I$19,$G258=$G$20,I$20,$G258=$G$22,I$22,$G258=$G$23,I$23,$G258=$G$26,I$26,$G258=$G$29,I$29,$G258=$G$31,I$31,$G258=$G$34,I$34,$G258=$G$37,I$37,$G258=$G$107,I$107,$G258=$G$110,I$110,$G258=$G$140,I$140,$G258=$G$142,I$142,$G258=$G$408,I$408)</f>
        <v>2.164879</v>
      </c>
      <c r="J258" s="51" cm="1">
        <f t="array" ref="J258">_xlfn.IFS($G258=$G$5,J$5,$G258=$G$7,J$7,$G258=$G$10,J$10,$G258=$G$13,J$13,$G258=$G$14,J$14,$G258=$G$16,J$16,$G258=$G$17,J$17,$G258=$G$19,J$19,$G258=$G$20,J$20,$G258=$G$22,J$22,$G258=$G$23,J$23,$G258=$G$26,J$26,$G258=$G$29,J$29,$G258=$G$31,J$31,$G258=$G$34,J$34,$G258=$G$37,J$37,$G258=$G$107,J$107,$G258=$G$110,J$110,$G258=$G$140,J$140,$G258=$G$142,J$142,$G258=$G$408,J$408)</f>
        <v>185</v>
      </c>
      <c r="K258" s="13" t="str" cm="1">
        <f t="array" ref="K258">_xlfn.IFS($G258=$G$5,K$5,$G258=$G$7,K$7,$G258=$G$10,K$10,$G258=$G$13,K$13,$G258=$G$14,K$14,$G258=$G$16,K$16,$G258=$G$17,K$17,$G258=$G$19,K$19,$G258=$G$20,K$20,$G258=$G$22,K$22,$G258=$G$23,K$23,$G258=$G$26,K$26,$G258=$G$29,K$29,$G258=$G$31,K$31,$G258=$G$34,K$34,$G258=$G$37,K$37,$G258=$G$107,K$107,$G258=$G$110,K$110,$G258=$G$140,K$140,$G258=$G$142,K$142,$G258=$G$408,K$408)</f>
        <v>BG sentinel + BG lure7</v>
      </c>
      <c r="O258" s="13" t="str">
        <f t="shared" si="23"/>
        <v>A_SP_BCN_12_220809</v>
      </c>
      <c r="P258" s="27">
        <v>44782</v>
      </c>
      <c r="Q258" s="29">
        <v>0.5</v>
      </c>
      <c r="R258" s="33"/>
      <c r="S258" s="27">
        <v>44789</v>
      </c>
      <c r="T258" s="29">
        <v>0.65972222222222221</v>
      </c>
      <c r="V258" s="13" t="s">
        <v>86</v>
      </c>
      <c r="X258" s="13">
        <f t="shared" si="20"/>
        <v>7</v>
      </c>
      <c r="Z258" s="13" t="s">
        <v>60</v>
      </c>
      <c r="AA258" s="13">
        <f t="shared" si="25"/>
        <v>4</v>
      </c>
      <c r="AB258" s="13" t="str">
        <f t="shared" si="21"/>
        <v>Adult</v>
      </c>
      <c r="AC258" s="13">
        <v>4</v>
      </c>
      <c r="AD258" s="13">
        <v>0</v>
      </c>
      <c r="AE258" s="13" t="str">
        <f t="shared" si="22"/>
        <v>Morphological</v>
      </c>
      <c r="AF258" s="2">
        <v>4</v>
      </c>
    </row>
    <row r="259" spans="1:32" x14ac:dyDescent="0.25">
      <c r="A259" s="13">
        <v>255</v>
      </c>
      <c r="B259" s="23" t="s">
        <v>56</v>
      </c>
      <c r="C259" s="23" t="s">
        <v>57</v>
      </c>
      <c r="D259" s="23" t="s">
        <v>58</v>
      </c>
      <c r="E259" s="23" t="s">
        <v>58</v>
      </c>
      <c r="F259" s="35" cm="1">
        <f t="array" ref="F259">_xlfn.IFS($G259=$G$5,F$5,$G259=$G$7,F$7,$G259=$G$10,F$10,$G259=$G$13,F$13,$G259=$G$14,F$14,$G259=$G$16,F$16,$G259=$G$17,F$17,$G259=$G$19,F$19,$G259=$G$20,F$20,$G259=$G$22,F$22,$G259=$G$23,F$23,$G259=$G$26,F$26,$G259=$G$29,F$29,$G259=$G$31,F$31,$G259=$G$34,F$34,$G259=$G$37,F$37,$G259=$G$107,F$107,$G259=$G$110,F$110,$G259=$G$140,F$140,$G259=$G$142,F$142,$G259=$G$408,F$408)</f>
        <v>8038</v>
      </c>
      <c r="G259" s="13" t="s">
        <v>69</v>
      </c>
      <c r="H259" s="51" cm="1">
        <f t="array" ref="H259">_xlfn.IFS($G259=$G$5,H$5,$G259=$G$7,H$7,$G259=$G$10,H$10,$G259=$G$13,H$13,$G259=$G$14,H$14,$G259=$G$16,H$16,$G259=$G$17,H$17,$G259=$G$19,H$19,$G259=$G$20,H$20,$G259=$G$22,H$22,$G259=$G$23,H$23,$G259=$G$26,H$26,$G259=$G$29,H$29,$G259=$G$31,H$31,$G259=$G$34,H$34,$G259=$G$37,H$37,$G259=$G$107,H$107,$G259=$G$110,H$110,$G259=$G$140,H$140,$G259=$G$142,H$142,$G259=$G$408,H$408)</f>
        <v>41.363377999999997</v>
      </c>
      <c r="I259" s="51" cm="1">
        <f t="array" ref="I259">_xlfn.IFS($G259=$G$5,I$5,$G259=$G$7,I$7,$G259=$G$10,I$10,$G259=$G$13,I$13,$G259=$G$14,I$14,$G259=$G$16,I$16,$G259=$G$17,I$17,$G259=$G$19,I$19,$G259=$G$20,I$20,$G259=$G$22,I$22,$G259=$G$23,I$23,$G259=$G$26,I$26,$G259=$G$29,I$29,$G259=$G$31,I$31,$G259=$G$34,I$34,$G259=$G$37,I$37,$G259=$G$107,I$107,$G259=$G$110,I$110,$G259=$G$140,I$140,$G259=$G$142,I$142,$G259=$G$408,I$408)</f>
        <v>2.164879</v>
      </c>
      <c r="J259" s="51" cm="1">
        <f t="array" ref="J259">_xlfn.IFS($G259=$G$5,J$5,$G259=$G$7,J$7,$G259=$G$10,J$10,$G259=$G$13,J$13,$G259=$G$14,J$14,$G259=$G$16,J$16,$G259=$G$17,J$17,$G259=$G$19,J$19,$G259=$G$20,J$20,$G259=$G$22,J$22,$G259=$G$23,J$23,$G259=$G$26,J$26,$G259=$G$29,J$29,$G259=$G$31,J$31,$G259=$G$34,J$34,$G259=$G$37,J$37,$G259=$G$107,J$107,$G259=$G$110,J$110,$G259=$G$140,J$140,$G259=$G$142,J$142,$G259=$G$408,J$408)</f>
        <v>185</v>
      </c>
      <c r="K259" s="13" t="str" cm="1">
        <f t="array" ref="K259">_xlfn.IFS($G259=$G$5,K$5,$G259=$G$7,K$7,$G259=$G$10,K$10,$G259=$G$13,K$13,$G259=$G$14,K$14,$G259=$G$16,K$16,$G259=$G$17,K$17,$G259=$G$19,K$19,$G259=$G$20,K$20,$G259=$G$22,K$22,$G259=$G$23,K$23,$G259=$G$26,K$26,$G259=$G$29,K$29,$G259=$G$31,K$31,$G259=$G$34,K$34,$G259=$G$37,K$37,$G259=$G$107,K$107,$G259=$G$110,K$110,$G259=$G$140,K$140,$G259=$G$142,K$142,$G259=$G$408,K$408)</f>
        <v>BG sentinel + BG lure7</v>
      </c>
      <c r="O259" s="13" t="str">
        <f t="shared" si="23"/>
        <v>A_SP_BCN_12_220809</v>
      </c>
      <c r="P259" s="27">
        <v>44782</v>
      </c>
      <c r="Q259" s="29">
        <v>0.5</v>
      </c>
      <c r="R259" s="33"/>
      <c r="S259" s="27">
        <v>44789</v>
      </c>
      <c r="T259" s="29">
        <v>0.65972222222222221</v>
      </c>
      <c r="V259" s="13" t="s">
        <v>86</v>
      </c>
      <c r="X259" s="13">
        <f t="shared" si="20"/>
        <v>7</v>
      </c>
      <c r="Z259" s="13" t="s">
        <v>164</v>
      </c>
      <c r="AA259" s="13">
        <f t="shared" si="25"/>
        <v>18</v>
      </c>
      <c r="AB259" s="13" t="str">
        <f t="shared" si="21"/>
        <v>Adult</v>
      </c>
      <c r="AC259" s="13">
        <v>17</v>
      </c>
      <c r="AD259" s="13">
        <v>1</v>
      </c>
      <c r="AE259" s="13" t="str">
        <f t="shared" si="22"/>
        <v>Morphological</v>
      </c>
      <c r="AF259" s="2">
        <v>4</v>
      </c>
    </row>
    <row r="260" spans="1:32" x14ac:dyDescent="0.25">
      <c r="A260" s="13">
        <v>256</v>
      </c>
      <c r="B260" s="23" t="s">
        <v>56</v>
      </c>
      <c r="C260" s="23" t="s">
        <v>57</v>
      </c>
      <c r="D260" s="23" t="s">
        <v>58</v>
      </c>
      <c r="E260" s="23" t="s">
        <v>58</v>
      </c>
      <c r="F260" s="35" cm="1">
        <f t="array" ref="F260">_xlfn.IFS($G260=$G$5,F$5,$G260=$G$7,F$7,$G260=$G$10,F$10,$G260=$G$13,F$13,$G260=$G$14,F$14,$G260=$G$16,F$16,$G260=$G$17,F$17,$G260=$G$19,F$19,$G260=$G$20,F$20,$G260=$G$22,F$22,$G260=$G$23,F$23,$G260=$G$26,F$26,$G260=$G$29,F$29,$G260=$G$31,F$31,$G260=$G$34,F$34,$G260=$G$37,F$37,$G260=$G$107,F$107,$G260=$G$110,F$110,$G260=$G$140,F$140,$G260=$G$142,F$142,$G260=$G$408,F$408)</f>
        <v>8035</v>
      </c>
      <c r="G260" s="13" t="s">
        <v>70</v>
      </c>
      <c r="H260" s="51" cm="1">
        <f t="array" ref="H260">_xlfn.IFS($G260=$G$5,H$5,$G260=$G$7,H$7,$G260=$G$10,H$10,$G260=$G$13,H$13,$G260=$G$14,H$14,$G260=$G$16,H$16,$G260=$G$17,H$17,$G260=$G$19,H$19,$G260=$G$20,H$20,$G260=$G$22,H$22,$G260=$G$23,H$23,$G260=$G$26,H$26,$G260=$G$29,H$29,$G260=$G$31,H$31,$G260=$G$34,H$34,$G260=$G$37,H$37,$G260=$G$107,H$107,$G260=$G$110,H$110,$G260=$G$140,H$140,$G260=$G$142,H$142,$G260=$G$408,H$408)</f>
        <v>41.434472</v>
      </c>
      <c r="I260" s="51" cm="1">
        <f t="array" ref="I260">_xlfn.IFS($G260=$G$5,I$5,$G260=$G$7,I$7,$G260=$G$10,I$10,$G260=$G$13,I$13,$G260=$G$14,I$14,$G260=$G$16,I$16,$G260=$G$17,I$17,$G260=$G$19,I$19,$G260=$G$20,I$20,$G260=$G$22,I$22,$G260=$G$23,I$23,$G260=$G$26,I$26,$G260=$G$29,I$29,$G260=$G$31,I$31,$G260=$G$34,I$34,$G260=$G$37,I$37,$G260=$G$107,I$107,$G260=$G$110,I$110,$G260=$G$140,I$140,$G260=$G$142,I$142,$G260=$G$408,I$408)</f>
        <v>2.1315789999999999</v>
      </c>
      <c r="J260" s="51" cm="1">
        <f t="array" ref="J260">_xlfn.IFS($G260=$G$5,J$5,$G260=$G$7,J$7,$G260=$G$10,J$10,$G260=$G$13,J$13,$G260=$G$14,J$14,$G260=$G$16,J$16,$G260=$G$17,J$17,$G260=$G$19,J$19,$G260=$G$20,J$20,$G260=$G$22,J$22,$G260=$G$23,J$23,$G260=$G$26,J$26,$G260=$G$29,J$29,$G260=$G$31,J$31,$G260=$G$34,J$34,$G260=$G$37,J$37,$G260=$G$107,J$107,$G260=$G$110,J$110,$G260=$G$140,J$140,$G260=$G$142,J$142,$G260=$G$408,J$408)</f>
        <v>365</v>
      </c>
      <c r="K260" s="13" t="str" cm="1">
        <f t="array" ref="K260">_xlfn.IFS($G260=$G$5,K$5,$G260=$G$7,K$7,$G260=$G$10,K$10,$G260=$G$13,K$13,$G260=$G$14,K$14,$G260=$G$16,K$16,$G260=$G$17,K$17,$G260=$G$19,K$19,$G260=$G$20,K$20,$G260=$G$22,K$22,$G260=$G$23,K$23,$G260=$G$26,K$26,$G260=$G$29,K$29,$G260=$G$31,K$31,$G260=$G$34,K$34,$G260=$G$37,K$37,$G260=$G$107,K$107,$G260=$G$110,K$110,$G260=$G$140,K$140,$G260=$G$142,K$142,$G260=$G$408,K$408)</f>
        <v>BG sentinel + BG lure7</v>
      </c>
      <c r="O260" s="13" t="str">
        <f t="shared" si="23"/>
        <v>A_SP_BCN_13_220809</v>
      </c>
      <c r="P260" s="27">
        <v>44782</v>
      </c>
      <c r="Q260" s="29">
        <v>0.53472222222222221</v>
      </c>
      <c r="R260" s="33"/>
      <c r="S260" s="27">
        <v>44789</v>
      </c>
      <c r="T260" s="29">
        <v>0.70833333333333337</v>
      </c>
      <c r="V260" s="13" t="s">
        <v>86</v>
      </c>
      <c r="W260" s="15" t="s">
        <v>209</v>
      </c>
      <c r="X260" s="13">
        <f t="shared" si="20"/>
        <v>7</v>
      </c>
      <c r="Z260" s="32" t="s">
        <v>163</v>
      </c>
      <c r="AA260" s="13">
        <f t="shared" si="25"/>
        <v>1</v>
      </c>
      <c r="AB260" s="13" t="str">
        <f t="shared" si="21"/>
        <v>Adult</v>
      </c>
      <c r="AC260" s="13">
        <v>1</v>
      </c>
      <c r="AD260" s="13">
        <v>0</v>
      </c>
      <c r="AE260" s="13" t="str">
        <f t="shared" si="22"/>
        <v>Morphological</v>
      </c>
      <c r="AF260" s="2">
        <v>2</v>
      </c>
    </row>
    <row r="261" spans="1:32" x14ac:dyDescent="0.25">
      <c r="A261" s="13">
        <v>257</v>
      </c>
      <c r="B261" s="23" t="s">
        <v>56</v>
      </c>
      <c r="C261" s="23" t="s">
        <v>57</v>
      </c>
      <c r="D261" s="23" t="s">
        <v>58</v>
      </c>
      <c r="E261" s="23" t="s">
        <v>58</v>
      </c>
      <c r="F261" s="35" cm="1">
        <f t="array" ref="F261">_xlfn.IFS($G261=$G$5,F$5,$G261=$G$7,F$7,$G261=$G$10,F$10,$G261=$G$13,F$13,$G261=$G$14,F$14,$G261=$G$16,F$16,$G261=$G$17,F$17,$G261=$G$19,F$19,$G261=$G$20,F$20,$G261=$G$22,F$22,$G261=$G$23,F$23,$G261=$G$26,F$26,$G261=$G$29,F$29,$G261=$G$31,F$31,$G261=$G$34,F$34,$G261=$G$37,F$37,$G261=$G$107,F$107,$G261=$G$110,F$110,$G261=$G$140,F$140,$G261=$G$142,F$142,$G261=$G$408,F$408)</f>
        <v>8017</v>
      </c>
      <c r="G261" s="13" t="s">
        <v>71</v>
      </c>
      <c r="H261" s="51" cm="1">
        <f t="array" ref="H261">_xlfn.IFS($G261=$G$5,H$5,$G261=$G$7,H$7,$G261=$G$10,H$10,$G261=$G$13,H$13,$G261=$G$14,H$14,$G261=$G$16,H$16,$G261=$G$17,H$17,$G261=$G$19,H$19,$G261=$G$20,H$20,$G261=$G$22,H$22,$G261=$G$23,H$23,$G261=$G$26,H$26,$G261=$G$29,H$29,$G261=$G$31,H$31,$G261=$G$34,H$34,$G261=$G$37,H$37,$G261=$G$107,H$107,$G261=$G$110,H$110,$G261=$G$140,H$140,$G261=$G$142,H$142,$G261=$G$408,H$408)</f>
        <v>41.428533999999999</v>
      </c>
      <c r="I261" s="51" cm="1">
        <f t="array" ref="I261">_xlfn.IFS($G261=$G$5,I$5,$G261=$G$7,I$7,$G261=$G$10,I$10,$G261=$G$13,I$13,$G261=$G$14,I$14,$G261=$G$16,I$16,$G261=$G$17,I$17,$G261=$G$19,I$19,$G261=$G$20,I$20,$G261=$G$22,I$22,$G261=$G$23,I$23,$G261=$G$26,I$26,$G261=$G$29,I$29,$G261=$G$31,I$31,$G261=$G$34,I$34,$G261=$G$37,I$37,$G261=$G$107,I$107,$G261=$G$110,I$110,$G261=$G$140,I$140,$G261=$G$142,I$142,$G261=$G$408,I$408)</f>
        <v>2.090954</v>
      </c>
      <c r="J261" s="51" cm="1">
        <f t="array" ref="J261">_xlfn.IFS($G261=$G$5,J$5,$G261=$G$7,J$7,$G261=$G$10,J$10,$G261=$G$13,J$13,$G261=$G$14,J$14,$G261=$G$16,J$16,$G261=$G$17,J$17,$G261=$G$19,J$19,$G261=$G$20,J$20,$G261=$G$22,J$22,$G261=$G$23,J$23,$G261=$G$26,J$26,$G261=$G$29,J$29,$G261=$G$31,J$31,$G261=$G$34,J$34,$G261=$G$37,J$37,$G261=$G$107,J$107,$G261=$G$110,J$110,$G261=$G$140,J$140,$G261=$G$142,J$142,$G261=$G$408,J$408)</f>
        <v>215</v>
      </c>
      <c r="K261" s="13" t="str" cm="1">
        <f t="array" ref="K261">_xlfn.IFS($G261=$G$5,K$5,$G261=$G$7,K$7,$G261=$G$10,K$10,$G261=$G$13,K$13,$G261=$G$14,K$14,$G261=$G$16,K$16,$G261=$G$17,K$17,$G261=$G$19,K$19,$G261=$G$20,K$20,$G261=$G$22,K$22,$G261=$G$23,K$23,$G261=$G$26,K$26,$G261=$G$29,K$29,$G261=$G$31,K$31,$G261=$G$34,K$34,$G261=$G$37,K$37,$G261=$G$107,K$107,$G261=$G$110,K$110,$G261=$G$140,K$140,$G261=$G$142,K$142,$G261=$G$408,K$408)</f>
        <v>BG sentinel + BG lure7</v>
      </c>
      <c r="O261" s="13" t="str">
        <f t="shared" si="23"/>
        <v>A_SP_BCN_14_220809</v>
      </c>
      <c r="P261" s="27">
        <v>44782</v>
      </c>
      <c r="Q261" s="29">
        <v>0.65625</v>
      </c>
      <c r="R261" s="33"/>
      <c r="S261" s="27">
        <v>44789</v>
      </c>
      <c r="T261" s="29">
        <v>0.74305555555555547</v>
      </c>
      <c r="V261" s="13" t="s">
        <v>86</v>
      </c>
      <c r="W261" s="15" t="s">
        <v>80</v>
      </c>
      <c r="X261" s="13">
        <f t="shared" si="20"/>
        <v>7</v>
      </c>
      <c r="Z261" s="13" t="s">
        <v>60</v>
      </c>
      <c r="AA261" s="13">
        <f t="shared" si="25"/>
        <v>16</v>
      </c>
      <c r="AB261" s="13" t="str">
        <f t="shared" si="21"/>
        <v>Adult</v>
      </c>
      <c r="AC261" s="13">
        <v>16</v>
      </c>
      <c r="AD261" s="13">
        <v>0</v>
      </c>
      <c r="AE261" s="13" t="str">
        <f t="shared" si="22"/>
        <v>Morphological</v>
      </c>
      <c r="AF261" s="2">
        <v>3</v>
      </c>
    </row>
    <row r="262" spans="1:32" x14ac:dyDescent="0.25">
      <c r="A262" s="13">
        <v>258</v>
      </c>
      <c r="B262" s="23" t="s">
        <v>56</v>
      </c>
      <c r="C262" s="23" t="s">
        <v>57</v>
      </c>
      <c r="D262" s="23" t="s">
        <v>58</v>
      </c>
      <c r="E262" s="23" t="s">
        <v>58</v>
      </c>
      <c r="F262" s="35" cm="1">
        <f t="array" ref="F262">_xlfn.IFS($G262=$G$5,F$5,$G262=$G$7,F$7,$G262=$G$10,F$10,$G262=$G$13,F$13,$G262=$G$14,F$14,$G262=$G$16,F$16,$G262=$G$17,F$17,$G262=$G$19,F$19,$G262=$G$20,F$20,$G262=$G$22,F$22,$G262=$G$23,F$23,$G262=$G$26,F$26,$G262=$G$29,F$29,$G262=$G$31,F$31,$G262=$G$34,F$34,$G262=$G$37,F$37,$G262=$G$107,F$107,$G262=$G$110,F$110,$G262=$G$140,F$140,$G262=$G$142,F$142,$G262=$G$408,F$408)</f>
        <v>8017</v>
      </c>
      <c r="G262" s="13" t="s">
        <v>72</v>
      </c>
      <c r="H262" s="51" cm="1">
        <f t="array" ref="H262">_xlfn.IFS($G262=$G$5,H$5,$G262=$G$7,H$7,$G262=$G$10,H$10,$G262=$G$13,H$13,$G262=$G$14,H$14,$G262=$G$16,H$16,$G262=$G$17,H$17,$G262=$G$19,H$19,$G262=$G$20,H$20,$G262=$G$22,H$22,$G262=$G$23,H$23,$G262=$G$26,H$26,$G262=$G$29,H$29,$G262=$G$31,H$31,$G262=$G$34,H$34,$G262=$G$37,H$37,$G262=$G$107,H$107,$G262=$G$110,H$110,$G262=$G$140,H$140,$G262=$G$142,H$142,$G262=$G$408,H$408)</f>
        <v>41.419471000000001</v>
      </c>
      <c r="I262" s="51" cm="1">
        <f t="array" ref="I262">_xlfn.IFS($G262=$G$5,I$5,$G262=$G$7,I$7,$G262=$G$10,I$10,$G262=$G$13,I$13,$G262=$G$14,I$14,$G262=$G$16,I$16,$G262=$G$17,I$17,$G262=$G$19,I$19,$G262=$G$20,I$20,$G262=$G$22,I$22,$G262=$G$23,I$23,$G262=$G$26,I$26,$G262=$G$29,I$29,$G262=$G$31,I$31,$G262=$G$34,I$34,$G262=$G$37,I$37,$G262=$G$107,I$107,$G262=$G$110,I$110,$G262=$G$140,I$140,$G262=$G$142,I$142,$G262=$G$408,I$408)</f>
        <v>2.1010149999999999</v>
      </c>
      <c r="J262" s="51" cm="1">
        <f t="array" ref="J262">_xlfn.IFS($G262=$G$5,J$5,$G262=$G$7,J$7,$G262=$G$10,J$10,$G262=$G$13,J$13,$G262=$G$14,J$14,$G262=$G$16,J$16,$G262=$G$17,J$17,$G262=$G$19,J$19,$G262=$G$20,J$20,$G262=$G$22,J$22,$G262=$G$23,J$23,$G262=$G$26,J$26,$G262=$G$29,J$29,$G262=$G$31,J$31,$G262=$G$34,J$34,$G262=$G$37,J$37,$G262=$G$107,J$107,$G262=$G$110,J$110,$G262=$G$140,J$140,$G262=$G$142,J$142,$G262=$G$408,J$408)</f>
        <v>284</v>
      </c>
      <c r="K262" s="13" t="str" cm="1">
        <f t="array" ref="K262">_xlfn.IFS($G262=$G$5,K$5,$G262=$G$7,K$7,$G262=$G$10,K$10,$G262=$G$13,K$13,$G262=$G$14,K$14,$G262=$G$16,K$16,$G262=$G$17,K$17,$G262=$G$19,K$19,$G262=$G$20,K$20,$G262=$G$22,K$22,$G262=$G$23,K$23,$G262=$G$26,K$26,$G262=$G$29,K$29,$G262=$G$31,K$31,$G262=$G$34,K$34,$G262=$G$37,K$37,$G262=$G$107,K$107,$G262=$G$110,K$110,$G262=$G$140,K$140,$G262=$G$142,K$142,$G262=$G$408,K$408)</f>
        <v>BG sentinel + BG lure7</v>
      </c>
      <c r="O262" s="13" t="str">
        <f t="shared" si="23"/>
        <v>A_SP_BCN_15_220809</v>
      </c>
      <c r="P262" s="27">
        <v>44782</v>
      </c>
      <c r="Q262" s="29">
        <v>0.54513888888888895</v>
      </c>
      <c r="R262" s="33"/>
      <c r="S262" s="27">
        <v>44789</v>
      </c>
      <c r="T262" s="29">
        <v>0.72222222222222221</v>
      </c>
      <c r="V262" s="13" t="s">
        <v>86</v>
      </c>
      <c r="X262" s="13">
        <f t="shared" ref="X262:X325" si="26">S262-P262</f>
        <v>7</v>
      </c>
      <c r="Z262" s="13" t="s">
        <v>60</v>
      </c>
      <c r="AA262" s="13">
        <f t="shared" si="25"/>
        <v>3</v>
      </c>
      <c r="AB262" s="13" t="str">
        <f t="shared" ref="AB262:AB325" si="27">IF(AA262=0,"",IF(AA262="","",IF(AA262&gt;0,"Adult")))</f>
        <v>Adult</v>
      </c>
      <c r="AC262" s="13">
        <v>3</v>
      </c>
      <c r="AD262" s="13">
        <v>0</v>
      </c>
      <c r="AE262" s="13" t="str">
        <f t="shared" ref="AE262:AE325" si="28">IF(AA262=0,"",IF(AA262="","",IF(AA262&gt;0,"Morphological")))</f>
        <v>Morphological</v>
      </c>
      <c r="AF262" s="2">
        <v>4</v>
      </c>
    </row>
    <row r="263" spans="1:32" x14ac:dyDescent="0.25">
      <c r="A263" s="13">
        <v>259</v>
      </c>
      <c r="B263" s="23" t="s">
        <v>56</v>
      </c>
      <c r="C263" s="23" t="s">
        <v>57</v>
      </c>
      <c r="D263" s="23" t="s">
        <v>58</v>
      </c>
      <c r="E263" s="23" t="s">
        <v>58</v>
      </c>
      <c r="F263" s="35" cm="1">
        <f t="array" ref="F263">_xlfn.IFS($G263=$G$5,F$5,$G263=$G$7,F$7,$G263=$G$10,F$10,$G263=$G$13,F$13,$G263=$G$14,F$14,$G263=$G$16,F$16,$G263=$G$17,F$17,$G263=$G$19,F$19,$G263=$G$20,F$20,$G263=$G$22,F$22,$G263=$G$23,F$23,$G263=$G$26,F$26,$G263=$G$29,F$29,$G263=$G$31,F$31,$G263=$G$34,F$34,$G263=$G$37,F$37,$G263=$G$107,F$107,$G263=$G$110,F$110,$G263=$G$140,F$140,$G263=$G$142,F$142,$G263=$G$408,F$408)</f>
        <v>8017</v>
      </c>
      <c r="G263" s="13" t="s">
        <v>72</v>
      </c>
      <c r="H263" s="51" cm="1">
        <f t="array" ref="H263">_xlfn.IFS($G263=$G$5,H$5,$G263=$G$7,H$7,$G263=$G$10,H$10,$G263=$G$13,H$13,$G263=$G$14,H$14,$G263=$G$16,H$16,$G263=$G$17,H$17,$G263=$G$19,H$19,$G263=$G$20,H$20,$G263=$G$22,H$22,$G263=$G$23,H$23,$G263=$G$26,H$26,$G263=$G$29,H$29,$G263=$G$31,H$31,$G263=$G$34,H$34,$G263=$G$37,H$37,$G263=$G$107,H$107,$G263=$G$110,H$110,$G263=$G$140,H$140,$G263=$G$142,H$142,$G263=$G$408,H$408)</f>
        <v>41.419471000000001</v>
      </c>
      <c r="I263" s="51" cm="1">
        <f t="array" ref="I263">_xlfn.IFS($G263=$G$5,I$5,$G263=$G$7,I$7,$G263=$G$10,I$10,$G263=$G$13,I$13,$G263=$G$14,I$14,$G263=$G$16,I$16,$G263=$G$17,I$17,$G263=$G$19,I$19,$G263=$G$20,I$20,$G263=$G$22,I$22,$G263=$G$23,I$23,$G263=$G$26,I$26,$G263=$G$29,I$29,$G263=$G$31,I$31,$G263=$G$34,I$34,$G263=$G$37,I$37,$G263=$G$107,I$107,$G263=$G$110,I$110,$G263=$G$140,I$140,$G263=$G$142,I$142,$G263=$G$408,I$408)</f>
        <v>2.1010149999999999</v>
      </c>
      <c r="J263" s="51" cm="1">
        <f t="array" ref="J263">_xlfn.IFS($G263=$G$5,J$5,$G263=$G$7,J$7,$G263=$G$10,J$10,$G263=$G$13,J$13,$G263=$G$14,J$14,$G263=$G$16,J$16,$G263=$G$17,J$17,$G263=$G$19,J$19,$G263=$G$20,J$20,$G263=$G$22,J$22,$G263=$G$23,J$23,$G263=$G$26,J$26,$G263=$G$29,J$29,$G263=$G$31,J$31,$G263=$G$34,J$34,$G263=$G$37,J$37,$G263=$G$107,J$107,$G263=$G$110,J$110,$G263=$G$140,J$140,$G263=$G$142,J$142,$G263=$G$408,J$408)</f>
        <v>284</v>
      </c>
      <c r="K263" s="13" t="str" cm="1">
        <f t="array" ref="K263">_xlfn.IFS($G263=$G$5,K$5,$G263=$G$7,K$7,$G263=$G$10,K$10,$G263=$G$13,K$13,$G263=$G$14,K$14,$G263=$G$16,K$16,$G263=$G$17,K$17,$G263=$G$19,K$19,$G263=$G$20,K$20,$G263=$G$22,K$22,$G263=$G$23,K$23,$G263=$G$26,K$26,$G263=$G$29,K$29,$G263=$G$31,K$31,$G263=$G$34,K$34,$G263=$G$37,K$37,$G263=$G$107,K$107,$G263=$G$110,K$110,$G263=$G$140,K$140,$G263=$G$142,K$142,$G263=$G$408,K$408)</f>
        <v>BG sentinel + BG lure7</v>
      </c>
      <c r="O263" s="13" t="str">
        <f t="shared" si="23"/>
        <v>A_SP_BCN_15_220809</v>
      </c>
      <c r="P263" s="27">
        <v>44782</v>
      </c>
      <c r="Q263" s="29">
        <v>0.54513888888888895</v>
      </c>
      <c r="R263" s="33"/>
      <c r="S263" s="27">
        <v>44789</v>
      </c>
      <c r="T263" s="29">
        <v>0.72222222222222221</v>
      </c>
      <c r="V263" s="13" t="s">
        <v>86</v>
      </c>
      <c r="X263" s="13">
        <f t="shared" si="26"/>
        <v>7</v>
      </c>
      <c r="Z263" s="32" t="s">
        <v>163</v>
      </c>
      <c r="AA263" s="13">
        <f t="shared" si="25"/>
        <v>1</v>
      </c>
      <c r="AB263" s="13" t="str">
        <f t="shared" si="27"/>
        <v>Adult</v>
      </c>
      <c r="AC263" s="13">
        <v>0</v>
      </c>
      <c r="AD263" s="13">
        <v>1</v>
      </c>
      <c r="AE263" s="13" t="str">
        <f t="shared" si="28"/>
        <v>Morphological</v>
      </c>
      <c r="AF263" s="2">
        <v>4</v>
      </c>
    </row>
    <row r="264" spans="1:32" x14ac:dyDescent="0.25">
      <c r="A264" s="13">
        <v>260</v>
      </c>
      <c r="B264" s="23" t="s">
        <v>56</v>
      </c>
      <c r="C264" s="23" t="s">
        <v>57</v>
      </c>
      <c r="D264" s="23" t="s">
        <v>58</v>
      </c>
      <c r="E264" s="23" t="s">
        <v>58</v>
      </c>
      <c r="F264" s="35" cm="1">
        <f t="array" ref="F264">_xlfn.IFS($G264=$G$5,F$5,$G264=$G$7,F$7,$G264=$G$10,F$10,$G264=$G$13,F$13,$G264=$G$14,F$14,$G264=$G$16,F$16,$G264=$G$17,F$17,$G264=$G$19,F$19,$G264=$G$20,F$20,$G264=$G$22,F$22,$G264=$G$23,F$23,$G264=$G$26,F$26,$G264=$G$29,F$29,$G264=$G$31,F$31,$G264=$G$34,F$34,$G264=$G$37,F$37,$G264=$G$107,F$107,$G264=$G$110,F$110,$G264=$G$140,F$140,$G264=$G$142,F$142,$G264=$G$408,F$408)</f>
        <v>8038</v>
      </c>
      <c r="G264" s="13" t="s">
        <v>76</v>
      </c>
      <c r="H264" s="51" cm="1">
        <f t="array" ref="H264">_xlfn.IFS($G264=$G$5,H$5,$G264=$G$7,H$7,$G264=$G$10,H$10,$G264=$G$13,H$13,$G264=$G$14,H$14,$G264=$G$16,H$16,$G264=$G$17,H$17,$G264=$G$19,H$19,$G264=$G$20,H$20,$G264=$G$22,H$22,$G264=$G$23,H$23,$G264=$G$26,H$26,$G264=$G$29,H$29,$G264=$G$31,H$31,$G264=$G$34,H$34,$G264=$G$37,H$37,$G264=$G$107,H$107,$G264=$G$110,H$110,$G264=$G$140,H$140,$G264=$G$142,H$142,$G264=$G$408,H$408)</f>
        <v>41.359864999999999</v>
      </c>
      <c r="I264" s="51" cm="1">
        <f t="array" ref="I264">_xlfn.IFS($G264=$G$5,I$5,$G264=$G$7,I$7,$G264=$G$10,I$10,$G264=$G$13,I$13,$G264=$G$14,I$14,$G264=$G$16,I$16,$G264=$G$17,I$17,$G264=$G$19,I$19,$G264=$G$20,I$20,$G264=$G$22,I$22,$G264=$G$23,I$23,$G264=$G$26,I$26,$G264=$G$29,I$29,$G264=$G$31,I$31,$G264=$G$34,I$34,$G264=$G$37,I$37,$G264=$G$107,I$107,$G264=$G$110,I$110,$G264=$G$140,I$140,$G264=$G$142,I$142,$G264=$G$408,I$408)</f>
        <v>2.1445430000000001</v>
      </c>
      <c r="J264" s="51" cm="1">
        <f t="array" ref="J264">_xlfn.IFS($G264=$G$5,J$5,$G264=$G$7,J$7,$G264=$G$10,J$10,$G264=$G$13,J$13,$G264=$G$14,J$14,$G264=$G$16,J$16,$G264=$G$17,J$17,$G264=$G$19,J$19,$G264=$G$20,J$20,$G264=$G$22,J$22,$G264=$G$23,J$23,$G264=$G$26,J$26,$G264=$G$29,J$29,$G264=$G$31,J$31,$G264=$G$34,J$34,$G264=$G$37,J$37,$G264=$G$107,J$107,$G264=$G$110,J$110,$G264=$G$140,J$140,$G264=$G$142,J$142,$G264=$G$408,J$408)</f>
        <v>11.4</v>
      </c>
      <c r="K264" s="13" t="str" cm="1">
        <f t="array" ref="K264">_xlfn.IFS($G264=$G$5,K$5,$G264=$G$7,K$7,$G264=$G$10,K$10,$G264=$G$13,K$13,$G264=$G$14,K$14,$G264=$G$16,K$16,$G264=$G$17,K$17,$G264=$G$19,K$19,$G264=$G$20,K$20,$G264=$G$22,K$22,$G264=$G$23,K$23,$G264=$G$26,K$26,$G264=$G$29,K$29,$G264=$G$31,K$31,$G264=$G$34,K$34,$G264=$G$37,K$37,$G264=$G$107,K$107,$G264=$G$110,K$110,$G264=$G$140,K$140,$G264=$G$142,K$142,$G264=$G$408,K$408)</f>
        <v>BG sentinel + BG lure7</v>
      </c>
      <c r="O264" s="13" t="str">
        <f t="shared" si="23"/>
        <v>A_SP_BCN_19_220809</v>
      </c>
      <c r="P264" s="42">
        <v>44782</v>
      </c>
      <c r="Q264" s="36">
        <v>0.47916666666666669</v>
      </c>
      <c r="R264" s="43"/>
      <c r="S264" s="42">
        <v>44789</v>
      </c>
      <c r="T264" s="36">
        <v>0.61458333333333337</v>
      </c>
      <c r="U264" s="44"/>
      <c r="V264" s="44" t="s">
        <v>160</v>
      </c>
      <c r="W264" s="16" t="s">
        <v>181</v>
      </c>
      <c r="X264" s="13">
        <f t="shared" si="26"/>
        <v>7</v>
      </c>
      <c r="AB264" s="13" t="str">
        <f t="shared" si="27"/>
        <v/>
      </c>
      <c r="AE264" s="13" t="str">
        <f t="shared" si="28"/>
        <v/>
      </c>
      <c r="AF264" s="2">
        <v>1</v>
      </c>
    </row>
    <row r="265" spans="1:32" x14ac:dyDescent="0.25">
      <c r="A265" s="13">
        <v>261</v>
      </c>
      <c r="B265" s="23" t="s">
        <v>56</v>
      </c>
      <c r="C265" s="23" t="s">
        <v>57</v>
      </c>
      <c r="D265" s="23" t="s">
        <v>58</v>
      </c>
      <c r="E265" s="23" t="s">
        <v>58</v>
      </c>
      <c r="F265" s="35" cm="1">
        <f t="array" ref="F265">_xlfn.IFS($G265=$G$5,F$5,$G265=$G$7,F$7,$G265=$G$10,F$10,$G265=$G$13,F$13,$G265=$G$14,F$14,$G265=$G$16,F$16,$G265=$G$17,F$17,$G265=$G$19,F$19,$G265=$G$20,F$20,$G265=$G$22,F$22,$G265=$G$23,F$23,$G265=$G$26,F$26,$G265=$G$29,F$29,$G265=$G$31,F$31,$G265=$G$34,F$34,$G265=$G$37,F$37,$G265=$G$107,F$107,$G265=$G$110,F$110,$G265=$G$140,F$140,$G265=$G$142,F$142,$G265=$G$408,F$408)</f>
        <v>8017</v>
      </c>
      <c r="G265" s="13" t="s">
        <v>77</v>
      </c>
      <c r="H265" s="51" cm="1">
        <f t="array" ref="H265">_xlfn.IFS($G265=$G$5,H$5,$G265=$G$7,H$7,$G265=$G$10,H$10,$G265=$G$13,H$13,$G265=$G$14,H$14,$G265=$G$16,H$16,$G265=$G$17,H$17,$G265=$G$19,H$19,$G265=$G$20,H$20,$G265=$G$22,H$22,$G265=$G$23,H$23,$G265=$G$26,H$26,$G265=$G$29,H$29,$G265=$G$31,H$31,$G265=$G$34,H$34,$G265=$G$37,H$37,$G265=$G$107,H$107,$G265=$G$110,H$110,$G265=$G$140,H$140,$G265=$G$142,H$142,$G265=$G$408,H$408)</f>
        <v>41.430315999999998</v>
      </c>
      <c r="I265" s="51" cm="1">
        <f t="array" ref="I265">_xlfn.IFS($G265=$G$5,I$5,$G265=$G$7,I$7,$G265=$G$10,I$10,$G265=$G$13,I$13,$G265=$G$14,I$14,$G265=$G$16,I$16,$G265=$G$17,I$17,$G265=$G$19,I$19,$G265=$G$20,I$20,$G265=$G$22,I$22,$G265=$G$23,I$23,$G265=$G$26,I$26,$G265=$G$29,I$29,$G265=$G$31,I$31,$G265=$G$34,I$34,$G265=$G$37,I$37,$G265=$G$107,I$107,$G265=$G$110,I$110,$G265=$G$140,I$140,$G265=$G$142,I$142,$G265=$G$408,I$408)</f>
        <v>2.077556</v>
      </c>
      <c r="J265" s="51" cm="1">
        <f t="array" ref="J265">_xlfn.IFS($G265=$G$5,J$5,$G265=$G$7,J$7,$G265=$G$10,J$10,$G265=$G$13,J$13,$G265=$G$14,J$14,$G265=$G$16,J$16,$G265=$G$17,J$17,$G265=$G$19,J$19,$G265=$G$20,J$20,$G265=$G$22,J$22,$G265=$G$23,J$23,$G265=$G$26,J$26,$G265=$G$29,J$29,$G265=$G$31,J$31,$G265=$G$34,J$34,$G265=$G$37,J$37,$G265=$G$107,J$107,$G265=$G$110,J$110,$G265=$G$140,J$140,$G265=$G$142,J$142,$G265=$G$408,J$408)</f>
        <v>243.3</v>
      </c>
      <c r="K265" s="13" t="str" cm="1">
        <f t="array" ref="K265">_xlfn.IFS($G265=$G$5,K$5,$G265=$G$7,K$7,$G265=$G$10,K$10,$G265=$G$13,K$13,$G265=$G$14,K$14,$G265=$G$16,K$16,$G265=$G$17,K$17,$G265=$G$19,K$19,$G265=$G$20,K$20,$G265=$G$22,K$22,$G265=$G$23,K$23,$G265=$G$26,K$26,$G265=$G$29,K$29,$G265=$G$31,K$31,$G265=$G$34,K$34,$G265=$G$37,K$37,$G265=$G$107,K$107,$G265=$G$110,K$110,$G265=$G$140,K$140,$G265=$G$142,K$142,$G265=$G$408,K$408)</f>
        <v>BG sentinel + BG lure7</v>
      </c>
      <c r="O265" s="13" t="str">
        <f t="shared" si="23"/>
        <v>A_SP_BCN_22_220809</v>
      </c>
      <c r="P265" s="45">
        <v>44782</v>
      </c>
      <c r="Q265" s="29">
        <v>0.64583333333333337</v>
      </c>
      <c r="R265" s="43"/>
      <c r="S265" s="45">
        <v>44789</v>
      </c>
      <c r="T265" s="29">
        <v>0.73263888888888884</v>
      </c>
      <c r="U265" s="44"/>
      <c r="V265" s="44" t="s">
        <v>86</v>
      </c>
      <c r="W265" s="46" t="s">
        <v>120</v>
      </c>
      <c r="X265" s="13">
        <f t="shared" si="26"/>
        <v>7</v>
      </c>
      <c r="Z265" s="13" t="s">
        <v>60</v>
      </c>
      <c r="AA265" s="13">
        <f t="shared" ref="AA265:AA310" si="29">SUM(AC265:AD265)</f>
        <v>4</v>
      </c>
      <c r="AB265" s="13" t="str">
        <f t="shared" si="27"/>
        <v>Adult</v>
      </c>
      <c r="AC265" s="13">
        <v>4</v>
      </c>
      <c r="AD265" s="13">
        <v>0</v>
      </c>
      <c r="AE265" s="13" t="str">
        <f t="shared" si="28"/>
        <v>Morphological</v>
      </c>
      <c r="AF265" s="2">
        <v>3</v>
      </c>
    </row>
    <row r="266" spans="1:32" x14ac:dyDescent="0.25">
      <c r="A266" s="13">
        <v>262</v>
      </c>
      <c r="B266" s="23" t="s">
        <v>56</v>
      </c>
      <c r="C266" s="23" t="s">
        <v>57</v>
      </c>
      <c r="D266" s="23" t="s">
        <v>58</v>
      </c>
      <c r="E266" s="23" t="s">
        <v>58</v>
      </c>
      <c r="F266" s="35" cm="1">
        <f t="array" ref="F266">_xlfn.IFS($G266=$G$5,F$5,$G266=$G$7,F$7,$G266=$G$10,F$10,$G266=$G$13,F$13,$G266=$G$14,F$14,$G266=$G$16,F$16,$G266=$G$17,F$17,$G266=$G$19,F$19,$G266=$G$20,F$20,$G266=$G$22,F$22,$G266=$G$23,F$23,$G266=$G$26,F$26,$G266=$G$29,F$29,$G266=$G$31,F$31,$G266=$G$34,F$34,$G266=$G$37,F$37,$G266=$G$107,F$107,$G266=$G$110,F$110,$G266=$G$140,F$140,$G266=$G$142,F$142,$G266=$G$408,F$408)</f>
        <v>8017</v>
      </c>
      <c r="G266" s="13" t="s">
        <v>77</v>
      </c>
      <c r="H266" s="51" cm="1">
        <f t="array" ref="H266">_xlfn.IFS($G266=$G$5,H$5,$G266=$G$7,H$7,$G266=$G$10,H$10,$G266=$G$13,H$13,$G266=$G$14,H$14,$G266=$G$16,H$16,$G266=$G$17,H$17,$G266=$G$19,H$19,$G266=$G$20,H$20,$G266=$G$22,H$22,$G266=$G$23,H$23,$G266=$G$26,H$26,$G266=$G$29,H$29,$G266=$G$31,H$31,$G266=$G$34,H$34,$G266=$G$37,H$37,$G266=$G$107,H$107,$G266=$G$110,H$110,$G266=$G$140,H$140,$G266=$G$142,H$142,$G266=$G$408,H$408)</f>
        <v>41.430315999999998</v>
      </c>
      <c r="I266" s="51" cm="1">
        <f t="array" ref="I266">_xlfn.IFS($G266=$G$5,I$5,$G266=$G$7,I$7,$G266=$G$10,I$10,$G266=$G$13,I$13,$G266=$G$14,I$14,$G266=$G$16,I$16,$G266=$G$17,I$17,$G266=$G$19,I$19,$G266=$G$20,I$20,$G266=$G$22,I$22,$G266=$G$23,I$23,$G266=$G$26,I$26,$G266=$G$29,I$29,$G266=$G$31,I$31,$G266=$G$34,I$34,$G266=$G$37,I$37,$G266=$G$107,I$107,$G266=$G$110,I$110,$G266=$G$140,I$140,$G266=$G$142,I$142,$G266=$G$408,I$408)</f>
        <v>2.077556</v>
      </c>
      <c r="J266" s="51" cm="1">
        <f t="array" ref="J266">_xlfn.IFS($G266=$G$5,J$5,$G266=$G$7,J$7,$G266=$G$10,J$10,$G266=$G$13,J$13,$G266=$G$14,J$14,$G266=$G$16,J$16,$G266=$G$17,J$17,$G266=$G$19,J$19,$G266=$G$20,J$20,$G266=$G$22,J$22,$G266=$G$23,J$23,$G266=$G$26,J$26,$G266=$G$29,J$29,$G266=$G$31,J$31,$G266=$G$34,J$34,$G266=$G$37,J$37,$G266=$G$107,J$107,$G266=$G$110,J$110,$G266=$G$140,J$140,$G266=$G$142,J$142,$G266=$G$408,J$408)</f>
        <v>243.3</v>
      </c>
      <c r="K266" s="13" t="str" cm="1">
        <f t="array" ref="K266">_xlfn.IFS($G266=$G$5,K$5,$G266=$G$7,K$7,$G266=$G$10,K$10,$G266=$G$13,K$13,$G266=$G$14,K$14,$G266=$G$16,K$16,$G266=$G$17,K$17,$G266=$G$19,K$19,$G266=$G$20,K$20,$G266=$G$22,K$22,$G266=$G$23,K$23,$G266=$G$26,K$26,$G266=$G$29,K$29,$G266=$G$31,K$31,$G266=$G$34,K$34,$G266=$G$37,K$37,$G266=$G$107,K$107,$G266=$G$110,K$110,$G266=$G$140,K$140,$G266=$G$142,K$142,$G266=$G$408,K$408)</f>
        <v>BG sentinel + BG lure7</v>
      </c>
      <c r="O266" s="13" t="str">
        <f t="shared" si="23"/>
        <v>A_SP_BCN_22_220809</v>
      </c>
      <c r="P266" s="27">
        <v>44782</v>
      </c>
      <c r="Q266" s="29">
        <v>0.64583333333333337</v>
      </c>
      <c r="R266" s="33"/>
      <c r="S266" s="27">
        <v>44789</v>
      </c>
      <c r="T266" s="29">
        <v>0.73263888888888884</v>
      </c>
      <c r="V266" s="13" t="s">
        <v>86</v>
      </c>
      <c r="W266" s="15" t="s">
        <v>121</v>
      </c>
      <c r="X266" s="13">
        <f t="shared" si="26"/>
        <v>7</v>
      </c>
      <c r="Z266" s="13" t="s">
        <v>164</v>
      </c>
      <c r="AA266" s="13">
        <f t="shared" si="29"/>
        <v>2</v>
      </c>
      <c r="AB266" s="13" t="str">
        <f t="shared" si="27"/>
        <v>Adult</v>
      </c>
      <c r="AC266" s="13">
        <v>1</v>
      </c>
      <c r="AD266" s="13">
        <v>1</v>
      </c>
      <c r="AE266" s="13" t="str">
        <f t="shared" si="28"/>
        <v>Morphological</v>
      </c>
      <c r="AF266" s="2">
        <v>3</v>
      </c>
    </row>
    <row r="267" spans="1:32" x14ac:dyDescent="0.25">
      <c r="A267" s="13">
        <v>263</v>
      </c>
      <c r="B267" s="23" t="s">
        <v>56</v>
      </c>
      <c r="C267" s="23" t="s">
        <v>57</v>
      </c>
      <c r="D267" s="23" t="s">
        <v>58</v>
      </c>
      <c r="E267" s="23" t="s">
        <v>58</v>
      </c>
      <c r="F267" s="35" cm="1">
        <f t="array" ref="F267">_xlfn.IFS($G267=$G$5,F$5,$G267=$G$7,F$7,$G267=$G$10,F$10,$G267=$G$13,F$13,$G267=$G$14,F$14,$G267=$G$16,F$16,$G267=$G$17,F$17,$G267=$G$19,F$19,$G267=$G$20,F$20,$G267=$G$22,F$22,$G267=$G$23,F$23,$G267=$G$26,F$26,$G267=$G$29,F$29,$G267=$G$31,F$31,$G267=$G$34,F$34,$G267=$G$37,F$37,$G267=$G$107,F$107,$G267=$G$110,F$110,$G267=$G$140,F$140,$G267=$G$142,F$142,$G267=$G$408,F$408)</f>
        <v>8038</v>
      </c>
      <c r="G267" s="13" t="s">
        <v>79</v>
      </c>
      <c r="H267" s="51" cm="1">
        <f t="array" ref="H267">_xlfn.IFS($G267=$G$5,H$5,$G267=$G$7,H$7,$G267=$G$10,H$10,$G267=$G$13,H$13,$G267=$G$14,H$14,$G267=$G$16,H$16,$G267=$G$17,H$17,$G267=$G$19,H$19,$G267=$G$20,H$20,$G267=$G$22,H$22,$G267=$G$23,H$23,$G267=$G$26,H$26,$G267=$G$29,H$29,$G267=$G$31,H$31,$G267=$G$34,H$34,$G267=$G$37,H$37,$G267=$G$107,H$107,$G267=$G$110,H$110,$G267=$G$140,H$140,$G267=$G$142,H$142,$G267=$G$408,H$408)</f>
        <v>41.367100000000001</v>
      </c>
      <c r="I267" s="51" cm="1">
        <f t="array" ref="I267">_xlfn.IFS($G267=$G$5,I$5,$G267=$G$7,I$7,$G267=$G$10,I$10,$G267=$G$13,I$13,$G267=$G$14,I$14,$G267=$G$16,I$16,$G267=$G$17,I$17,$G267=$G$19,I$19,$G267=$G$20,I$20,$G267=$G$22,I$22,$G267=$G$23,I$23,$G267=$G$26,I$26,$G267=$G$29,I$29,$G267=$G$31,I$31,$G267=$G$34,I$34,$G267=$G$37,I$37,$G267=$G$107,I$107,$G267=$G$110,I$110,$G267=$G$140,I$140,$G267=$G$142,I$142,$G267=$G$408,I$408)</f>
        <v>2.1539079999999999</v>
      </c>
      <c r="J267" s="51" cm="1">
        <f t="array" ref="J267">_xlfn.IFS($G267=$G$5,J$5,$G267=$G$7,J$7,$G267=$G$10,J$10,$G267=$G$13,J$13,$G267=$G$14,J$14,$G267=$G$16,J$16,$G267=$G$17,J$17,$G267=$G$19,J$19,$G267=$G$20,J$20,$G267=$G$22,J$22,$G267=$G$23,J$23,$G267=$G$26,J$26,$G267=$G$29,J$29,$G267=$G$31,J$31,$G267=$G$34,J$34,$G267=$G$37,J$37,$G267=$G$107,J$107,$G267=$G$110,J$110,$G267=$G$140,J$140,$G267=$G$142,J$142,$G267=$G$408,J$408)</f>
        <v>68</v>
      </c>
      <c r="K267" s="13" t="str" cm="1">
        <f t="array" ref="K267">_xlfn.IFS($G267=$G$5,K$5,$G267=$G$7,K$7,$G267=$G$10,K$10,$G267=$G$13,K$13,$G267=$G$14,K$14,$G267=$G$16,K$16,$G267=$G$17,K$17,$G267=$G$19,K$19,$G267=$G$20,K$20,$G267=$G$22,K$22,$G267=$G$23,K$23,$G267=$G$26,K$26,$G267=$G$29,K$29,$G267=$G$31,K$31,$G267=$G$34,K$34,$G267=$G$37,K$37,$G267=$G$107,K$107,$G267=$G$110,K$110,$G267=$G$140,K$140,$G267=$G$142,K$142,$G267=$G$408,K$408)</f>
        <v>BG sentinel + BG lure7</v>
      </c>
      <c r="O267" s="13" t="str">
        <f t="shared" si="23"/>
        <v>A_SP_BCN_23_220809</v>
      </c>
      <c r="P267" s="27">
        <v>44782</v>
      </c>
      <c r="Q267" s="29">
        <v>0.48958333333333331</v>
      </c>
      <c r="R267" s="33"/>
      <c r="S267" s="27">
        <v>44789</v>
      </c>
      <c r="T267" s="29">
        <v>0.64930555555555558</v>
      </c>
      <c r="V267" s="13" t="s">
        <v>86</v>
      </c>
      <c r="W267" s="15" t="s">
        <v>90</v>
      </c>
      <c r="X267" s="13">
        <f t="shared" si="26"/>
        <v>7</v>
      </c>
      <c r="Z267" s="13" t="s">
        <v>60</v>
      </c>
      <c r="AA267" s="13">
        <f t="shared" si="29"/>
        <v>20</v>
      </c>
      <c r="AB267" s="13" t="str">
        <f t="shared" si="27"/>
        <v>Adult</v>
      </c>
      <c r="AC267" s="13">
        <v>12</v>
      </c>
      <c r="AD267" s="13">
        <v>8</v>
      </c>
      <c r="AE267" s="13" t="str">
        <f t="shared" si="28"/>
        <v>Morphological</v>
      </c>
      <c r="AF267" s="2">
        <v>3</v>
      </c>
    </row>
    <row r="268" spans="1:32" x14ac:dyDescent="0.25">
      <c r="A268" s="13">
        <v>264</v>
      </c>
      <c r="B268" s="23" t="s">
        <v>56</v>
      </c>
      <c r="C268" s="23" t="s">
        <v>57</v>
      </c>
      <c r="D268" s="23" t="s">
        <v>58</v>
      </c>
      <c r="E268" s="23" t="s">
        <v>58</v>
      </c>
      <c r="F268" s="35" cm="1">
        <f t="array" ref="F268">_xlfn.IFS($G268=$G$5,F$5,$G268=$G$7,F$7,$G268=$G$10,F$10,$G268=$G$13,F$13,$G268=$G$14,F$14,$G268=$G$16,F$16,$G268=$G$17,F$17,$G268=$G$19,F$19,$G268=$G$20,F$20,$G268=$G$22,F$22,$G268=$G$23,F$23,$G268=$G$26,F$26,$G268=$G$29,F$29,$G268=$G$31,F$31,$G268=$G$34,F$34,$G268=$G$37,F$37,$G268=$G$107,F$107,$G268=$G$110,F$110,$G268=$G$140,F$140,$G268=$G$142,F$142,$G268=$G$408,F$408)</f>
        <v>8038</v>
      </c>
      <c r="G268" s="13" t="s">
        <v>79</v>
      </c>
      <c r="H268" s="51" cm="1">
        <f t="array" ref="H268">_xlfn.IFS($G268=$G$5,H$5,$G268=$G$7,H$7,$G268=$G$10,H$10,$G268=$G$13,H$13,$G268=$G$14,H$14,$G268=$G$16,H$16,$G268=$G$17,H$17,$G268=$G$19,H$19,$G268=$G$20,H$20,$G268=$G$22,H$22,$G268=$G$23,H$23,$G268=$G$26,H$26,$G268=$G$29,H$29,$G268=$G$31,H$31,$G268=$G$34,H$34,$G268=$G$37,H$37,$G268=$G$107,H$107,$G268=$G$110,H$110,$G268=$G$140,H$140,$G268=$G$142,H$142,$G268=$G$408,H$408)</f>
        <v>41.367100000000001</v>
      </c>
      <c r="I268" s="51" cm="1">
        <f t="array" ref="I268">_xlfn.IFS($G268=$G$5,I$5,$G268=$G$7,I$7,$G268=$G$10,I$10,$G268=$G$13,I$13,$G268=$G$14,I$14,$G268=$G$16,I$16,$G268=$G$17,I$17,$G268=$G$19,I$19,$G268=$G$20,I$20,$G268=$G$22,I$22,$G268=$G$23,I$23,$G268=$G$26,I$26,$G268=$G$29,I$29,$G268=$G$31,I$31,$G268=$G$34,I$34,$G268=$G$37,I$37,$G268=$G$107,I$107,$G268=$G$110,I$110,$G268=$G$140,I$140,$G268=$G$142,I$142,$G268=$G$408,I$408)</f>
        <v>2.1539079999999999</v>
      </c>
      <c r="J268" s="51" cm="1">
        <f t="array" ref="J268">_xlfn.IFS($G268=$G$5,J$5,$G268=$G$7,J$7,$G268=$G$10,J$10,$G268=$G$13,J$13,$G268=$G$14,J$14,$G268=$G$16,J$16,$G268=$G$17,J$17,$G268=$G$19,J$19,$G268=$G$20,J$20,$G268=$G$22,J$22,$G268=$G$23,J$23,$G268=$G$26,J$26,$G268=$G$29,J$29,$G268=$G$31,J$31,$G268=$G$34,J$34,$G268=$G$37,J$37,$G268=$G$107,J$107,$G268=$G$110,J$110,$G268=$G$140,J$140,$G268=$G$142,J$142,$G268=$G$408,J$408)</f>
        <v>68</v>
      </c>
      <c r="K268" s="13" t="str" cm="1">
        <f t="array" ref="K268">_xlfn.IFS($G268=$G$5,K$5,$G268=$G$7,K$7,$G268=$G$10,K$10,$G268=$G$13,K$13,$G268=$G$14,K$14,$G268=$G$16,K$16,$G268=$G$17,K$17,$G268=$G$19,K$19,$G268=$G$20,K$20,$G268=$G$22,K$22,$G268=$G$23,K$23,$G268=$G$26,K$26,$G268=$G$29,K$29,$G268=$G$31,K$31,$G268=$G$34,K$34,$G268=$G$37,K$37,$G268=$G$107,K$107,$G268=$G$110,K$110,$G268=$G$140,K$140,$G268=$G$142,K$142,$G268=$G$408,K$408)</f>
        <v>BG sentinel + BG lure7</v>
      </c>
      <c r="O268" s="13" t="str">
        <f t="shared" si="23"/>
        <v>A_SP_BCN_23_220809</v>
      </c>
      <c r="P268" s="27">
        <v>44782</v>
      </c>
      <c r="Q268" s="29">
        <v>0.48958333333333331</v>
      </c>
      <c r="R268" s="33"/>
      <c r="S268" s="27">
        <v>44789</v>
      </c>
      <c r="T268" s="29">
        <v>0.64930555555555558</v>
      </c>
      <c r="V268" s="13" t="s">
        <v>86</v>
      </c>
      <c r="W268" s="15" t="s">
        <v>90</v>
      </c>
      <c r="X268" s="13">
        <f t="shared" si="26"/>
        <v>7</v>
      </c>
      <c r="Z268" s="13" t="s">
        <v>164</v>
      </c>
      <c r="AA268" s="13">
        <f t="shared" si="29"/>
        <v>1</v>
      </c>
      <c r="AB268" s="13" t="str">
        <f t="shared" si="27"/>
        <v>Adult</v>
      </c>
      <c r="AC268" s="13">
        <v>1</v>
      </c>
      <c r="AD268" s="13">
        <v>0</v>
      </c>
      <c r="AE268" s="13" t="str">
        <f t="shared" si="28"/>
        <v>Morphological</v>
      </c>
      <c r="AF268" s="2">
        <v>3</v>
      </c>
    </row>
    <row r="269" spans="1:32" x14ac:dyDescent="0.25">
      <c r="A269" s="13">
        <v>265</v>
      </c>
      <c r="B269" s="23" t="s">
        <v>56</v>
      </c>
      <c r="C269" s="23" t="s">
        <v>57</v>
      </c>
      <c r="D269" s="23" t="s">
        <v>58</v>
      </c>
      <c r="E269" s="23" t="s">
        <v>58</v>
      </c>
      <c r="F269" s="35" cm="1">
        <f t="array" ref="F269">_xlfn.IFS($G269=$G$5,F$5,$G269=$G$7,F$7,$G269=$G$10,F$10,$G269=$G$13,F$13,$G269=$G$14,F$14,$G269=$G$16,F$16,$G269=$G$17,F$17,$G269=$G$19,F$19,$G269=$G$20,F$20,$G269=$G$22,F$22,$G269=$G$23,F$23,$G269=$G$26,F$26,$G269=$G$29,F$29,$G269=$G$31,F$31,$G269=$G$34,F$34,$G269=$G$37,F$37,$G269=$G$107,F$107,$G269=$G$110,F$110,$G269=$G$140,F$140,$G269=$G$142,F$142,$G269=$G$408,F$408)</f>
        <v>8015</v>
      </c>
      <c r="G269" s="13" t="s">
        <v>78</v>
      </c>
      <c r="H269" s="51" cm="1">
        <f t="array" ref="H269">_xlfn.IFS($G269=$G$5,H$5,$G269=$G$7,H$7,$G269=$G$10,H$10,$G269=$G$13,H$13,$G269=$G$14,H$14,$G269=$G$16,H$16,$G269=$G$17,H$17,$G269=$G$19,H$19,$G269=$G$20,H$20,$G269=$G$22,H$22,$G269=$G$23,H$23,$G269=$G$26,H$26,$G269=$G$29,H$29,$G269=$G$31,H$31,$G269=$G$34,H$34,$G269=$G$37,H$37,$G269=$G$107,H$107,$G269=$G$110,H$110,$G269=$G$140,H$140,$G269=$G$142,H$142,$G269=$G$408,H$408)</f>
        <v>41.381725000000003</v>
      </c>
      <c r="I269" s="51" cm="1">
        <f t="array" ref="I269">_xlfn.IFS($G269=$G$5,I$5,$G269=$G$7,I$7,$G269=$G$10,I$10,$G269=$G$13,I$13,$G269=$G$14,I$14,$G269=$G$16,I$16,$G269=$G$17,I$17,$G269=$G$19,I$19,$G269=$G$20,I$20,$G269=$G$22,I$22,$G269=$G$23,I$23,$G269=$G$26,I$26,$G269=$G$29,I$29,$G269=$G$31,I$31,$G269=$G$34,I$34,$G269=$G$37,I$37,$G269=$G$107,I$107,$G269=$G$110,I$110,$G269=$G$140,I$140,$G269=$G$142,I$142,$G269=$G$408,I$408)</f>
        <v>2.1543679999999998</v>
      </c>
      <c r="J269" s="51" cm="1">
        <f t="array" ref="J269">_xlfn.IFS($G269=$G$5,J$5,$G269=$G$7,J$7,$G269=$G$10,J$10,$G269=$G$13,J$13,$G269=$G$14,J$14,$G269=$G$16,J$16,$G269=$G$17,J$17,$G269=$G$19,J$19,$G269=$G$20,J$20,$G269=$G$22,J$22,$G269=$G$23,J$23,$G269=$G$26,J$26,$G269=$G$29,J$29,$G269=$G$31,J$31,$G269=$G$34,J$34,$G269=$G$37,J$37,$G269=$G$107,J$107,$G269=$G$110,J$110,$G269=$G$140,J$140,$G269=$G$142,J$142,$G269=$G$408,J$408)</f>
        <v>20.7</v>
      </c>
      <c r="K269" s="13" t="str" cm="1">
        <f t="array" ref="K269">_xlfn.IFS($G269=$G$5,K$5,$G269=$G$7,K$7,$G269=$G$10,K$10,$G269=$G$13,K$13,$G269=$G$14,K$14,$G269=$G$16,K$16,$G269=$G$17,K$17,$G269=$G$19,K$19,$G269=$G$20,K$20,$G269=$G$22,K$22,$G269=$G$23,K$23,$G269=$G$26,K$26,$G269=$G$29,K$29,$G269=$G$31,K$31,$G269=$G$34,K$34,$G269=$G$37,K$37,$G269=$G$107,K$107,$G269=$G$110,K$110,$G269=$G$140,K$140,$G269=$G$142,K$142,$G269=$G$408,K$408)</f>
        <v>BG sentinel + BG lure7</v>
      </c>
      <c r="O269" s="13" t="str">
        <f t="shared" si="23"/>
        <v>A_SP_BCN_24_220809</v>
      </c>
      <c r="P269" s="27">
        <v>44782</v>
      </c>
      <c r="Q269" s="29">
        <v>0.77083333333333337</v>
      </c>
      <c r="R269" s="33"/>
      <c r="S269" s="31">
        <v>44790</v>
      </c>
      <c r="T269" s="29">
        <v>0.43055555555555558</v>
      </c>
      <c r="V269" s="13" t="s">
        <v>86</v>
      </c>
      <c r="X269" s="13">
        <f t="shared" si="26"/>
        <v>8</v>
      </c>
      <c r="Z269" s="13" t="s">
        <v>60</v>
      </c>
      <c r="AA269" s="13">
        <f t="shared" si="29"/>
        <v>45</v>
      </c>
      <c r="AB269" s="13" t="str">
        <f t="shared" si="27"/>
        <v>Adult</v>
      </c>
      <c r="AC269" s="13">
        <v>20</v>
      </c>
      <c r="AD269" s="13">
        <v>25</v>
      </c>
      <c r="AE269" s="13" t="str">
        <f t="shared" si="28"/>
        <v>Morphological</v>
      </c>
      <c r="AF269" s="2">
        <v>4</v>
      </c>
    </row>
    <row r="270" spans="1:32" x14ac:dyDescent="0.25">
      <c r="A270" s="13">
        <v>266</v>
      </c>
      <c r="B270" s="23" t="s">
        <v>56</v>
      </c>
      <c r="C270" s="23" t="s">
        <v>57</v>
      </c>
      <c r="D270" s="23" t="s">
        <v>58</v>
      </c>
      <c r="E270" s="23" t="s">
        <v>58</v>
      </c>
      <c r="F270" s="35" cm="1">
        <f t="array" ref="F270">_xlfn.IFS($G270=$G$5,F$5,$G270=$G$7,F$7,$G270=$G$10,F$10,$G270=$G$13,F$13,$G270=$G$14,F$14,$G270=$G$16,F$16,$G270=$G$17,F$17,$G270=$G$19,F$19,$G270=$G$20,F$20,$G270=$G$22,F$22,$G270=$G$23,F$23,$G270=$G$26,F$26,$G270=$G$29,F$29,$G270=$G$31,F$31,$G270=$G$34,F$34,$G270=$G$37,F$37,$G270=$G$107,F$107,$G270=$G$110,F$110,$G270=$G$140,F$140,$G270=$G$142,F$142,$G270=$G$408,F$408)</f>
        <v>8015</v>
      </c>
      <c r="G270" s="13" t="s">
        <v>78</v>
      </c>
      <c r="H270" s="51" cm="1">
        <f t="array" ref="H270">_xlfn.IFS($G270=$G$5,H$5,$G270=$G$7,H$7,$G270=$G$10,H$10,$G270=$G$13,H$13,$G270=$G$14,H$14,$G270=$G$16,H$16,$G270=$G$17,H$17,$G270=$G$19,H$19,$G270=$G$20,H$20,$G270=$G$22,H$22,$G270=$G$23,H$23,$G270=$G$26,H$26,$G270=$G$29,H$29,$G270=$G$31,H$31,$G270=$G$34,H$34,$G270=$G$37,H$37,$G270=$G$107,H$107,$G270=$G$110,H$110,$G270=$G$140,H$140,$G270=$G$142,H$142,$G270=$G$408,H$408)</f>
        <v>41.381725000000003</v>
      </c>
      <c r="I270" s="51" cm="1">
        <f t="array" ref="I270">_xlfn.IFS($G270=$G$5,I$5,$G270=$G$7,I$7,$G270=$G$10,I$10,$G270=$G$13,I$13,$G270=$G$14,I$14,$G270=$G$16,I$16,$G270=$G$17,I$17,$G270=$G$19,I$19,$G270=$G$20,I$20,$G270=$G$22,I$22,$G270=$G$23,I$23,$G270=$G$26,I$26,$G270=$G$29,I$29,$G270=$G$31,I$31,$G270=$G$34,I$34,$G270=$G$37,I$37,$G270=$G$107,I$107,$G270=$G$110,I$110,$G270=$G$140,I$140,$G270=$G$142,I$142,$G270=$G$408,I$408)</f>
        <v>2.1543679999999998</v>
      </c>
      <c r="J270" s="51" cm="1">
        <f t="array" ref="J270">_xlfn.IFS($G270=$G$5,J$5,$G270=$G$7,J$7,$G270=$G$10,J$10,$G270=$G$13,J$13,$G270=$G$14,J$14,$G270=$G$16,J$16,$G270=$G$17,J$17,$G270=$G$19,J$19,$G270=$G$20,J$20,$G270=$G$22,J$22,$G270=$G$23,J$23,$G270=$G$26,J$26,$G270=$G$29,J$29,$G270=$G$31,J$31,$G270=$G$34,J$34,$G270=$G$37,J$37,$G270=$G$107,J$107,$G270=$G$110,J$110,$G270=$G$140,J$140,$G270=$G$142,J$142,$G270=$G$408,J$408)</f>
        <v>20.7</v>
      </c>
      <c r="K270" s="13" t="str" cm="1">
        <f t="array" ref="K270">_xlfn.IFS($G270=$G$5,K$5,$G270=$G$7,K$7,$G270=$G$10,K$10,$G270=$G$13,K$13,$G270=$G$14,K$14,$G270=$G$16,K$16,$G270=$G$17,K$17,$G270=$G$19,K$19,$G270=$G$20,K$20,$G270=$G$22,K$22,$G270=$G$23,K$23,$G270=$G$26,K$26,$G270=$G$29,K$29,$G270=$G$31,K$31,$G270=$G$34,K$34,$G270=$G$37,K$37,$G270=$G$107,K$107,$G270=$G$110,K$110,$G270=$G$140,K$140,$G270=$G$142,K$142,$G270=$G$408,K$408)</f>
        <v>BG sentinel + BG lure7</v>
      </c>
      <c r="O270" s="13" t="str">
        <f t="shared" si="23"/>
        <v>A_SP_BCN_24_220809</v>
      </c>
      <c r="P270" s="27">
        <v>44782</v>
      </c>
      <c r="Q270" s="29">
        <v>0.77083333333333337</v>
      </c>
      <c r="R270" s="33"/>
      <c r="S270" s="31">
        <v>44790</v>
      </c>
      <c r="T270" s="29">
        <v>0.43055555555555558</v>
      </c>
      <c r="V270" s="13" t="s">
        <v>86</v>
      </c>
      <c r="X270" s="13">
        <f t="shared" si="26"/>
        <v>8</v>
      </c>
      <c r="Z270" s="13" t="s">
        <v>164</v>
      </c>
      <c r="AA270" s="13">
        <f t="shared" si="29"/>
        <v>1</v>
      </c>
      <c r="AB270" s="13" t="str">
        <f t="shared" si="27"/>
        <v>Adult</v>
      </c>
      <c r="AC270" s="13">
        <v>0</v>
      </c>
      <c r="AD270" s="13">
        <v>1</v>
      </c>
      <c r="AE270" s="13" t="str">
        <f t="shared" si="28"/>
        <v>Morphological</v>
      </c>
      <c r="AF270" s="2">
        <v>4</v>
      </c>
    </row>
    <row r="271" spans="1:32" x14ac:dyDescent="0.25">
      <c r="A271" s="13">
        <v>267</v>
      </c>
      <c r="B271" s="23" t="s">
        <v>56</v>
      </c>
      <c r="C271" s="23" t="s">
        <v>57</v>
      </c>
      <c r="D271" s="23" t="s">
        <v>58</v>
      </c>
      <c r="E271" s="23" t="s">
        <v>58</v>
      </c>
      <c r="F271" s="35" cm="1">
        <f t="array" ref="F271">_xlfn.IFS($G271=$G$5,F$5,$G271=$G$7,F$7,$G271=$G$10,F$10,$G271=$G$13,F$13,$G271=$G$14,F$14,$G271=$G$16,F$16,$G271=$G$17,F$17,$G271=$G$19,F$19,$G271=$G$20,F$20,$G271=$G$22,F$22,$G271=$G$23,F$23,$G271=$G$26,F$26,$G271=$G$29,F$29,$G271=$G$31,F$31,$G271=$G$34,F$34,$G271=$G$37,F$37,$G271=$G$107,F$107,$G271=$G$110,F$110,$G271=$G$140,F$140,$G271=$G$142,F$142,$G271=$G$408,F$408)</f>
        <v>8017</v>
      </c>
      <c r="G271" s="13" t="s">
        <v>97</v>
      </c>
      <c r="H271" s="51" cm="1">
        <f t="array" ref="H271">_xlfn.IFS($G271=$G$5,H$5,$G271=$G$7,H$7,$G271=$G$10,H$10,$G271=$G$13,H$13,$G271=$G$14,H$14,$G271=$G$16,H$16,$G271=$G$17,H$17,$G271=$G$19,H$19,$G271=$G$20,H$20,$G271=$G$22,H$22,$G271=$G$23,H$23,$G271=$G$26,H$26,$G271=$G$29,H$29,$G271=$G$31,H$31,$G271=$G$34,H$34,$G271=$G$37,H$37,$G271=$G$107,H$107,$G271=$G$110,H$110,$G271=$G$140,H$140,$G271=$G$142,H$142,$G271=$G$408,H$408)</f>
        <v>41.430372407595499</v>
      </c>
      <c r="I271" s="51" cm="1">
        <f t="array" ref="I271">_xlfn.IFS($G271=$G$5,I$5,$G271=$G$7,I$7,$G271=$G$10,I$10,$G271=$G$13,I$13,$G271=$G$14,I$14,$G271=$G$16,I$16,$G271=$G$17,I$17,$G271=$G$19,I$19,$G271=$G$20,I$20,$G271=$G$22,I$22,$G271=$G$23,I$23,$G271=$G$26,I$26,$G271=$G$29,I$29,$G271=$G$31,I$31,$G271=$G$34,I$34,$G271=$G$37,I$37,$G271=$G$107,I$107,$G271=$G$110,I$110,$G271=$G$140,I$140,$G271=$G$142,I$142,$G271=$G$408,I$408)</f>
        <v>2.0778358219819002</v>
      </c>
      <c r="J271" s="51" cm="1">
        <f t="array" ref="J271">_xlfn.IFS($G271=$G$5,J$5,$G271=$G$7,J$7,$G271=$G$10,J$10,$G271=$G$13,J$13,$G271=$G$14,J$14,$G271=$G$16,J$16,$G271=$G$17,J$17,$G271=$G$19,J$19,$G271=$G$20,J$20,$G271=$G$22,J$22,$G271=$G$23,J$23,$G271=$G$26,J$26,$G271=$G$29,J$29,$G271=$G$31,J$31,$G271=$G$34,J$34,$G271=$G$37,J$37,$G271=$G$107,J$107,$G271=$G$110,J$110,$G271=$G$140,J$140,$G271=$G$142,J$142,$G271=$G$408,J$408)</f>
        <v>242</v>
      </c>
      <c r="K271" s="13" t="str" cm="1">
        <f t="array" ref="K271">_xlfn.IFS($G271=$G$5,K$5,$G271=$G$7,K$7,$G271=$G$10,K$10,$G271=$G$13,K$13,$G271=$G$14,K$14,$G271=$G$16,K$16,$G271=$G$17,K$17,$G271=$G$19,K$19,$G271=$G$20,K$20,$G271=$G$22,K$22,$G271=$G$23,K$23,$G271=$G$26,K$26,$G271=$G$29,K$29,$G271=$G$31,K$31,$G271=$G$34,K$34,$G271=$G$37,K$37,$G271=$G$107,K$107,$G271=$G$110,K$110,$G271=$G$140,K$140,$G271=$G$142,K$142,$G271=$G$408,K$408)</f>
        <v>Mtego</v>
      </c>
      <c r="O271" s="13" t="str">
        <f t="shared" si="23"/>
        <v>Premal_1_220809</v>
      </c>
      <c r="P271" s="27">
        <v>44782</v>
      </c>
      <c r="Q271" s="29">
        <v>0.64583333333333337</v>
      </c>
      <c r="R271" s="33"/>
      <c r="S271" s="27">
        <v>44789</v>
      </c>
      <c r="T271" s="29">
        <v>0.73263888888888884</v>
      </c>
      <c r="V271" s="13" t="s">
        <v>86</v>
      </c>
      <c r="X271" s="13">
        <f t="shared" si="26"/>
        <v>7</v>
      </c>
      <c r="Z271" s="13" t="s">
        <v>60</v>
      </c>
      <c r="AA271" s="13">
        <f t="shared" si="29"/>
        <v>9</v>
      </c>
      <c r="AB271" s="13" t="str">
        <f t="shared" si="27"/>
        <v>Adult</v>
      </c>
      <c r="AC271" s="13">
        <v>7</v>
      </c>
      <c r="AD271" s="13">
        <v>2</v>
      </c>
      <c r="AE271" s="13" t="str">
        <f t="shared" si="28"/>
        <v>Morphological</v>
      </c>
      <c r="AF271" s="2">
        <v>4</v>
      </c>
    </row>
    <row r="272" spans="1:32" x14ac:dyDescent="0.25">
      <c r="A272" s="13">
        <v>268</v>
      </c>
      <c r="B272" s="23" t="s">
        <v>56</v>
      </c>
      <c r="C272" s="23" t="s">
        <v>57</v>
      </c>
      <c r="D272" s="23" t="s">
        <v>58</v>
      </c>
      <c r="E272" s="23" t="s">
        <v>58</v>
      </c>
      <c r="F272" s="35" cm="1">
        <f t="array" ref="F272">_xlfn.IFS($G272=$G$5,F$5,$G272=$G$7,F$7,$G272=$G$10,F$10,$G272=$G$13,F$13,$G272=$G$14,F$14,$G272=$G$16,F$16,$G272=$G$17,F$17,$G272=$G$19,F$19,$G272=$G$20,F$20,$G272=$G$22,F$22,$G272=$G$23,F$23,$G272=$G$26,F$26,$G272=$G$29,F$29,$G272=$G$31,F$31,$G272=$G$34,F$34,$G272=$G$37,F$37,$G272=$G$107,F$107,$G272=$G$110,F$110,$G272=$G$140,F$140,$G272=$G$142,F$142,$G272=$G$408,F$408)</f>
        <v>8035</v>
      </c>
      <c r="G272" s="13" t="s">
        <v>61</v>
      </c>
      <c r="H272" s="51" cm="1">
        <f t="array" ref="H272">_xlfn.IFS($G272=$G$5,H$5,$G272=$G$7,H$7,$G272=$G$10,H$10,$G272=$G$13,H$13,$G272=$G$14,H$14,$G272=$G$16,H$16,$G272=$G$17,H$17,$G272=$G$19,H$19,$G272=$G$20,H$20,$G272=$G$22,H$22,$G272=$G$23,H$23,$G272=$G$26,H$26,$G272=$G$29,H$29,$G272=$G$31,H$31,$G272=$G$34,H$34,$G272=$G$37,H$37,$G272=$G$107,H$107,$G272=$G$110,H$110,$G272=$G$140,H$140,$G272=$G$142,H$142,$G272=$G$408,H$408)</f>
        <v>41.424387000000003</v>
      </c>
      <c r="I272" s="51" cm="1">
        <f t="array" ref="I272">_xlfn.IFS($G272=$G$5,I$5,$G272=$G$7,I$7,$G272=$G$10,I$10,$G272=$G$13,I$13,$G272=$G$14,I$14,$G272=$G$16,I$16,$G272=$G$17,I$17,$G272=$G$19,I$19,$G272=$G$20,I$20,$G272=$G$22,I$22,$G272=$G$23,I$23,$G272=$G$26,I$26,$G272=$G$29,I$29,$G272=$G$31,I$31,$G272=$G$34,I$34,$G272=$G$37,I$37,$G272=$G$107,I$107,$G272=$G$110,I$110,$G272=$G$140,I$140,$G272=$G$142,I$142,$G272=$G$408,I$408)</f>
        <v>2.1431439999999999</v>
      </c>
      <c r="J272" s="51" cm="1">
        <f t="array" ref="J272">_xlfn.IFS($G272=$G$5,J$5,$G272=$G$7,J$7,$G272=$G$10,J$10,$G272=$G$13,J$13,$G272=$G$14,J$14,$G272=$G$16,J$16,$G272=$G$17,J$17,$G272=$G$19,J$19,$G272=$G$20,J$20,$G272=$G$22,J$22,$G272=$G$23,J$23,$G272=$G$26,J$26,$G272=$G$29,J$29,$G272=$G$31,J$31,$G272=$G$34,J$34,$G272=$G$37,J$37,$G272=$G$107,J$107,$G272=$G$110,J$110,$G272=$G$140,J$140,$G272=$G$142,J$142,$G272=$G$408,J$408)</f>
        <v>160</v>
      </c>
      <c r="K272" s="13" t="str" cm="1">
        <f t="array" ref="K272">_xlfn.IFS($G272=$G$5,K$5,$G272=$G$7,K$7,$G272=$G$10,K$10,$G272=$G$13,K$13,$G272=$G$14,K$14,$G272=$G$16,K$16,$G272=$G$17,K$17,$G272=$G$19,K$19,$G272=$G$20,K$20,$G272=$G$22,K$22,$G272=$G$23,K$23,$G272=$G$26,K$26,$G272=$G$29,K$29,$G272=$G$31,K$31,$G272=$G$34,K$34,$G272=$G$37,K$37,$G272=$G$107,K$107,$G272=$G$110,K$110,$G272=$G$140,K$140,$G272=$G$142,K$142,$G272=$G$408,K$408)</f>
        <v>BG sentinel + BG lure7</v>
      </c>
      <c r="O272" s="13" t="str">
        <f t="shared" si="23"/>
        <v>A_SP_BCN_2_220816</v>
      </c>
      <c r="P272" s="27">
        <v>44789</v>
      </c>
      <c r="Q272" s="29">
        <v>0.6875</v>
      </c>
      <c r="R272" s="33"/>
      <c r="S272" s="27">
        <v>44796</v>
      </c>
      <c r="T272" s="29">
        <v>0.6875</v>
      </c>
      <c r="V272" s="13" t="s">
        <v>86</v>
      </c>
      <c r="X272" s="13">
        <f t="shared" si="26"/>
        <v>7</v>
      </c>
      <c r="Z272" s="13" t="s">
        <v>60</v>
      </c>
      <c r="AA272" s="13">
        <f t="shared" si="29"/>
        <v>5</v>
      </c>
      <c r="AB272" s="13" t="str">
        <f t="shared" si="27"/>
        <v>Adult</v>
      </c>
      <c r="AC272" s="13">
        <v>3</v>
      </c>
      <c r="AD272" s="13">
        <v>2</v>
      </c>
      <c r="AE272" s="13" t="str">
        <f t="shared" si="28"/>
        <v>Morphological</v>
      </c>
      <c r="AF272" s="2">
        <v>4</v>
      </c>
    </row>
    <row r="273" spans="1:32" x14ac:dyDescent="0.25">
      <c r="A273" s="13">
        <v>269</v>
      </c>
      <c r="B273" s="23" t="s">
        <v>56</v>
      </c>
      <c r="C273" s="23" t="s">
        <v>57</v>
      </c>
      <c r="D273" s="23" t="s">
        <v>58</v>
      </c>
      <c r="E273" s="23" t="s">
        <v>58</v>
      </c>
      <c r="F273" s="35" cm="1">
        <f t="array" ref="F273">_xlfn.IFS($G273=$G$5,F$5,$G273=$G$7,F$7,$G273=$G$10,F$10,$G273=$G$13,F$13,$G273=$G$14,F$14,$G273=$G$16,F$16,$G273=$G$17,F$17,$G273=$G$19,F$19,$G273=$G$20,F$20,$G273=$G$22,F$22,$G273=$G$23,F$23,$G273=$G$26,F$26,$G273=$G$29,F$29,$G273=$G$31,F$31,$G273=$G$34,F$34,$G273=$G$37,F$37,$G273=$G$107,F$107,$G273=$G$110,F$110,$G273=$G$140,F$140,$G273=$G$142,F$142,$G273=$G$408,F$408)</f>
        <v>8035</v>
      </c>
      <c r="G273" s="13" t="s">
        <v>61</v>
      </c>
      <c r="H273" s="51" cm="1">
        <f t="array" ref="H273">_xlfn.IFS($G273=$G$5,H$5,$G273=$G$7,H$7,$G273=$G$10,H$10,$G273=$G$13,H$13,$G273=$G$14,H$14,$G273=$G$16,H$16,$G273=$G$17,H$17,$G273=$G$19,H$19,$G273=$G$20,H$20,$G273=$G$22,H$22,$G273=$G$23,H$23,$G273=$G$26,H$26,$G273=$G$29,H$29,$G273=$G$31,H$31,$G273=$G$34,H$34,$G273=$G$37,H$37,$G273=$G$107,H$107,$G273=$G$110,H$110,$G273=$G$140,H$140,$G273=$G$142,H$142,$G273=$G$408,H$408)</f>
        <v>41.424387000000003</v>
      </c>
      <c r="I273" s="51" cm="1">
        <f t="array" ref="I273">_xlfn.IFS($G273=$G$5,I$5,$G273=$G$7,I$7,$G273=$G$10,I$10,$G273=$G$13,I$13,$G273=$G$14,I$14,$G273=$G$16,I$16,$G273=$G$17,I$17,$G273=$G$19,I$19,$G273=$G$20,I$20,$G273=$G$22,I$22,$G273=$G$23,I$23,$G273=$G$26,I$26,$G273=$G$29,I$29,$G273=$G$31,I$31,$G273=$G$34,I$34,$G273=$G$37,I$37,$G273=$G$107,I$107,$G273=$G$110,I$110,$G273=$G$140,I$140,$G273=$G$142,I$142,$G273=$G$408,I$408)</f>
        <v>2.1431439999999999</v>
      </c>
      <c r="J273" s="51" cm="1">
        <f t="array" ref="J273">_xlfn.IFS($G273=$G$5,J$5,$G273=$G$7,J$7,$G273=$G$10,J$10,$G273=$G$13,J$13,$G273=$G$14,J$14,$G273=$G$16,J$16,$G273=$G$17,J$17,$G273=$G$19,J$19,$G273=$G$20,J$20,$G273=$G$22,J$22,$G273=$G$23,J$23,$G273=$G$26,J$26,$G273=$G$29,J$29,$G273=$G$31,J$31,$G273=$G$34,J$34,$G273=$G$37,J$37,$G273=$G$107,J$107,$G273=$G$110,J$110,$G273=$G$140,J$140,$G273=$G$142,J$142,$G273=$G$408,J$408)</f>
        <v>160</v>
      </c>
      <c r="K273" s="13" t="str" cm="1">
        <f t="array" ref="K273">_xlfn.IFS($G273=$G$5,K$5,$G273=$G$7,K$7,$G273=$G$10,K$10,$G273=$G$13,K$13,$G273=$G$14,K$14,$G273=$G$16,K$16,$G273=$G$17,K$17,$G273=$G$19,K$19,$G273=$G$20,K$20,$G273=$G$22,K$22,$G273=$G$23,K$23,$G273=$G$26,K$26,$G273=$G$29,K$29,$G273=$G$31,K$31,$G273=$G$34,K$34,$G273=$G$37,K$37,$G273=$G$107,K$107,$G273=$G$110,K$110,$G273=$G$140,K$140,$G273=$G$142,K$142,$G273=$G$408,K$408)</f>
        <v>BG sentinel + BG lure7</v>
      </c>
      <c r="O273" s="13" t="str">
        <f t="shared" si="23"/>
        <v>A_SP_BCN_2_220816</v>
      </c>
      <c r="P273" s="27">
        <v>44789</v>
      </c>
      <c r="Q273" s="29">
        <v>0.6875</v>
      </c>
      <c r="R273" s="33"/>
      <c r="S273" s="27">
        <v>44796</v>
      </c>
      <c r="T273" s="29">
        <v>0.6875</v>
      </c>
      <c r="V273" s="13" t="s">
        <v>86</v>
      </c>
      <c r="X273" s="13">
        <f t="shared" si="26"/>
        <v>7</v>
      </c>
      <c r="Z273" s="13" t="s">
        <v>164</v>
      </c>
      <c r="AA273" s="13">
        <f t="shared" si="29"/>
        <v>1</v>
      </c>
      <c r="AB273" s="13" t="str">
        <f t="shared" si="27"/>
        <v>Adult</v>
      </c>
      <c r="AC273" s="13">
        <v>1</v>
      </c>
      <c r="AD273" s="13">
        <v>0</v>
      </c>
      <c r="AE273" s="13" t="str">
        <f t="shared" si="28"/>
        <v>Morphological</v>
      </c>
      <c r="AF273" s="2">
        <v>4</v>
      </c>
    </row>
    <row r="274" spans="1:32" x14ac:dyDescent="0.25">
      <c r="A274" s="13">
        <v>270</v>
      </c>
      <c r="B274" s="23" t="s">
        <v>56</v>
      </c>
      <c r="C274" s="23" t="s">
        <v>57</v>
      </c>
      <c r="D274" s="23" t="s">
        <v>58</v>
      </c>
      <c r="E274" s="23" t="s">
        <v>58</v>
      </c>
      <c r="F274" s="35" cm="1">
        <f t="array" ref="F274">_xlfn.IFS($G274=$G$5,F$5,$G274=$G$7,F$7,$G274=$G$10,F$10,$G274=$G$13,F$13,$G274=$G$14,F$14,$G274=$G$16,F$16,$G274=$G$17,F$17,$G274=$G$19,F$19,$G274=$G$20,F$20,$G274=$G$22,F$22,$G274=$G$23,F$23,$G274=$G$26,F$26,$G274=$G$29,F$29,$G274=$G$31,F$31,$G274=$G$34,F$34,$G274=$G$37,F$37,$G274=$G$107,F$107,$G274=$G$110,F$110,$G274=$G$140,F$140,$G274=$G$142,F$142,$G274=$G$408,F$408)</f>
        <v>8016</v>
      </c>
      <c r="G274" s="13" t="s">
        <v>62</v>
      </c>
      <c r="H274" s="51" cm="1">
        <f t="array" ref="H274">_xlfn.IFS($G274=$G$5,H$5,$G274=$G$7,H$7,$G274=$G$10,H$10,$G274=$G$13,H$13,$G274=$G$14,H$14,$G274=$G$16,H$16,$G274=$G$17,H$17,$G274=$G$19,H$19,$G274=$G$20,H$20,$G274=$G$22,H$22,$G274=$G$23,H$23,$G274=$G$26,H$26,$G274=$G$29,H$29,$G274=$G$31,H$31,$G274=$G$34,H$34,$G274=$G$37,H$37,$G274=$G$107,H$107,$G274=$G$110,H$110,$G274=$G$140,H$140,$G274=$G$142,H$142,$G274=$G$408,H$408)</f>
        <v>41.437435000000001</v>
      </c>
      <c r="I274" s="51" cm="1">
        <f t="array" ref="I274">_xlfn.IFS($G274=$G$5,I$5,$G274=$G$7,I$7,$G274=$G$10,I$10,$G274=$G$13,I$13,$G274=$G$14,I$14,$G274=$G$16,I$16,$G274=$G$17,I$17,$G274=$G$19,I$19,$G274=$G$20,I$20,$G274=$G$22,I$22,$G274=$G$23,I$23,$G274=$G$26,I$26,$G274=$G$29,I$29,$G274=$G$31,I$31,$G274=$G$34,I$34,$G274=$G$37,I$37,$G274=$G$107,I$107,$G274=$G$110,I$110,$G274=$G$140,I$140,$G274=$G$142,I$142,$G274=$G$408,I$408)</f>
        <v>2.1812779999999998</v>
      </c>
      <c r="J274" s="51" cm="1">
        <f t="array" ref="J274">_xlfn.IFS($G274=$G$5,J$5,$G274=$G$7,J$7,$G274=$G$10,J$10,$G274=$G$13,J$13,$G274=$G$14,J$14,$G274=$G$16,J$16,$G274=$G$17,J$17,$G274=$G$19,J$19,$G274=$G$20,J$20,$G274=$G$22,J$22,$G274=$G$23,J$23,$G274=$G$26,J$26,$G274=$G$29,J$29,$G274=$G$31,J$31,$G274=$G$34,J$34,$G274=$G$37,J$37,$G274=$G$107,J$107,$G274=$G$110,J$110,$G274=$G$140,J$140,$G274=$G$142,J$142,$G274=$G$408,J$408)</f>
        <v>47</v>
      </c>
      <c r="K274" s="13" t="str" cm="1">
        <f t="array" ref="K274">_xlfn.IFS($G274=$G$5,K$5,$G274=$G$7,K$7,$G274=$G$10,K$10,$G274=$G$13,K$13,$G274=$G$14,K$14,$G274=$G$16,K$16,$G274=$G$17,K$17,$G274=$G$19,K$19,$G274=$G$20,K$20,$G274=$G$22,K$22,$G274=$G$23,K$23,$G274=$G$26,K$26,$G274=$G$29,K$29,$G274=$G$31,K$31,$G274=$G$34,K$34,$G274=$G$37,K$37,$G274=$G$107,K$107,$G274=$G$110,K$110,$G274=$G$140,K$140,$G274=$G$142,K$142,$G274=$G$408,K$408)</f>
        <v>BG sentinel + BG lure7</v>
      </c>
      <c r="O274" s="13" t="str">
        <f t="shared" si="23"/>
        <v>A_SP_BCN_3_220816</v>
      </c>
      <c r="P274" s="27">
        <v>44789</v>
      </c>
      <c r="Q274" s="29">
        <v>0.77083333333333337</v>
      </c>
      <c r="R274" s="33"/>
      <c r="S274" s="27">
        <v>44796</v>
      </c>
      <c r="T274" s="29">
        <v>0.76388888888888884</v>
      </c>
      <c r="V274" s="13" t="s">
        <v>86</v>
      </c>
      <c r="X274" s="13">
        <f t="shared" si="26"/>
        <v>7</v>
      </c>
      <c r="Z274" s="13" t="s">
        <v>60</v>
      </c>
      <c r="AA274" s="13">
        <f t="shared" si="29"/>
        <v>14</v>
      </c>
      <c r="AB274" s="13" t="str">
        <f t="shared" si="27"/>
        <v>Adult</v>
      </c>
      <c r="AC274" s="13">
        <v>9</v>
      </c>
      <c r="AD274" s="13">
        <v>5</v>
      </c>
      <c r="AE274" s="13" t="str">
        <f t="shared" si="28"/>
        <v>Morphological</v>
      </c>
      <c r="AF274" s="2">
        <v>4</v>
      </c>
    </row>
    <row r="275" spans="1:32" x14ac:dyDescent="0.25">
      <c r="A275" s="13">
        <v>271</v>
      </c>
      <c r="B275" s="23" t="s">
        <v>56</v>
      </c>
      <c r="C275" s="23" t="s">
        <v>57</v>
      </c>
      <c r="D275" s="23" t="s">
        <v>58</v>
      </c>
      <c r="E275" s="23" t="s">
        <v>58</v>
      </c>
      <c r="F275" s="35" cm="1">
        <f t="array" ref="F275">_xlfn.IFS($G275=$G$5,F$5,$G275=$G$7,F$7,$G275=$G$10,F$10,$G275=$G$13,F$13,$G275=$G$14,F$14,$G275=$G$16,F$16,$G275=$G$17,F$17,$G275=$G$19,F$19,$G275=$G$20,F$20,$G275=$G$22,F$22,$G275=$G$23,F$23,$G275=$G$26,F$26,$G275=$G$29,F$29,$G275=$G$31,F$31,$G275=$G$34,F$34,$G275=$G$37,F$37,$G275=$G$107,F$107,$G275=$G$110,F$110,$G275=$G$140,F$140,$G275=$G$142,F$142,$G275=$G$408,F$408)</f>
        <v>8018</v>
      </c>
      <c r="G275" s="13" t="s">
        <v>63</v>
      </c>
      <c r="H275" s="51" cm="1">
        <f t="array" ref="H275">_xlfn.IFS($G275=$G$5,H$5,$G275=$G$7,H$7,$G275=$G$10,H$10,$G275=$G$13,H$13,$G275=$G$14,H$14,$G275=$G$16,H$16,$G275=$G$17,H$17,$G275=$G$19,H$19,$G275=$G$20,H$20,$G275=$G$22,H$22,$G275=$G$23,H$23,$G275=$G$26,H$26,$G275=$G$29,H$29,$G275=$G$31,H$31,$G275=$G$34,H$34,$G275=$G$37,H$37,$G275=$G$107,H$107,$G275=$G$110,H$110,$G275=$G$140,H$140,$G275=$G$142,H$142,$G275=$G$408,H$408)</f>
        <v>41.404924999999999</v>
      </c>
      <c r="I275" s="51" cm="1">
        <f t="array" ref="I275">_xlfn.IFS($G275=$G$5,I$5,$G275=$G$7,I$7,$G275=$G$10,I$10,$G275=$G$13,I$13,$G275=$G$14,I$14,$G275=$G$16,I$16,$G275=$G$17,I$17,$G275=$G$19,I$19,$G275=$G$20,I$20,$G275=$G$22,I$22,$G275=$G$23,I$23,$G275=$G$26,I$26,$G275=$G$29,I$29,$G275=$G$31,I$31,$G275=$G$34,I$34,$G275=$G$37,I$37,$G275=$G$107,I$107,$G275=$G$110,I$110,$G275=$G$140,I$140,$G275=$G$142,I$142,$G275=$G$408,I$408)</f>
        <v>2.1987909999999999</v>
      </c>
      <c r="J275" s="51" cm="1">
        <f t="array" ref="J275">_xlfn.IFS($G275=$G$5,J$5,$G275=$G$7,J$7,$G275=$G$10,J$10,$G275=$G$13,J$13,$G275=$G$14,J$14,$G275=$G$16,J$16,$G275=$G$17,J$17,$G275=$G$19,J$19,$G275=$G$20,J$20,$G275=$G$22,J$22,$G275=$G$23,J$23,$G275=$G$26,J$26,$G275=$G$29,J$29,$G275=$G$31,J$31,$G275=$G$34,J$34,$G275=$G$37,J$37,$G275=$G$107,J$107,$G275=$G$110,J$110,$G275=$G$140,J$140,$G275=$G$142,J$142,$G275=$G$408,J$408)</f>
        <v>4</v>
      </c>
      <c r="K275" s="13" t="str" cm="1">
        <f t="array" ref="K275">_xlfn.IFS($G275=$G$5,K$5,$G275=$G$7,K$7,$G275=$G$10,K$10,$G275=$G$13,K$13,$G275=$G$14,K$14,$G275=$G$16,K$16,$G275=$G$17,K$17,$G275=$G$19,K$19,$G275=$G$20,K$20,$G275=$G$22,K$22,$G275=$G$23,K$23,$G275=$G$26,K$26,$G275=$G$29,K$29,$G275=$G$31,K$31,$G275=$G$34,K$34,$G275=$G$37,K$37,$G275=$G$107,K$107,$G275=$G$110,K$110,$G275=$G$140,K$140,$G275=$G$142,K$142,$G275=$G$408,K$408)</f>
        <v>BG sentinel + BG lure7</v>
      </c>
      <c r="O275" s="13" t="str">
        <f t="shared" si="23"/>
        <v>A_SP_BCN_4_220816</v>
      </c>
      <c r="P275" s="27">
        <v>44789</v>
      </c>
      <c r="Q275" s="29">
        <v>0.80902777777777779</v>
      </c>
      <c r="R275" s="33"/>
      <c r="S275" s="27">
        <v>44796</v>
      </c>
      <c r="T275" s="29">
        <v>0.80555555555555547</v>
      </c>
      <c r="V275" s="13" t="s">
        <v>86</v>
      </c>
      <c r="X275" s="13">
        <f t="shared" si="26"/>
        <v>7</v>
      </c>
      <c r="Z275" s="13" t="s">
        <v>60</v>
      </c>
      <c r="AA275" s="13">
        <f t="shared" si="29"/>
        <v>13</v>
      </c>
      <c r="AB275" s="13" t="str">
        <f t="shared" si="27"/>
        <v>Adult</v>
      </c>
      <c r="AC275" s="13">
        <v>7</v>
      </c>
      <c r="AD275" s="13">
        <v>6</v>
      </c>
      <c r="AE275" s="13" t="str">
        <f t="shared" si="28"/>
        <v>Morphological</v>
      </c>
      <c r="AF275" s="2">
        <v>4</v>
      </c>
    </row>
    <row r="276" spans="1:32" x14ac:dyDescent="0.25">
      <c r="A276" s="13">
        <v>272</v>
      </c>
      <c r="B276" s="23" t="s">
        <v>56</v>
      </c>
      <c r="C276" s="23" t="s">
        <v>57</v>
      </c>
      <c r="D276" s="23" t="s">
        <v>58</v>
      </c>
      <c r="E276" s="23" t="s">
        <v>58</v>
      </c>
      <c r="F276" s="35" cm="1">
        <f t="array" ref="F276">_xlfn.IFS($G276=$G$5,F$5,$G276=$G$7,F$7,$G276=$G$10,F$10,$G276=$G$13,F$13,$G276=$G$14,F$14,$G276=$G$16,F$16,$G276=$G$17,F$17,$G276=$G$19,F$19,$G276=$G$20,F$20,$G276=$G$22,F$22,$G276=$G$23,F$23,$G276=$G$26,F$26,$G276=$G$29,F$29,$G276=$G$31,F$31,$G276=$G$34,F$34,$G276=$G$37,F$37,$G276=$G$107,F$107,$G276=$G$110,F$110,$G276=$G$140,F$140,$G276=$G$142,F$142,$G276=$G$408,F$408)</f>
        <v>8018</v>
      </c>
      <c r="G276" s="13" t="s">
        <v>63</v>
      </c>
      <c r="H276" s="51" cm="1">
        <f t="array" ref="H276">_xlfn.IFS($G276=$G$5,H$5,$G276=$G$7,H$7,$G276=$G$10,H$10,$G276=$G$13,H$13,$G276=$G$14,H$14,$G276=$G$16,H$16,$G276=$G$17,H$17,$G276=$G$19,H$19,$G276=$G$20,H$20,$G276=$G$22,H$22,$G276=$G$23,H$23,$G276=$G$26,H$26,$G276=$G$29,H$29,$G276=$G$31,H$31,$G276=$G$34,H$34,$G276=$G$37,H$37,$G276=$G$107,H$107,$G276=$G$110,H$110,$G276=$G$140,H$140,$G276=$G$142,H$142,$G276=$G$408,H$408)</f>
        <v>41.404924999999999</v>
      </c>
      <c r="I276" s="51" cm="1">
        <f t="array" ref="I276">_xlfn.IFS($G276=$G$5,I$5,$G276=$G$7,I$7,$G276=$G$10,I$10,$G276=$G$13,I$13,$G276=$G$14,I$14,$G276=$G$16,I$16,$G276=$G$17,I$17,$G276=$G$19,I$19,$G276=$G$20,I$20,$G276=$G$22,I$22,$G276=$G$23,I$23,$G276=$G$26,I$26,$G276=$G$29,I$29,$G276=$G$31,I$31,$G276=$G$34,I$34,$G276=$G$37,I$37,$G276=$G$107,I$107,$G276=$G$110,I$110,$G276=$G$140,I$140,$G276=$G$142,I$142,$G276=$G$408,I$408)</f>
        <v>2.1987909999999999</v>
      </c>
      <c r="J276" s="51" cm="1">
        <f t="array" ref="J276">_xlfn.IFS($G276=$G$5,J$5,$G276=$G$7,J$7,$G276=$G$10,J$10,$G276=$G$13,J$13,$G276=$G$14,J$14,$G276=$G$16,J$16,$G276=$G$17,J$17,$G276=$G$19,J$19,$G276=$G$20,J$20,$G276=$G$22,J$22,$G276=$G$23,J$23,$G276=$G$26,J$26,$G276=$G$29,J$29,$G276=$G$31,J$31,$G276=$G$34,J$34,$G276=$G$37,J$37,$G276=$G$107,J$107,$G276=$G$110,J$110,$G276=$G$140,J$140,$G276=$G$142,J$142,$G276=$G$408,J$408)</f>
        <v>4</v>
      </c>
      <c r="K276" s="13" t="str" cm="1">
        <f t="array" ref="K276">_xlfn.IFS($G276=$G$5,K$5,$G276=$G$7,K$7,$G276=$G$10,K$10,$G276=$G$13,K$13,$G276=$G$14,K$14,$G276=$G$16,K$16,$G276=$G$17,K$17,$G276=$G$19,K$19,$G276=$G$20,K$20,$G276=$G$22,K$22,$G276=$G$23,K$23,$G276=$G$26,K$26,$G276=$G$29,K$29,$G276=$G$31,K$31,$G276=$G$34,K$34,$G276=$G$37,K$37,$G276=$G$107,K$107,$G276=$G$110,K$110,$G276=$G$140,K$140,$G276=$G$142,K$142,$G276=$G$408,K$408)</f>
        <v>BG sentinel + BG lure7</v>
      </c>
      <c r="O276" s="13" t="str">
        <f t="shared" ref="O276:O368" si="30">G276&amp;"_"&amp;TEXT(P276, "AAMMDD")</f>
        <v>A_SP_BCN_4_220816</v>
      </c>
      <c r="P276" s="27">
        <v>44789</v>
      </c>
      <c r="Q276" s="29">
        <v>0.80902777777777779</v>
      </c>
      <c r="R276" s="33"/>
      <c r="S276" s="27">
        <v>44796</v>
      </c>
      <c r="T276" s="29">
        <v>0.80555555555555547</v>
      </c>
      <c r="V276" s="13" t="s">
        <v>86</v>
      </c>
      <c r="X276" s="13">
        <f t="shared" si="26"/>
        <v>7</v>
      </c>
      <c r="Z276" s="13" t="s">
        <v>164</v>
      </c>
      <c r="AA276" s="13">
        <f t="shared" si="29"/>
        <v>2</v>
      </c>
      <c r="AB276" s="13" t="str">
        <f t="shared" si="27"/>
        <v>Adult</v>
      </c>
      <c r="AC276" s="13">
        <v>1</v>
      </c>
      <c r="AD276" s="13">
        <v>1</v>
      </c>
      <c r="AE276" s="13" t="str">
        <f t="shared" si="28"/>
        <v>Morphological</v>
      </c>
      <c r="AF276" s="2">
        <v>4</v>
      </c>
    </row>
    <row r="277" spans="1:32" x14ac:dyDescent="0.25">
      <c r="A277" s="13">
        <v>273</v>
      </c>
      <c r="B277" s="23" t="s">
        <v>56</v>
      </c>
      <c r="C277" s="23" t="s">
        <v>57</v>
      </c>
      <c r="D277" s="23" t="s">
        <v>58</v>
      </c>
      <c r="E277" s="23" t="s">
        <v>58</v>
      </c>
      <c r="F277" s="35" cm="1">
        <f t="array" ref="F277">_xlfn.IFS($G277=$G$5,F$5,$G277=$G$7,F$7,$G277=$G$10,F$10,$G277=$G$13,F$13,$G277=$G$14,F$14,$G277=$G$16,F$16,$G277=$G$17,F$17,$G277=$G$19,F$19,$G277=$G$20,F$20,$G277=$G$22,F$22,$G277=$G$23,F$23,$G277=$G$26,F$26,$G277=$G$29,F$29,$G277=$G$31,F$31,$G277=$G$34,F$34,$G277=$G$37,F$37,$G277=$G$107,F$107,$G277=$G$110,F$110,$G277=$G$140,F$140,$G277=$G$142,F$142,$G277=$G$408,F$408)</f>
        <v>8019</v>
      </c>
      <c r="G277" s="13" t="s">
        <v>64</v>
      </c>
      <c r="H277" s="51" cm="1">
        <f t="array" ref="H277">_xlfn.IFS($G277=$G$5,H$5,$G277=$G$7,H$7,$G277=$G$10,H$10,$G277=$G$13,H$13,$G277=$G$14,H$14,$G277=$G$16,H$16,$G277=$G$17,H$17,$G277=$G$19,H$19,$G277=$G$20,H$20,$G277=$G$22,H$22,$G277=$G$23,H$23,$G277=$G$26,H$26,$G277=$G$29,H$29,$G277=$G$31,H$31,$G277=$G$34,H$34,$G277=$G$37,H$37,$G277=$G$107,H$107,$G277=$G$110,H$110,$G277=$G$140,H$140,$G277=$G$142,H$142,$G277=$G$408,H$408)</f>
        <v>41.410684000000003</v>
      </c>
      <c r="I277" s="51" cm="1">
        <f t="array" ref="I277">_xlfn.IFS($G277=$G$5,I$5,$G277=$G$7,I$7,$G277=$G$10,I$10,$G277=$G$13,I$13,$G277=$G$14,I$14,$G277=$G$16,I$16,$G277=$G$17,I$17,$G277=$G$19,I$19,$G277=$G$20,I$20,$G277=$G$22,I$22,$G277=$G$23,I$23,$G277=$G$26,I$26,$G277=$G$29,I$29,$G277=$G$31,I$31,$G277=$G$34,I$34,$G277=$G$37,I$37,$G277=$G$107,I$107,$G277=$G$110,I$110,$G277=$G$140,I$140,$G277=$G$142,I$142,$G277=$G$408,I$408)</f>
        <v>2.2208019999999999</v>
      </c>
      <c r="J277" s="51" cm="1">
        <f t="array" ref="J277">_xlfn.IFS($G277=$G$5,J$5,$G277=$G$7,J$7,$G277=$G$10,J$10,$G277=$G$13,J$13,$G277=$G$14,J$14,$G277=$G$16,J$16,$G277=$G$17,J$17,$G277=$G$19,J$19,$G277=$G$20,J$20,$G277=$G$22,J$22,$G277=$G$23,J$23,$G277=$G$26,J$26,$G277=$G$29,J$29,$G277=$G$31,J$31,$G277=$G$34,J$34,$G277=$G$37,J$37,$G277=$G$107,J$107,$G277=$G$110,J$110,$G277=$G$140,J$140,$G277=$G$142,J$142,$G277=$G$408,J$408)</f>
        <v>18</v>
      </c>
      <c r="K277" s="13" t="str" cm="1">
        <f t="array" ref="K277">_xlfn.IFS($G277=$G$5,K$5,$G277=$G$7,K$7,$G277=$G$10,K$10,$G277=$G$13,K$13,$G277=$G$14,K$14,$G277=$G$16,K$16,$G277=$G$17,K$17,$G277=$G$19,K$19,$G277=$G$20,K$20,$G277=$G$22,K$22,$G277=$G$23,K$23,$G277=$G$26,K$26,$G277=$G$29,K$29,$G277=$G$31,K$31,$G277=$G$34,K$34,$G277=$G$37,K$37,$G277=$G$107,K$107,$G277=$G$110,K$110,$G277=$G$140,K$140,$G277=$G$142,K$142,$G277=$G$408,K$408)</f>
        <v>BG sentinel + BG lure7</v>
      </c>
      <c r="O277" s="13" t="str">
        <f t="shared" si="30"/>
        <v>A_SP_BCN_5_220816</v>
      </c>
      <c r="P277" s="27">
        <v>44789</v>
      </c>
      <c r="Q277" s="29">
        <v>0.78819444444444453</v>
      </c>
      <c r="R277" s="33"/>
      <c r="S277" s="27">
        <v>44796</v>
      </c>
      <c r="T277" s="29">
        <v>0.78472222222222221</v>
      </c>
      <c r="V277" s="13" t="s">
        <v>86</v>
      </c>
      <c r="X277" s="13">
        <f t="shared" si="26"/>
        <v>7</v>
      </c>
      <c r="Z277" s="13" t="s">
        <v>164</v>
      </c>
      <c r="AA277" s="13">
        <f t="shared" si="29"/>
        <v>16</v>
      </c>
      <c r="AB277" s="13" t="str">
        <f t="shared" si="27"/>
        <v>Adult</v>
      </c>
      <c r="AC277" s="13">
        <v>11</v>
      </c>
      <c r="AD277" s="13">
        <v>5</v>
      </c>
      <c r="AE277" s="13" t="str">
        <f t="shared" si="28"/>
        <v>Morphological</v>
      </c>
      <c r="AF277" s="2">
        <v>4</v>
      </c>
    </row>
    <row r="278" spans="1:32" x14ac:dyDescent="0.25">
      <c r="A278" s="13">
        <v>274</v>
      </c>
      <c r="B278" s="23" t="s">
        <v>56</v>
      </c>
      <c r="C278" s="23" t="s">
        <v>57</v>
      </c>
      <c r="D278" s="23" t="s">
        <v>58</v>
      </c>
      <c r="E278" s="23" t="s">
        <v>58</v>
      </c>
      <c r="F278" s="35" cm="1">
        <f t="array" ref="F278">_xlfn.IFS($G278=$G$5,F$5,$G278=$G$7,F$7,$G278=$G$10,F$10,$G278=$G$13,F$13,$G278=$G$14,F$14,$G278=$G$16,F$16,$G278=$G$17,F$17,$G278=$G$19,F$19,$G278=$G$20,F$20,$G278=$G$22,F$22,$G278=$G$23,F$23,$G278=$G$26,F$26,$G278=$G$29,F$29,$G278=$G$31,F$31,$G278=$G$34,F$34,$G278=$G$37,F$37,$G278=$G$107,F$107,$G278=$G$110,F$110,$G278=$G$140,F$140,$G278=$G$142,F$142,$G278=$G$408,F$408)</f>
        <v>8002</v>
      </c>
      <c r="G278" s="13" t="s">
        <v>65</v>
      </c>
      <c r="H278" s="51" cm="1">
        <f t="array" ref="H278">_xlfn.IFS($G278=$G$5,H$5,$G278=$G$7,H$7,$G278=$G$10,H$10,$G278=$G$13,H$13,$G278=$G$14,H$14,$G278=$G$16,H$16,$G278=$G$17,H$17,$G278=$G$19,H$19,$G278=$G$20,H$20,$G278=$G$22,H$22,$G278=$G$23,H$23,$G278=$G$26,H$26,$G278=$G$29,H$29,$G278=$G$31,H$31,$G278=$G$34,H$34,$G278=$G$37,H$37,$G278=$G$107,H$107,$G278=$G$110,H$110,$G278=$G$140,H$140,$G278=$G$142,H$142,$G278=$G$408,H$408)</f>
        <v>41.382339999999999</v>
      </c>
      <c r="I278" s="51" cm="1">
        <f t="array" ref="I278">_xlfn.IFS($G278=$G$5,I$5,$G278=$G$7,I$7,$G278=$G$10,I$10,$G278=$G$13,I$13,$G278=$G$14,I$14,$G278=$G$16,I$16,$G278=$G$17,I$17,$G278=$G$19,I$19,$G278=$G$20,I$20,$G278=$G$22,I$22,$G278=$G$23,I$23,$G278=$G$26,I$26,$G278=$G$29,I$29,$G278=$G$31,I$31,$G278=$G$34,I$34,$G278=$G$37,I$37,$G278=$G$107,I$107,$G278=$G$110,I$110,$G278=$G$140,I$140,$G278=$G$142,I$142,$G278=$G$408,I$408)</f>
        <v>2.1714790000000002</v>
      </c>
      <c r="J278" s="51" cm="1">
        <f t="array" ref="J278">_xlfn.IFS($G278=$G$5,J$5,$G278=$G$7,J$7,$G278=$G$10,J$10,$G278=$G$13,J$13,$G278=$G$14,J$14,$G278=$G$16,J$16,$G278=$G$17,J$17,$G278=$G$19,J$19,$G278=$G$20,J$20,$G278=$G$22,J$22,$G278=$G$23,J$23,$G278=$G$26,J$26,$G278=$G$29,J$29,$G278=$G$31,J$31,$G278=$G$34,J$34,$G278=$G$37,J$37,$G278=$G$107,J$107,$G278=$G$110,J$110,$G278=$G$140,J$140,$G278=$G$142,J$142,$G278=$G$408,J$408)</f>
        <v>19</v>
      </c>
      <c r="K278" s="13" t="str" cm="1">
        <f t="array" ref="K278">_xlfn.IFS($G278=$G$5,K$5,$G278=$G$7,K$7,$G278=$G$10,K$10,$G278=$G$13,K$13,$G278=$G$14,K$14,$G278=$G$16,K$16,$G278=$G$17,K$17,$G278=$G$19,K$19,$G278=$G$20,K$20,$G278=$G$22,K$22,$G278=$G$23,K$23,$G278=$G$26,K$26,$G278=$G$29,K$29,$G278=$G$31,K$31,$G278=$G$34,K$34,$G278=$G$37,K$37,$G278=$G$107,K$107,$G278=$G$110,K$110,$G278=$G$140,K$140,$G278=$G$142,K$142,$G278=$G$408,K$408)</f>
        <v>BG sentinel + BG lure7</v>
      </c>
      <c r="O278" s="13" t="str">
        <f t="shared" si="30"/>
        <v>A_SP_BCN_6_220816</v>
      </c>
      <c r="P278" s="27">
        <v>44789</v>
      </c>
      <c r="Q278" s="29">
        <v>0.84375</v>
      </c>
      <c r="R278" s="33"/>
      <c r="S278" s="27">
        <v>44796</v>
      </c>
      <c r="T278" s="29">
        <v>0.82638888888888884</v>
      </c>
      <c r="V278" s="13" t="s">
        <v>86</v>
      </c>
      <c r="X278" s="13">
        <f t="shared" si="26"/>
        <v>7</v>
      </c>
      <c r="Z278" s="13" t="s">
        <v>60</v>
      </c>
      <c r="AA278" s="13">
        <f t="shared" si="29"/>
        <v>1</v>
      </c>
      <c r="AB278" s="13" t="str">
        <f t="shared" si="27"/>
        <v>Adult</v>
      </c>
      <c r="AC278" s="13">
        <v>1</v>
      </c>
      <c r="AD278" s="13">
        <v>0</v>
      </c>
      <c r="AE278" s="13" t="str">
        <f t="shared" si="28"/>
        <v>Morphological</v>
      </c>
      <c r="AF278" s="2">
        <v>4</v>
      </c>
    </row>
    <row r="279" spans="1:32" x14ac:dyDescent="0.25">
      <c r="A279" s="13">
        <v>275</v>
      </c>
      <c r="B279" s="23" t="s">
        <v>56</v>
      </c>
      <c r="C279" s="23" t="s">
        <v>57</v>
      </c>
      <c r="D279" s="23" t="s">
        <v>58</v>
      </c>
      <c r="E279" s="23" t="s">
        <v>58</v>
      </c>
      <c r="F279" s="35" cm="1">
        <f t="array" ref="F279">_xlfn.IFS($G279=$G$5,F$5,$G279=$G$7,F$7,$G279=$G$10,F$10,$G279=$G$13,F$13,$G279=$G$14,F$14,$G279=$G$16,F$16,$G279=$G$17,F$17,$G279=$G$19,F$19,$G279=$G$20,F$20,$G279=$G$22,F$22,$G279=$G$23,F$23,$G279=$G$26,F$26,$G279=$G$29,F$29,$G279=$G$31,F$31,$G279=$G$34,F$34,$G279=$G$37,F$37,$G279=$G$107,F$107,$G279=$G$110,F$110,$G279=$G$140,F$140,$G279=$G$142,F$142,$G279=$G$408,F$408)</f>
        <v>8040</v>
      </c>
      <c r="G279" s="13" t="s">
        <v>68</v>
      </c>
      <c r="H279" s="51" cm="1">
        <f t="array" ref="H279">_xlfn.IFS($G279=$G$5,H$5,$G279=$G$7,H$7,$G279=$G$10,H$10,$G279=$G$13,H$13,$G279=$G$14,H$14,$G279=$G$16,H$16,$G279=$G$17,H$17,$G279=$G$19,H$19,$G279=$G$20,H$20,$G279=$G$22,H$22,$G279=$G$23,H$23,$G279=$G$26,H$26,$G279=$G$29,H$29,$G279=$G$31,H$31,$G279=$G$34,H$34,$G279=$G$37,H$37,$G279=$G$107,H$107,$G279=$G$110,H$110,$G279=$G$140,H$140,$G279=$G$142,H$142,$G279=$G$408,H$408)</f>
        <v>41.343685000000001</v>
      </c>
      <c r="I279" s="51" cm="1">
        <f t="array" ref="I279">_xlfn.IFS($G279=$G$5,I$5,$G279=$G$7,I$7,$G279=$G$10,I$10,$G279=$G$13,I$13,$G279=$G$14,I$14,$G279=$G$16,I$16,$G279=$G$17,I$17,$G279=$G$19,I$19,$G279=$G$20,I$20,$G279=$G$22,I$22,$G279=$G$23,I$23,$G279=$G$26,I$26,$G279=$G$29,I$29,$G279=$G$31,I$31,$G279=$G$34,I$34,$G279=$G$37,I$37,$G279=$G$107,I$107,$G279=$G$110,I$110,$G279=$G$140,I$140,$G279=$G$142,I$142,$G279=$G$408,I$408)</f>
        <v>2.1441490000000001</v>
      </c>
      <c r="J279" s="51" cm="1">
        <f t="array" ref="J279">_xlfn.IFS($G279=$G$5,J$5,$G279=$G$7,J$7,$G279=$G$10,J$10,$G279=$G$13,J$13,$G279=$G$14,J$14,$G279=$G$16,J$16,$G279=$G$17,J$17,$G279=$G$19,J$19,$G279=$G$20,J$20,$G279=$G$22,J$22,$G279=$G$23,J$23,$G279=$G$26,J$26,$G279=$G$29,J$29,$G279=$G$31,J$31,$G279=$G$34,J$34,$G279=$G$37,J$37,$G279=$G$107,J$107,$G279=$G$110,J$110,$G279=$G$140,J$140,$G279=$G$142,J$142,$G279=$G$408,J$408)</f>
        <v>4</v>
      </c>
      <c r="K279" s="13" t="str" cm="1">
        <f t="array" ref="K279">_xlfn.IFS($G279=$G$5,K$5,$G279=$G$7,K$7,$G279=$G$10,K$10,$G279=$G$13,K$13,$G279=$G$14,K$14,$G279=$G$16,K$16,$G279=$G$17,K$17,$G279=$G$19,K$19,$G279=$G$20,K$20,$G279=$G$22,K$22,$G279=$G$23,K$23,$G279=$G$26,K$26,$G279=$G$29,K$29,$G279=$G$31,K$31,$G279=$G$34,K$34,$G279=$G$37,K$37,$G279=$G$107,K$107,$G279=$G$110,K$110,$G279=$G$140,K$140,$G279=$G$142,K$142,$G279=$G$408,K$408)</f>
        <v>BG sentinel + BG lure7</v>
      </c>
      <c r="O279" s="13" t="str">
        <f t="shared" si="30"/>
        <v>A_SP_BCN_10_220816</v>
      </c>
      <c r="P279" s="27">
        <v>44789</v>
      </c>
      <c r="Q279" s="29">
        <v>0.63194444444444442</v>
      </c>
      <c r="R279" s="33"/>
      <c r="S279" s="27">
        <v>44796</v>
      </c>
      <c r="T279" s="29">
        <v>0.625</v>
      </c>
      <c r="V279" s="13" t="s">
        <v>86</v>
      </c>
      <c r="W279" s="15" t="s">
        <v>92</v>
      </c>
      <c r="X279" s="13">
        <f t="shared" si="26"/>
        <v>7</v>
      </c>
      <c r="Z279" s="13" t="s">
        <v>60</v>
      </c>
      <c r="AA279" s="13">
        <f t="shared" si="29"/>
        <v>12</v>
      </c>
      <c r="AB279" s="13" t="str">
        <f t="shared" si="27"/>
        <v>Adult</v>
      </c>
      <c r="AC279" s="13">
        <v>8</v>
      </c>
      <c r="AD279" s="13">
        <v>4</v>
      </c>
      <c r="AE279" s="13" t="str">
        <f t="shared" si="28"/>
        <v>Morphological</v>
      </c>
      <c r="AF279" s="2">
        <v>3</v>
      </c>
    </row>
    <row r="280" spans="1:32" x14ac:dyDescent="0.25">
      <c r="A280" s="13">
        <v>276</v>
      </c>
      <c r="B280" s="23" t="s">
        <v>56</v>
      </c>
      <c r="C280" s="23" t="s">
        <v>57</v>
      </c>
      <c r="D280" s="23" t="s">
        <v>58</v>
      </c>
      <c r="E280" s="23" t="s">
        <v>58</v>
      </c>
      <c r="F280" s="35" cm="1">
        <f t="array" ref="F280">_xlfn.IFS($G280=$G$5,F$5,$G280=$G$7,F$7,$G280=$G$10,F$10,$G280=$G$13,F$13,$G280=$G$14,F$14,$G280=$G$16,F$16,$G280=$G$17,F$17,$G280=$G$19,F$19,$G280=$G$20,F$20,$G280=$G$22,F$22,$G280=$G$23,F$23,$G280=$G$26,F$26,$G280=$G$29,F$29,$G280=$G$31,F$31,$G280=$G$34,F$34,$G280=$G$37,F$37,$G280=$G$107,F$107,$G280=$G$110,F$110,$G280=$G$140,F$140,$G280=$G$142,F$142,$G280=$G$408,F$408)</f>
        <v>8040</v>
      </c>
      <c r="G280" s="13" t="s">
        <v>68</v>
      </c>
      <c r="H280" s="51" cm="1">
        <f t="array" ref="H280">_xlfn.IFS($G280=$G$5,H$5,$G280=$G$7,H$7,$G280=$G$10,H$10,$G280=$G$13,H$13,$G280=$G$14,H$14,$G280=$G$16,H$16,$G280=$G$17,H$17,$G280=$G$19,H$19,$G280=$G$20,H$20,$G280=$G$22,H$22,$G280=$G$23,H$23,$G280=$G$26,H$26,$G280=$G$29,H$29,$G280=$G$31,H$31,$G280=$G$34,H$34,$G280=$G$37,H$37,$G280=$G$107,H$107,$G280=$G$110,H$110,$G280=$G$140,H$140,$G280=$G$142,H$142,$G280=$G$408,H$408)</f>
        <v>41.343685000000001</v>
      </c>
      <c r="I280" s="51" cm="1">
        <f t="array" ref="I280">_xlfn.IFS($G280=$G$5,I$5,$G280=$G$7,I$7,$G280=$G$10,I$10,$G280=$G$13,I$13,$G280=$G$14,I$14,$G280=$G$16,I$16,$G280=$G$17,I$17,$G280=$G$19,I$19,$G280=$G$20,I$20,$G280=$G$22,I$22,$G280=$G$23,I$23,$G280=$G$26,I$26,$G280=$G$29,I$29,$G280=$G$31,I$31,$G280=$G$34,I$34,$G280=$G$37,I$37,$G280=$G$107,I$107,$G280=$G$110,I$110,$G280=$G$140,I$140,$G280=$G$142,I$142,$G280=$G$408,I$408)</f>
        <v>2.1441490000000001</v>
      </c>
      <c r="J280" s="51" cm="1">
        <f t="array" ref="J280">_xlfn.IFS($G280=$G$5,J$5,$G280=$G$7,J$7,$G280=$G$10,J$10,$G280=$G$13,J$13,$G280=$G$14,J$14,$G280=$G$16,J$16,$G280=$G$17,J$17,$G280=$G$19,J$19,$G280=$G$20,J$20,$G280=$G$22,J$22,$G280=$G$23,J$23,$G280=$G$26,J$26,$G280=$G$29,J$29,$G280=$G$31,J$31,$G280=$G$34,J$34,$G280=$G$37,J$37,$G280=$G$107,J$107,$G280=$G$110,J$110,$G280=$G$140,J$140,$G280=$G$142,J$142,$G280=$G$408,J$408)</f>
        <v>4</v>
      </c>
      <c r="K280" s="13" t="str" cm="1">
        <f t="array" ref="K280">_xlfn.IFS($G280=$G$5,K$5,$G280=$G$7,K$7,$G280=$G$10,K$10,$G280=$G$13,K$13,$G280=$G$14,K$14,$G280=$G$16,K$16,$G280=$G$17,K$17,$G280=$G$19,K$19,$G280=$G$20,K$20,$G280=$G$22,K$22,$G280=$G$23,K$23,$G280=$G$26,K$26,$G280=$G$29,K$29,$G280=$G$31,K$31,$G280=$G$34,K$34,$G280=$G$37,K$37,$G280=$G$107,K$107,$G280=$G$110,K$110,$G280=$G$140,K$140,$G280=$G$142,K$142,$G280=$G$408,K$408)</f>
        <v>BG sentinel + BG lure7</v>
      </c>
      <c r="O280" s="13" t="str">
        <f t="shared" si="30"/>
        <v>A_SP_BCN_10_220816</v>
      </c>
      <c r="P280" s="27">
        <v>44789</v>
      </c>
      <c r="Q280" s="29">
        <v>0.63194444444444442</v>
      </c>
      <c r="R280" s="33"/>
      <c r="S280" s="27">
        <v>44796</v>
      </c>
      <c r="T280" s="29">
        <v>0.625</v>
      </c>
      <c r="V280" s="13" t="s">
        <v>86</v>
      </c>
      <c r="W280" s="15" t="s">
        <v>92</v>
      </c>
      <c r="X280" s="13">
        <f t="shared" si="26"/>
        <v>7</v>
      </c>
      <c r="Z280" s="13" t="s">
        <v>164</v>
      </c>
      <c r="AA280" s="13">
        <f t="shared" si="29"/>
        <v>3</v>
      </c>
      <c r="AB280" s="13" t="str">
        <f t="shared" si="27"/>
        <v>Adult</v>
      </c>
      <c r="AC280" s="13">
        <v>3</v>
      </c>
      <c r="AD280" s="13">
        <v>0</v>
      </c>
      <c r="AE280" s="13" t="str">
        <f t="shared" si="28"/>
        <v>Morphological</v>
      </c>
      <c r="AF280" s="2">
        <v>3</v>
      </c>
    </row>
    <row r="281" spans="1:32" x14ac:dyDescent="0.25">
      <c r="A281" s="13">
        <v>277</v>
      </c>
      <c r="B281" s="23" t="s">
        <v>56</v>
      </c>
      <c r="C281" s="23" t="s">
        <v>57</v>
      </c>
      <c r="D281" s="23" t="s">
        <v>58</v>
      </c>
      <c r="E281" s="23" t="s">
        <v>58</v>
      </c>
      <c r="F281" s="35" cm="1">
        <f t="array" ref="F281">_xlfn.IFS($G281=$G$5,F$5,$G281=$G$7,F$7,$G281=$G$10,F$10,$G281=$G$13,F$13,$G281=$G$14,F$14,$G281=$G$16,F$16,$G281=$G$17,F$17,$G281=$G$19,F$19,$G281=$G$20,F$20,$G281=$G$22,F$22,$G281=$G$23,F$23,$G281=$G$26,F$26,$G281=$G$29,F$29,$G281=$G$31,F$31,$G281=$G$34,F$34,$G281=$G$37,F$37,$G281=$G$107,F$107,$G281=$G$110,F$110,$G281=$G$140,F$140,$G281=$G$142,F$142,$G281=$G$408,F$408)</f>
        <v>8038</v>
      </c>
      <c r="G281" s="13" t="s">
        <v>69</v>
      </c>
      <c r="H281" s="51" cm="1">
        <f t="array" ref="H281">_xlfn.IFS($G281=$G$5,H$5,$G281=$G$7,H$7,$G281=$G$10,H$10,$G281=$G$13,H$13,$G281=$G$14,H$14,$G281=$G$16,H$16,$G281=$G$17,H$17,$G281=$G$19,H$19,$G281=$G$20,H$20,$G281=$G$22,H$22,$G281=$G$23,H$23,$G281=$G$26,H$26,$G281=$G$29,H$29,$G281=$G$31,H$31,$G281=$G$34,H$34,$G281=$G$37,H$37,$G281=$G$107,H$107,$G281=$G$110,H$110,$G281=$G$140,H$140,$G281=$G$142,H$142,$G281=$G$408,H$408)</f>
        <v>41.363377999999997</v>
      </c>
      <c r="I281" s="51" cm="1">
        <f t="array" ref="I281">_xlfn.IFS($G281=$G$5,I$5,$G281=$G$7,I$7,$G281=$G$10,I$10,$G281=$G$13,I$13,$G281=$G$14,I$14,$G281=$G$16,I$16,$G281=$G$17,I$17,$G281=$G$19,I$19,$G281=$G$20,I$20,$G281=$G$22,I$22,$G281=$G$23,I$23,$G281=$G$26,I$26,$G281=$G$29,I$29,$G281=$G$31,I$31,$G281=$G$34,I$34,$G281=$G$37,I$37,$G281=$G$107,I$107,$G281=$G$110,I$110,$G281=$G$140,I$140,$G281=$G$142,I$142,$G281=$G$408,I$408)</f>
        <v>2.164879</v>
      </c>
      <c r="J281" s="51" cm="1">
        <f t="array" ref="J281">_xlfn.IFS($G281=$G$5,J$5,$G281=$G$7,J$7,$G281=$G$10,J$10,$G281=$G$13,J$13,$G281=$G$14,J$14,$G281=$G$16,J$16,$G281=$G$17,J$17,$G281=$G$19,J$19,$G281=$G$20,J$20,$G281=$G$22,J$22,$G281=$G$23,J$23,$G281=$G$26,J$26,$G281=$G$29,J$29,$G281=$G$31,J$31,$G281=$G$34,J$34,$G281=$G$37,J$37,$G281=$G$107,J$107,$G281=$G$110,J$110,$G281=$G$140,J$140,$G281=$G$142,J$142,$G281=$G$408,J$408)</f>
        <v>185</v>
      </c>
      <c r="K281" s="13" t="str" cm="1">
        <f t="array" ref="K281">_xlfn.IFS($G281=$G$5,K$5,$G281=$G$7,K$7,$G281=$G$10,K$10,$G281=$G$13,K$13,$G281=$G$14,K$14,$G281=$G$16,K$16,$G281=$G$17,K$17,$G281=$G$19,K$19,$G281=$G$20,K$20,$G281=$G$22,K$22,$G281=$G$23,K$23,$G281=$G$26,K$26,$G281=$G$29,K$29,$G281=$G$31,K$31,$G281=$G$34,K$34,$G281=$G$37,K$37,$G281=$G$107,K$107,$G281=$G$110,K$110,$G281=$G$140,K$140,$G281=$G$142,K$142,$G281=$G$408,K$408)</f>
        <v>BG sentinel + BG lure7</v>
      </c>
      <c r="O281" s="13" t="str">
        <f t="shared" si="30"/>
        <v>A_SP_BCN_12_220816</v>
      </c>
      <c r="P281" s="27">
        <v>44789</v>
      </c>
      <c r="Q281" s="29">
        <v>0.65972222222222221</v>
      </c>
      <c r="R281" s="33"/>
      <c r="S281" s="27">
        <v>44796</v>
      </c>
      <c r="T281" s="29">
        <v>0.65625</v>
      </c>
      <c r="V281" s="13" t="s">
        <v>86</v>
      </c>
      <c r="W281" s="15" t="s">
        <v>93</v>
      </c>
      <c r="X281" s="13">
        <f t="shared" si="26"/>
        <v>7</v>
      </c>
      <c r="Z281" s="13" t="s">
        <v>60</v>
      </c>
      <c r="AA281" s="13">
        <f t="shared" si="29"/>
        <v>13</v>
      </c>
      <c r="AB281" s="13" t="str">
        <f t="shared" si="27"/>
        <v>Adult</v>
      </c>
      <c r="AC281" s="13">
        <v>10</v>
      </c>
      <c r="AD281" s="13">
        <v>3</v>
      </c>
      <c r="AE281" s="13" t="str">
        <f t="shared" si="28"/>
        <v>Morphological</v>
      </c>
      <c r="AF281" s="2">
        <v>2</v>
      </c>
    </row>
    <row r="282" spans="1:32" x14ac:dyDescent="0.25">
      <c r="A282" s="13">
        <v>278</v>
      </c>
      <c r="B282" s="23" t="s">
        <v>56</v>
      </c>
      <c r="C282" s="23" t="s">
        <v>57</v>
      </c>
      <c r="D282" s="23" t="s">
        <v>58</v>
      </c>
      <c r="E282" s="23" t="s">
        <v>58</v>
      </c>
      <c r="F282" s="35" cm="1">
        <f t="array" ref="F282">_xlfn.IFS($G282=$G$5,F$5,$G282=$G$7,F$7,$G282=$G$10,F$10,$G282=$G$13,F$13,$G282=$G$14,F$14,$G282=$G$16,F$16,$G282=$G$17,F$17,$G282=$G$19,F$19,$G282=$G$20,F$20,$G282=$G$22,F$22,$G282=$G$23,F$23,$G282=$G$26,F$26,$G282=$G$29,F$29,$G282=$G$31,F$31,$G282=$G$34,F$34,$G282=$G$37,F$37,$G282=$G$107,F$107,$G282=$G$110,F$110,$G282=$G$140,F$140,$G282=$G$142,F$142,$G282=$G$408,F$408)</f>
        <v>8038</v>
      </c>
      <c r="G282" s="13" t="s">
        <v>69</v>
      </c>
      <c r="H282" s="51" cm="1">
        <f t="array" ref="H282">_xlfn.IFS($G282=$G$5,H$5,$G282=$G$7,H$7,$G282=$G$10,H$10,$G282=$G$13,H$13,$G282=$G$14,H$14,$G282=$G$16,H$16,$G282=$G$17,H$17,$G282=$G$19,H$19,$G282=$G$20,H$20,$G282=$G$22,H$22,$G282=$G$23,H$23,$G282=$G$26,H$26,$G282=$G$29,H$29,$G282=$G$31,H$31,$G282=$G$34,H$34,$G282=$G$37,H$37,$G282=$G$107,H$107,$G282=$G$110,H$110,$G282=$G$140,H$140,$G282=$G$142,H$142,$G282=$G$408,H$408)</f>
        <v>41.363377999999997</v>
      </c>
      <c r="I282" s="51" cm="1">
        <f t="array" ref="I282">_xlfn.IFS($G282=$G$5,I$5,$G282=$G$7,I$7,$G282=$G$10,I$10,$G282=$G$13,I$13,$G282=$G$14,I$14,$G282=$G$16,I$16,$G282=$G$17,I$17,$G282=$G$19,I$19,$G282=$G$20,I$20,$G282=$G$22,I$22,$G282=$G$23,I$23,$G282=$G$26,I$26,$G282=$G$29,I$29,$G282=$G$31,I$31,$G282=$G$34,I$34,$G282=$G$37,I$37,$G282=$G$107,I$107,$G282=$G$110,I$110,$G282=$G$140,I$140,$G282=$G$142,I$142,$G282=$G$408,I$408)</f>
        <v>2.164879</v>
      </c>
      <c r="J282" s="51" cm="1">
        <f t="array" ref="J282">_xlfn.IFS($G282=$G$5,J$5,$G282=$G$7,J$7,$G282=$G$10,J$10,$G282=$G$13,J$13,$G282=$G$14,J$14,$G282=$G$16,J$16,$G282=$G$17,J$17,$G282=$G$19,J$19,$G282=$G$20,J$20,$G282=$G$22,J$22,$G282=$G$23,J$23,$G282=$G$26,J$26,$G282=$G$29,J$29,$G282=$G$31,J$31,$G282=$G$34,J$34,$G282=$G$37,J$37,$G282=$G$107,J$107,$G282=$G$110,J$110,$G282=$G$140,J$140,$G282=$G$142,J$142,$G282=$G$408,J$408)</f>
        <v>185</v>
      </c>
      <c r="K282" s="13" t="str" cm="1">
        <f t="array" ref="K282">_xlfn.IFS($G282=$G$5,K$5,$G282=$G$7,K$7,$G282=$G$10,K$10,$G282=$G$13,K$13,$G282=$G$14,K$14,$G282=$G$16,K$16,$G282=$G$17,K$17,$G282=$G$19,K$19,$G282=$G$20,K$20,$G282=$G$22,K$22,$G282=$G$23,K$23,$G282=$G$26,K$26,$G282=$G$29,K$29,$G282=$G$31,K$31,$G282=$G$34,K$34,$G282=$G$37,K$37,$G282=$G$107,K$107,$G282=$G$110,K$110,$G282=$G$140,K$140,$G282=$G$142,K$142,$G282=$G$408,K$408)</f>
        <v>BG sentinel + BG lure7</v>
      </c>
      <c r="O282" s="13" t="str">
        <f t="shared" si="30"/>
        <v>A_SP_BCN_12_220816</v>
      </c>
      <c r="P282" s="27">
        <v>44789</v>
      </c>
      <c r="Q282" s="29">
        <v>0.65972222222222221</v>
      </c>
      <c r="R282" s="33"/>
      <c r="S282" s="27">
        <v>44796</v>
      </c>
      <c r="T282" s="29">
        <v>0.65625</v>
      </c>
      <c r="V282" s="13" t="s">
        <v>86</v>
      </c>
      <c r="W282" s="15" t="s">
        <v>93</v>
      </c>
      <c r="X282" s="13">
        <f t="shared" si="26"/>
        <v>7</v>
      </c>
      <c r="Z282" s="13" t="s">
        <v>164</v>
      </c>
      <c r="AA282" s="13">
        <f t="shared" si="29"/>
        <v>19</v>
      </c>
      <c r="AB282" s="13" t="str">
        <f t="shared" si="27"/>
        <v>Adult</v>
      </c>
      <c r="AC282" s="13">
        <v>19</v>
      </c>
      <c r="AD282" s="13">
        <v>0</v>
      </c>
      <c r="AE282" s="13" t="str">
        <f t="shared" si="28"/>
        <v>Morphological</v>
      </c>
      <c r="AF282" s="2">
        <v>2</v>
      </c>
    </row>
    <row r="283" spans="1:32" ht="15.75" customHeight="1" x14ac:dyDescent="0.25">
      <c r="A283" s="13">
        <v>279</v>
      </c>
      <c r="B283" s="23" t="s">
        <v>56</v>
      </c>
      <c r="C283" s="23" t="s">
        <v>57</v>
      </c>
      <c r="D283" s="23" t="s">
        <v>58</v>
      </c>
      <c r="E283" s="23" t="s">
        <v>58</v>
      </c>
      <c r="F283" s="35" cm="1">
        <f t="array" ref="F283">_xlfn.IFS($G283=$G$5,F$5,$G283=$G$7,F$7,$G283=$G$10,F$10,$G283=$G$13,F$13,$G283=$G$14,F$14,$G283=$G$16,F$16,$G283=$G$17,F$17,$G283=$G$19,F$19,$G283=$G$20,F$20,$G283=$G$22,F$22,$G283=$G$23,F$23,$G283=$G$26,F$26,$G283=$G$29,F$29,$G283=$G$31,F$31,$G283=$G$34,F$34,$G283=$G$37,F$37,$G283=$G$107,F$107,$G283=$G$110,F$110,$G283=$G$140,F$140,$G283=$G$142,F$142,$G283=$G$408,F$408)</f>
        <v>8035</v>
      </c>
      <c r="G283" s="13" t="s">
        <v>70</v>
      </c>
      <c r="H283" s="51" cm="1">
        <f t="array" ref="H283">_xlfn.IFS($G283=$G$5,H$5,$G283=$G$7,H$7,$G283=$G$10,H$10,$G283=$G$13,H$13,$G283=$G$14,H$14,$G283=$G$16,H$16,$G283=$G$17,H$17,$G283=$G$19,H$19,$G283=$G$20,H$20,$G283=$G$22,H$22,$G283=$G$23,H$23,$G283=$G$26,H$26,$G283=$G$29,H$29,$G283=$G$31,H$31,$G283=$G$34,H$34,$G283=$G$37,H$37,$G283=$G$107,H$107,$G283=$G$110,H$110,$G283=$G$140,H$140,$G283=$G$142,H$142,$G283=$G$408,H$408)</f>
        <v>41.434472</v>
      </c>
      <c r="I283" s="51" cm="1">
        <f t="array" ref="I283">_xlfn.IFS($G283=$G$5,I$5,$G283=$G$7,I$7,$G283=$G$10,I$10,$G283=$G$13,I$13,$G283=$G$14,I$14,$G283=$G$16,I$16,$G283=$G$17,I$17,$G283=$G$19,I$19,$G283=$G$20,I$20,$G283=$G$22,I$22,$G283=$G$23,I$23,$G283=$G$26,I$26,$G283=$G$29,I$29,$G283=$G$31,I$31,$G283=$G$34,I$34,$G283=$G$37,I$37,$G283=$G$107,I$107,$G283=$G$110,I$110,$G283=$G$140,I$140,$G283=$G$142,I$142,$G283=$G$408,I$408)</f>
        <v>2.1315789999999999</v>
      </c>
      <c r="J283" s="51" cm="1">
        <f t="array" ref="J283">_xlfn.IFS($G283=$G$5,J$5,$G283=$G$7,J$7,$G283=$G$10,J$10,$G283=$G$13,J$13,$G283=$G$14,J$14,$G283=$G$16,J$16,$G283=$G$17,J$17,$G283=$G$19,J$19,$G283=$G$20,J$20,$G283=$G$22,J$22,$G283=$G$23,J$23,$G283=$G$26,J$26,$G283=$G$29,J$29,$G283=$G$31,J$31,$G283=$G$34,J$34,$G283=$G$37,J$37,$G283=$G$107,J$107,$G283=$G$110,J$110,$G283=$G$140,J$140,$G283=$G$142,J$142,$G283=$G$408,J$408)</f>
        <v>365</v>
      </c>
      <c r="K283" s="13" t="str" cm="1">
        <f t="array" ref="K283">_xlfn.IFS($G283=$G$5,K$5,$G283=$G$7,K$7,$G283=$G$10,K$10,$G283=$G$13,K$13,$G283=$G$14,K$14,$G283=$G$16,K$16,$G283=$G$17,K$17,$G283=$G$19,K$19,$G283=$G$20,K$20,$G283=$G$22,K$22,$G283=$G$23,K$23,$G283=$G$26,K$26,$G283=$G$29,K$29,$G283=$G$31,K$31,$G283=$G$34,K$34,$G283=$G$37,K$37,$G283=$G$107,K$107,$G283=$G$110,K$110,$G283=$G$140,K$140,$G283=$G$142,K$142,$G283=$G$408,K$408)</f>
        <v>BG sentinel + BG lure7</v>
      </c>
      <c r="O283" s="13" t="str">
        <f t="shared" si="30"/>
        <v>A_SP_BCN_13_220816</v>
      </c>
      <c r="P283" s="27">
        <v>44789</v>
      </c>
      <c r="Q283" s="29">
        <v>0.70833333333333337</v>
      </c>
      <c r="R283" s="33"/>
      <c r="S283" s="27">
        <v>44796</v>
      </c>
      <c r="T283" s="29">
        <v>0.70138888888888884</v>
      </c>
      <c r="V283" s="13" t="s">
        <v>86</v>
      </c>
      <c r="W283" s="15" t="s">
        <v>91</v>
      </c>
      <c r="X283" s="13">
        <f t="shared" si="26"/>
        <v>7</v>
      </c>
      <c r="Z283" s="13" t="s">
        <v>164</v>
      </c>
      <c r="AA283" s="13">
        <f t="shared" si="29"/>
        <v>1</v>
      </c>
      <c r="AB283" s="13" t="str">
        <f t="shared" si="27"/>
        <v>Adult</v>
      </c>
      <c r="AC283" s="13">
        <v>1</v>
      </c>
      <c r="AD283" s="13">
        <v>0</v>
      </c>
      <c r="AE283" s="13" t="str">
        <f t="shared" si="28"/>
        <v>Morphological</v>
      </c>
      <c r="AF283" s="2">
        <v>4</v>
      </c>
    </row>
    <row r="284" spans="1:32" x14ac:dyDescent="0.25">
      <c r="A284" s="13">
        <v>280</v>
      </c>
      <c r="B284" s="23" t="s">
        <v>56</v>
      </c>
      <c r="C284" s="23" t="s">
        <v>57</v>
      </c>
      <c r="D284" s="23" t="s">
        <v>58</v>
      </c>
      <c r="E284" s="23" t="s">
        <v>58</v>
      </c>
      <c r="F284" s="35" cm="1">
        <f t="array" ref="F284">_xlfn.IFS($G284=$G$5,F$5,$G284=$G$7,F$7,$G284=$G$10,F$10,$G284=$G$13,F$13,$G284=$G$14,F$14,$G284=$G$16,F$16,$G284=$G$17,F$17,$G284=$G$19,F$19,$G284=$G$20,F$20,$G284=$G$22,F$22,$G284=$G$23,F$23,$G284=$G$26,F$26,$G284=$G$29,F$29,$G284=$G$31,F$31,$G284=$G$34,F$34,$G284=$G$37,F$37,$G284=$G$107,F$107,$G284=$G$110,F$110,$G284=$G$140,F$140,$G284=$G$142,F$142,$G284=$G$408,F$408)</f>
        <v>8017</v>
      </c>
      <c r="G284" s="13" t="s">
        <v>71</v>
      </c>
      <c r="H284" s="51" cm="1">
        <f t="array" ref="H284">_xlfn.IFS($G284=$G$5,H$5,$G284=$G$7,H$7,$G284=$G$10,H$10,$G284=$G$13,H$13,$G284=$G$14,H$14,$G284=$G$16,H$16,$G284=$G$17,H$17,$G284=$G$19,H$19,$G284=$G$20,H$20,$G284=$G$22,H$22,$G284=$G$23,H$23,$G284=$G$26,H$26,$G284=$G$29,H$29,$G284=$G$31,H$31,$G284=$G$34,H$34,$G284=$G$37,H$37,$G284=$G$107,H$107,$G284=$G$110,H$110,$G284=$G$140,H$140,$G284=$G$142,H$142,$G284=$G$408,H$408)</f>
        <v>41.428533999999999</v>
      </c>
      <c r="I284" s="51" cm="1">
        <f t="array" ref="I284">_xlfn.IFS($G284=$G$5,I$5,$G284=$G$7,I$7,$G284=$G$10,I$10,$G284=$G$13,I$13,$G284=$G$14,I$14,$G284=$G$16,I$16,$G284=$G$17,I$17,$G284=$G$19,I$19,$G284=$G$20,I$20,$G284=$G$22,I$22,$G284=$G$23,I$23,$G284=$G$26,I$26,$G284=$G$29,I$29,$G284=$G$31,I$31,$G284=$G$34,I$34,$G284=$G$37,I$37,$G284=$G$107,I$107,$G284=$G$110,I$110,$G284=$G$140,I$140,$G284=$G$142,I$142,$G284=$G$408,I$408)</f>
        <v>2.090954</v>
      </c>
      <c r="J284" s="51" cm="1">
        <f t="array" ref="J284">_xlfn.IFS($G284=$G$5,J$5,$G284=$G$7,J$7,$G284=$G$10,J$10,$G284=$G$13,J$13,$G284=$G$14,J$14,$G284=$G$16,J$16,$G284=$G$17,J$17,$G284=$G$19,J$19,$G284=$G$20,J$20,$G284=$G$22,J$22,$G284=$G$23,J$23,$G284=$G$26,J$26,$G284=$G$29,J$29,$G284=$G$31,J$31,$G284=$G$34,J$34,$G284=$G$37,J$37,$G284=$G$107,J$107,$G284=$G$110,J$110,$G284=$G$140,J$140,$G284=$G$142,J$142,$G284=$G$408,J$408)</f>
        <v>215</v>
      </c>
      <c r="K284" s="13" t="str" cm="1">
        <f t="array" ref="K284">_xlfn.IFS($G284=$G$5,K$5,$G284=$G$7,K$7,$G284=$G$10,K$10,$G284=$G$13,K$13,$G284=$G$14,K$14,$G284=$G$16,K$16,$G284=$G$17,K$17,$G284=$G$19,K$19,$G284=$G$20,K$20,$G284=$G$22,K$22,$G284=$G$23,K$23,$G284=$G$26,K$26,$G284=$G$29,K$29,$G284=$G$31,K$31,$G284=$G$34,K$34,$G284=$G$37,K$37,$G284=$G$107,K$107,$G284=$G$110,K$110,$G284=$G$140,K$140,$G284=$G$142,K$142,$G284=$G$408,K$408)</f>
        <v>BG sentinel + BG lure7</v>
      </c>
      <c r="O284" s="13" t="str">
        <f t="shared" si="30"/>
        <v>A_SP_BCN_14_220816</v>
      </c>
      <c r="P284" s="27">
        <v>44789</v>
      </c>
      <c r="Q284" s="29">
        <v>0.74305555555555547</v>
      </c>
      <c r="R284" s="33"/>
      <c r="S284" s="27">
        <v>44796</v>
      </c>
      <c r="T284" s="29">
        <v>0.73611111111111116</v>
      </c>
      <c r="V284" s="13" t="s">
        <v>86</v>
      </c>
      <c r="X284" s="13">
        <f t="shared" si="26"/>
        <v>7</v>
      </c>
      <c r="Z284" s="13" t="s">
        <v>60</v>
      </c>
      <c r="AA284" s="13">
        <f t="shared" si="29"/>
        <v>13</v>
      </c>
      <c r="AB284" s="13" t="str">
        <f t="shared" si="27"/>
        <v>Adult</v>
      </c>
      <c r="AC284" s="13">
        <v>12</v>
      </c>
      <c r="AD284" s="13">
        <v>1</v>
      </c>
      <c r="AE284" s="13" t="str">
        <f t="shared" si="28"/>
        <v>Morphological</v>
      </c>
      <c r="AF284" s="2">
        <v>4</v>
      </c>
    </row>
    <row r="285" spans="1:32" x14ac:dyDescent="0.25">
      <c r="A285" s="13">
        <v>281</v>
      </c>
      <c r="B285" s="23" t="s">
        <v>56</v>
      </c>
      <c r="C285" s="23" t="s">
        <v>57</v>
      </c>
      <c r="D285" s="23" t="s">
        <v>58</v>
      </c>
      <c r="E285" s="23" t="s">
        <v>58</v>
      </c>
      <c r="F285" s="35" cm="1">
        <f t="array" ref="F285">_xlfn.IFS($G285=$G$5,F$5,$G285=$G$7,F$7,$G285=$G$10,F$10,$G285=$G$13,F$13,$G285=$G$14,F$14,$G285=$G$16,F$16,$G285=$G$17,F$17,$G285=$G$19,F$19,$G285=$G$20,F$20,$G285=$G$22,F$22,$G285=$G$23,F$23,$G285=$G$26,F$26,$G285=$G$29,F$29,$G285=$G$31,F$31,$G285=$G$34,F$34,$G285=$G$37,F$37,$G285=$G$107,F$107,$G285=$G$110,F$110,$G285=$G$140,F$140,$G285=$G$142,F$142,$G285=$G$408,F$408)</f>
        <v>8017</v>
      </c>
      <c r="G285" s="13" t="s">
        <v>72</v>
      </c>
      <c r="H285" s="51" cm="1">
        <f t="array" ref="H285">_xlfn.IFS($G285=$G$5,H$5,$G285=$G$7,H$7,$G285=$G$10,H$10,$G285=$G$13,H$13,$G285=$G$14,H$14,$G285=$G$16,H$16,$G285=$G$17,H$17,$G285=$G$19,H$19,$G285=$G$20,H$20,$G285=$G$22,H$22,$G285=$G$23,H$23,$G285=$G$26,H$26,$G285=$G$29,H$29,$G285=$G$31,H$31,$G285=$G$34,H$34,$G285=$G$37,H$37,$G285=$G$107,H$107,$G285=$G$110,H$110,$G285=$G$140,H$140,$G285=$G$142,H$142,$G285=$G$408,H$408)</f>
        <v>41.419471000000001</v>
      </c>
      <c r="I285" s="51" cm="1">
        <f t="array" ref="I285">_xlfn.IFS($G285=$G$5,I$5,$G285=$G$7,I$7,$G285=$G$10,I$10,$G285=$G$13,I$13,$G285=$G$14,I$14,$G285=$G$16,I$16,$G285=$G$17,I$17,$G285=$G$19,I$19,$G285=$G$20,I$20,$G285=$G$22,I$22,$G285=$G$23,I$23,$G285=$G$26,I$26,$G285=$G$29,I$29,$G285=$G$31,I$31,$G285=$G$34,I$34,$G285=$G$37,I$37,$G285=$G$107,I$107,$G285=$G$110,I$110,$G285=$G$140,I$140,$G285=$G$142,I$142,$G285=$G$408,I$408)</f>
        <v>2.1010149999999999</v>
      </c>
      <c r="J285" s="51" cm="1">
        <f t="array" ref="J285">_xlfn.IFS($G285=$G$5,J$5,$G285=$G$7,J$7,$G285=$G$10,J$10,$G285=$G$13,J$13,$G285=$G$14,J$14,$G285=$G$16,J$16,$G285=$G$17,J$17,$G285=$G$19,J$19,$G285=$G$20,J$20,$G285=$G$22,J$22,$G285=$G$23,J$23,$G285=$G$26,J$26,$G285=$G$29,J$29,$G285=$G$31,J$31,$G285=$G$34,J$34,$G285=$G$37,J$37,$G285=$G$107,J$107,$G285=$G$110,J$110,$G285=$G$140,J$140,$G285=$G$142,J$142,$G285=$G$408,J$408)</f>
        <v>284</v>
      </c>
      <c r="K285" s="13" t="str" cm="1">
        <f t="array" ref="K285">_xlfn.IFS($G285=$G$5,K$5,$G285=$G$7,K$7,$G285=$G$10,K$10,$G285=$G$13,K$13,$G285=$G$14,K$14,$G285=$G$16,K$16,$G285=$G$17,K$17,$G285=$G$19,K$19,$G285=$G$20,K$20,$G285=$G$22,K$22,$G285=$G$23,K$23,$G285=$G$26,K$26,$G285=$G$29,K$29,$G285=$G$31,K$31,$G285=$G$34,K$34,$G285=$G$37,K$37,$G285=$G$107,K$107,$G285=$G$110,K$110,$G285=$G$140,K$140,$G285=$G$142,K$142,$G285=$G$408,K$408)</f>
        <v>BG sentinel + BG lure7</v>
      </c>
      <c r="O285" s="13" t="str">
        <f t="shared" si="30"/>
        <v>A_SP_BCN_15_220816</v>
      </c>
      <c r="P285" s="27">
        <v>44789</v>
      </c>
      <c r="Q285" s="29">
        <v>0.72222222222222221</v>
      </c>
      <c r="R285" s="33"/>
      <c r="S285" s="27">
        <v>44796</v>
      </c>
      <c r="T285" s="29">
        <v>0.72222222222222221</v>
      </c>
      <c r="V285" s="13" t="s">
        <v>86</v>
      </c>
      <c r="W285" s="15" t="s">
        <v>94</v>
      </c>
      <c r="X285" s="13">
        <f t="shared" si="26"/>
        <v>7</v>
      </c>
      <c r="Z285" s="13" t="s">
        <v>60</v>
      </c>
      <c r="AA285" s="13">
        <f t="shared" si="29"/>
        <v>10</v>
      </c>
      <c r="AB285" s="13" t="str">
        <f t="shared" si="27"/>
        <v>Adult</v>
      </c>
      <c r="AC285" s="13">
        <v>10</v>
      </c>
      <c r="AD285" s="13">
        <v>0</v>
      </c>
      <c r="AE285" s="13" t="str">
        <f t="shared" si="28"/>
        <v>Morphological</v>
      </c>
      <c r="AF285" s="2">
        <v>3</v>
      </c>
    </row>
    <row r="286" spans="1:32" x14ac:dyDescent="0.25">
      <c r="A286" s="13">
        <v>282</v>
      </c>
      <c r="B286" s="23" t="s">
        <v>56</v>
      </c>
      <c r="C286" s="23" t="s">
        <v>57</v>
      </c>
      <c r="D286" s="23" t="s">
        <v>58</v>
      </c>
      <c r="E286" s="23" t="s">
        <v>58</v>
      </c>
      <c r="F286" s="35" cm="1">
        <f t="array" ref="F286">_xlfn.IFS($G286=$G$5,F$5,$G286=$G$7,F$7,$G286=$G$10,F$10,$G286=$G$13,F$13,$G286=$G$14,F$14,$G286=$G$16,F$16,$G286=$G$17,F$17,$G286=$G$19,F$19,$G286=$G$20,F$20,$G286=$G$22,F$22,$G286=$G$23,F$23,$G286=$G$26,F$26,$G286=$G$29,F$29,$G286=$G$31,F$31,$G286=$G$34,F$34,$G286=$G$37,F$37,$G286=$G$107,F$107,$G286=$G$110,F$110,$G286=$G$140,F$140,$G286=$G$142,F$142,$G286=$G$408,F$408)</f>
        <v>8023</v>
      </c>
      <c r="G286" s="13" t="s">
        <v>74</v>
      </c>
      <c r="H286" s="51" cm="1">
        <f t="array" ref="H286">_xlfn.IFS($G286=$G$5,H$5,$G286=$G$7,H$7,$G286=$G$10,H$10,$G286=$G$13,H$13,$G286=$G$14,H$14,$G286=$G$16,H$16,$G286=$G$17,H$17,$G286=$G$19,H$19,$G286=$G$20,H$20,$G286=$G$22,H$22,$G286=$G$23,H$23,$G286=$G$26,H$26,$G286=$G$29,H$29,$G286=$G$31,H$31,$G286=$G$34,H$34,$G286=$G$37,H$37,$G286=$G$107,H$107,$G286=$G$110,H$110,$G286=$G$140,H$140,$G286=$G$142,H$142,$G286=$G$408,H$408)</f>
        <v>41.417256000000002</v>
      </c>
      <c r="I286" s="51" cm="1">
        <f t="array" ref="I286">_xlfn.IFS($G286=$G$5,I$5,$G286=$G$7,I$7,$G286=$G$10,I$10,$G286=$G$13,I$13,$G286=$G$14,I$14,$G286=$G$16,I$16,$G286=$G$17,I$17,$G286=$G$19,I$19,$G286=$G$20,I$20,$G286=$G$22,I$22,$G286=$G$23,I$23,$G286=$G$26,I$26,$G286=$G$29,I$29,$G286=$G$31,I$31,$G286=$G$34,I$34,$G286=$G$37,I$37,$G286=$G$107,I$107,$G286=$G$110,I$110,$G286=$G$140,I$140,$G286=$G$142,I$142,$G286=$G$408,I$408)</f>
        <v>2.1455709999999999</v>
      </c>
      <c r="J286" s="51" cm="1">
        <f t="array" ref="J286">_xlfn.IFS($G286=$G$5,J$5,$G286=$G$7,J$7,$G286=$G$10,J$10,$G286=$G$13,J$13,$G286=$G$14,J$14,$G286=$G$16,J$16,$G286=$G$17,J$17,$G286=$G$19,J$19,$G286=$G$20,J$20,$G286=$G$22,J$22,$G286=$G$23,J$23,$G286=$G$26,J$26,$G286=$G$29,J$29,$G286=$G$31,J$31,$G286=$G$34,J$34,$G286=$G$37,J$37,$G286=$G$107,J$107,$G286=$G$110,J$110,$G286=$G$140,J$140,$G286=$G$142,J$142,$G286=$G$408,J$408)</f>
        <v>186</v>
      </c>
      <c r="K286" s="13" t="str" cm="1">
        <f t="array" ref="K286">_xlfn.IFS($G286=$G$5,K$5,$G286=$G$7,K$7,$G286=$G$10,K$10,$G286=$G$13,K$13,$G286=$G$14,K$14,$G286=$G$16,K$16,$G286=$G$17,K$17,$G286=$G$19,K$19,$G286=$G$20,K$20,$G286=$G$22,K$22,$G286=$G$23,K$23,$G286=$G$26,K$26,$G286=$G$29,K$29,$G286=$G$31,K$31,$G286=$G$34,K$34,$G286=$G$37,K$37,$G286=$G$107,K$107,$G286=$G$110,K$110,$G286=$G$140,K$140,$G286=$G$142,K$142,$G286=$G$408,K$408)</f>
        <v>BG sentinel + BG lure7</v>
      </c>
      <c r="O286" s="13" t="str">
        <f t="shared" si="30"/>
        <v>A_SP_BCN_17_220726</v>
      </c>
      <c r="P286" s="27">
        <v>44768</v>
      </c>
      <c r="Q286" s="29">
        <v>0.60763888888888895</v>
      </c>
      <c r="R286" s="33"/>
      <c r="S286" s="31">
        <v>44803</v>
      </c>
      <c r="T286" s="29">
        <v>0.77083333333333337</v>
      </c>
      <c r="V286" s="13" t="s">
        <v>86</v>
      </c>
      <c r="X286" s="13">
        <f t="shared" si="26"/>
        <v>35</v>
      </c>
      <c r="Z286" s="13" t="s">
        <v>60</v>
      </c>
      <c r="AA286" s="13">
        <f t="shared" si="29"/>
        <v>7</v>
      </c>
      <c r="AB286" s="13" t="str">
        <f t="shared" si="27"/>
        <v>Adult</v>
      </c>
      <c r="AC286" s="13">
        <v>5</v>
      </c>
      <c r="AD286" s="13">
        <v>2</v>
      </c>
      <c r="AE286" s="13" t="str">
        <f t="shared" si="28"/>
        <v>Morphological</v>
      </c>
      <c r="AF286" s="2">
        <v>4</v>
      </c>
    </row>
    <row r="287" spans="1:32" x14ac:dyDescent="0.25">
      <c r="A287" s="13">
        <v>283</v>
      </c>
      <c r="B287" s="23" t="s">
        <v>56</v>
      </c>
      <c r="C287" s="23" t="s">
        <v>57</v>
      </c>
      <c r="D287" s="23" t="s">
        <v>58</v>
      </c>
      <c r="E287" s="23" t="s">
        <v>58</v>
      </c>
      <c r="F287" s="35" cm="1">
        <f t="array" ref="F287">_xlfn.IFS($G287=$G$5,F$5,$G287=$G$7,F$7,$G287=$G$10,F$10,$G287=$G$13,F$13,$G287=$G$14,F$14,$G287=$G$16,F$16,$G287=$G$17,F$17,$G287=$G$19,F$19,$G287=$G$20,F$20,$G287=$G$22,F$22,$G287=$G$23,F$23,$G287=$G$26,F$26,$G287=$G$29,F$29,$G287=$G$31,F$31,$G287=$G$34,F$34,$G287=$G$37,F$37,$G287=$G$107,F$107,$G287=$G$110,F$110,$G287=$G$140,F$140,$G287=$G$142,F$142,$G287=$G$408,F$408)</f>
        <v>8038</v>
      </c>
      <c r="G287" s="13" t="s">
        <v>76</v>
      </c>
      <c r="H287" s="51" cm="1">
        <f t="array" ref="H287">_xlfn.IFS($G287=$G$5,H$5,$G287=$G$7,H$7,$G287=$G$10,H$10,$G287=$G$13,H$13,$G287=$G$14,H$14,$G287=$G$16,H$16,$G287=$G$17,H$17,$G287=$G$19,H$19,$G287=$G$20,H$20,$G287=$G$22,H$22,$G287=$G$23,H$23,$G287=$G$26,H$26,$G287=$G$29,H$29,$G287=$G$31,H$31,$G287=$G$34,H$34,$G287=$G$37,H$37,$G287=$G$107,H$107,$G287=$G$110,H$110,$G287=$G$140,H$140,$G287=$G$142,H$142,$G287=$G$408,H$408)</f>
        <v>41.359864999999999</v>
      </c>
      <c r="I287" s="51" cm="1">
        <f t="array" ref="I287">_xlfn.IFS($G287=$G$5,I$5,$G287=$G$7,I$7,$G287=$G$10,I$10,$G287=$G$13,I$13,$G287=$G$14,I$14,$G287=$G$16,I$16,$G287=$G$17,I$17,$G287=$G$19,I$19,$G287=$G$20,I$20,$G287=$G$22,I$22,$G287=$G$23,I$23,$G287=$G$26,I$26,$G287=$G$29,I$29,$G287=$G$31,I$31,$G287=$G$34,I$34,$G287=$G$37,I$37,$G287=$G$107,I$107,$G287=$G$110,I$110,$G287=$G$140,I$140,$G287=$G$142,I$142,$G287=$G$408,I$408)</f>
        <v>2.1445430000000001</v>
      </c>
      <c r="J287" s="51" cm="1">
        <f t="array" ref="J287">_xlfn.IFS($G287=$G$5,J$5,$G287=$G$7,J$7,$G287=$G$10,J$10,$G287=$G$13,J$13,$G287=$G$14,J$14,$G287=$G$16,J$16,$G287=$G$17,J$17,$G287=$G$19,J$19,$G287=$G$20,J$20,$G287=$G$22,J$22,$G287=$G$23,J$23,$G287=$G$26,J$26,$G287=$G$29,J$29,$G287=$G$31,J$31,$G287=$G$34,J$34,$G287=$G$37,J$37,$G287=$G$107,J$107,$G287=$G$110,J$110,$G287=$G$140,J$140,$G287=$G$142,J$142,$G287=$G$408,J$408)</f>
        <v>11.4</v>
      </c>
      <c r="K287" s="13" t="str" cm="1">
        <f t="array" ref="K287">_xlfn.IFS($G287=$G$5,K$5,$G287=$G$7,K$7,$G287=$G$10,K$10,$G287=$G$13,K$13,$G287=$G$14,K$14,$G287=$G$16,K$16,$G287=$G$17,K$17,$G287=$G$19,K$19,$G287=$G$20,K$20,$G287=$G$22,K$22,$G287=$G$23,K$23,$G287=$G$26,K$26,$G287=$G$29,K$29,$G287=$G$31,K$31,$G287=$G$34,K$34,$G287=$G$37,K$37,$G287=$G$107,K$107,$G287=$G$110,K$110,$G287=$G$140,K$140,$G287=$G$142,K$142,$G287=$G$408,K$408)</f>
        <v>BG sentinel + BG lure7</v>
      </c>
      <c r="O287" s="13" t="str">
        <f t="shared" si="30"/>
        <v>A_SP_BCN_19_220816</v>
      </c>
      <c r="P287" s="27">
        <v>44789</v>
      </c>
      <c r="Q287" s="36">
        <v>0.61458333333333337</v>
      </c>
      <c r="R287" s="33"/>
      <c r="S287" s="27">
        <v>44797</v>
      </c>
      <c r="T287" s="29">
        <v>0.58333333333333337</v>
      </c>
      <c r="V287" s="13" t="s">
        <v>86</v>
      </c>
      <c r="X287" s="13">
        <f t="shared" si="26"/>
        <v>8</v>
      </c>
      <c r="Z287" s="13" t="s">
        <v>60</v>
      </c>
      <c r="AA287" s="13">
        <f t="shared" si="29"/>
        <v>8</v>
      </c>
      <c r="AB287" s="13" t="str">
        <f t="shared" si="27"/>
        <v>Adult</v>
      </c>
      <c r="AC287" s="13">
        <v>7</v>
      </c>
      <c r="AD287" s="13">
        <v>1</v>
      </c>
      <c r="AE287" s="13" t="str">
        <f t="shared" si="28"/>
        <v>Morphological</v>
      </c>
      <c r="AF287" s="2">
        <v>4</v>
      </c>
    </row>
    <row r="288" spans="1:32" x14ac:dyDescent="0.25">
      <c r="A288" s="13">
        <v>284</v>
      </c>
      <c r="B288" s="23" t="s">
        <v>56</v>
      </c>
      <c r="C288" s="23" t="s">
        <v>57</v>
      </c>
      <c r="D288" s="23" t="s">
        <v>58</v>
      </c>
      <c r="E288" s="23" t="s">
        <v>58</v>
      </c>
      <c r="F288" s="35" cm="1">
        <f t="array" ref="F288">_xlfn.IFS($G288=$G$5,F$5,$G288=$G$7,F$7,$G288=$G$10,F$10,$G288=$G$13,F$13,$G288=$G$14,F$14,$G288=$G$16,F$16,$G288=$G$17,F$17,$G288=$G$19,F$19,$G288=$G$20,F$20,$G288=$G$22,F$22,$G288=$G$23,F$23,$G288=$G$26,F$26,$G288=$G$29,F$29,$G288=$G$31,F$31,$G288=$G$34,F$34,$G288=$G$37,F$37,$G288=$G$107,F$107,$G288=$G$110,F$110,$G288=$G$140,F$140,$G288=$G$142,F$142,$G288=$G$408,F$408)</f>
        <v>8038</v>
      </c>
      <c r="G288" s="13" t="s">
        <v>76</v>
      </c>
      <c r="H288" s="51" cm="1">
        <f t="array" ref="H288">_xlfn.IFS($G288=$G$5,H$5,$G288=$G$7,H$7,$G288=$G$10,H$10,$G288=$G$13,H$13,$G288=$G$14,H$14,$G288=$G$16,H$16,$G288=$G$17,H$17,$G288=$G$19,H$19,$G288=$G$20,H$20,$G288=$G$22,H$22,$G288=$G$23,H$23,$G288=$G$26,H$26,$G288=$G$29,H$29,$G288=$G$31,H$31,$G288=$G$34,H$34,$G288=$G$37,H$37,$G288=$G$107,H$107,$G288=$G$110,H$110,$G288=$G$140,H$140,$G288=$G$142,H$142,$G288=$G$408,H$408)</f>
        <v>41.359864999999999</v>
      </c>
      <c r="I288" s="51" cm="1">
        <f t="array" ref="I288">_xlfn.IFS($G288=$G$5,I$5,$G288=$G$7,I$7,$G288=$G$10,I$10,$G288=$G$13,I$13,$G288=$G$14,I$14,$G288=$G$16,I$16,$G288=$G$17,I$17,$G288=$G$19,I$19,$G288=$G$20,I$20,$G288=$G$22,I$22,$G288=$G$23,I$23,$G288=$G$26,I$26,$G288=$G$29,I$29,$G288=$G$31,I$31,$G288=$G$34,I$34,$G288=$G$37,I$37,$G288=$G$107,I$107,$G288=$G$110,I$110,$G288=$G$140,I$140,$G288=$G$142,I$142,$G288=$G$408,I$408)</f>
        <v>2.1445430000000001</v>
      </c>
      <c r="J288" s="51" cm="1">
        <f t="array" ref="J288">_xlfn.IFS($G288=$G$5,J$5,$G288=$G$7,J$7,$G288=$G$10,J$10,$G288=$G$13,J$13,$G288=$G$14,J$14,$G288=$G$16,J$16,$G288=$G$17,J$17,$G288=$G$19,J$19,$G288=$G$20,J$20,$G288=$G$22,J$22,$G288=$G$23,J$23,$G288=$G$26,J$26,$G288=$G$29,J$29,$G288=$G$31,J$31,$G288=$G$34,J$34,$G288=$G$37,J$37,$G288=$G$107,J$107,$G288=$G$110,J$110,$G288=$G$140,J$140,$G288=$G$142,J$142,$G288=$G$408,J$408)</f>
        <v>11.4</v>
      </c>
      <c r="K288" s="13" t="str" cm="1">
        <f t="array" ref="K288">_xlfn.IFS($G288=$G$5,K$5,$G288=$G$7,K$7,$G288=$G$10,K$10,$G288=$G$13,K$13,$G288=$G$14,K$14,$G288=$G$16,K$16,$G288=$G$17,K$17,$G288=$G$19,K$19,$G288=$G$20,K$20,$G288=$G$22,K$22,$G288=$G$23,K$23,$G288=$G$26,K$26,$G288=$G$29,K$29,$G288=$G$31,K$31,$G288=$G$34,K$34,$G288=$G$37,K$37,$G288=$G$107,K$107,$G288=$G$110,K$110,$G288=$G$140,K$140,$G288=$G$142,K$142,$G288=$G$408,K$408)</f>
        <v>BG sentinel + BG lure7</v>
      </c>
      <c r="O288" s="13" t="str">
        <f t="shared" si="30"/>
        <v>A_SP_BCN_19_220816</v>
      </c>
      <c r="P288" s="27">
        <v>44789</v>
      </c>
      <c r="Q288" s="36">
        <v>0.61458333333333337</v>
      </c>
      <c r="R288" s="33"/>
      <c r="S288" s="27">
        <v>44797</v>
      </c>
      <c r="T288" s="29">
        <v>0.58333333333333337</v>
      </c>
      <c r="V288" s="13" t="s">
        <v>86</v>
      </c>
      <c r="X288" s="13">
        <f t="shared" si="26"/>
        <v>8</v>
      </c>
      <c r="Z288" s="13" t="s">
        <v>164</v>
      </c>
      <c r="AA288" s="13">
        <f t="shared" si="29"/>
        <v>13</v>
      </c>
      <c r="AB288" s="13" t="str">
        <f t="shared" si="27"/>
        <v>Adult</v>
      </c>
      <c r="AC288" s="13">
        <v>13</v>
      </c>
      <c r="AD288" s="13">
        <v>0</v>
      </c>
      <c r="AE288" s="13" t="str">
        <f t="shared" si="28"/>
        <v>Morphological</v>
      </c>
      <c r="AF288" s="2">
        <v>4</v>
      </c>
    </row>
    <row r="289" spans="1:32" x14ac:dyDescent="0.25">
      <c r="A289" s="13">
        <v>285</v>
      </c>
      <c r="B289" s="23" t="s">
        <v>56</v>
      </c>
      <c r="C289" s="23" t="s">
        <v>57</v>
      </c>
      <c r="D289" s="23" t="s">
        <v>58</v>
      </c>
      <c r="E289" s="23" t="s">
        <v>58</v>
      </c>
      <c r="F289" s="35" cm="1">
        <f t="array" ref="F289">_xlfn.IFS($G289=$G$5,F$5,$G289=$G$7,F$7,$G289=$G$10,F$10,$G289=$G$13,F$13,$G289=$G$14,F$14,$G289=$G$16,F$16,$G289=$G$17,F$17,$G289=$G$19,F$19,$G289=$G$20,F$20,$G289=$G$22,F$22,$G289=$G$23,F$23,$G289=$G$26,F$26,$G289=$G$29,F$29,$G289=$G$31,F$31,$G289=$G$34,F$34,$G289=$G$37,F$37,$G289=$G$107,F$107,$G289=$G$110,F$110,$G289=$G$140,F$140,$G289=$G$142,F$142,$G289=$G$408,F$408)</f>
        <v>8017</v>
      </c>
      <c r="G289" s="13" t="s">
        <v>77</v>
      </c>
      <c r="H289" s="51" cm="1">
        <f t="array" ref="H289">_xlfn.IFS($G289=$G$5,H$5,$G289=$G$7,H$7,$G289=$G$10,H$10,$G289=$G$13,H$13,$G289=$G$14,H$14,$G289=$G$16,H$16,$G289=$G$17,H$17,$G289=$G$19,H$19,$G289=$G$20,H$20,$G289=$G$22,H$22,$G289=$G$23,H$23,$G289=$G$26,H$26,$G289=$G$29,H$29,$G289=$G$31,H$31,$G289=$G$34,H$34,$G289=$G$37,H$37,$G289=$G$107,H$107,$G289=$G$110,H$110,$G289=$G$140,H$140,$G289=$G$142,H$142,$G289=$G$408,H$408)</f>
        <v>41.430315999999998</v>
      </c>
      <c r="I289" s="51" cm="1">
        <f t="array" ref="I289">_xlfn.IFS($G289=$G$5,I$5,$G289=$G$7,I$7,$G289=$G$10,I$10,$G289=$G$13,I$13,$G289=$G$14,I$14,$G289=$G$16,I$16,$G289=$G$17,I$17,$G289=$G$19,I$19,$G289=$G$20,I$20,$G289=$G$22,I$22,$G289=$G$23,I$23,$G289=$G$26,I$26,$G289=$G$29,I$29,$G289=$G$31,I$31,$G289=$G$34,I$34,$G289=$G$37,I$37,$G289=$G$107,I$107,$G289=$G$110,I$110,$G289=$G$140,I$140,$G289=$G$142,I$142,$G289=$G$408,I$408)</f>
        <v>2.077556</v>
      </c>
      <c r="J289" s="51" cm="1">
        <f t="array" ref="J289">_xlfn.IFS($G289=$G$5,J$5,$G289=$G$7,J$7,$G289=$G$10,J$10,$G289=$G$13,J$13,$G289=$G$14,J$14,$G289=$G$16,J$16,$G289=$G$17,J$17,$G289=$G$19,J$19,$G289=$G$20,J$20,$G289=$G$22,J$22,$G289=$G$23,J$23,$G289=$G$26,J$26,$G289=$G$29,J$29,$G289=$G$31,J$31,$G289=$G$34,J$34,$G289=$G$37,J$37,$G289=$G$107,J$107,$G289=$G$110,J$110,$G289=$G$140,J$140,$G289=$G$142,J$142,$G289=$G$408,J$408)</f>
        <v>243.3</v>
      </c>
      <c r="K289" s="13" t="str" cm="1">
        <f t="array" ref="K289">_xlfn.IFS($G289=$G$5,K$5,$G289=$G$7,K$7,$G289=$G$10,K$10,$G289=$G$13,K$13,$G289=$G$14,K$14,$G289=$G$16,K$16,$G289=$G$17,K$17,$G289=$G$19,K$19,$G289=$G$20,K$20,$G289=$G$22,K$22,$G289=$G$23,K$23,$G289=$G$26,K$26,$G289=$G$29,K$29,$G289=$G$31,K$31,$G289=$G$34,K$34,$G289=$G$37,K$37,$G289=$G$107,K$107,$G289=$G$110,K$110,$G289=$G$140,K$140,$G289=$G$142,K$142,$G289=$G$408,K$408)</f>
        <v>BG sentinel + BG lure7</v>
      </c>
      <c r="O289" s="13" t="str">
        <f t="shared" si="30"/>
        <v>A_SP_BCN_22_220816</v>
      </c>
      <c r="P289" s="27">
        <v>44789</v>
      </c>
      <c r="Q289" s="29">
        <v>0.73263888888888884</v>
      </c>
      <c r="R289" s="33"/>
      <c r="S289" s="27">
        <v>44796</v>
      </c>
      <c r="T289" s="29">
        <v>0.74305555555555547</v>
      </c>
      <c r="V289" s="13" t="s">
        <v>86</v>
      </c>
      <c r="W289" s="15" t="s">
        <v>95</v>
      </c>
      <c r="X289" s="13">
        <f t="shared" si="26"/>
        <v>7</v>
      </c>
      <c r="Z289" s="13" t="s">
        <v>60</v>
      </c>
      <c r="AA289" s="13">
        <f t="shared" si="29"/>
        <v>16</v>
      </c>
      <c r="AB289" s="13" t="str">
        <f t="shared" si="27"/>
        <v>Adult</v>
      </c>
      <c r="AC289" s="13">
        <v>16</v>
      </c>
      <c r="AD289" s="13">
        <v>0</v>
      </c>
      <c r="AE289" s="13" t="str">
        <f t="shared" si="28"/>
        <v>Morphological</v>
      </c>
      <c r="AF289" s="2">
        <v>3</v>
      </c>
    </row>
    <row r="290" spans="1:32" x14ac:dyDescent="0.25">
      <c r="A290" s="13">
        <v>286</v>
      </c>
      <c r="B290" s="23" t="s">
        <v>56</v>
      </c>
      <c r="C290" s="23" t="s">
        <v>57</v>
      </c>
      <c r="D290" s="23" t="s">
        <v>58</v>
      </c>
      <c r="E290" s="23" t="s">
        <v>58</v>
      </c>
      <c r="F290" s="35" cm="1">
        <f t="array" ref="F290">_xlfn.IFS($G290=$G$5,F$5,$G290=$G$7,F$7,$G290=$G$10,F$10,$G290=$G$13,F$13,$G290=$G$14,F$14,$G290=$G$16,F$16,$G290=$G$17,F$17,$G290=$G$19,F$19,$G290=$G$20,F$20,$G290=$G$22,F$22,$G290=$G$23,F$23,$G290=$G$26,F$26,$G290=$G$29,F$29,$G290=$G$31,F$31,$G290=$G$34,F$34,$G290=$G$37,F$37,$G290=$G$107,F$107,$G290=$G$110,F$110,$G290=$G$140,F$140,$G290=$G$142,F$142,$G290=$G$408,F$408)</f>
        <v>8038</v>
      </c>
      <c r="G290" s="13" t="s">
        <v>79</v>
      </c>
      <c r="H290" s="51" cm="1">
        <f t="array" ref="H290">_xlfn.IFS($G290=$G$5,H$5,$G290=$G$7,H$7,$G290=$G$10,H$10,$G290=$G$13,H$13,$G290=$G$14,H$14,$G290=$G$16,H$16,$G290=$G$17,H$17,$G290=$G$19,H$19,$G290=$G$20,H$20,$G290=$G$22,H$22,$G290=$G$23,H$23,$G290=$G$26,H$26,$G290=$G$29,H$29,$G290=$G$31,H$31,$G290=$G$34,H$34,$G290=$G$37,H$37,$G290=$G$107,H$107,$G290=$G$110,H$110,$G290=$G$140,H$140,$G290=$G$142,H$142,$G290=$G$408,H$408)</f>
        <v>41.367100000000001</v>
      </c>
      <c r="I290" s="51" cm="1">
        <f t="array" ref="I290">_xlfn.IFS($G290=$G$5,I$5,$G290=$G$7,I$7,$G290=$G$10,I$10,$G290=$G$13,I$13,$G290=$G$14,I$14,$G290=$G$16,I$16,$G290=$G$17,I$17,$G290=$G$19,I$19,$G290=$G$20,I$20,$G290=$G$22,I$22,$G290=$G$23,I$23,$G290=$G$26,I$26,$G290=$G$29,I$29,$G290=$G$31,I$31,$G290=$G$34,I$34,$G290=$G$37,I$37,$G290=$G$107,I$107,$G290=$G$110,I$110,$G290=$G$140,I$140,$G290=$G$142,I$142,$G290=$G$408,I$408)</f>
        <v>2.1539079999999999</v>
      </c>
      <c r="J290" s="51" cm="1">
        <f t="array" ref="J290">_xlfn.IFS($G290=$G$5,J$5,$G290=$G$7,J$7,$G290=$G$10,J$10,$G290=$G$13,J$13,$G290=$G$14,J$14,$G290=$G$16,J$16,$G290=$G$17,J$17,$G290=$G$19,J$19,$G290=$G$20,J$20,$G290=$G$22,J$22,$G290=$G$23,J$23,$G290=$G$26,J$26,$G290=$G$29,J$29,$G290=$G$31,J$31,$G290=$G$34,J$34,$G290=$G$37,J$37,$G290=$G$107,J$107,$G290=$G$110,J$110,$G290=$G$140,J$140,$G290=$G$142,J$142,$G290=$G$408,J$408)</f>
        <v>68</v>
      </c>
      <c r="K290" s="13" t="str" cm="1">
        <f t="array" ref="K290">_xlfn.IFS($G290=$G$5,K$5,$G290=$G$7,K$7,$G290=$G$10,K$10,$G290=$G$13,K$13,$G290=$G$14,K$14,$G290=$G$16,K$16,$G290=$G$17,K$17,$G290=$G$19,K$19,$G290=$G$20,K$20,$G290=$G$22,K$22,$G290=$G$23,K$23,$G290=$G$26,K$26,$G290=$G$29,K$29,$G290=$G$31,K$31,$G290=$G$34,K$34,$G290=$G$37,K$37,$G290=$G$107,K$107,$G290=$G$110,K$110,$G290=$G$140,K$140,$G290=$G$142,K$142,$G290=$G$408,K$408)</f>
        <v>BG sentinel + BG lure7</v>
      </c>
      <c r="O290" s="13" t="str">
        <f t="shared" si="30"/>
        <v>A_SP_BCN_23_220816</v>
      </c>
      <c r="P290" s="27">
        <v>44789</v>
      </c>
      <c r="Q290" s="29">
        <v>0.64930555555555558</v>
      </c>
      <c r="R290" s="33"/>
      <c r="S290" s="27">
        <v>44796</v>
      </c>
      <c r="T290" s="29">
        <v>0.64583333333333337</v>
      </c>
      <c r="V290" s="13" t="s">
        <v>86</v>
      </c>
      <c r="W290" s="15" t="s">
        <v>96</v>
      </c>
      <c r="X290" s="13">
        <f t="shared" si="26"/>
        <v>7</v>
      </c>
      <c r="Z290" s="13" t="s">
        <v>60</v>
      </c>
      <c r="AA290" s="13">
        <f t="shared" si="29"/>
        <v>32</v>
      </c>
      <c r="AB290" s="13" t="str">
        <f t="shared" si="27"/>
        <v>Adult</v>
      </c>
      <c r="AC290" s="13">
        <v>26</v>
      </c>
      <c r="AD290" s="13">
        <v>6</v>
      </c>
      <c r="AE290" s="13" t="str">
        <f t="shared" si="28"/>
        <v>Morphological</v>
      </c>
      <c r="AF290" s="2">
        <v>3</v>
      </c>
    </row>
    <row r="291" spans="1:32" x14ac:dyDescent="0.25">
      <c r="A291" s="13">
        <v>287</v>
      </c>
      <c r="B291" s="23" t="s">
        <v>56</v>
      </c>
      <c r="C291" s="23" t="s">
        <v>57</v>
      </c>
      <c r="D291" s="23" t="s">
        <v>58</v>
      </c>
      <c r="E291" s="23" t="s">
        <v>58</v>
      </c>
      <c r="F291" s="35" cm="1">
        <f t="array" ref="F291">_xlfn.IFS($G291=$G$5,F$5,$G291=$G$7,F$7,$G291=$G$10,F$10,$G291=$G$13,F$13,$G291=$G$14,F$14,$G291=$G$16,F$16,$G291=$G$17,F$17,$G291=$G$19,F$19,$G291=$G$20,F$20,$G291=$G$22,F$22,$G291=$G$23,F$23,$G291=$G$26,F$26,$G291=$G$29,F$29,$G291=$G$31,F$31,$G291=$G$34,F$34,$G291=$G$37,F$37,$G291=$G$107,F$107,$G291=$G$110,F$110,$G291=$G$140,F$140,$G291=$G$142,F$142,$G291=$G$408,F$408)</f>
        <v>8038</v>
      </c>
      <c r="G291" s="13" t="s">
        <v>79</v>
      </c>
      <c r="H291" s="51" cm="1">
        <f t="array" ref="H291">_xlfn.IFS($G291=$G$5,H$5,$G291=$G$7,H$7,$G291=$G$10,H$10,$G291=$G$13,H$13,$G291=$G$14,H$14,$G291=$G$16,H$16,$G291=$G$17,H$17,$G291=$G$19,H$19,$G291=$G$20,H$20,$G291=$G$22,H$22,$G291=$G$23,H$23,$G291=$G$26,H$26,$G291=$G$29,H$29,$G291=$G$31,H$31,$G291=$G$34,H$34,$G291=$G$37,H$37,$G291=$G$107,H$107,$G291=$G$110,H$110,$G291=$G$140,H$140,$G291=$G$142,H$142,$G291=$G$408,H$408)</f>
        <v>41.367100000000001</v>
      </c>
      <c r="I291" s="51" cm="1">
        <f t="array" ref="I291">_xlfn.IFS($G291=$G$5,I$5,$G291=$G$7,I$7,$G291=$G$10,I$10,$G291=$G$13,I$13,$G291=$G$14,I$14,$G291=$G$16,I$16,$G291=$G$17,I$17,$G291=$G$19,I$19,$G291=$G$20,I$20,$G291=$G$22,I$22,$G291=$G$23,I$23,$G291=$G$26,I$26,$G291=$G$29,I$29,$G291=$G$31,I$31,$G291=$G$34,I$34,$G291=$G$37,I$37,$G291=$G$107,I$107,$G291=$G$110,I$110,$G291=$G$140,I$140,$G291=$G$142,I$142,$G291=$G$408,I$408)</f>
        <v>2.1539079999999999</v>
      </c>
      <c r="J291" s="51" cm="1">
        <f t="array" ref="J291">_xlfn.IFS($G291=$G$5,J$5,$G291=$G$7,J$7,$G291=$G$10,J$10,$G291=$G$13,J$13,$G291=$G$14,J$14,$G291=$G$16,J$16,$G291=$G$17,J$17,$G291=$G$19,J$19,$G291=$G$20,J$20,$G291=$G$22,J$22,$G291=$G$23,J$23,$G291=$G$26,J$26,$G291=$G$29,J$29,$G291=$G$31,J$31,$G291=$G$34,J$34,$G291=$G$37,J$37,$G291=$G$107,J$107,$G291=$G$110,J$110,$G291=$G$140,J$140,$G291=$G$142,J$142,$G291=$G$408,J$408)</f>
        <v>68</v>
      </c>
      <c r="K291" s="13" t="str" cm="1">
        <f t="array" ref="K291">_xlfn.IFS($G291=$G$5,K$5,$G291=$G$7,K$7,$G291=$G$10,K$10,$G291=$G$13,K$13,$G291=$G$14,K$14,$G291=$G$16,K$16,$G291=$G$17,K$17,$G291=$G$19,K$19,$G291=$G$20,K$20,$G291=$G$22,K$22,$G291=$G$23,K$23,$G291=$G$26,K$26,$G291=$G$29,K$29,$G291=$G$31,K$31,$G291=$G$34,K$34,$G291=$G$37,K$37,$G291=$G$107,K$107,$G291=$G$110,K$110,$G291=$G$140,K$140,$G291=$G$142,K$142,$G291=$G$408,K$408)</f>
        <v>BG sentinel + BG lure7</v>
      </c>
      <c r="O291" s="13" t="str">
        <f t="shared" si="30"/>
        <v>A_SP_BCN_23_220816</v>
      </c>
      <c r="P291" s="27">
        <v>44789</v>
      </c>
      <c r="Q291" s="29">
        <v>0.64930555555555558</v>
      </c>
      <c r="R291" s="33"/>
      <c r="S291" s="27">
        <v>44796</v>
      </c>
      <c r="T291" s="29">
        <v>0.64583333333333337</v>
      </c>
      <c r="V291" s="13" t="s">
        <v>86</v>
      </c>
      <c r="W291" s="15" t="s">
        <v>96</v>
      </c>
      <c r="X291" s="13">
        <f t="shared" si="26"/>
        <v>7</v>
      </c>
      <c r="Z291" s="13" t="s">
        <v>164</v>
      </c>
      <c r="AA291" s="13">
        <f t="shared" si="29"/>
        <v>1</v>
      </c>
      <c r="AB291" s="13" t="str">
        <f t="shared" si="27"/>
        <v>Adult</v>
      </c>
      <c r="AC291" s="13">
        <v>0</v>
      </c>
      <c r="AD291" s="13">
        <v>1</v>
      </c>
      <c r="AE291" s="13" t="str">
        <f t="shared" si="28"/>
        <v>Morphological</v>
      </c>
      <c r="AF291" s="2">
        <v>3</v>
      </c>
    </row>
    <row r="292" spans="1:32" x14ac:dyDescent="0.25">
      <c r="A292" s="13">
        <v>288</v>
      </c>
      <c r="B292" s="23" t="s">
        <v>56</v>
      </c>
      <c r="C292" s="23" t="s">
        <v>57</v>
      </c>
      <c r="D292" s="23" t="s">
        <v>58</v>
      </c>
      <c r="E292" s="23" t="s">
        <v>58</v>
      </c>
      <c r="F292" s="35" cm="1">
        <f t="array" ref="F292">_xlfn.IFS($G292=$G$5,F$5,$G292=$G$7,F$7,$G292=$G$10,F$10,$G292=$G$13,F$13,$G292=$G$14,F$14,$G292=$G$16,F$16,$G292=$G$17,F$17,$G292=$G$19,F$19,$G292=$G$20,F$20,$G292=$G$22,F$22,$G292=$G$23,F$23,$G292=$G$26,F$26,$G292=$G$29,F$29,$G292=$G$31,F$31,$G292=$G$34,F$34,$G292=$G$37,F$37,$G292=$G$107,F$107,$G292=$G$110,F$110,$G292=$G$140,F$140,$G292=$G$142,F$142,$G292=$G$408,F$408)</f>
        <v>8015</v>
      </c>
      <c r="G292" s="13" t="s">
        <v>78</v>
      </c>
      <c r="H292" s="51" cm="1">
        <f t="array" ref="H292">_xlfn.IFS($G292=$G$5,H$5,$G292=$G$7,H$7,$G292=$G$10,H$10,$G292=$G$13,H$13,$G292=$G$14,H$14,$G292=$G$16,H$16,$G292=$G$17,H$17,$G292=$G$19,H$19,$G292=$G$20,H$20,$G292=$G$22,H$22,$G292=$G$23,H$23,$G292=$G$26,H$26,$G292=$G$29,H$29,$G292=$G$31,H$31,$G292=$G$34,H$34,$G292=$G$37,H$37,$G292=$G$107,H$107,$G292=$G$110,H$110,$G292=$G$140,H$140,$G292=$G$142,H$142,$G292=$G$408,H$408)</f>
        <v>41.381725000000003</v>
      </c>
      <c r="I292" s="51" cm="1">
        <f t="array" ref="I292">_xlfn.IFS($G292=$G$5,I$5,$G292=$G$7,I$7,$G292=$G$10,I$10,$G292=$G$13,I$13,$G292=$G$14,I$14,$G292=$G$16,I$16,$G292=$G$17,I$17,$G292=$G$19,I$19,$G292=$G$20,I$20,$G292=$G$22,I$22,$G292=$G$23,I$23,$G292=$G$26,I$26,$G292=$G$29,I$29,$G292=$G$31,I$31,$G292=$G$34,I$34,$G292=$G$37,I$37,$G292=$G$107,I$107,$G292=$G$110,I$110,$G292=$G$140,I$140,$G292=$G$142,I$142,$G292=$G$408,I$408)</f>
        <v>2.1543679999999998</v>
      </c>
      <c r="J292" s="51" cm="1">
        <f t="array" ref="J292">_xlfn.IFS($G292=$G$5,J$5,$G292=$G$7,J$7,$G292=$G$10,J$10,$G292=$G$13,J$13,$G292=$G$14,J$14,$G292=$G$16,J$16,$G292=$G$17,J$17,$G292=$G$19,J$19,$G292=$G$20,J$20,$G292=$G$22,J$22,$G292=$G$23,J$23,$G292=$G$26,J$26,$G292=$G$29,J$29,$G292=$G$31,J$31,$G292=$G$34,J$34,$G292=$G$37,J$37,$G292=$G$107,J$107,$G292=$G$110,J$110,$G292=$G$140,J$140,$G292=$G$142,J$142,$G292=$G$408,J$408)</f>
        <v>20.7</v>
      </c>
      <c r="K292" s="13" t="str" cm="1">
        <f t="array" ref="K292">_xlfn.IFS($G292=$G$5,K$5,$G292=$G$7,K$7,$G292=$G$10,K$10,$G292=$G$13,K$13,$G292=$G$14,K$14,$G292=$G$16,K$16,$G292=$G$17,K$17,$G292=$G$19,K$19,$G292=$G$20,K$20,$G292=$G$22,K$22,$G292=$G$23,K$23,$G292=$G$26,K$26,$G292=$G$29,K$29,$G292=$G$31,K$31,$G292=$G$34,K$34,$G292=$G$37,K$37,$G292=$G$107,K$107,$G292=$G$110,K$110,$G292=$G$140,K$140,$G292=$G$142,K$142,$G292=$G$408,K$408)</f>
        <v>BG sentinel + BG lure7</v>
      </c>
      <c r="O292" s="13" t="str">
        <f t="shared" si="30"/>
        <v>A_SP_BCN_24_220817</v>
      </c>
      <c r="P292" s="31">
        <v>44790</v>
      </c>
      <c r="Q292" s="29">
        <v>0.43055555555555558</v>
      </c>
      <c r="R292" s="33"/>
      <c r="S292" s="27">
        <v>44796</v>
      </c>
      <c r="T292" s="29">
        <v>0.84375</v>
      </c>
      <c r="V292" s="13" t="s">
        <v>86</v>
      </c>
      <c r="W292" t="s">
        <v>182</v>
      </c>
      <c r="X292" s="13">
        <f t="shared" si="26"/>
        <v>6</v>
      </c>
      <c r="Z292" s="13" t="s">
        <v>60</v>
      </c>
      <c r="AA292" s="13">
        <f t="shared" si="29"/>
        <v>16</v>
      </c>
      <c r="AB292" s="13" t="str">
        <f t="shared" si="27"/>
        <v>Adult</v>
      </c>
      <c r="AC292" s="13">
        <v>10</v>
      </c>
      <c r="AD292" s="13">
        <v>6</v>
      </c>
      <c r="AE292" s="13" t="str">
        <f t="shared" si="28"/>
        <v>Morphological</v>
      </c>
      <c r="AF292" s="2">
        <v>2</v>
      </c>
    </row>
    <row r="293" spans="1:32" x14ac:dyDescent="0.25">
      <c r="A293" s="13">
        <v>289</v>
      </c>
      <c r="B293" s="23" t="s">
        <v>56</v>
      </c>
      <c r="C293" s="23" t="s">
        <v>57</v>
      </c>
      <c r="D293" s="23" t="s">
        <v>58</v>
      </c>
      <c r="E293" s="23" t="s">
        <v>58</v>
      </c>
      <c r="F293" s="35" cm="1">
        <f t="array" ref="F293">_xlfn.IFS($G293=$G$5,F$5,$G293=$G$7,F$7,$G293=$G$10,F$10,$G293=$G$13,F$13,$G293=$G$14,F$14,$G293=$G$16,F$16,$G293=$G$17,F$17,$G293=$G$19,F$19,$G293=$G$20,F$20,$G293=$G$22,F$22,$G293=$G$23,F$23,$G293=$G$26,F$26,$G293=$G$29,F$29,$G293=$G$31,F$31,$G293=$G$34,F$34,$G293=$G$37,F$37,$G293=$G$107,F$107,$G293=$G$110,F$110,$G293=$G$140,F$140,$G293=$G$142,F$142,$G293=$G$408,F$408)</f>
        <v>8015</v>
      </c>
      <c r="G293" s="13" t="s">
        <v>78</v>
      </c>
      <c r="H293" s="51" cm="1">
        <f t="array" ref="H293">_xlfn.IFS($G293=$G$5,H$5,$G293=$G$7,H$7,$G293=$G$10,H$10,$G293=$G$13,H$13,$G293=$G$14,H$14,$G293=$G$16,H$16,$G293=$G$17,H$17,$G293=$G$19,H$19,$G293=$G$20,H$20,$G293=$G$22,H$22,$G293=$G$23,H$23,$G293=$G$26,H$26,$G293=$G$29,H$29,$G293=$G$31,H$31,$G293=$G$34,H$34,$G293=$G$37,H$37,$G293=$G$107,H$107,$G293=$G$110,H$110,$G293=$G$140,H$140,$G293=$G$142,H$142,$G293=$G$408,H$408)</f>
        <v>41.381725000000003</v>
      </c>
      <c r="I293" s="51" cm="1">
        <f t="array" ref="I293">_xlfn.IFS($G293=$G$5,I$5,$G293=$G$7,I$7,$G293=$G$10,I$10,$G293=$G$13,I$13,$G293=$G$14,I$14,$G293=$G$16,I$16,$G293=$G$17,I$17,$G293=$G$19,I$19,$G293=$G$20,I$20,$G293=$G$22,I$22,$G293=$G$23,I$23,$G293=$G$26,I$26,$G293=$G$29,I$29,$G293=$G$31,I$31,$G293=$G$34,I$34,$G293=$G$37,I$37,$G293=$G$107,I$107,$G293=$G$110,I$110,$G293=$G$140,I$140,$G293=$G$142,I$142,$G293=$G$408,I$408)</f>
        <v>2.1543679999999998</v>
      </c>
      <c r="J293" s="51" cm="1">
        <f t="array" ref="J293">_xlfn.IFS($G293=$G$5,J$5,$G293=$G$7,J$7,$G293=$G$10,J$10,$G293=$G$13,J$13,$G293=$G$14,J$14,$G293=$G$16,J$16,$G293=$G$17,J$17,$G293=$G$19,J$19,$G293=$G$20,J$20,$G293=$G$22,J$22,$G293=$G$23,J$23,$G293=$G$26,J$26,$G293=$G$29,J$29,$G293=$G$31,J$31,$G293=$G$34,J$34,$G293=$G$37,J$37,$G293=$G$107,J$107,$G293=$G$110,J$110,$G293=$G$140,J$140,$G293=$G$142,J$142,$G293=$G$408,J$408)</f>
        <v>20.7</v>
      </c>
      <c r="K293" s="13" t="str" cm="1">
        <f t="array" ref="K293">_xlfn.IFS($G293=$G$5,K$5,$G293=$G$7,K$7,$G293=$G$10,K$10,$G293=$G$13,K$13,$G293=$G$14,K$14,$G293=$G$16,K$16,$G293=$G$17,K$17,$G293=$G$19,K$19,$G293=$G$20,K$20,$G293=$G$22,K$22,$G293=$G$23,K$23,$G293=$G$26,K$26,$G293=$G$29,K$29,$G293=$G$31,K$31,$G293=$G$34,K$34,$G293=$G$37,K$37,$G293=$G$107,K$107,$G293=$G$110,K$110,$G293=$G$140,K$140,$G293=$G$142,K$142,$G293=$G$408,K$408)</f>
        <v>BG sentinel + BG lure7</v>
      </c>
      <c r="O293" s="13" t="str">
        <f t="shared" si="30"/>
        <v>A_SP_BCN_24_220817</v>
      </c>
      <c r="P293" s="31">
        <v>44790</v>
      </c>
      <c r="Q293" s="29">
        <v>0.43055555555555558</v>
      </c>
      <c r="R293" s="33"/>
      <c r="S293" s="27">
        <v>44796</v>
      </c>
      <c r="T293" s="29">
        <v>0.84375</v>
      </c>
      <c r="V293" s="13" t="s">
        <v>86</v>
      </c>
      <c r="W293" t="s">
        <v>182</v>
      </c>
      <c r="X293" s="13">
        <f t="shared" si="26"/>
        <v>6</v>
      </c>
      <c r="Z293" s="13" t="s">
        <v>164</v>
      </c>
      <c r="AA293" s="13">
        <f t="shared" si="29"/>
        <v>3</v>
      </c>
      <c r="AB293" s="13" t="str">
        <f t="shared" si="27"/>
        <v>Adult</v>
      </c>
      <c r="AC293" s="13">
        <v>3</v>
      </c>
      <c r="AD293" s="13">
        <v>0</v>
      </c>
      <c r="AE293" s="13" t="str">
        <f t="shared" si="28"/>
        <v>Morphological</v>
      </c>
      <c r="AF293" s="2">
        <v>2</v>
      </c>
    </row>
    <row r="294" spans="1:32" x14ac:dyDescent="0.25">
      <c r="A294" s="13">
        <v>290</v>
      </c>
      <c r="B294" s="23" t="s">
        <v>56</v>
      </c>
      <c r="C294" s="23" t="s">
        <v>57</v>
      </c>
      <c r="D294" s="23" t="s">
        <v>58</v>
      </c>
      <c r="E294" s="23" t="s">
        <v>58</v>
      </c>
      <c r="F294" s="35" cm="1">
        <f t="array" ref="F294">_xlfn.IFS($G294=$G$5,F$5,$G294=$G$7,F$7,$G294=$G$10,F$10,$G294=$G$13,F$13,$G294=$G$14,F$14,$G294=$G$16,F$16,$G294=$G$17,F$17,$G294=$G$19,F$19,$G294=$G$20,F$20,$G294=$G$22,F$22,$G294=$G$23,F$23,$G294=$G$26,F$26,$G294=$G$29,F$29,$G294=$G$31,F$31,$G294=$G$34,F$34,$G294=$G$37,F$37,$G294=$G$107,F$107,$G294=$G$110,F$110,$G294=$G$140,F$140,$G294=$G$142,F$142,$G294=$G$408,F$408)</f>
        <v>8017</v>
      </c>
      <c r="G294" s="13" t="s">
        <v>97</v>
      </c>
      <c r="H294" s="51" cm="1">
        <f t="array" ref="H294">_xlfn.IFS($G294=$G$5,H$5,$G294=$G$7,H$7,$G294=$G$10,H$10,$G294=$G$13,H$13,$G294=$G$14,H$14,$G294=$G$16,H$16,$G294=$G$17,H$17,$G294=$G$19,H$19,$G294=$G$20,H$20,$G294=$G$22,H$22,$G294=$G$23,H$23,$G294=$G$26,H$26,$G294=$G$29,H$29,$G294=$G$31,H$31,$G294=$G$34,H$34,$G294=$G$37,H$37,$G294=$G$107,H$107,$G294=$G$110,H$110,$G294=$G$140,H$140,$G294=$G$142,H$142,$G294=$G$408,H$408)</f>
        <v>41.430372407595499</v>
      </c>
      <c r="I294" s="51" cm="1">
        <f t="array" ref="I294">_xlfn.IFS($G294=$G$5,I$5,$G294=$G$7,I$7,$G294=$G$10,I$10,$G294=$G$13,I$13,$G294=$G$14,I$14,$G294=$G$16,I$16,$G294=$G$17,I$17,$G294=$G$19,I$19,$G294=$G$20,I$20,$G294=$G$22,I$22,$G294=$G$23,I$23,$G294=$G$26,I$26,$G294=$G$29,I$29,$G294=$G$31,I$31,$G294=$G$34,I$34,$G294=$G$37,I$37,$G294=$G$107,I$107,$G294=$G$110,I$110,$G294=$G$140,I$140,$G294=$G$142,I$142,$G294=$G$408,I$408)</f>
        <v>2.0778358219819002</v>
      </c>
      <c r="J294" s="51" cm="1">
        <f t="array" ref="J294">_xlfn.IFS($G294=$G$5,J$5,$G294=$G$7,J$7,$G294=$G$10,J$10,$G294=$G$13,J$13,$G294=$G$14,J$14,$G294=$G$16,J$16,$G294=$G$17,J$17,$G294=$G$19,J$19,$G294=$G$20,J$20,$G294=$G$22,J$22,$G294=$G$23,J$23,$G294=$G$26,J$26,$G294=$G$29,J$29,$G294=$G$31,J$31,$G294=$G$34,J$34,$G294=$G$37,J$37,$G294=$G$107,J$107,$G294=$G$110,J$110,$G294=$G$140,J$140,$G294=$G$142,J$142,$G294=$G$408,J$408)</f>
        <v>242</v>
      </c>
      <c r="K294" s="13" t="str" cm="1">
        <f t="array" ref="K294">_xlfn.IFS($G294=$G$5,K$5,$G294=$G$7,K$7,$G294=$G$10,K$10,$G294=$G$13,K$13,$G294=$G$14,K$14,$G294=$G$16,K$16,$G294=$G$17,K$17,$G294=$G$19,K$19,$G294=$G$20,K$20,$G294=$G$22,K$22,$G294=$G$23,K$23,$G294=$G$26,K$26,$G294=$G$29,K$29,$G294=$G$31,K$31,$G294=$G$34,K$34,$G294=$G$37,K$37,$G294=$G$107,K$107,$G294=$G$110,K$110,$G294=$G$140,K$140,$G294=$G$142,K$142,$G294=$G$408,K$408)</f>
        <v>Mtego</v>
      </c>
      <c r="O294" s="13" t="str">
        <f t="shared" si="30"/>
        <v>Premal_1_220816</v>
      </c>
      <c r="P294" s="27">
        <v>44789</v>
      </c>
      <c r="Q294" s="29">
        <v>0.73263888888888884</v>
      </c>
      <c r="R294" s="33"/>
      <c r="S294" s="27">
        <v>44796</v>
      </c>
      <c r="T294" s="29">
        <v>0.74305555555555547</v>
      </c>
      <c r="V294" s="13" t="s">
        <v>86</v>
      </c>
      <c r="X294" s="13">
        <f t="shared" si="26"/>
        <v>7</v>
      </c>
      <c r="Z294" s="13" t="s">
        <v>60</v>
      </c>
      <c r="AA294" s="13">
        <f t="shared" si="29"/>
        <v>6</v>
      </c>
      <c r="AB294" s="13" t="str">
        <f t="shared" si="27"/>
        <v>Adult</v>
      </c>
      <c r="AC294" s="13">
        <v>6</v>
      </c>
      <c r="AD294" s="13">
        <v>0</v>
      </c>
      <c r="AE294" s="13" t="str">
        <f t="shared" si="28"/>
        <v>Morphological</v>
      </c>
      <c r="AF294" s="2">
        <v>4</v>
      </c>
    </row>
    <row r="295" spans="1:32" x14ac:dyDescent="0.25">
      <c r="A295" s="13">
        <v>291</v>
      </c>
      <c r="B295" s="23" t="s">
        <v>56</v>
      </c>
      <c r="C295" s="23" t="s">
        <v>57</v>
      </c>
      <c r="D295" s="23" t="s">
        <v>58</v>
      </c>
      <c r="E295" s="23" t="s">
        <v>58</v>
      </c>
      <c r="F295" s="35" cm="1">
        <f t="array" ref="F295">_xlfn.IFS($G295=$G$5,F$5,$G295=$G$7,F$7,$G295=$G$10,F$10,$G295=$G$13,F$13,$G295=$G$14,F$14,$G295=$G$16,F$16,$G295=$G$17,F$17,$G295=$G$19,F$19,$G295=$G$20,F$20,$G295=$G$22,F$22,$G295=$G$23,F$23,$G295=$G$26,F$26,$G295=$G$29,F$29,$G295=$G$31,F$31,$G295=$G$34,F$34,$G295=$G$37,F$37,$G295=$G$107,F$107,$G295=$G$110,F$110,$G295=$G$140,F$140,$G295=$G$142,F$142,$G295=$G$408,F$408)</f>
        <v>8017</v>
      </c>
      <c r="G295" s="13" t="s">
        <v>97</v>
      </c>
      <c r="H295" s="51" cm="1">
        <f t="array" ref="H295">_xlfn.IFS($G295=$G$5,H$5,$G295=$G$7,H$7,$G295=$G$10,H$10,$G295=$G$13,H$13,$G295=$G$14,H$14,$G295=$G$16,H$16,$G295=$G$17,H$17,$G295=$G$19,H$19,$G295=$G$20,H$20,$G295=$G$22,H$22,$G295=$G$23,H$23,$G295=$G$26,H$26,$G295=$G$29,H$29,$G295=$G$31,H$31,$G295=$G$34,H$34,$G295=$G$37,H$37,$G295=$G$107,H$107,$G295=$G$110,H$110,$G295=$G$140,H$140,$G295=$G$142,H$142,$G295=$G$408,H$408)</f>
        <v>41.430372407595499</v>
      </c>
      <c r="I295" s="51" cm="1">
        <f t="array" ref="I295">_xlfn.IFS($G295=$G$5,I$5,$G295=$G$7,I$7,$G295=$G$10,I$10,$G295=$G$13,I$13,$G295=$G$14,I$14,$G295=$G$16,I$16,$G295=$G$17,I$17,$G295=$G$19,I$19,$G295=$G$20,I$20,$G295=$G$22,I$22,$G295=$G$23,I$23,$G295=$G$26,I$26,$G295=$G$29,I$29,$G295=$G$31,I$31,$G295=$G$34,I$34,$G295=$G$37,I$37,$G295=$G$107,I$107,$G295=$G$110,I$110,$G295=$G$140,I$140,$G295=$G$142,I$142,$G295=$G$408,I$408)</f>
        <v>2.0778358219819002</v>
      </c>
      <c r="J295" s="51" cm="1">
        <f t="array" ref="J295">_xlfn.IFS($G295=$G$5,J$5,$G295=$G$7,J$7,$G295=$G$10,J$10,$G295=$G$13,J$13,$G295=$G$14,J$14,$G295=$G$16,J$16,$G295=$G$17,J$17,$G295=$G$19,J$19,$G295=$G$20,J$20,$G295=$G$22,J$22,$G295=$G$23,J$23,$G295=$G$26,J$26,$G295=$G$29,J$29,$G295=$G$31,J$31,$G295=$G$34,J$34,$G295=$G$37,J$37,$G295=$G$107,J$107,$G295=$G$110,J$110,$G295=$G$140,J$140,$G295=$G$142,J$142,$G295=$G$408,J$408)</f>
        <v>242</v>
      </c>
      <c r="K295" s="13" t="str" cm="1">
        <f t="array" ref="K295">_xlfn.IFS($G295=$G$5,K$5,$G295=$G$7,K$7,$G295=$G$10,K$10,$G295=$G$13,K$13,$G295=$G$14,K$14,$G295=$G$16,K$16,$G295=$G$17,K$17,$G295=$G$19,K$19,$G295=$G$20,K$20,$G295=$G$22,K$22,$G295=$G$23,K$23,$G295=$G$26,K$26,$G295=$G$29,K$29,$G295=$G$31,K$31,$G295=$G$34,K$34,$G295=$G$37,K$37,$G295=$G$107,K$107,$G295=$G$110,K$110,$G295=$G$140,K$140,$G295=$G$142,K$142,$G295=$G$408,K$408)</f>
        <v>Mtego</v>
      </c>
      <c r="O295" s="13" t="str">
        <f t="shared" si="30"/>
        <v>Premal_1_220816</v>
      </c>
      <c r="P295" s="27">
        <v>44789</v>
      </c>
      <c r="Q295" s="29">
        <v>0.73263888888888884</v>
      </c>
      <c r="R295" s="33"/>
      <c r="S295" s="27">
        <v>44796</v>
      </c>
      <c r="T295" s="29">
        <v>0.74305555555555547</v>
      </c>
      <c r="V295" s="13" t="s">
        <v>86</v>
      </c>
      <c r="X295" s="13">
        <f t="shared" si="26"/>
        <v>7</v>
      </c>
      <c r="Z295" s="13" t="s">
        <v>164</v>
      </c>
      <c r="AA295" s="13">
        <f t="shared" si="29"/>
        <v>1</v>
      </c>
      <c r="AB295" s="13" t="str">
        <f t="shared" si="27"/>
        <v>Adult</v>
      </c>
      <c r="AC295" s="13">
        <v>1</v>
      </c>
      <c r="AD295" s="13">
        <v>0</v>
      </c>
      <c r="AE295" s="13" t="str">
        <f t="shared" si="28"/>
        <v>Morphological</v>
      </c>
      <c r="AF295" s="2">
        <v>4</v>
      </c>
    </row>
    <row r="296" spans="1:32" x14ac:dyDescent="0.25">
      <c r="A296" s="13">
        <v>292</v>
      </c>
      <c r="B296" s="23" t="s">
        <v>56</v>
      </c>
      <c r="C296" s="23" t="s">
        <v>57</v>
      </c>
      <c r="D296" s="23" t="s">
        <v>58</v>
      </c>
      <c r="E296" s="23" t="s">
        <v>58</v>
      </c>
      <c r="F296" s="35" cm="1">
        <f t="array" ref="F296">_xlfn.IFS($G296=$G$5,F$5,$G296=$G$7,F$7,$G296=$G$10,F$10,$G296=$G$13,F$13,$G296=$G$14,F$14,$G296=$G$16,F$16,$G296=$G$17,F$17,$G296=$G$19,F$19,$G296=$G$20,F$20,$G296=$G$22,F$22,$G296=$G$23,F$23,$G296=$G$26,F$26,$G296=$G$29,F$29,$G296=$G$31,F$31,$G296=$G$34,F$34,$G296=$G$37,F$37,$G296=$G$107,F$107,$G296=$G$110,F$110,$G296=$G$140,F$140,$G296=$G$142,F$142,$G296=$G$408,F$408)</f>
        <v>8017</v>
      </c>
      <c r="G296" s="13" t="s">
        <v>97</v>
      </c>
      <c r="H296" s="51" cm="1">
        <f t="array" ref="H296">_xlfn.IFS($G296=$G$5,H$5,$G296=$G$7,H$7,$G296=$G$10,H$10,$G296=$G$13,H$13,$G296=$G$14,H$14,$G296=$G$16,H$16,$G296=$G$17,H$17,$G296=$G$19,H$19,$G296=$G$20,H$20,$G296=$G$22,H$22,$G296=$G$23,H$23,$G296=$G$26,H$26,$G296=$G$29,H$29,$G296=$G$31,H$31,$G296=$G$34,H$34,$G296=$G$37,H$37,$G296=$G$107,H$107,$G296=$G$110,H$110,$G296=$G$140,H$140,$G296=$G$142,H$142,$G296=$G$408,H$408)</f>
        <v>41.430372407595499</v>
      </c>
      <c r="I296" s="51" cm="1">
        <f t="array" ref="I296">_xlfn.IFS($G296=$G$5,I$5,$G296=$G$7,I$7,$G296=$G$10,I$10,$G296=$G$13,I$13,$G296=$G$14,I$14,$G296=$G$16,I$16,$G296=$G$17,I$17,$G296=$G$19,I$19,$G296=$G$20,I$20,$G296=$G$22,I$22,$G296=$G$23,I$23,$G296=$G$26,I$26,$G296=$G$29,I$29,$G296=$G$31,I$31,$G296=$G$34,I$34,$G296=$G$37,I$37,$G296=$G$107,I$107,$G296=$G$110,I$110,$G296=$G$140,I$140,$G296=$G$142,I$142,$G296=$G$408,I$408)</f>
        <v>2.0778358219819002</v>
      </c>
      <c r="J296" s="51" cm="1">
        <f t="array" ref="J296">_xlfn.IFS($G296=$G$5,J$5,$G296=$G$7,J$7,$G296=$G$10,J$10,$G296=$G$13,J$13,$G296=$G$14,J$14,$G296=$G$16,J$16,$G296=$G$17,J$17,$G296=$G$19,J$19,$G296=$G$20,J$20,$G296=$G$22,J$22,$G296=$G$23,J$23,$G296=$G$26,J$26,$G296=$G$29,J$29,$G296=$G$31,J$31,$G296=$G$34,J$34,$G296=$G$37,J$37,$G296=$G$107,J$107,$G296=$G$110,J$110,$G296=$G$140,J$140,$G296=$G$142,J$142,$G296=$G$408,J$408)</f>
        <v>242</v>
      </c>
      <c r="K296" s="13" t="str" cm="1">
        <f t="array" ref="K296">_xlfn.IFS($G296=$G$5,K$5,$G296=$G$7,K$7,$G296=$G$10,K$10,$G296=$G$13,K$13,$G296=$G$14,K$14,$G296=$G$16,K$16,$G296=$G$17,K$17,$G296=$G$19,K$19,$G296=$G$20,K$20,$G296=$G$22,K$22,$G296=$G$23,K$23,$G296=$G$26,K$26,$G296=$G$29,K$29,$G296=$G$31,K$31,$G296=$G$34,K$34,$G296=$G$37,K$37,$G296=$G$107,K$107,$G296=$G$110,K$110,$G296=$G$140,K$140,$G296=$G$142,K$142,$G296=$G$408,K$408)</f>
        <v>Mtego</v>
      </c>
      <c r="O296" s="13" t="str">
        <f t="shared" si="30"/>
        <v>Premal_1_220816</v>
      </c>
      <c r="P296" s="27">
        <v>44789</v>
      </c>
      <c r="Q296" s="29">
        <v>0.73263888888888884</v>
      </c>
      <c r="R296" s="33"/>
      <c r="S296" s="27">
        <v>44796</v>
      </c>
      <c r="T296" s="29">
        <v>0.74305555555555547</v>
      </c>
      <c r="V296" s="13" t="s">
        <v>86</v>
      </c>
      <c r="X296" s="13">
        <f t="shared" si="26"/>
        <v>7</v>
      </c>
      <c r="Z296" s="32" t="s">
        <v>163</v>
      </c>
      <c r="AA296" s="13">
        <f t="shared" si="29"/>
        <v>1</v>
      </c>
      <c r="AB296" s="13" t="str">
        <f t="shared" si="27"/>
        <v>Adult</v>
      </c>
      <c r="AC296" s="13">
        <v>1</v>
      </c>
      <c r="AD296" s="13">
        <v>0</v>
      </c>
      <c r="AE296" s="13" t="str">
        <f t="shared" si="28"/>
        <v>Morphological</v>
      </c>
      <c r="AF296" s="2">
        <v>4</v>
      </c>
    </row>
    <row r="297" spans="1:32" x14ac:dyDescent="0.25">
      <c r="A297" s="13">
        <v>293</v>
      </c>
      <c r="B297" s="23" t="s">
        <v>56</v>
      </c>
      <c r="C297" s="23" t="s">
        <v>57</v>
      </c>
      <c r="D297" s="23" t="s">
        <v>58</v>
      </c>
      <c r="E297" s="23" t="s">
        <v>58</v>
      </c>
      <c r="F297" s="35" cm="1">
        <f t="array" ref="F297">_xlfn.IFS($G297=$G$5,F$5,$G297=$G$7,F$7,$G297=$G$10,F$10,$G297=$G$13,F$13,$G297=$G$14,F$14,$G297=$G$16,F$16,$G297=$G$17,F$17,$G297=$G$19,F$19,$G297=$G$20,F$20,$G297=$G$22,F$22,$G297=$G$23,F$23,$G297=$G$26,F$26,$G297=$G$29,F$29,$G297=$G$31,F$31,$G297=$G$34,F$34,$G297=$G$37,F$37,$G297=$G$107,F$107,$G297=$G$110,F$110,$G297=$G$140,F$140,$G297=$G$142,F$142,$G297=$G$408,F$408)</f>
        <v>8035</v>
      </c>
      <c r="G297" s="13" t="s">
        <v>61</v>
      </c>
      <c r="H297" s="51" cm="1">
        <f t="array" ref="H297">_xlfn.IFS($G297=$G$5,H$5,$G297=$G$7,H$7,$G297=$G$10,H$10,$G297=$G$13,H$13,$G297=$G$14,H$14,$G297=$G$16,H$16,$G297=$G$17,H$17,$G297=$G$19,H$19,$G297=$G$20,H$20,$G297=$G$22,H$22,$G297=$G$23,H$23,$G297=$G$26,H$26,$G297=$G$29,H$29,$G297=$G$31,H$31,$G297=$G$34,H$34,$G297=$G$37,H$37,$G297=$G$107,H$107,$G297=$G$110,H$110,$G297=$G$140,H$140,$G297=$G$142,H$142,$G297=$G$408,H$408)</f>
        <v>41.424387000000003</v>
      </c>
      <c r="I297" s="51" cm="1">
        <f t="array" ref="I297">_xlfn.IFS($G297=$G$5,I$5,$G297=$G$7,I$7,$G297=$G$10,I$10,$G297=$G$13,I$13,$G297=$G$14,I$14,$G297=$G$16,I$16,$G297=$G$17,I$17,$G297=$G$19,I$19,$G297=$G$20,I$20,$G297=$G$22,I$22,$G297=$G$23,I$23,$G297=$G$26,I$26,$G297=$G$29,I$29,$G297=$G$31,I$31,$G297=$G$34,I$34,$G297=$G$37,I$37,$G297=$G$107,I$107,$G297=$G$110,I$110,$G297=$G$140,I$140,$G297=$G$142,I$142,$G297=$G$408,I$408)</f>
        <v>2.1431439999999999</v>
      </c>
      <c r="J297" s="51" cm="1">
        <f t="array" ref="J297">_xlfn.IFS($G297=$G$5,J$5,$G297=$G$7,J$7,$G297=$G$10,J$10,$G297=$G$13,J$13,$G297=$G$14,J$14,$G297=$G$16,J$16,$G297=$G$17,J$17,$G297=$G$19,J$19,$G297=$G$20,J$20,$G297=$G$22,J$22,$G297=$G$23,J$23,$G297=$G$26,J$26,$G297=$G$29,J$29,$G297=$G$31,J$31,$G297=$G$34,J$34,$G297=$G$37,J$37,$G297=$G$107,J$107,$G297=$G$110,J$110,$G297=$G$140,J$140,$G297=$G$142,J$142,$G297=$G$408,J$408)</f>
        <v>160</v>
      </c>
      <c r="K297" s="13" t="str" cm="1">
        <f t="array" ref="K297">_xlfn.IFS($G297=$G$5,K$5,$G297=$G$7,K$7,$G297=$G$10,K$10,$G297=$G$13,K$13,$G297=$G$14,K$14,$G297=$G$16,K$16,$G297=$G$17,K$17,$G297=$G$19,K$19,$G297=$G$20,K$20,$G297=$G$22,K$22,$G297=$G$23,K$23,$G297=$G$26,K$26,$G297=$G$29,K$29,$G297=$G$31,K$31,$G297=$G$34,K$34,$G297=$G$37,K$37,$G297=$G$107,K$107,$G297=$G$110,K$110,$G297=$G$140,K$140,$G297=$G$142,K$142,$G297=$G$408,K$408)</f>
        <v>BG sentinel + BG lure7</v>
      </c>
      <c r="O297" s="13" t="str">
        <f t="shared" si="30"/>
        <v>A_SP_BCN_2_220823</v>
      </c>
      <c r="P297" s="27">
        <v>44796</v>
      </c>
      <c r="Q297" s="29">
        <v>0.6875</v>
      </c>
      <c r="R297" s="33"/>
      <c r="S297" s="27">
        <v>44803</v>
      </c>
      <c r="T297" s="29">
        <v>0.76041666666666663</v>
      </c>
      <c r="V297" s="13" t="s">
        <v>86</v>
      </c>
      <c r="X297" s="13">
        <f t="shared" si="26"/>
        <v>7</v>
      </c>
      <c r="Z297" s="13" t="s">
        <v>60</v>
      </c>
      <c r="AA297" s="13">
        <f t="shared" si="29"/>
        <v>15</v>
      </c>
      <c r="AB297" s="13" t="str">
        <f t="shared" si="27"/>
        <v>Adult</v>
      </c>
      <c r="AC297" s="13">
        <v>12</v>
      </c>
      <c r="AD297" s="13">
        <v>3</v>
      </c>
      <c r="AE297" s="13" t="str">
        <f t="shared" si="28"/>
        <v>Morphological</v>
      </c>
      <c r="AF297" s="2">
        <v>4</v>
      </c>
    </row>
    <row r="298" spans="1:32" x14ac:dyDescent="0.25">
      <c r="A298" s="13">
        <v>294</v>
      </c>
      <c r="B298" s="23" t="s">
        <v>56</v>
      </c>
      <c r="C298" s="23" t="s">
        <v>57</v>
      </c>
      <c r="D298" s="23" t="s">
        <v>58</v>
      </c>
      <c r="E298" s="23" t="s">
        <v>58</v>
      </c>
      <c r="F298" s="35" cm="1">
        <f t="array" ref="F298">_xlfn.IFS($G298=$G$5,F$5,$G298=$G$7,F$7,$G298=$G$10,F$10,$G298=$G$13,F$13,$G298=$G$14,F$14,$G298=$G$16,F$16,$G298=$G$17,F$17,$G298=$G$19,F$19,$G298=$G$20,F$20,$G298=$G$22,F$22,$G298=$G$23,F$23,$G298=$G$26,F$26,$G298=$G$29,F$29,$G298=$G$31,F$31,$G298=$G$34,F$34,$G298=$G$37,F$37,$G298=$G$107,F$107,$G298=$G$110,F$110,$G298=$G$140,F$140,$G298=$G$142,F$142,$G298=$G$408,F$408)</f>
        <v>8016</v>
      </c>
      <c r="G298" s="13" t="s">
        <v>62</v>
      </c>
      <c r="H298" s="51" cm="1">
        <f t="array" ref="H298">_xlfn.IFS($G298=$G$5,H$5,$G298=$G$7,H$7,$G298=$G$10,H$10,$G298=$G$13,H$13,$G298=$G$14,H$14,$G298=$G$16,H$16,$G298=$G$17,H$17,$G298=$G$19,H$19,$G298=$G$20,H$20,$G298=$G$22,H$22,$G298=$G$23,H$23,$G298=$G$26,H$26,$G298=$G$29,H$29,$G298=$G$31,H$31,$G298=$G$34,H$34,$G298=$G$37,H$37,$G298=$G$107,H$107,$G298=$G$110,H$110,$G298=$G$140,H$140,$G298=$G$142,H$142,$G298=$G$408,H$408)</f>
        <v>41.437435000000001</v>
      </c>
      <c r="I298" s="51" cm="1">
        <f t="array" ref="I298">_xlfn.IFS($G298=$G$5,I$5,$G298=$G$7,I$7,$G298=$G$10,I$10,$G298=$G$13,I$13,$G298=$G$14,I$14,$G298=$G$16,I$16,$G298=$G$17,I$17,$G298=$G$19,I$19,$G298=$G$20,I$20,$G298=$G$22,I$22,$G298=$G$23,I$23,$G298=$G$26,I$26,$G298=$G$29,I$29,$G298=$G$31,I$31,$G298=$G$34,I$34,$G298=$G$37,I$37,$G298=$G$107,I$107,$G298=$G$110,I$110,$G298=$G$140,I$140,$G298=$G$142,I$142,$G298=$G$408,I$408)</f>
        <v>2.1812779999999998</v>
      </c>
      <c r="J298" s="51" cm="1">
        <f t="array" ref="J298">_xlfn.IFS($G298=$G$5,J$5,$G298=$G$7,J$7,$G298=$G$10,J$10,$G298=$G$13,J$13,$G298=$G$14,J$14,$G298=$G$16,J$16,$G298=$G$17,J$17,$G298=$G$19,J$19,$G298=$G$20,J$20,$G298=$G$22,J$22,$G298=$G$23,J$23,$G298=$G$26,J$26,$G298=$G$29,J$29,$G298=$G$31,J$31,$G298=$G$34,J$34,$G298=$G$37,J$37,$G298=$G$107,J$107,$G298=$G$110,J$110,$G298=$G$140,J$140,$G298=$G$142,J$142,$G298=$G$408,J$408)</f>
        <v>47</v>
      </c>
      <c r="K298" s="13" t="str" cm="1">
        <f t="array" ref="K298">_xlfn.IFS($G298=$G$5,K$5,$G298=$G$7,K$7,$G298=$G$10,K$10,$G298=$G$13,K$13,$G298=$G$14,K$14,$G298=$G$16,K$16,$G298=$G$17,K$17,$G298=$G$19,K$19,$G298=$G$20,K$20,$G298=$G$22,K$22,$G298=$G$23,K$23,$G298=$G$26,K$26,$G298=$G$29,K$29,$G298=$G$31,K$31,$G298=$G$34,K$34,$G298=$G$37,K$37,$G298=$G$107,K$107,$G298=$G$110,K$110,$G298=$G$140,K$140,$G298=$G$142,K$142,$G298=$G$408,K$408)</f>
        <v>BG sentinel + BG lure7</v>
      </c>
      <c r="O298" s="13" t="str">
        <f t="shared" si="30"/>
        <v>A_SP_BCN_3_220823</v>
      </c>
      <c r="P298" s="27">
        <v>44796</v>
      </c>
      <c r="Q298" s="29">
        <v>0.76388888888888884</v>
      </c>
      <c r="R298" s="33"/>
      <c r="S298" s="27">
        <v>44803</v>
      </c>
      <c r="T298" s="29">
        <v>0.88541666666666663</v>
      </c>
      <c r="V298" s="13" t="s">
        <v>86</v>
      </c>
      <c r="X298" s="13">
        <f t="shared" si="26"/>
        <v>7</v>
      </c>
      <c r="Z298" s="13" t="s">
        <v>60</v>
      </c>
      <c r="AA298" s="13">
        <f t="shared" si="29"/>
        <v>21</v>
      </c>
      <c r="AB298" s="13" t="str">
        <f t="shared" si="27"/>
        <v>Adult</v>
      </c>
      <c r="AC298" s="13">
        <v>7</v>
      </c>
      <c r="AD298" s="13">
        <v>14</v>
      </c>
      <c r="AE298" s="13" t="str">
        <f t="shared" si="28"/>
        <v>Morphological</v>
      </c>
      <c r="AF298" s="2">
        <v>4</v>
      </c>
    </row>
    <row r="299" spans="1:32" x14ac:dyDescent="0.25">
      <c r="A299" s="13">
        <v>295</v>
      </c>
      <c r="B299" s="23" t="s">
        <v>56</v>
      </c>
      <c r="C299" s="23" t="s">
        <v>57</v>
      </c>
      <c r="D299" s="23" t="s">
        <v>58</v>
      </c>
      <c r="E299" s="23" t="s">
        <v>58</v>
      </c>
      <c r="F299" s="35" cm="1">
        <f t="array" ref="F299">_xlfn.IFS($G299=$G$5,F$5,$G299=$G$7,F$7,$G299=$G$10,F$10,$G299=$G$13,F$13,$G299=$G$14,F$14,$G299=$G$16,F$16,$G299=$G$17,F$17,$G299=$G$19,F$19,$G299=$G$20,F$20,$G299=$G$22,F$22,$G299=$G$23,F$23,$G299=$G$26,F$26,$G299=$G$29,F$29,$G299=$G$31,F$31,$G299=$G$34,F$34,$G299=$G$37,F$37,$G299=$G$107,F$107,$G299=$G$110,F$110,$G299=$G$140,F$140,$G299=$G$142,F$142,$G299=$G$408,F$408)</f>
        <v>8016</v>
      </c>
      <c r="G299" s="13" t="s">
        <v>62</v>
      </c>
      <c r="H299" s="51" cm="1">
        <f t="array" ref="H299">_xlfn.IFS($G299=$G$5,H$5,$G299=$G$7,H$7,$G299=$G$10,H$10,$G299=$G$13,H$13,$G299=$G$14,H$14,$G299=$G$16,H$16,$G299=$G$17,H$17,$G299=$G$19,H$19,$G299=$G$20,H$20,$G299=$G$22,H$22,$G299=$G$23,H$23,$G299=$G$26,H$26,$G299=$G$29,H$29,$G299=$G$31,H$31,$G299=$G$34,H$34,$G299=$G$37,H$37,$G299=$G$107,H$107,$G299=$G$110,H$110,$G299=$G$140,H$140,$G299=$G$142,H$142,$G299=$G$408,H$408)</f>
        <v>41.437435000000001</v>
      </c>
      <c r="I299" s="51" cm="1">
        <f t="array" ref="I299">_xlfn.IFS($G299=$G$5,I$5,$G299=$G$7,I$7,$G299=$G$10,I$10,$G299=$G$13,I$13,$G299=$G$14,I$14,$G299=$G$16,I$16,$G299=$G$17,I$17,$G299=$G$19,I$19,$G299=$G$20,I$20,$G299=$G$22,I$22,$G299=$G$23,I$23,$G299=$G$26,I$26,$G299=$G$29,I$29,$G299=$G$31,I$31,$G299=$G$34,I$34,$G299=$G$37,I$37,$G299=$G$107,I$107,$G299=$G$110,I$110,$G299=$G$140,I$140,$G299=$G$142,I$142,$G299=$G$408,I$408)</f>
        <v>2.1812779999999998</v>
      </c>
      <c r="J299" s="51" cm="1">
        <f t="array" ref="J299">_xlfn.IFS($G299=$G$5,J$5,$G299=$G$7,J$7,$G299=$G$10,J$10,$G299=$G$13,J$13,$G299=$G$14,J$14,$G299=$G$16,J$16,$G299=$G$17,J$17,$G299=$G$19,J$19,$G299=$G$20,J$20,$G299=$G$22,J$22,$G299=$G$23,J$23,$G299=$G$26,J$26,$G299=$G$29,J$29,$G299=$G$31,J$31,$G299=$G$34,J$34,$G299=$G$37,J$37,$G299=$G$107,J$107,$G299=$G$110,J$110,$G299=$G$140,J$140,$G299=$G$142,J$142,$G299=$G$408,J$408)</f>
        <v>47</v>
      </c>
      <c r="K299" s="13" t="str" cm="1">
        <f t="array" ref="K299">_xlfn.IFS($G299=$G$5,K$5,$G299=$G$7,K$7,$G299=$G$10,K$10,$G299=$G$13,K$13,$G299=$G$14,K$14,$G299=$G$16,K$16,$G299=$G$17,K$17,$G299=$G$19,K$19,$G299=$G$20,K$20,$G299=$G$22,K$22,$G299=$G$23,K$23,$G299=$G$26,K$26,$G299=$G$29,K$29,$G299=$G$31,K$31,$G299=$G$34,K$34,$G299=$G$37,K$37,$G299=$G$107,K$107,$G299=$G$110,K$110,$G299=$G$140,K$140,$G299=$G$142,K$142,$G299=$G$408,K$408)</f>
        <v>BG sentinel + BG lure7</v>
      </c>
      <c r="O299" s="13" t="str">
        <f t="shared" si="30"/>
        <v>A_SP_BCN_3_220823</v>
      </c>
      <c r="P299" s="27">
        <v>44796</v>
      </c>
      <c r="Q299" s="29">
        <v>0.76388888888888884</v>
      </c>
      <c r="R299" s="33"/>
      <c r="S299" s="27">
        <v>44803</v>
      </c>
      <c r="T299" s="29">
        <v>0.88541666666666663</v>
      </c>
      <c r="V299" s="13" t="s">
        <v>86</v>
      </c>
      <c r="X299" s="13">
        <f t="shared" si="26"/>
        <v>7</v>
      </c>
      <c r="Z299" s="13" t="s">
        <v>164</v>
      </c>
      <c r="AA299" s="13">
        <f t="shared" si="29"/>
        <v>2</v>
      </c>
      <c r="AB299" s="13" t="str">
        <f t="shared" si="27"/>
        <v>Adult</v>
      </c>
      <c r="AC299" s="13">
        <v>2</v>
      </c>
      <c r="AD299" s="13">
        <v>0</v>
      </c>
      <c r="AE299" s="13" t="str">
        <f t="shared" si="28"/>
        <v>Morphological</v>
      </c>
      <c r="AF299" s="2">
        <v>4</v>
      </c>
    </row>
    <row r="300" spans="1:32" x14ac:dyDescent="0.25">
      <c r="A300" s="13">
        <v>296</v>
      </c>
      <c r="B300" s="23" t="s">
        <v>56</v>
      </c>
      <c r="C300" s="23" t="s">
        <v>57</v>
      </c>
      <c r="D300" s="23" t="s">
        <v>58</v>
      </c>
      <c r="E300" s="23" t="s">
        <v>58</v>
      </c>
      <c r="F300" s="35" cm="1">
        <f t="array" ref="F300">_xlfn.IFS($G300=$G$5,F$5,$G300=$G$7,F$7,$G300=$G$10,F$10,$G300=$G$13,F$13,$G300=$G$14,F$14,$G300=$G$16,F$16,$G300=$G$17,F$17,$G300=$G$19,F$19,$G300=$G$20,F$20,$G300=$G$22,F$22,$G300=$G$23,F$23,$G300=$G$26,F$26,$G300=$G$29,F$29,$G300=$G$31,F$31,$G300=$G$34,F$34,$G300=$G$37,F$37,$G300=$G$107,F$107,$G300=$G$110,F$110,$G300=$G$140,F$140,$G300=$G$142,F$142,$G300=$G$408,F$408)</f>
        <v>8018</v>
      </c>
      <c r="G300" s="13" t="s">
        <v>63</v>
      </c>
      <c r="H300" s="51" cm="1">
        <f t="array" ref="H300">_xlfn.IFS($G300=$G$5,H$5,$G300=$G$7,H$7,$G300=$G$10,H$10,$G300=$G$13,H$13,$G300=$G$14,H$14,$G300=$G$16,H$16,$G300=$G$17,H$17,$G300=$G$19,H$19,$G300=$G$20,H$20,$G300=$G$22,H$22,$G300=$G$23,H$23,$G300=$G$26,H$26,$G300=$G$29,H$29,$G300=$G$31,H$31,$G300=$G$34,H$34,$G300=$G$37,H$37,$G300=$G$107,H$107,$G300=$G$110,H$110,$G300=$G$140,H$140,$G300=$G$142,H$142,$G300=$G$408,H$408)</f>
        <v>41.404924999999999</v>
      </c>
      <c r="I300" s="51" cm="1">
        <f t="array" ref="I300">_xlfn.IFS($G300=$G$5,I$5,$G300=$G$7,I$7,$G300=$G$10,I$10,$G300=$G$13,I$13,$G300=$G$14,I$14,$G300=$G$16,I$16,$G300=$G$17,I$17,$G300=$G$19,I$19,$G300=$G$20,I$20,$G300=$G$22,I$22,$G300=$G$23,I$23,$G300=$G$26,I$26,$G300=$G$29,I$29,$G300=$G$31,I$31,$G300=$G$34,I$34,$G300=$G$37,I$37,$G300=$G$107,I$107,$G300=$G$110,I$110,$G300=$G$140,I$140,$G300=$G$142,I$142,$G300=$G$408,I$408)</f>
        <v>2.1987909999999999</v>
      </c>
      <c r="J300" s="51" cm="1">
        <f t="array" ref="J300">_xlfn.IFS($G300=$G$5,J$5,$G300=$G$7,J$7,$G300=$G$10,J$10,$G300=$G$13,J$13,$G300=$G$14,J$14,$G300=$G$16,J$16,$G300=$G$17,J$17,$G300=$G$19,J$19,$G300=$G$20,J$20,$G300=$G$22,J$22,$G300=$G$23,J$23,$G300=$G$26,J$26,$G300=$G$29,J$29,$G300=$G$31,J$31,$G300=$G$34,J$34,$G300=$G$37,J$37,$G300=$G$107,J$107,$G300=$G$110,J$110,$G300=$G$140,J$140,$G300=$G$142,J$142,$G300=$G$408,J$408)</f>
        <v>4</v>
      </c>
      <c r="K300" s="13" t="str" cm="1">
        <f t="array" ref="K300">_xlfn.IFS($G300=$G$5,K$5,$G300=$G$7,K$7,$G300=$G$10,K$10,$G300=$G$13,K$13,$G300=$G$14,K$14,$G300=$G$16,K$16,$G300=$G$17,K$17,$G300=$G$19,K$19,$G300=$G$20,K$20,$G300=$G$22,K$22,$G300=$G$23,K$23,$G300=$G$26,K$26,$G300=$G$29,K$29,$G300=$G$31,K$31,$G300=$G$34,K$34,$G300=$G$37,K$37,$G300=$G$107,K$107,$G300=$G$110,K$110,$G300=$G$140,K$140,$G300=$G$142,K$142,$G300=$G$408,K$408)</f>
        <v>BG sentinel + BG lure7</v>
      </c>
      <c r="O300" s="13" t="str">
        <f t="shared" si="30"/>
        <v>A_SP_BCN_4_220823</v>
      </c>
      <c r="P300" s="27">
        <v>44796</v>
      </c>
      <c r="Q300" s="29">
        <v>0.80555555555555547</v>
      </c>
      <c r="R300" s="33"/>
      <c r="S300" s="27">
        <v>44803</v>
      </c>
      <c r="T300" s="29">
        <v>0.80902777777777779</v>
      </c>
      <c r="V300" s="13" t="s">
        <v>86</v>
      </c>
      <c r="X300" s="13">
        <f t="shared" si="26"/>
        <v>7</v>
      </c>
      <c r="Z300" s="13" t="s">
        <v>60</v>
      </c>
      <c r="AA300" s="13">
        <f t="shared" si="29"/>
        <v>16</v>
      </c>
      <c r="AB300" s="13" t="str">
        <f t="shared" si="27"/>
        <v>Adult</v>
      </c>
      <c r="AC300" s="13">
        <v>11</v>
      </c>
      <c r="AD300" s="13">
        <v>5</v>
      </c>
      <c r="AE300" s="13" t="str">
        <f t="shared" si="28"/>
        <v>Morphological</v>
      </c>
      <c r="AF300" s="2">
        <v>4</v>
      </c>
    </row>
    <row r="301" spans="1:32" x14ac:dyDescent="0.25">
      <c r="A301" s="13">
        <v>297</v>
      </c>
      <c r="B301" s="23" t="s">
        <v>56</v>
      </c>
      <c r="C301" s="23" t="s">
        <v>57</v>
      </c>
      <c r="D301" s="23" t="s">
        <v>58</v>
      </c>
      <c r="E301" s="23" t="s">
        <v>58</v>
      </c>
      <c r="F301" s="35" cm="1">
        <f t="array" ref="F301">_xlfn.IFS($G301=$G$5,F$5,$G301=$G$7,F$7,$G301=$G$10,F$10,$G301=$G$13,F$13,$G301=$G$14,F$14,$G301=$G$16,F$16,$G301=$G$17,F$17,$G301=$G$19,F$19,$G301=$G$20,F$20,$G301=$G$22,F$22,$G301=$G$23,F$23,$G301=$G$26,F$26,$G301=$G$29,F$29,$G301=$G$31,F$31,$G301=$G$34,F$34,$G301=$G$37,F$37,$G301=$G$107,F$107,$G301=$G$110,F$110,$G301=$G$140,F$140,$G301=$G$142,F$142,$G301=$G$408,F$408)</f>
        <v>8019</v>
      </c>
      <c r="G301" s="13" t="s">
        <v>64</v>
      </c>
      <c r="H301" s="51" cm="1">
        <f t="array" ref="H301">_xlfn.IFS($G301=$G$5,H$5,$G301=$G$7,H$7,$G301=$G$10,H$10,$G301=$G$13,H$13,$G301=$G$14,H$14,$G301=$G$16,H$16,$G301=$G$17,H$17,$G301=$G$19,H$19,$G301=$G$20,H$20,$G301=$G$22,H$22,$G301=$G$23,H$23,$G301=$G$26,H$26,$G301=$G$29,H$29,$G301=$G$31,H$31,$G301=$G$34,H$34,$G301=$G$37,H$37,$G301=$G$107,H$107,$G301=$G$110,H$110,$G301=$G$140,H$140,$G301=$G$142,H$142,$G301=$G$408,H$408)</f>
        <v>41.410684000000003</v>
      </c>
      <c r="I301" s="51" cm="1">
        <f t="array" ref="I301">_xlfn.IFS($G301=$G$5,I$5,$G301=$G$7,I$7,$G301=$G$10,I$10,$G301=$G$13,I$13,$G301=$G$14,I$14,$G301=$G$16,I$16,$G301=$G$17,I$17,$G301=$G$19,I$19,$G301=$G$20,I$20,$G301=$G$22,I$22,$G301=$G$23,I$23,$G301=$G$26,I$26,$G301=$G$29,I$29,$G301=$G$31,I$31,$G301=$G$34,I$34,$G301=$G$37,I$37,$G301=$G$107,I$107,$G301=$G$110,I$110,$G301=$G$140,I$140,$G301=$G$142,I$142,$G301=$G$408,I$408)</f>
        <v>2.2208019999999999</v>
      </c>
      <c r="J301" s="51" cm="1">
        <f t="array" ref="J301">_xlfn.IFS($G301=$G$5,J$5,$G301=$G$7,J$7,$G301=$G$10,J$10,$G301=$G$13,J$13,$G301=$G$14,J$14,$G301=$G$16,J$16,$G301=$G$17,J$17,$G301=$G$19,J$19,$G301=$G$20,J$20,$G301=$G$22,J$22,$G301=$G$23,J$23,$G301=$G$26,J$26,$G301=$G$29,J$29,$G301=$G$31,J$31,$G301=$G$34,J$34,$G301=$G$37,J$37,$G301=$G$107,J$107,$G301=$G$110,J$110,$G301=$G$140,J$140,$G301=$G$142,J$142,$G301=$G$408,J$408)</f>
        <v>18</v>
      </c>
      <c r="K301" s="13" t="str" cm="1">
        <f t="array" ref="K301">_xlfn.IFS($G301=$G$5,K$5,$G301=$G$7,K$7,$G301=$G$10,K$10,$G301=$G$13,K$13,$G301=$G$14,K$14,$G301=$G$16,K$16,$G301=$G$17,K$17,$G301=$G$19,K$19,$G301=$G$20,K$20,$G301=$G$22,K$22,$G301=$G$23,K$23,$G301=$G$26,K$26,$G301=$G$29,K$29,$G301=$G$31,K$31,$G301=$G$34,K$34,$G301=$G$37,K$37,$G301=$G$107,K$107,$G301=$G$110,K$110,$G301=$G$140,K$140,$G301=$G$142,K$142,$G301=$G$408,K$408)</f>
        <v>BG sentinel + BG lure7</v>
      </c>
      <c r="O301" s="13" t="str">
        <f t="shared" si="30"/>
        <v>A_SP_BCN_5_220823</v>
      </c>
      <c r="P301" s="27">
        <v>44796</v>
      </c>
      <c r="Q301" s="29">
        <v>0.78472222222222221</v>
      </c>
      <c r="R301" s="33"/>
      <c r="S301" s="27">
        <v>44803</v>
      </c>
      <c r="T301" s="29">
        <v>0.79513888888888884</v>
      </c>
      <c r="V301" s="13" t="s">
        <v>86</v>
      </c>
      <c r="X301" s="13">
        <f t="shared" si="26"/>
        <v>7</v>
      </c>
      <c r="Z301" s="13" t="s">
        <v>60</v>
      </c>
      <c r="AA301" s="13">
        <f t="shared" si="29"/>
        <v>1</v>
      </c>
      <c r="AB301" s="13" t="str">
        <f t="shared" si="27"/>
        <v>Adult</v>
      </c>
      <c r="AC301" s="13">
        <v>1</v>
      </c>
      <c r="AD301" s="13">
        <v>0</v>
      </c>
      <c r="AE301" s="13" t="str">
        <f t="shared" si="28"/>
        <v>Morphological</v>
      </c>
      <c r="AF301" s="2">
        <v>4</v>
      </c>
    </row>
    <row r="302" spans="1:32" x14ac:dyDescent="0.25">
      <c r="A302" s="13">
        <v>298</v>
      </c>
      <c r="B302" s="23" t="s">
        <v>56</v>
      </c>
      <c r="C302" s="23" t="s">
        <v>57</v>
      </c>
      <c r="D302" s="23" t="s">
        <v>58</v>
      </c>
      <c r="E302" s="23" t="s">
        <v>58</v>
      </c>
      <c r="F302" s="35" cm="1">
        <f t="array" ref="F302">_xlfn.IFS($G302=$G$5,F$5,$G302=$G$7,F$7,$G302=$G$10,F$10,$G302=$G$13,F$13,$G302=$G$14,F$14,$G302=$G$16,F$16,$G302=$G$17,F$17,$G302=$G$19,F$19,$G302=$G$20,F$20,$G302=$G$22,F$22,$G302=$G$23,F$23,$G302=$G$26,F$26,$G302=$G$29,F$29,$G302=$G$31,F$31,$G302=$G$34,F$34,$G302=$G$37,F$37,$G302=$G$107,F$107,$G302=$G$110,F$110,$G302=$G$140,F$140,$G302=$G$142,F$142,$G302=$G$408,F$408)</f>
        <v>8019</v>
      </c>
      <c r="G302" s="13" t="s">
        <v>64</v>
      </c>
      <c r="H302" s="51" cm="1">
        <f t="array" ref="H302">_xlfn.IFS($G302=$G$5,H$5,$G302=$G$7,H$7,$G302=$G$10,H$10,$G302=$G$13,H$13,$G302=$G$14,H$14,$G302=$G$16,H$16,$G302=$G$17,H$17,$G302=$G$19,H$19,$G302=$G$20,H$20,$G302=$G$22,H$22,$G302=$G$23,H$23,$G302=$G$26,H$26,$G302=$G$29,H$29,$G302=$G$31,H$31,$G302=$G$34,H$34,$G302=$G$37,H$37,$G302=$G$107,H$107,$G302=$G$110,H$110,$G302=$G$140,H$140,$G302=$G$142,H$142,$G302=$G$408,H$408)</f>
        <v>41.410684000000003</v>
      </c>
      <c r="I302" s="51" cm="1">
        <f t="array" ref="I302">_xlfn.IFS($G302=$G$5,I$5,$G302=$G$7,I$7,$G302=$G$10,I$10,$G302=$G$13,I$13,$G302=$G$14,I$14,$G302=$G$16,I$16,$G302=$G$17,I$17,$G302=$G$19,I$19,$G302=$G$20,I$20,$G302=$G$22,I$22,$G302=$G$23,I$23,$G302=$G$26,I$26,$G302=$G$29,I$29,$G302=$G$31,I$31,$G302=$G$34,I$34,$G302=$G$37,I$37,$G302=$G$107,I$107,$G302=$G$110,I$110,$G302=$G$140,I$140,$G302=$G$142,I$142,$G302=$G$408,I$408)</f>
        <v>2.2208019999999999</v>
      </c>
      <c r="J302" s="51" cm="1">
        <f t="array" ref="J302">_xlfn.IFS($G302=$G$5,J$5,$G302=$G$7,J$7,$G302=$G$10,J$10,$G302=$G$13,J$13,$G302=$G$14,J$14,$G302=$G$16,J$16,$G302=$G$17,J$17,$G302=$G$19,J$19,$G302=$G$20,J$20,$G302=$G$22,J$22,$G302=$G$23,J$23,$G302=$G$26,J$26,$G302=$G$29,J$29,$G302=$G$31,J$31,$G302=$G$34,J$34,$G302=$G$37,J$37,$G302=$G$107,J$107,$G302=$G$110,J$110,$G302=$G$140,J$140,$G302=$G$142,J$142,$G302=$G$408,J$408)</f>
        <v>18</v>
      </c>
      <c r="K302" s="13" t="str" cm="1">
        <f t="array" ref="K302">_xlfn.IFS($G302=$G$5,K$5,$G302=$G$7,K$7,$G302=$G$10,K$10,$G302=$G$13,K$13,$G302=$G$14,K$14,$G302=$G$16,K$16,$G302=$G$17,K$17,$G302=$G$19,K$19,$G302=$G$20,K$20,$G302=$G$22,K$22,$G302=$G$23,K$23,$G302=$G$26,K$26,$G302=$G$29,K$29,$G302=$G$31,K$31,$G302=$G$34,K$34,$G302=$G$37,K$37,$G302=$G$107,K$107,$G302=$G$110,K$110,$G302=$G$140,K$140,$G302=$G$142,K$142,$G302=$G$408,K$408)</f>
        <v>BG sentinel + BG lure7</v>
      </c>
      <c r="O302" s="13" t="str">
        <f t="shared" si="30"/>
        <v>A_SP_BCN_5_220823</v>
      </c>
      <c r="P302" s="27">
        <v>44796</v>
      </c>
      <c r="Q302" s="29">
        <v>0.78472222222222221</v>
      </c>
      <c r="R302" s="33"/>
      <c r="S302" s="27">
        <v>44803</v>
      </c>
      <c r="T302" s="29">
        <v>0.79513888888888884</v>
      </c>
      <c r="V302" s="13" t="s">
        <v>86</v>
      </c>
      <c r="X302" s="13">
        <f t="shared" si="26"/>
        <v>7</v>
      </c>
      <c r="Z302" s="13" t="s">
        <v>164</v>
      </c>
      <c r="AA302" s="13">
        <f t="shared" si="29"/>
        <v>3</v>
      </c>
      <c r="AB302" s="13" t="str">
        <f t="shared" si="27"/>
        <v>Adult</v>
      </c>
      <c r="AC302" s="13">
        <v>3</v>
      </c>
      <c r="AD302" s="13">
        <v>0</v>
      </c>
      <c r="AE302" s="13" t="str">
        <f t="shared" si="28"/>
        <v>Morphological</v>
      </c>
      <c r="AF302" s="2">
        <v>4</v>
      </c>
    </row>
    <row r="303" spans="1:32" x14ac:dyDescent="0.25">
      <c r="A303" s="13">
        <v>299</v>
      </c>
      <c r="B303" s="23" t="s">
        <v>56</v>
      </c>
      <c r="C303" s="23" t="s">
        <v>57</v>
      </c>
      <c r="D303" s="23" t="s">
        <v>58</v>
      </c>
      <c r="E303" s="23" t="s">
        <v>58</v>
      </c>
      <c r="F303" s="35" cm="1">
        <f t="array" ref="F303">_xlfn.IFS($G303=$G$5,F$5,$G303=$G$7,F$7,$G303=$G$10,F$10,$G303=$G$13,F$13,$G303=$G$14,F$14,$G303=$G$16,F$16,$G303=$G$17,F$17,$G303=$G$19,F$19,$G303=$G$20,F$20,$G303=$G$22,F$22,$G303=$G$23,F$23,$G303=$G$26,F$26,$G303=$G$29,F$29,$G303=$G$31,F$31,$G303=$G$34,F$34,$G303=$G$37,F$37,$G303=$G$107,F$107,$G303=$G$110,F$110,$G303=$G$140,F$140,$G303=$G$142,F$142,$G303=$G$408,F$408)</f>
        <v>8002</v>
      </c>
      <c r="G303" s="13" t="s">
        <v>65</v>
      </c>
      <c r="H303" s="51" cm="1">
        <f t="array" ref="H303">_xlfn.IFS($G303=$G$5,H$5,$G303=$G$7,H$7,$G303=$G$10,H$10,$G303=$G$13,H$13,$G303=$G$14,H$14,$G303=$G$16,H$16,$G303=$G$17,H$17,$G303=$G$19,H$19,$G303=$G$20,H$20,$G303=$G$22,H$22,$G303=$G$23,H$23,$G303=$G$26,H$26,$G303=$G$29,H$29,$G303=$G$31,H$31,$G303=$G$34,H$34,$G303=$G$37,H$37,$G303=$G$107,H$107,$G303=$G$110,H$110,$G303=$G$140,H$140,$G303=$G$142,H$142,$G303=$G$408,H$408)</f>
        <v>41.382339999999999</v>
      </c>
      <c r="I303" s="51" cm="1">
        <f t="array" ref="I303">_xlfn.IFS($G303=$G$5,I$5,$G303=$G$7,I$7,$G303=$G$10,I$10,$G303=$G$13,I$13,$G303=$G$14,I$14,$G303=$G$16,I$16,$G303=$G$17,I$17,$G303=$G$19,I$19,$G303=$G$20,I$20,$G303=$G$22,I$22,$G303=$G$23,I$23,$G303=$G$26,I$26,$G303=$G$29,I$29,$G303=$G$31,I$31,$G303=$G$34,I$34,$G303=$G$37,I$37,$G303=$G$107,I$107,$G303=$G$110,I$110,$G303=$G$140,I$140,$G303=$G$142,I$142,$G303=$G$408,I$408)</f>
        <v>2.1714790000000002</v>
      </c>
      <c r="J303" s="51" cm="1">
        <f t="array" ref="J303">_xlfn.IFS($G303=$G$5,J$5,$G303=$G$7,J$7,$G303=$G$10,J$10,$G303=$G$13,J$13,$G303=$G$14,J$14,$G303=$G$16,J$16,$G303=$G$17,J$17,$G303=$G$19,J$19,$G303=$G$20,J$20,$G303=$G$22,J$22,$G303=$G$23,J$23,$G303=$G$26,J$26,$G303=$G$29,J$29,$G303=$G$31,J$31,$G303=$G$34,J$34,$G303=$G$37,J$37,$G303=$G$107,J$107,$G303=$G$110,J$110,$G303=$G$140,J$140,$G303=$G$142,J$142,$G303=$G$408,J$408)</f>
        <v>19</v>
      </c>
      <c r="K303" s="13" t="str" cm="1">
        <f t="array" ref="K303">_xlfn.IFS($G303=$G$5,K$5,$G303=$G$7,K$7,$G303=$G$10,K$10,$G303=$G$13,K$13,$G303=$G$14,K$14,$G303=$G$16,K$16,$G303=$G$17,K$17,$G303=$G$19,K$19,$G303=$G$20,K$20,$G303=$G$22,K$22,$G303=$G$23,K$23,$G303=$G$26,K$26,$G303=$G$29,K$29,$G303=$G$31,K$31,$G303=$G$34,K$34,$G303=$G$37,K$37,$G303=$G$107,K$107,$G303=$G$110,K$110,$G303=$G$140,K$140,$G303=$G$142,K$142,$G303=$G$408,K$408)</f>
        <v>BG sentinel + BG lure7</v>
      </c>
      <c r="O303" s="13" t="str">
        <f t="shared" si="30"/>
        <v>A_SP_BCN_6_220823</v>
      </c>
      <c r="P303" s="27">
        <v>44796</v>
      </c>
      <c r="Q303" s="29">
        <v>0.82638888888888884</v>
      </c>
      <c r="R303" s="33"/>
      <c r="S303" s="27">
        <v>44803</v>
      </c>
      <c r="T303" s="29">
        <v>0.84027777777777779</v>
      </c>
      <c r="V303" s="13" t="s">
        <v>86</v>
      </c>
      <c r="X303" s="13">
        <f t="shared" si="26"/>
        <v>7</v>
      </c>
      <c r="Z303" s="13" t="s">
        <v>60</v>
      </c>
      <c r="AA303" s="13">
        <f t="shared" si="29"/>
        <v>1</v>
      </c>
      <c r="AB303" s="13" t="str">
        <f t="shared" si="27"/>
        <v>Adult</v>
      </c>
      <c r="AC303" s="13">
        <v>1</v>
      </c>
      <c r="AD303" s="13">
        <v>0</v>
      </c>
      <c r="AE303" s="13" t="str">
        <f t="shared" si="28"/>
        <v>Morphological</v>
      </c>
      <c r="AF303" s="2">
        <v>4</v>
      </c>
    </row>
    <row r="304" spans="1:32" x14ac:dyDescent="0.25">
      <c r="A304" s="13">
        <v>300</v>
      </c>
      <c r="B304" s="23" t="s">
        <v>56</v>
      </c>
      <c r="C304" s="23" t="s">
        <v>57</v>
      </c>
      <c r="D304" s="23" t="s">
        <v>58</v>
      </c>
      <c r="E304" s="23" t="s">
        <v>58</v>
      </c>
      <c r="F304" s="35" cm="1">
        <f t="array" ref="F304">_xlfn.IFS($G304=$G$5,F$5,$G304=$G$7,F$7,$G304=$G$10,F$10,$G304=$G$13,F$13,$G304=$G$14,F$14,$G304=$G$16,F$16,$G304=$G$17,F$17,$G304=$G$19,F$19,$G304=$G$20,F$20,$G304=$G$22,F$22,$G304=$G$23,F$23,$G304=$G$26,F$26,$G304=$G$29,F$29,$G304=$G$31,F$31,$G304=$G$34,F$34,$G304=$G$37,F$37,$G304=$G$107,F$107,$G304=$G$110,F$110,$G304=$G$140,F$140,$G304=$G$142,F$142,$G304=$G$408,F$408)</f>
        <v>8040</v>
      </c>
      <c r="G304" s="13" t="s">
        <v>68</v>
      </c>
      <c r="H304" s="51" cm="1">
        <f t="array" ref="H304">_xlfn.IFS($G304=$G$5,H$5,$G304=$G$7,H$7,$G304=$G$10,H$10,$G304=$G$13,H$13,$G304=$G$14,H$14,$G304=$G$16,H$16,$G304=$G$17,H$17,$G304=$G$19,H$19,$G304=$G$20,H$20,$G304=$G$22,H$22,$G304=$G$23,H$23,$G304=$G$26,H$26,$G304=$G$29,H$29,$G304=$G$31,H$31,$G304=$G$34,H$34,$G304=$G$37,H$37,$G304=$G$107,H$107,$G304=$G$110,H$110,$G304=$G$140,H$140,$G304=$G$142,H$142,$G304=$G$408,H$408)</f>
        <v>41.343685000000001</v>
      </c>
      <c r="I304" s="51" cm="1">
        <f t="array" ref="I304">_xlfn.IFS($G304=$G$5,I$5,$G304=$G$7,I$7,$G304=$G$10,I$10,$G304=$G$13,I$13,$G304=$G$14,I$14,$G304=$G$16,I$16,$G304=$G$17,I$17,$G304=$G$19,I$19,$G304=$G$20,I$20,$G304=$G$22,I$22,$G304=$G$23,I$23,$G304=$G$26,I$26,$G304=$G$29,I$29,$G304=$G$31,I$31,$G304=$G$34,I$34,$G304=$G$37,I$37,$G304=$G$107,I$107,$G304=$G$110,I$110,$G304=$G$140,I$140,$G304=$G$142,I$142,$G304=$G$408,I$408)</f>
        <v>2.1441490000000001</v>
      </c>
      <c r="J304" s="51" cm="1">
        <f t="array" ref="J304">_xlfn.IFS($G304=$G$5,J$5,$G304=$G$7,J$7,$G304=$G$10,J$10,$G304=$G$13,J$13,$G304=$G$14,J$14,$G304=$G$16,J$16,$G304=$G$17,J$17,$G304=$G$19,J$19,$G304=$G$20,J$20,$G304=$G$22,J$22,$G304=$G$23,J$23,$G304=$G$26,J$26,$G304=$G$29,J$29,$G304=$G$31,J$31,$G304=$G$34,J$34,$G304=$G$37,J$37,$G304=$G$107,J$107,$G304=$G$110,J$110,$G304=$G$140,J$140,$G304=$G$142,J$142,$G304=$G$408,J$408)</f>
        <v>4</v>
      </c>
      <c r="K304" s="13" t="str" cm="1">
        <f t="array" ref="K304">_xlfn.IFS($G304=$G$5,K$5,$G304=$G$7,K$7,$G304=$G$10,K$10,$G304=$G$13,K$13,$G304=$G$14,K$14,$G304=$G$16,K$16,$G304=$G$17,K$17,$G304=$G$19,K$19,$G304=$G$20,K$20,$G304=$G$22,K$22,$G304=$G$23,K$23,$G304=$G$26,K$26,$G304=$G$29,K$29,$G304=$G$31,K$31,$G304=$G$34,K$34,$G304=$G$37,K$37,$G304=$G$107,K$107,$G304=$G$110,K$110,$G304=$G$140,K$140,$G304=$G$142,K$142,$G304=$G$408,K$408)</f>
        <v>BG sentinel + BG lure7</v>
      </c>
      <c r="O304" s="13" t="str">
        <f t="shared" si="30"/>
        <v>A_SP_BCN_10_220823</v>
      </c>
      <c r="P304" s="27">
        <v>44796</v>
      </c>
      <c r="Q304" s="29">
        <v>0.625</v>
      </c>
      <c r="R304" s="33"/>
      <c r="S304" s="27">
        <v>44803</v>
      </c>
      <c r="T304" s="29">
        <v>0.57986111111111105</v>
      </c>
      <c r="V304" s="13" t="s">
        <v>86</v>
      </c>
      <c r="X304" s="13">
        <f t="shared" si="26"/>
        <v>7</v>
      </c>
      <c r="Z304" s="13" t="s">
        <v>60</v>
      </c>
      <c r="AA304" s="13">
        <f t="shared" si="29"/>
        <v>27</v>
      </c>
      <c r="AB304" s="13" t="str">
        <f t="shared" si="27"/>
        <v>Adult</v>
      </c>
      <c r="AC304" s="13">
        <v>18</v>
      </c>
      <c r="AD304" s="13">
        <v>9</v>
      </c>
      <c r="AE304" s="13" t="str">
        <f t="shared" si="28"/>
        <v>Morphological</v>
      </c>
      <c r="AF304" s="2">
        <v>4</v>
      </c>
    </row>
    <row r="305" spans="1:32" x14ac:dyDescent="0.25">
      <c r="A305" s="13">
        <v>301</v>
      </c>
      <c r="B305" s="23" t="s">
        <v>56</v>
      </c>
      <c r="C305" s="23" t="s">
        <v>57</v>
      </c>
      <c r="D305" s="23" t="s">
        <v>58</v>
      </c>
      <c r="E305" s="23" t="s">
        <v>58</v>
      </c>
      <c r="F305" s="35" cm="1">
        <f t="array" ref="F305">_xlfn.IFS($G305=$G$5,F$5,$G305=$G$7,F$7,$G305=$G$10,F$10,$G305=$G$13,F$13,$G305=$G$14,F$14,$G305=$G$16,F$16,$G305=$G$17,F$17,$G305=$G$19,F$19,$G305=$G$20,F$20,$G305=$G$22,F$22,$G305=$G$23,F$23,$G305=$G$26,F$26,$G305=$G$29,F$29,$G305=$G$31,F$31,$G305=$G$34,F$34,$G305=$G$37,F$37,$G305=$G$107,F$107,$G305=$G$110,F$110,$G305=$G$140,F$140,$G305=$G$142,F$142,$G305=$G$408,F$408)</f>
        <v>8040</v>
      </c>
      <c r="G305" s="13" t="s">
        <v>68</v>
      </c>
      <c r="H305" s="51" cm="1">
        <f t="array" ref="H305">_xlfn.IFS($G305=$G$5,H$5,$G305=$G$7,H$7,$G305=$G$10,H$10,$G305=$G$13,H$13,$G305=$G$14,H$14,$G305=$G$16,H$16,$G305=$G$17,H$17,$G305=$G$19,H$19,$G305=$G$20,H$20,$G305=$G$22,H$22,$G305=$G$23,H$23,$G305=$G$26,H$26,$G305=$G$29,H$29,$G305=$G$31,H$31,$G305=$G$34,H$34,$G305=$G$37,H$37,$G305=$G$107,H$107,$G305=$G$110,H$110,$G305=$G$140,H$140,$G305=$G$142,H$142,$G305=$G$408,H$408)</f>
        <v>41.343685000000001</v>
      </c>
      <c r="I305" s="51" cm="1">
        <f t="array" ref="I305">_xlfn.IFS($G305=$G$5,I$5,$G305=$G$7,I$7,$G305=$G$10,I$10,$G305=$G$13,I$13,$G305=$G$14,I$14,$G305=$G$16,I$16,$G305=$G$17,I$17,$G305=$G$19,I$19,$G305=$G$20,I$20,$G305=$G$22,I$22,$G305=$G$23,I$23,$G305=$G$26,I$26,$G305=$G$29,I$29,$G305=$G$31,I$31,$G305=$G$34,I$34,$G305=$G$37,I$37,$G305=$G$107,I$107,$G305=$G$110,I$110,$G305=$G$140,I$140,$G305=$G$142,I$142,$G305=$G$408,I$408)</f>
        <v>2.1441490000000001</v>
      </c>
      <c r="J305" s="51" cm="1">
        <f t="array" ref="J305">_xlfn.IFS($G305=$G$5,J$5,$G305=$G$7,J$7,$G305=$G$10,J$10,$G305=$G$13,J$13,$G305=$G$14,J$14,$G305=$G$16,J$16,$G305=$G$17,J$17,$G305=$G$19,J$19,$G305=$G$20,J$20,$G305=$G$22,J$22,$G305=$G$23,J$23,$G305=$G$26,J$26,$G305=$G$29,J$29,$G305=$G$31,J$31,$G305=$G$34,J$34,$G305=$G$37,J$37,$G305=$G$107,J$107,$G305=$G$110,J$110,$G305=$G$140,J$140,$G305=$G$142,J$142,$G305=$G$408,J$408)</f>
        <v>4</v>
      </c>
      <c r="K305" s="13" t="str" cm="1">
        <f t="array" ref="K305">_xlfn.IFS($G305=$G$5,K$5,$G305=$G$7,K$7,$G305=$G$10,K$10,$G305=$G$13,K$13,$G305=$G$14,K$14,$G305=$G$16,K$16,$G305=$G$17,K$17,$G305=$G$19,K$19,$G305=$G$20,K$20,$G305=$G$22,K$22,$G305=$G$23,K$23,$G305=$G$26,K$26,$G305=$G$29,K$29,$G305=$G$31,K$31,$G305=$G$34,K$34,$G305=$G$37,K$37,$G305=$G$107,K$107,$G305=$G$110,K$110,$G305=$G$140,K$140,$G305=$G$142,K$142,$G305=$G$408,K$408)</f>
        <v>BG sentinel + BG lure7</v>
      </c>
      <c r="O305" s="13" t="str">
        <f t="shared" si="30"/>
        <v>A_SP_BCN_10_220823</v>
      </c>
      <c r="P305" s="27">
        <v>44796</v>
      </c>
      <c r="Q305" s="29">
        <v>0.625</v>
      </c>
      <c r="R305" s="33"/>
      <c r="S305" s="27">
        <v>44803</v>
      </c>
      <c r="T305" s="29">
        <v>0.57986111111111105</v>
      </c>
      <c r="V305" s="13" t="s">
        <v>86</v>
      </c>
      <c r="X305" s="13">
        <f t="shared" si="26"/>
        <v>7</v>
      </c>
      <c r="Z305" s="13" t="s">
        <v>164</v>
      </c>
      <c r="AA305" s="13">
        <f t="shared" si="29"/>
        <v>1</v>
      </c>
      <c r="AB305" s="13" t="str">
        <f t="shared" si="27"/>
        <v>Adult</v>
      </c>
      <c r="AC305" s="13">
        <v>0</v>
      </c>
      <c r="AD305" s="13">
        <v>1</v>
      </c>
      <c r="AE305" s="13" t="str">
        <f t="shared" si="28"/>
        <v>Morphological</v>
      </c>
      <c r="AF305" s="2">
        <v>4</v>
      </c>
    </row>
    <row r="306" spans="1:32" x14ac:dyDescent="0.25">
      <c r="A306" s="13">
        <v>302</v>
      </c>
      <c r="B306" s="23" t="s">
        <v>56</v>
      </c>
      <c r="C306" s="23" t="s">
        <v>57</v>
      </c>
      <c r="D306" s="23" t="s">
        <v>58</v>
      </c>
      <c r="E306" s="23" t="s">
        <v>58</v>
      </c>
      <c r="F306" s="35" cm="1">
        <f t="array" ref="F306">_xlfn.IFS($G306=$G$5,F$5,$G306=$G$7,F$7,$G306=$G$10,F$10,$G306=$G$13,F$13,$G306=$G$14,F$14,$G306=$G$16,F$16,$G306=$G$17,F$17,$G306=$G$19,F$19,$G306=$G$20,F$20,$G306=$G$22,F$22,$G306=$G$23,F$23,$G306=$G$26,F$26,$G306=$G$29,F$29,$G306=$G$31,F$31,$G306=$G$34,F$34,$G306=$G$37,F$37,$G306=$G$107,F$107,$G306=$G$110,F$110,$G306=$G$140,F$140,$G306=$G$142,F$142,$G306=$G$408,F$408)</f>
        <v>8038</v>
      </c>
      <c r="G306" s="13" t="s">
        <v>69</v>
      </c>
      <c r="H306" s="51" cm="1">
        <f t="array" ref="H306">_xlfn.IFS($G306=$G$5,H$5,$G306=$G$7,H$7,$G306=$G$10,H$10,$G306=$G$13,H$13,$G306=$G$14,H$14,$G306=$G$16,H$16,$G306=$G$17,H$17,$G306=$G$19,H$19,$G306=$G$20,H$20,$G306=$G$22,H$22,$G306=$G$23,H$23,$G306=$G$26,H$26,$G306=$G$29,H$29,$G306=$G$31,H$31,$G306=$G$34,H$34,$G306=$G$37,H$37,$G306=$G$107,H$107,$G306=$G$110,H$110,$G306=$G$140,H$140,$G306=$G$142,H$142,$G306=$G$408,H$408)</f>
        <v>41.363377999999997</v>
      </c>
      <c r="I306" s="51" cm="1">
        <f t="array" ref="I306">_xlfn.IFS($G306=$G$5,I$5,$G306=$G$7,I$7,$G306=$G$10,I$10,$G306=$G$13,I$13,$G306=$G$14,I$14,$G306=$G$16,I$16,$G306=$G$17,I$17,$G306=$G$19,I$19,$G306=$G$20,I$20,$G306=$G$22,I$22,$G306=$G$23,I$23,$G306=$G$26,I$26,$G306=$G$29,I$29,$G306=$G$31,I$31,$G306=$G$34,I$34,$G306=$G$37,I$37,$G306=$G$107,I$107,$G306=$G$110,I$110,$G306=$G$140,I$140,$G306=$G$142,I$142,$G306=$G$408,I$408)</f>
        <v>2.164879</v>
      </c>
      <c r="J306" s="51" cm="1">
        <f t="array" ref="J306">_xlfn.IFS($G306=$G$5,J$5,$G306=$G$7,J$7,$G306=$G$10,J$10,$G306=$G$13,J$13,$G306=$G$14,J$14,$G306=$G$16,J$16,$G306=$G$17,J$17,$G306=$G$19,J$19,$G306=$G$20,J$20,$G306=$G$22,J$22,$G306=$G$23,J$23,$G306=$G$26,J$26,$G306=$G$29,J$29,$G306=$G$31,J$31,$G306=$G$34,J$34,$G306=$G$37,J$37,$G306=$G$107,J$107,$G306=$G$110,J$110,$G306=$G$140,J$140,$G306=$G$142,J$142,$G306=$G$408,J$408)</f>
        <v>185</v>
      </c>
      <c r="K306" s="13" t="str" cm="1">
        <f t="array" ref="K306">_xlfn.IFS($G306=$G$5,K$5,$G306=$G$7,K$7,$G306=$G$10,K$10,$G306=$G$13,K$13,$G306=$G$14,K$14,$G306=$G$16,K$16,$G306=$G$17,K$17,$G306=$G$19,K$19,$G306=$G$20,K$20,$G306=$G$22,K$22,$G306=$G$23,K$23,$G306=$G$26,K$26,$G306=$G$29,K$29,$G306=$G$31,K$31,$G306=$G$34,K$34,$G306=$G$37,K$37,$G306=$G$107,K$107,$G306=$G$110,K$110,$G306=$G$140,K$140,$G306=$G$142,K$142,$G306=$G$408,K$408)</f>
        <v>BG sentinel + BG lure7</v>
      </c>
      <c r="O306" s="13" t="str">
        <f t="shared" si="30"/>
        <v>A_SP_BCN_12_220823</v>
      </c>
      <c r="P306" s="27">
        <v>44796</v>
      </c>
      <c r="Q306" s="29">
        <v>0.65625</v>
      </c>
      <c r="R306" s="33"/>
      <c r="S306" s="27">
        <v>44803</v>
      </c>
      <c r="T306" s="29">
        <v>0.625</v>
      </c>
      <c r="V306" s="13" t="s">
        <v>86</v>
      </c>
      <c r="W306" s="15" t="s">
        <v>88</v>
      </c>
      <c r="X306" s="13">
        <f t="shared" si="26"/>
        <v>7</v>
      </c>
      <c r="Z306" s="13" t="s">
        <v>60</v>
      </c>
      <c r="AA306" s="13">
        <f t="shared" si="29"/>
        <v>8</v>
      </c>
      <c r="AB306" s="13" t="str">
        <f t="shared" si="27"/>
        <v>Adult</v>
      </c>
      <c r="AC306" s="13">
        <v>7</v>
      </c>
      <c r="AD306" s="13">
        <v>1</v>
      </c>
      <c r="AE306" s="13" t="str">
        <f t="shared" si="28"/>
        <v>Morphological</v>
      </c>
      <c r="AF306" s="2">
        <v>3</v>
      </c>
    </row>
    <row r="307" spans="1:32" x14ac:dyDescent="0.25">
      <c r="A307" s="13">
        <v>303</v>
      </c>
      <c r="B307" s="23" t="s">
        <v>56</v>
      </c>
      <c r="C307" s="23" t="s">
        <v>57</v>
      </c>
      <c r="D307" s="23" t="s">
        <v>58</v>
      </c>
      <c r="E307" s="23" t="s">
        <v>58</v>
      </c>
      <c r="F307" s="35" cm="1">
        <f t="array" ref="F307">_xlfn.IFS($G307=$G$5,F$5,$G307=$G$7,F$7,$G307=$G$10,F$10,$G307=$G$13,F$13,$G307=$G$14,F$14,$G307=$G$16,F$16,$G307=$G$17,F$17,$G307=$G$19,F$19,$G307=$G$20,F$20,$G307=$G$22,F$22,$G307=$G$23,F$23,$G307=$G$26,F$26,$G307=$G$29,F$29,$G307=$G$31,F$31,$G307=$G$34,F$34,$G307=$G$37,F$37,$G307=$G$107,F$107,$G307=$G$110,F$110,$G307=$G$140,F$140,$G307=$G$142,F$142,$G307=$G$408,F$408)</f>
        <v>8038</v>
      </c>
      <c r="G307" s="13" t="s">
        <v>69</v>
      </c>
      <c r="H307" s="51" cm="1">
        <f t="array" ref="H307">_xlfn.IFS($G307=$G$5,H$5,$G307=$G$7,H$7,$G307=$G$10,H$10,$G307=$G$13,H$13,$G307=$G$14,H$14,$G307=$G$16,H$16,$G307=$G$17,H$17,$G307=$G$19,H$19,$G307=$G$20,H$20,$G307=$G$22,H$22,$G307=$G$23,H$23,$G307=$G$26,H$26,$G307=$G$29,H$29,$G307=$G$31,H$31,$G307=$G$34,H$34,$G307=$G$37,H$37,$G307=$G$107,H$107,$G307=$G$110,H$110,$G307=$G$140,H$140,$G307=$G$142,H$142,$G307=$G$408,H$408)</f>
        <v>41.363377999999997</v>
      </c>
      <c r="I307" s="51" cm="1">
        <f t="array" ref="I307">_xlfn.IFS($G307=$G$5,I$5,$G307=$G$7,I$7,$G307=$G$10,I$10,$G307=$G$13,I$13,$G307=$G$14,I$14,$G307=$G$16,I$16,$G307=$G$17,I$17,$G307=$G$19,I$19,$G307=$G$20,I$20,$G307=$G$22,I$22,$G307=$G$23,I$23,$G307=$G$26,I$26,$G307=$G$29,I$29,$G307=$G$31,I$31,$G307=$G$34,I$34,$G307=$G$37,I$37,$G307=$G$107,I$107,$G307=$G$110,I$110,$G307=$G$140,I$140,$G307=$G$142,I$142,$G307=$G$408,I$408)</f>
        <v>2.164879</v>
      </c>
      <c r="J307" s="51" cm="1">
        <f t="array" ref="J307">_xlfn.IFS($G307=$G$5,J$5,$G307=$G$7,J$7,$G307=$G$10,J$10,$G307=$G$13,J$13,$G307=$G$14,J$14,$G307=$G$16,J$16,$G307=$G$17,J$17,$G307=$G$19,J$19,$G307=$G$20,J$20,$G307=$G$22,J$22,$G307=$G$23,J$23,$G307=$G$26,J$26,$G307=$G$29,J$29,$G307=$G$31,J$31,$G307=$G$34,J$34,$G307=$G$37,J$37,$G307=$G$107,J$107,$G307=$G$110,J$110,$G307=$G$140,J$140,$G307=$G$142,J$142,$G307=$G$408,J$408)</f>
        <v>185</v>
      </c>
      <c r="K307" s="13" t="str" cm="1">
        <f t="array" ref="K307">_xlfn.IFS($G307=$G$5,K$5,$G307=$G$7,K$7,$G307=$G$10,K$10,$G307=$G$13,K$13,$G307=$G$14,K$14,$G307=$G$16,K$16,$G307=$G$17,K$17,$G307=$G$19,K$19,$G307=$G$20,K$20,$G307=$G$22,K$22,$G307=$G$23,K$23,$G307=$G$26,K$26,$G307=$G$29,K$29,$G307=$G$31,K$31,$G307=$G$34,K$34,$G307=$G$37,K$37,$G307=$G$107,K$107,$G307=$G$110,K$110,$G307=$G$140,K$140,$G307=$G$142,K$142,$G307=$G$408,K$408)</f>
        <v>BG sentinel + BG lure7</v>
      </c>
      <c r="O307" s="13" t="str">
        <f t="shared" si="30"/>
        <v>A_SP_BCN_12_220823</v>
      </c>
      <c r="P307" s="27">
        <v>44796</v>
      </c>
      <c r="Q307" s="29">
        <v>0.65625</v>
      </c>
      <c r="R307" s="33"/>
      <c r="S307" s="27">
        <v>44803</v>
      </c>
      <c r="T307" s="29">
        <v>0.625</v>
      </c>
      <c r="V307" s="13" t="s">
        <v>86</v>
      </c>
      <c r="W307" s="15" t="s">
        <v>88</v>
      </c>
      <c r="X307" s="13">
        <f t="shared" si="26"/>
        <v>7</v>
      </c>
      <c r="Z307" s="13" t="s">
        <v>164</v>
      </c>
      <c r="AA307" s="13">
        <f t="shared" si="29"/>
        <v>19</v>
      </c>
      <c r="AB307" s="13" t="str">
        <f t="shared" si="27"/>
        <v>Adult</v>
      </c>
      <c r="AC307" s="13">
        <v>18</v>
      </c>
      <c r="AD307" s="13">
        <v>1</v>
      </c>
      <c r="AE307" s="13" t="str">
        <f t="shared" si="28"/>
        <v>Morphological</v>
      </c>
      <c r="AF307" s="2">
        <v>3</v>
      </c>
    </row>
    <row r="308" spans="1:32" x14ac:dyDescent="0.25">
      <c r="A308" s="13">
        <v>304</v>
      </c>
      <c r="B308" s="23" t="s">
        <v>56</v>
      </c>
      <c r="C308" s="23" t="s">
        <v>57</v>
      </c>
      <c r="D308" s="23" t="s">
        <v>58</v>
      </c>
      <c r="E308" s="23" t="s">
        <v>58</v>
      </c>
      <c r="F308" s="35" cm="1">
        <f t="array" ref="F308">_xlfn.IFS($G308=$G$5,F$5,$G308=$G$7,F$7,$G308=$G$10,F$10,$G308=$G$13,F$13,$G308=$G$14,F$14,$G308=$G$16,F$16,$G308=$G$17,F$17,$G308=$G$19,F$19,$G308=$G$20,F$20,$G308=$G$22,F$22,$G308=$G$23,F$23,$G308=$G$26,F$26,$G308=$G$29,F$29,$G308=$G$31,F$31,$G308=$G$34,F$34,$G308=$G$37,F$37,$G308=$G$107,F$107,$G308=$G$110,F$110,$G308=$G$140,F$140,$G308=$G$142,F$142,$G308=$G$408,F$408)</f>
        <v>8035</v>
      </c>
      <c r="G308" s="13" t="s">
        <v>70</v>
      </c>
      <c r="H308" s="51" cm="1">
        <f t="array" ref="H308">_xlfn.IFS($G308=$G$5,H$5,$G308=$G$7,H$7,$G308=$G$10,H$10,$G308=$G$13,H$13,$G308=$G$14,H$14,$G308=$G$16,H$16,$G308=$G$17,H$17,$G308=$G$19,H$19,$G308=$G$20,H$20,$G308=$G$22,H$22,$G308=$G$23,H$23,$G308=$G$26,H$26,$G308=$G$29,H$29,$G308=$G$31,H$31,$G308=$G$34,H$34,$G308=$G$37,H$37,$G308=$G$107,H$107,$G308=$G$110,H$110,$G308=$G$140,H$140,$G308=$G$142,H$142,$G308=$G$408,H$408)</f>
        <v>41.434472</v>
      </c>
      <c r="I308" s="51" cm="1">
        <f t="array" ref="I308">_xlfn.IFS($G308=$G$5,I$5,$G308=$G$7,I$7,$G308=$G$10,I$10,$G308=$G$13,I$13,$G308=$G$14,I$14,$G308=$G$16,I$16,$G308=$G$17,I$17,$G308=$G$19,I$19,$G308=$G$20,I$20,$G308=$G$22,I$22,$G308=$G$23,I$23,$G308=$G$26,I$26,$G308=$G$29,I$29,$G308=$G$31,I$31,$G308=$G$34,I$34,$G308=$G$37,I$37,$G308=$G$107,I$107,$G308=$G$110,I$110,$G308=$G$140,I$140,$G308=$G$142,I$142,$G308=$G$408,I$408)</f>
        <v>2.1315789999999999</v>
      </c>
      <c r="J308" s="51" cm="1">
        <f t="array" ref="J308">_xlfn.IFS($G308=$G$5,J$5,$G308=$G$7,J$7,$G308=$G$10,J$10,$G308=$G$13,J$13,$G308=$G$14,J$14,$G308=$G$16,J$16,$G308=$G$17,J$17,$G308=$G$19,J$19,$G308=$G$20,J$20,$G308=$G$22,J$22,$G308=$G$23,J$23,$G308=$G$26,J$26,$G308=$G$29,J$29,$G308=$G$31,J$31,$G308=$G$34,J$34,$G308=$G$37,J$37,$G308=$G$107,J$107,$G308=$G$110,J$110,$G308=$G$140,J$140,$G308=$G$142,J$142,$G308=$G$408,J$408)</f>
        <v>365</v>
      </c>
      <c r="K308" s="13" t="str" cm="1">
        <f t="array" ref="K308">_xlfn.IFS($G308=$G$5,K$5,$G308=$G$7,K$7,$G308=$G$10,K$10,$G308=$G$13,K$13,$G308=$G$14,K$14,$G308=$G$16,K$16,$G308=$G$17,K$17,$G308=$G$19,K$19,$G308=$G$20,K$20,$G308=$G$22,K$22,$G308=$G$23,K$23,$G308=$G$26,K$26,$G308=$G$29,K$29,$G308=$G$31,K$31,$G308=$G$34,K$34,$G308=$G$37,K$37,$G308=$G$107,K$107,$G308=$G$110,K$110,$G308=$G$140,K$140,$G308=$G$142,K$142,$G308=$G$408,K$408)</f>
        <v>BG sentinel + BG lure7</v>
      </c>
      <c r="O308" s="13" t="str">
        <f t="shared" si="30"/>
        <v>A_SP_BCN_13_220823</v>
      </c>
      <c r="P308" s="27">
        <v>44796</v>
      </c>
      <c r="Q308" s="29">
        <v>0.70138888888888884</v>
      </c>
      <c r="R308" s="33"/>
      <c r="S308" s="27">
        <v>44803</v>
      </c>
      <c r="T308" s="29">
        <v>0.74652777777777779</v>
      </c>
      <c r="V308" s="13" t="s">
        <v>86</v>
      </c>
      <c r="X308" s="13">
        <f t="shared" si="26"/>
        <v>7</v>
      </c>
      <c r="Z308" s="13" t="s">
        <v>164</v>
      </c>
      <c r="AA308" s="13">
        <f t="shared" si="29"/>
        <v>1</v>
      </c>
      <c r="AB308" s="13" t="str">
        <f t="shared" si="27"/>
        <v>Adult</v>
      </c>
      <c r="AC308" s="13">
        <v>1</v>
      </c>
      <c r="AD308" s="13">
        <v>0</v>
      </c>
      <c r="AE308" s="13" t="str">
        <f t="shared" si="28"/>
        <v>Morphological</v>
      </c>
      <c r="AF308" s="2">
        <v>4</v>
      </c>
    </row>
    <row r="309" spans="1:32" x14ac:dyDescent="0.25">
      <c r="A309" s="13">
        <v>305</v>
      </c>
      <c r="B309" s="23" t="s">
        <v>56</v>
      </c>
      <c r="C309" s="23" t="s">
        <v>57</v>
      </c>
      <c r="D309" s="23" t="s">
        <v>58</v>
      </c>
      <c r="E309" s="23" t="s">
        <v>58</v>
      </c>
      <c r="F309" s="35" cm="1">
        <f t="array" ref="F309">_xlfn.IFS($G309=$G$5,F$5,$G309=$G$7,F$7,$G309=$G$10,F$10,$G309=$G$13,F$13,$G309=$G$14,F$14,$G309=$G$16,F$16,$G309=$G$17,F$17,$G309=$G$19,F$19,$G309=$G$20,F$20,$G309=$G$22,F$22,$G309=$G$23,F$23,$G309=$G$26,F$26,$G309=$G$29,F$29,$G309=$G$31,F$31,$G309=$G$34,F$34,$G309=$G$37,F$37,$G309=$G$107,F$107,$G309=$G$110,F$110,$G309=$G$140,F$140,$G309=$G$142,F$142,$G309=$G$408,F$408)</f>
        <v>8017</v>
      </c>
      <c r="G309" s="13" t="s">
        <v>71</v>
      </c>
      <c r="H309" s="51" cm="1">
        <f t="array" ref="H309">_xlfn.IFS($G309=$G$5,H$5,$G309=$G$7,H$7,$G309=$G$10,H$10,$G309=$G$13,H$13,$G309=$G$14,H$14,$G309=$G$16,H$16,$G309=$G$17,H$17,$G309=$G$19,H$19,$G309=$G$20,H$20,$G309=$G$22,H$22,$G309=$G$23,H$23,$G309=$G$26,H$26,$G309=$G$29,H$29,$G309=$G$31,H$31,$G309=$G$34,H$34,$G309=$G$37,H$37,$G309=$G$107,H$107,$G309=$G$110,H$110,$G309=$G$140,H$140,$G309=$G$142,H$142,$G309=$G$408,H$408)</f>
        <v>41.428533999999999</v>
      </c>
      <c r="I309" s="51" cm="1">
        <f t="array" ref="I309">_xlfn.IFS($G309=$G$5,I$5,$G309=$G$7,I$7,$G309=$G$10,I$10,$G309=$G$13,I$13,$G309=$G$14,I$14,$G309=$G$16,I$16,$G309=$G$17,I$17,$G309=$G$19,I$19,$G309=$G$20,I$20,$G309=$G$22,I$22,$G309=$G$23,I$23,$G309=$G$26,I$26,$G309=$G$29,I$29,$G309=$G$31,I$31,$G309=$G$34,I$34,$G309=$G$37,I$37,$G309=$G$107,I$107,$G309=$G$110,I$110,$G309=$G$140,I$140,$G309=$G$142,I$142,$G309=$G$408,I$408)</f>
        <v>2.090954</v>
      </c>
      <c r="J309" s="51" cm="1">
        <f t="array" ref="J309">_xlfn.IFS($G309=$G$5,J$5,$G309=$G$7,J$7,$G309=$G$10,J$10,$G309=$G$13,J$13,$G309=$G$14,J$14,$G309=$G$16,J$16,$G309=$G$17,J$17,$G309=$G$19,J$19,$G309=$G$20,J$20,$G309=$G$22,J$22,$G309=$G$23,J$23,$G309=$G$26,J$26,$G309=$G$29,J$29,$G309=$G$31,J$31,$G309=$G$34,J$34,$G309=$G$37,J$37,$G309=$G$107,J$107,$G309=$G$110,J$110,$G309=$G$140,J$140,$G309=$G$142,J$142,$G309=$G$408,J$408)</f>
        <v>215</v>
      </c>
      <c r="K309" s="13" t="str" cm="1">
        <f t="array" ref="K309">_xlfn.IFS($G309=$G$5,K$5,$G309=$G$7,K$7,$G309=$G$10,K$10,$G309=$G$13,K$13,$G309=$G$14,K$14,$G309=$G$16,K$16,$G309=$G$17,K$17,$G309=$G$19,K$19,$G309=$G$20,K$20,$G309=$G$22,K$22,$G309=$G$23,K$23,$G309=$G$26,K$26,$G309=$G$29,K$29,$G309=$G$31,K$31,$G309=$G$34,K$34,$G309=$G$37,K$37,$G309=$G$107,K$107,$G309=$G$110,K$110,$G309=$G$140,K$140,$G309=$G$142,K$142,$G309=$G$408,K$408)</f>
        <v>BG sentinel + BG lure7</v>
      </c>
      <c r="O309" s="13" t="str">
        <f t="shared" si="30"/>
        <v>A_SP_BCN_14_220823</v>
      </c>
      <c r="P309" s="27">
        <v>44796</v>
      </c>
      <c r="Q309" s="29">
        <v>0.73611111111111116</v>
      </c>
      <c r="R309" s="33"/>
      <c r="S309" s="27">
        <v>44803</v>
      </c>
      <c r="T309" s="29">
        <v>0.72222222222222221</v>
      </c>
      <c r="V309" s="13" t="s">
        <v>86</v>
      </c>
      <c r="X309" s="13">
        <f t="shared" si="26"/>
        <v>7</v>
      </c>
      <c r="Z309" s="13" t="s">
        <v>60</v>
      </c>
      <c r="AA309" s="13">
        <f t="shared" si="29"/>
        <v>12</v>
      </c>
      <c r="AB309" s="13" t="str">
        <f t="shared" si="27"/>
        <v>Adult</v>
      </c>
      <c r="AC309" s="13">
        <v>10</v>
      </c>
      <c r="AD309" s="13">
        <v>2</v>
      </c>
      <c r="AE309" s="13" t="str">
        <f t="shared" si="28"/>
        <v>Morphological</v>
      </c>
      <c r="AF309" s="2">
        <v>4</v>
      </c>
    </row>
    <row r="310" spans="1:32" x14ac:dyDescent="0.25">
      <c r="A310" s="13">
        <v>306</v>
      </c>
      <c r="B310" s="23" t="s">
        <v>56</v>
      </c>
      <c r="C310" s="23" t="s">
        <v>57</v>
      </c>
      <c r="D310" s="23" t="s">
        <v>58</v>
      </c>
      <c r="E310" s="23" t="s">
        <v>58</v>
      </c>
      <c r="F310" s="35" cm="1">
        <f t="array" ref="F310">_xlfn.IFS($G310=$G$5,F$5,$G310=$G$7,F$7,$G310=$G$10,F$10,$G310=$G$13,F$13,$G310=$G$14,F$14,$G310=$G$16,F$16,$G310=$G$17,F$17,$G310=$G$19,F$19,$G310=$G$20,F$20,$G310=$G$22,F$22,$G310=$G$23,F$23,$G310=$G$26,F$26,$G310=$G$29,F$29,$G310=$G$31,F$31,$G310=$G$34,F$34,$G310=$G$37,F$37,$G310=$G$107,F$107,$G310=$G$110,F$110,$G310=$G$140,F$140,$G310=$G$142,F$142,$G310=$G$408,F$408)</f>
        <v>8017</v>
      </c>
      <c r="G310" s="13" t="s">
        <v>72</v>
      </c>
      <c r="H310" s="51" cm="1">
        <f t="array" ref="H310">_xlfn.IFS($G310=$G$5,H$5,$G310=$G$7,H$7,$G310=$G$10,H$10,$G310=$G$13,H$13,$G310=$G$14,H$14,$G310=$G$16,H$16,$G310=$G$17,H$17,$G310=$G$19,H$19,$G310=$G$20,H$20,$G310=$G$22,H$22,$G310=$G$23,H$23,$G310=$G$26,H$26,$G310=$G$29,H$29,$G310=$G$31,H$31,$G310=$G$34,H$34,$G310=$G$37,H$37,$G310=$G$107,H$107,$G310=$G$110,H$110,$G310=$G$140,H$140,$G310=$G$142,H$142,$G310=$G$408,H$408)</f>
        <v>41.419471000000001</v>
      </c>
      <c r="I310" s="51" cm="1">
        <f t="array" ref="I310">_xlfn.IFS($G310=$G$5,I$5,$G310=$G$7,I$7,$G310=$G$10,I$10,$G310=$G$13,I$13,$G310=$G$14,I$14,$G310=$G$16,I$16,$G310=$G$17,I$17,$G310=$G$19,I$19,$G310=$G$20,I$20,$G310=$G$22,I$22,$G310=$G$23,I$23,$G310=$G$26,I$26,$G310=$G$29,I$29,$G310=$G$31,I$31,$G310=$G$34,I$34,$G310=$G$37,I$37,$G310=$G$107,I$107,$G310=$G$110,I$110,$G310=$G$140,I$140,$G310=$G$142,I$142,$G310=$G$408,I$408)</f>
        <v>2.1010149999999999</v>
      </c>
      <c r="J310" s="51" cm="1">
        <f t="array" ref="J310">_xlfn.IFS($G310=$G$5,J$5,$G310=$G$7,J$7,$G310=$G$10,J$10,$G310=$G$13,J$13,$G310=$G$14,J$14,$G310=$G$16,J$16,$G310=$G$17,J$17,$G310=$G$19,J$19,$G310=$G$20,J$20,$G310=$G$22,J$22,$G310=$G$23,J$23,$G310=$G$26,J$26,$G310=$G$29,J$29,$G310=$G$31,J$31,$G310=$G$34,J$34,$G310=$G$37,J$37,$G310=$G$107,J$107,$G310=$G$110,J$110,$G310=$G$140,J$140,$G310=$G$142,J$142,$G310=$G$408,J$408)</f>
        <v>284</v>
      </c>
      <c r="K310" s="13" t="str" cm="1">
        <f t="array" ref="K310">_xlfn.IFS($G310=$G$5,K$5,$G310=$G$7,K$7,$G310=$G$10,K$10,$G310=$G$13,K$13,$G310=$G$14,K$14,$G310=$G$16,K$16,$G310=$G$17,K$17,$G310=$G$19,K$19,$G310=$G$20,K$20,$G310=$G$22,K$22,$G310=$G$23,K$23,$G310=$G$26,K$26,$G310=$G$29,K$29,$G310=$G$31,K$31,$G310=$G$34,K$34,$G310=$G$37,K$37,$G310=$G$107,K$107,$G310=$G$110,K$110,$G310=$G$140,K$140,$G310=$G$142,K$142,$G310=$G$408,K$408)</f>
        <v>BG sentinel + BG lure7</v>
      </c>
      <c r="N310" s="15" t="s">
        <v>171</v>
      </c>
      <c r="O310" s="13" t="str">
        <f t="shared" si="30"/>
        <v>A_SP_BCN_15_220823</v>
      </c>
      <c r="P310" s="27">
        <v>44796</v>
      </c>
      <c r="Q310" s="29">
        <v>0.72222222222222221</v>
      </c>
      <c r="R310" s="33"/>
      <c r="S310" s="27">
        <v>44803</v>
      </c>
      <c r="T310" s="29">
        <v>0.70138888888888884</v>
      </c>
      <c r="V310" s="13" t="s">
        <v>86</v>
      </c>
      <c r="X310" s="13">
        <f t="shared" si="26"/>
        <v>7</v>
      </c>
      <c r="Z310" s="13" t="s">
        <v>60</v>
      </c>
      <c r="AA310" s="13">
        <f t="shared" si="29"/>
        <v>6</v>
      </c>
      <c r="AB310" s="13" t="str">
        <f t="shared" si="27"/>
        <v>Adult</v>
      </c>
      <c r="AC310" s="13">
        <v>5</v>
      </c>
      <c r="AD310" s="13">
        <v>1</v>
      </c>
      <c r="AE310" s="13" t="str">
        <f t="shared" si="28"/>
        <v>Morphological</v>
      </c>
      <c r="AF310" s="2">
        <v>4</v>
      </c>
    </row>
    <row r="311" spans="1:32" x14ac:dyDescent="0.25">
      <c r="A311" s="13">
        <v>307</v>
      </c>
      <c r="B311" s="23" t="s">
        <v>56</v>
      </c>
      <c r="C311" s="23" t="s">
        <v>57</v>
      </c>
      <c r="D311" s="23" t="s">
        <v>58</v>
      </c>
      <c r="E311" s="23" t="s">
        <v>58</v>
      </c>
      <c r="F311" s="35" cm="1">
        <f t="array" ref="F311">_xlfn.IFS($G311=$G$5,F$5,$G311=$G$7,F$7,$G311=$G$10,F$10,$G311=$G$13,F$13,$G311=$G$14,F$14,$G311=$G$16,F$16,$G311=$G$17,F$17,$G311=$G$19,F$19,$G311=$G$20,F$20,$G311=$G$22,F$22,$G311=$G$23,F$23,$G311=$G$26,F$26,$G311=$G$29,F$29,$G311=$G$31,F$31,$G311=$G$34,F$34,$G311=$G$37,F$37,$G311=$G$107,F$107,$G311=$G$110,F$110,$G311=$G$140,F$140,$G311=$G$142,F$142,$G311=$G$408,F$408)</f>
        <v>8038</v>
      </c>
      <c r="G311" s="13" t="s">
        <v>76</v>
      </c>
      <c r="H311" s="51" cm="1">
        <f t="array" ref="H311">_xlfn.IFS($G311=$G$5,H$5,$G311=$G$7,H$7,$G311=$G$10,H$10,$G311=$G$13,H$13,$G311=$G$14,H$14,$G311=$G$16,H$16,$G311=$G$17,H$17,$G311=$G$19,H$19,$G311=$G$20,H$20,$G311=$G$22,H$22,$G311=$G$23,H$23,$G311=$G$26,H$26,$G311=$G$29,H$29,$G311=$G$31,H$31,$G311=$G$34,H$34,$G311=$G$37,H$37,$G311=$G$107,H$107,$G311=$G$110,H$110,$G311=$G$140,H$140,$G311=$G$142,H$142,$G311=$G$408,H$408)</f>
        <v>41.359864999999999</v>
      </c>
      <c r="I311" s="51" cm="1">
        <f t="array" ref="I311">_xlfn.IFS($G311=$G$5,I$5,$G311=$G$7,I$7,$G311=$G$10,I$10,$G311=$G$13,I$13,$G311=$G$14,I$14,$G311=$G$16,I$16,$G311=$G$17,I$17,$G311=$G$19,I$19,$G311=$G$20,I$20,$G311=$G$22,I$22,$G311=$G$23,I$23,$G311=$G$26,I$26,$G311=$G$29,I$29,$G311=$G$31,I$31,$G311=$G$34,I$34,$G311=$G$37,I$37,$G311=$G$107,I$107,$G311=$G$110,I$110,$G311=$G$140,I$140,$G311=$G$142,I$142,$G311=$G$408,I$408)</f>
        <v>2.1445430000000001</v>
      </c>
      <c r="J311" s="51" cm="1">
        <f t="array" ref="J311">_xlfn.IFS($G311=$G$5,J$5,$G311=$G$7,J$7,$G311=$G$10,J$10,$G311=$G$13,J$13,$G311=$G$14,J$14,$G311=$G$16,J$16,$G311=$G$17,J$17,$G311=$G$19,J$19,$G311=$G$20,J$20,$G311=$G$22,J$22,$G311=$G$23,J$23,$G311=$G$26,J$26,$G311=$G$29,J$29,$G311=$G$31,J$31,$G311=$G$34,J$34,$G311=$G$37,J$37,$G311=$G$107,J$107,$G311=$G$110,J$110,$G311=$G$140,J$140,$G311=$G$142,J$142,$G311=$G$408,J$408)</f>
        <v>11.4</v>
      </c>
      <c r="K311" s="13" t="str" cm="1">
        <f t="array" ref="K311">_xlfn.IFS($G311=$G$5,K$5,$G311=$G$7,K$7,$G311=$G$10,K$10,$G311=$G$13,K$13,$G311=$G$14,K$14,$G311=$G$16,K$16,$G311=$G$17,K$17,$G311=$G$19,K$19,$G311=$G$20,K$20,$G311=$G$22,K$22,$G311=$G$23,K$23,$G311=$G$26,K$26,$G311=$G$29,K$29,$G311=$G$31,K$31,$G311=$G$34,K$34,$G311=$G$37,K$37,$G311=$G$107,K$107,$G311=$G$110,K$110,$G311=$G$140,K$140,$G311=$G$142,K$142,$G311=$G$408,K$408)</f>
        <v>BG sentinel + BG lure7</v>
      </c>
      <c r="N311" s="15"/>
      <c r="O311" s="13" t="str">
        <f t="shared" si="30"/>
        <v>A_SP_BCN_19_220824</v>
      </c>
      <c r="P311" s="31">
        <v>44797</v>
      </c>
      <c r="Q311" s="29">
        <v>0.58333333333333337</v>
      </c>
      <c r="R311" s="33"/>
      <c r="S311" s="42">
        <v>44803</v>
      </c>
      <c r="T311" s="36">
        <v>0.59375</v>
      </c>
      <c r="U311" s="44"/>
      <c r="V311" s="44" t="s">
        <v>160</v>
      </c>
      <c r="W311" s="16" t="s">
        <v>183</v>
      </c>
      <c r="X311" s="13">
        <f t="shared" si="26"/>
        <v>6</v>
      </c>
      <c r="AB311" s="13" t="str">
        <f t="shared" si="27"/>
        <v/>
      </c>
      <c r="AE311" s="13" t="str">
        <f t="shared" si="28"/>
        <v/>
      </c>
      <c r="AF311" s="2">
        <v>1</v>
      </c>
    </row>
    <row r="312" spans="1:32" x14ac:dyDescent="0.25">
      <c r="A312" s="13">
        <v>308</v>
      </c>
      <c r="B312" s="23" t="s">
        <v>56</v>
      </c>
      <c r="C312" s="23" t="s">
        <v>57</v>
      </c>
      <c r="D312" s="23" t="s">
        <v>58</v>
      </c>
      <c r="E312" s="23" t="s">
        <v>58</v>
      </c>
      <c r="F312" s="35" cm="1">
        <f t="array" ref="F312">_xlfn.IFS($G312=$G$5,F$5,$G312=$G$7,F$7,$G312=$G$10,F$10,$G312=$G$13,F$13,$G312=$G$14,F$14,$G312=$G$16,F$16,$G312=$G$17,F$17,$G312=$G$19,F$19,$G312=$G$20,F$20,$G312=$G$22,F$22,$G312=$G$23,F$23,$G312=$G$26,F$26,$G312=$G$29,F$29,$G312=$G$31,F$31,$G312=$G$34,F$34,$G312=$G$37,F$37,$G312=$G$107,F$107,$G312=$G$110,F$110,$G312=$G$140,F$140,$G312=$G$142,F$142,$G312=$G$408,F$408)</f>
        <v>8017</v>
      </c>
      <c r="G312" s="13" t="s">
        <v>77</v>
      </c>
      <c r="H312" s="51" cm="1">
        <f t="array" ref="H312">_xlfn.IFS($G312=$G$5,H$5,$G312=$G$7,H$7,$G312=$G$10,H$10,$G312=$G$13,H$13,$G312=$G$14,H$14,$G312=$G$16,H$16,$G312=$G$17,H$17,$G312=$G$19,H$19,$G312=$G$20,H$20,$G312=$G$22,H$22,$G312=$G$23,H$23,$G312=$G$26,H$26,$G312=$G$29,H$29,$G312=$G$31,H$31,$G312=$G$34,H$34,$G312=$G$37,H$37,$G312=$G$107,H$107,$G312=$G$110,H$110,$G312=$G$140,H$140,$G312=$G$142,H$142,$G312=$G$408,H$408)</f>
        <v>41.430315999999998</v>
      </c>
      <c r="I312" s="51" cm="1">
        <f t="array" ref="I312">_xlfn.IFS($G312=$G$5,I$5,$G312=$G$7,I$7,$G312=$G$10,I$10,$G312=$G$13,I$13,$G312=$G$14,I$14,$G312=$G$16,I$16,$G312=$G$17,I$17,$G312=$G$19,I$19,$G312=$G$20,I$20,$G312=$G$22,I$22,$G312=$G$23,I$23,$G312=$G$26,I$26,$G312=$G$29,I$29,$G312=$G$31,I$31,$G312=$G$34,I$34,$G312=$G$37,I$37,$G312=$G$107,I$107,$G312=$G$110,I$110,$G312=$G$140,I$140,$G312=$G$142,I$142,$G312=$G$408,I$408)</f>
        <v>2.077556</v>
      </c>
      <c r="J312" s="51" cm="1">
        <f t="array" ref="J312">_xlfn.IFS($G312=$G$5,J$5,$G312=$G$7,J$7,$G312=$G$10,J$10,$G312=$G$13,J$13,$G312=$G$14,J$14,$G312=$G$16,J$16,$G312=$G$17,J$17,$G312=$G$19,J$19,$G312=$G$20,J$20,$G312=$G$22,J$22,$G312=$G$23,J$23,$G312=$G$26,J$26,$G312=$G$29,J$29,$G312=$G$31,J$31,$G312=$G$34,J$34,$G312=$G$37,J$37,$G312=$G$107,J$107,$G312=$G$110,J$110,$G312=$G$140,J$140,$G312=$G$142,J$142,$G312=$G$408,J$408)</f>
        <v>243.3</v>
      </c>
      <c r="K312" s="13" t="str" cm="1">
        <f t="array" ref="K312">_xlfn.IFS($G312=$G$5,K$5,$G312=$G$7,K$7,$G312=$G$10,K$10,$G312=$G$13,K$13,$G312=$G$14,K$14,$G312=$G$16,K$16,$G312=$G$17,K$17,$G312=$G$19,K$19,$G312=$G$20,K$20,$G312=$G$22,K$22,$G312=$G$23,K$23,$G312=$G$26,K$26,$G312=$G$29,K$29,$G312=$G$31,K$31,$G312=$G$34,K$34,$G312=$G$37,K$37,$G312=$G$107,K$107,$G312=$G$110,K$110,$G312=$G$140,K$140,$G312=$G$142,K$142,$G312=$G$408,K$408)</f>
        <v>BG sentinel + BG lure7</v>
      </c>
      <c r="O312" s="13" t="str">
        <f t="shared" si="30"/>
        <v>A_SP_BCN_22_220823</v>
      </c>
      <c r="P312" s="27">
        <v>44796</v>
      </c>
      <c r="Q312" s="29">
        <v>0.74305555555555547</v>
      </c>
      <c r="R312" s="33"/>
      <c r="S312" s="45">
        <v>44803</v>
      </c>
      <c r="T312" s="29">
        <v>0.71180555555555547</v>
      </c>
      <c r="U312" s="44"/>
      <c r="V312" s="44" t="s">
        <v>86</v>
      </c>
      <c r="W312" s="46"/>
      <c r="X312" s="13">
        <f t="shared" si="26"/>
        <v>7</v>
      </c>
      <c r="Z312" s="13" t="s">
        <v>60</v>
      </c>
      <c r="AA312" s="13">
        <f t="shared" ref="AA312:AA332" si="31">SUM(AC312:AD312)</f>
        <v>15</v>
      </c>
      <c r="AB312" s="13" t="str">
        <f t="shared" si="27"/>
        <v>Adult</v>
      </c>
      <c r="AC312" s="13">
        <v>12</v>
      </c>
      <c r="AD312" s="13">
        <v>3</v>
      </c>
      <c r="AE312" s="13" t="str">
        <f t="shared" si="28"/>
        <v>Morphological</v>
      </c>
      <c r="AF312" s="2">
        <v>4</v>
      </c>
    </row>
    <row r="313" spans="1:32" x14ac:dyDescent="0.25">
      <c r="A313" s="13">
        <v>309</v>
      </c>
      <c r="B313" s="23" t="s">
        <v>56</v>
      </c>
      <c r="C313" s="23" t="s">
        <v>57</v>
      </c>
      <c r="D313" s="23" t="s">
        <v>58</v>
      </c>
      <c r="E313" s="23" t="s">
        <v>58</v>
      </c>
      <c r="F313" s="35" cm="1">
        <f t="array" ref="F313">_xlfn.IFS($G313=$G$5,F$5,$G313=$G$7,F$7,$G313=$G$10,F$10,$G313=$G$13,F$13,$G313=$G$14,F$14,$G313=$G$16,F$16,$G313=$G$17,F$17,$G313=$G$19,F$19,$G313=$G$20,F$20,$G313=$G$22,F$22,$G313=$G$23,F$23,$G313=$G$26,F$26,$G313=$G$29,F$29,$G313=$G$31,F$31,$G313=$G$34,F$34,$G313=$G$37,F$37,$G313=$G$107,F$107,$G313=$G$110,F$110,$G313=$G$140,F$140,$G313=$G$142,F$142,$G313=$G$408,F$408)</f>
        <v>8017</v>
      </c>
      <c r="G313" s="13" t="s">
        <v>77</v>
      </c>
      <c r="H313" s="51" cm="1">
        <f t="array" ref="H313">_xlfn.IFS($G313=$G$5,H$5,$G313=$G$7,H$7,$G313=$G$10,H$10,$G313=$G$13,H$13,$G313=$G$14,H$14,$G313=$G$16,H$16,$G313=$G$17,H$17,$G313=$G$19,H$19,$G313=$G$20,H$20,$G313=$G$22,H$22,$G313=$G$23,H$23,$G313=$G$26,H$26,$G313=$G$29,H$29,$G313=$G$31,H$31,$G313=$G$34,H$34,$G313=$G$37,H$37,$G313=$G$107,H$107,$G313=$G$110,H$110,$G313=$G$140,H$140,$G313=$G$142,H$142,$G313=$G$408,H$408)</f>
        <v>41.430315999999998</v>
      </c>
      <c r="I313" s="51" cm="1">
        <f t="array" ref="I313">_xlfn.IFS($G313=$G$5,I$5,$G313=$G$7,I$7,$G313=$G$10,I$10,$G313=$G$13,I$13,$G313=$G$14,I$14,$G313=$G$16,I$16,$G313=$G$17,I$17,$G313=$G$19,I$19,$G313=$G$20,I$20,$G313=$G$22,I$22,$G313=$G$23,I$23,$G313=$G$26,I$26,$G313=$G$29,I$29,$G313=$G$31,I$31,$G313=$G$34,I$34,$G313=$G$37,I$37,$G313=$G$107,I$107,$G313=$G$110,I$110,$G313=$G$140,I$140,$G313=$G$142,I$142,$G313=$G$408,I$408)</f>
        <v>2.077556</v>
      </c>
      <c r="J313" s="51" cm="1">
        <f t="array" ref="J313">_xlfn.IFS($G313=$G$5,J$5,$G313=$G$7,J$7,$G313=$G$10,J$10,$G313=$G$13,J$13,$G313=$G$14,J$14,$G313=$G$16,J$16,$G313=$G$17,J$17,$G313=$G$19,J$19,$G313=$G$20,J$20,$G313=$G$22,J$22,$G313=$G$23,J$23,$G313=$G$26,J$26,$G313=$G$29,J$29,$G313=$G$31,J$31,$G313=$G$34,J$34,$G313=$G$37,J$37,$G313=$G$107,J$107,$G313=$G$110,J$110,$G313=$G$140,J$140,$G313=$G$142,J$142,$G313=$G$408,J$408)</f>
        <v>243.3</v>
      </c>
      <c r="K313" s="13" t="str" cm="1">
        <f t="array" ref="K313">_xlfn.IFS($G313=$G$5,K$5,$G313=$G$7,K$7,$G313=$G$10,K$10,$G313=$G$13,K$13,$G313=$G$14,K$14,$G313=$G$16,K$16,$G313=$G$17,K$17,$G313=$G$19,K$19,$G313=$G$20,K$20,$G313=$G$22,K$22,$G313=$G$23,K$23,$G313=$G$26,K$26,$G313=$G$29,K$29,$G313=$G$31,K$31,$G313=$G$34,K$34,$G313=$G$37,K$37,$G313=$G$107,K$107,$G313=$G$110,K$110,$G313=$G$140,K$140,$G313=$G$142,K$142,$G313=$G$408,K$408)</f>
        <v>BG sentinel + BG lure7</v>
      </c>
      <c r="O313" s="13" t="str">
        <f t="shared" si="30"/>
        <v>A_SP_BCN_22_220823</v>
      </c>
      <c r="P313" s="27">
        <v>44796</v>
      </c>
      <c r="Q313" s="29">
        <v>0.74305555555555547</v>
      </c>
      <c r="R313" s="33"/>
      <c r="S313" s="27">
        <v>44803</v>
      </c>
      <c r="T313" s="29">
        <v>0.71180555555555547</v>
      </c>
      <c r="V313" s="13" t="s">
        <v>86</v>
      </c>
      <c r="X313" s="13">
        <f t="shared" si="26"/>
        <v>7</v>
      </c>
      <c r="Z313" s="13" t="s">
        <v>164</v>
      </c>
      <c r="AA313" s="13">
        <f t="shared" si="31"/>
        <v>5</v>
      </c>
      <c r="AB313" s="13" t="str">
        <f t="shared" si="27"/>
        <v>Adult</v>
      </c>
      <c r="AC313" s="13">
        <v>5</v>
      </c>
      <c r="AD313" s="13">
        <v>0</v>
      </c>
      <c r="AE313" s="13" t="str">
        <f t="shared" si="28"/>
        <v>Morphological</v>
      </c>
      <c r="AF313" s="2">
        <v>4</v>
      </c>
    </row>
    <row r="314" spans="1:32" x14ac:dyDescent="0.25">
      <c r="A314" s="13">
        <v>310</v>
      </c>
      <c r="B314" s="23" t="s">
        <v>56</v>
      </c>
      <c r="C314" s="23" t="s">
        <v>57</v>
      </c>
      <c r="D314" s="23" t="s">
        <v>58</v>
      </c>
      <c r="E314" s="23" t="s">
        <v>58</v>
      </c>
      <c r="F314" s="35" cm="1">
        <f t="array" ref="F314">_xlfn.IFS($G314=$G$5,F$5,$G314=$G$7,F$7,$G314=$G$10,F$10,$G314=$G$13,F$13,$G314=$G$14,F$14,$G314=$G$16,F$16,$G314=$G$17,F$17,$G314=$G$19,F$19,$G314=$G$20,F$20,$G314=$G$22,F$22,$G314=$G$23,F$23,$G314=$G$26,F$26,$G314=$G$29,F$29,$G314=$G$31,F$31,$G314=$G$34,F$34,$G314=$G$37,F$37,$G314=$G$107,F$107,$G314=$G$110,F$110,$G314=$G$140,F$140,$G314=$G$142,F$142,$G314=$G$408,F$408)</f>
        <v>8038</v>
      </c>
      <c r="G314" s="13" t="s">
        <v>79</v>
      </c>
      <c r="H314" s="51" cm="1">
        <f t="array" ref="H314">_xlfn.IFS($G314=$G$5,H$5,$G314=$G$7,H$7,$G314=$G$10,H$10,$G314=$G$13,H$13,$G314=$G$14,H$14,$G314=$G$16,H$16,$G314=$G$17,H$17,$G314=$G$19,H$19,$G314=$G$20,H$20,$G314=$G$22,H$22,$G314=$G$23,H$23,$G314=$G$26,H$26,$G314=$G$29,H$29,$G314=$G$31,H$31,$G314=$G$34,H$34,$G314=$G$37,H$37,$G314=$G$107,H$107,$G314=$G$110,H$110,$G314=$G$140,H$140,$G314=$G$142,H$142,$G314=$G$408,H$408)</f>
        <v>41.367100000000001</v>
      </c>
      <c r="I314" s="51" cm="1">
        <f t="array" ref="I314">_xlfn.IFS($G314=$G$5,I$5,$G314=$G$7,I$7,$G314=$G$10,I$10,$G314=$G$13,I$13,$G314=$G$14,I$14,$G314=$G$16,I$16,$G314=$G$17,I$17,$G314=$G$19,I$19,$G314=$G$20,I$20,$G314=$G$22,I$22,$G314=$G$23,I$23,$G314=$G$26,I$26,$G314=$G$29,I$29,$G314=$G$31,I$31,$G314=$G$34,I$34,$G314=$G$37,I$37,$G314=$G$107,I$107,$G314=$G$110,I$110,$G314=$G$140,I$140,$G314=$G$142,I$142,$G314=$G$408,I$408)</f>
        <v>2.1539079999999999</v>
      </c>
      <c r="J314" s="51" cm="1">
        <f t="array" ref="J314">_xlfn.IFS($G314=$G$5,J$5,$G314=$G$7,J$7,$G314=$G$10,J$10,$G314=$G$13,J$13,$G314=$G$14,J$14,$G314=$G$16,J$16,$G314=$G$17,J$17,$G314=$G$19,J$19,$G314=$G$20,J$20,$G314=$G$22,J$22,$G314=$G$23,J$23,$G314=$G$26,J$26,$G314=$G$29,J$29,$G314=$G$31,J$31,$G314=$G$34,J$34,$G314=$G$37,J$37,$G314=$G$107,J$107,$G314=$G$110,J$110,$G314=$G$140,J$140,$G314=$G$142,J$142,$G314=$G$408,J$408)</f>
        <v>68</v>
      </c>
      <c r="K314" s="13" t="str" cm="1">
        <f t="array" ref="K314">_xlfn.IFS($G314=$G$5,K$5,$G314=$G$7,K$7,$G314=$G$10,K$10,$G314=$G$13,K$13,$G314=$G$14,K$14,$G314=$G$16,K$16,$G314=$G$17,K$17,$G314=$G$19,K$19,$G314=$G$20,K$20,$G314=$G$22,K$22,$G314=$G$23,K$23,$G314=$G$26,K$26,$G314=$G$29,K$29,$G314=$G$31,K$31,$G314=$G$34,K$34,$G314=$G$37,K$37,$G314=$G$107,K$107,$G314=$G$110,K$110,$G314=$G$140,K$140,$G314=$G$142,K$142,$G314=$G$408,K$408)</f>
        <v>BG sentinel + BG lure7</v>
      </c>
      <c r="O314" s="13" t="str">
        <f t="shared" si="30"/>
        <v>A_SP_BCN_23_220823</v>
      </c>
      <c r="P314" s="27">
        <v>44796</v>
      </c>
      <c r="Q314" s="29">
        <v>0.64583333333333337</v>
      </c>
      <c r="R314" s="33"/>
      <c r="S314" s="27">
        <v>44803</v>
      </c>
      <c r="T314" s="29">
        <v>0.60763888888888895</v>
      </c>
      <c r="V314" s="13" t="s">
        <v>86</v>
      </c>
      <c r="W314" s="15" t="s">
        <v>105</v>
      </c>
      <c r="X314" s="13">
        <f t="shared" si="26"/>
        <v>7</v>
      </c>
      <c r="Z314" s="13" t="s">
        <v>60</v>
      </c>
      <c r="AA314" s="13">
        <f t="shared" si="31"/>
        <v>44</v>
      </c>
      <c r="AB314" s="13" t="str">
        <f t="shared" si="27"/>
        <v>Adult</v>
      </c>
      <c r="AC314" s="13">
        <v>26</v>
      </c>
      <c r="AD314" s="13">
        <v>18</v>
      </c>
      <c r="AE314" s="13" t="str">
        <f t="shared" si="28"/>
        <v>Morphological</v>
      </c>
      <c r="AF314" s="2">
        <v>3</v>
      </c>
    </row>
    <row r="315" spans="1:32" x14ac:dyDescent="0.25">
      <c r="A315" s="13">
        <v>311</v>
      </c>
      <c r="B315" s="23" t="s">
        <v>56</v>
      </c>
      <c r="C315" s="23" t="s">
        <v>57</v>
      </c>
      <c r="D315" s="23" t="s">
        <v>58</v>
      </c>
      <c r="E315" s="23" t="s">
        <v>58</v>
      </c>
      <c r="F315" s="35" cm="1">
        <f t="array" ref="F315">_xlfn.IFS($G315=$G$5,F$5,$G315=$G$7,F$7,$G315=$G$10,F$10,$G315=$G$13,F$13,$G315=$G$14,F$14,$G315=$G$16,F$16,$G315=$G$17,F$17,$G315=$G$19,F$19,$G315=$G$20,F$20,$G315=$G$22,F$22,$G315=$G$23,F$23,$G315=$G$26,F$26,$G315=$G$29,F$29,$G315=$G$31,F$31,$G315=$G$34,F$34,$G315=$G$37,F$37,$G315=$G$107,F$107,$G315=$G$110,F$110,$G315=$G$140,F$140,$G315=$G$142,F$142,$G315=$G$408,F$408)</f>
        <v>8038</v>
      </c>
      <c r="G315" s="13" t="s">
        <v>79</v>
      </c>
      <c r="H315" s="51" cm="1">
        <f t="array" ref="H315">_xlfn.IFS($G315=$G$5,H$5,$G315=$G$7,H$7,$G315=$G$10,H$10,$G315=$G$13,H$13,$G315=$G$14,H$14,$G315=$G$16,H$16,$G315=$G$17,H$17,$G315=$G$19,H$19,$G315=$G$20,H$20,$G315=$G$22,H$22,$G315=$G$23,H$23,$G315=$G$26,H$26,$G315=$G$29,H$29,$G315=$G$31,H$31,$G315=$G$34,H$34,$G315=$G$37,H$37,$G315=$G$107,H$107,$G315=$G$110,H$110,$G315=$G$140,H$140,$G315=$G$142,H$142,$G315=$G$408,H$408)</f>
        <v>41.367100000000001</v>
      </c>
      <c r="I315" s="51" cm="1">
        <f t="array" ref="I315">_xlfn.IFS($G315=$G$5,I$5,$G315=$G$7,I$7,$G315=$G$10,I$10,$G315=$G$13,I$13,$G315=$G$14,I$14,$G315=$G$16,I$16,$G315=$G$17,I$17,$G315=$G$19,I$19,$G315=$G$20,I$20,$G315=$G$22,I$22,$G315=$G$23,I$23,$G315=$G$26,I$26,$G315=$G$29,I$29,$G315=$G$31,I$31,$G315=$G$34,I$34,$G315=$G$37,I$37,$G315=$G$107,I$107,$G315=$G$110,I$110,$G315=$G$140,I$140,$G315=$G$142,I$142,$G315=$G$408,I$408)</f>
        <v>2.1539079999999999</v>
      </c>
      <c r="J315" s="51" cm="1">
        <f t="array" ref="J315">_xlfn.IFS($G315=$G$5,J$5,$G315=$G$7,J$7,$G315=$G$10,J$10,$G315=$G$13,J$13,$G315=$G$14,J$14,$G315=$G$16,J$16,$G315=$G$17,J$17,$G315=$G$19,J$19,$G315=$G$20,J$20,$G315=$G$22,J$22,$G315=$G$23,J$23,$G315=$G$26,J$26,$G315=$G$29,J$29,$G315=$G$31,J$31,$G315=$G$34,J$34,$G315=$G$37,J$37,$G315=$G$107,J$107,$G315=$G$110,J$110,$G315=$G$140,J$140,$G315=$G$142,J$142,$G315=$G$408,J$408)</f>
        <v>68</v>
      </c>
      <c r="K315" s="13" t="str" cm="1">
        <f t="array" ref="K315">_xlfn.IFS($G315=$G$5,K$5,$G315=$G$7,K$7,$G315=$G$10,K$10,$G315=$G$13,K$13,$G315=$G$14,K$14,$G315=$G$16,K$16,$G315=$G$17,K$17,$G315=$G$19,K$19,$G315=$G$20,K$20,$G315=$G$22,K$22,$G315=$G$23,K$23,$G315=$G$26,K$26,$G315=$G$29,K$29,$G315=$G$31,K$31,$G315=$G$34,K$34,$G315=$G$37,K$37,$G315=$G$107,K$107,$G315=$G$110,K$110,$G315=$G$140,K$140,$G315=$G$142,K$142,$G315=$G$408,K$408)</f>
        <v>BG sentinel + BG lure7</v>
      </c>
      <c r="O315" s="13" t="str">
        <f t="shared" si="30"/>
        <v>A_SP_BCN_23_220823</v>
      </c>
      <c r="P315" s="27">
        <v>44796</v>
      </c>
      <c r="Q315" s="29">
        <v>0.64583333333333337</v>
      </c>
      <c r="R315" s="33"/>
      <c r="S315" s="27">
        <v>44803</v>
      </c>
      <c r="T315" s="29">
        <v>0.60763888888888895</v>
      </c>
      <c r="V315" s="13" t="s">
        <v>86</v>
      </c>
      <c r="W315" s="15" t="s">
        <v>105</v>
      </c>
      <c r="X315" s="13">
        <f t="shared" si="26"/>
        <v>7</v>
      </c>
      <c r="Z315" s="13" t="s">
        <v>164</v>
      </c>
      <c r="AA315" s="13">
        <f t="shared" si="31"/>
        <v>4</v>
      </c>
      <c r="AB315" s="13" t="str">
        <f t="shared" si="27"/>
        <v>Adult</v>
      </c>
      <c r="AC315" s="13">
        <v>1</v>
      </c>
      <c r="AD315" s="13">
        <v>3</v>
      </c>
      <c r="AE315" s="13" t="str">
        <f t="shared" si="28"/>
        <v>Morphological</v>
      </c>
      <c r="AF315" s="2">
        <v>3</v>
      </c>
    </row>
    <row r="316" spans="1:32" x14ac:dyDescent="0.25">
      <c r="A316" s="13">
        <v>312</v>
      </c>
      <c r="B316" s="23" t="s">
        <v>56</v>
      </c>
      <c r="C316" s="23" t="s">
        <v>57</v>
      </c>
      <c r="D316" s="23" t="s">
        <v>58</v>
      </c>
      <c r="E316" s="23" t="s">
        <v>58</v>
      </c>
      <c r="F316" s="35" cm="1">
        <f t="array" ref="F316">_xlfn.IFS($G316=$G$5,F$5,$G316=$G$7,F$7,$G316=$G$10,F$10,$G316=$G$13,F$13,$G316=$G$14,F$14,$G316=$G$16,F$16,$G316=$G$17,F$17,$G316=$G$19,F$19,$G316=$G$20,F$20,$G316=$G$22,F$22,$G316=$G$23,F$23,$G316=$G$26,F$26,$G316=$G$29,F$29,$G316=$G$31,F$31,$G316=$G$34,F$34,$G316=$G$37,F$37,$G316=$G$107,F$107,$G316=$G$110,F$110,$G316=$G$140,F$140,$G316=$G$142,F$142,$G316=$G$408,F$408)</f>
        <v>8015</v>
      </c>
      <c r="G316" s="13" t="s">
        <v>78</v>
      </c>
      <c r="H316" s="51" cm="1">
        <f t="array" ref="H316">_xlfn.IFS($G316=$G$5,H$5,$G316=$G$7,H$7,$G316=$G$10,H$10,$G316=$G$13,H$13,$G316=$G$14,H$14,$G316=$G$16,H$16,$G316=$G$17,H$17,$G316=$G$19,H$19,$G316=$G$20,H$20,$G316=$G$22,H$22,$G316=$G$23,H$23,$G316=$G$26,H$26,$G316=$G$29,H$29,$G316=$G$31,H$31,$G316=$G$34,H$34,$G316=$G$37,H$37,$G316=$G$107,H$107,$G316=$G$110,H$110,$G316=$G$140,H$140,$G316=$G$142,H$142,$G316=$G$408,H$408)</f>
        <v>41.381725000000003</v>
      </c>
      <c r="I316" s="51" cm="1">
        <f t="array" ref="I316">_xlfn.IFS($G316=$G$5,I$5,$G316=$G$7,I$7,$G316=$G$10,I$10,$G316=$G$13,I$13,$G316=$G$14,I$14,$G316=$G$16,I$16,$G316=$G$17,I$17,$G316=$G$19,I$19,$G316=$G$20,I$20,$G316=$G$22,I$22,$G316=$G$23,I$23,$G316=$G$26,I$26,$G316=$G$29,I$29,$G316=$G$31,I$31,$G316=$G$34,I$34,$G316=$G$37,I$37,$G316=$G$107,I$107,$G316=$G$110,I$110,$G316=$G$140,I$140,$G316=$G$142,I$142,$G316=$G$408,I$408)</f>
        <v>2.1543679999999998</v>
      </c>
      <c r="J316" s="51" cm="1">
        <f t="array" ref="J316">_xlfn.IFS($G316=$G$5,J$5,$G316=$G$7,J$7,$G316=$G$10,J$10,$G316=$G$13,J$13,$G316=$G$14,J$14,$G316=$G$16,J$16,$G316=$G$17,J$17,$G316=$G$19,J$19,$G316=$G$20,J$20,$G316=$G$22,J$22,$G316=$G$23,J$23,$G316=$G$26,J$26,$G316=$G$29,J$29,$G316=$G$31,J$31,$G316=$G$34,J$34,$G316=$G$37,J$37,$G316=$G$107,J$107,$G316=$G$110,J$110,$G316=$G$140,J$140,$G316=$G$142,J$142,$G316=$G$408,J$408)</f>
        <v>20.7</v>
      </c>
      <c r="K316" s="13" t="str" cm="1">
        <f t="array" ref="K316">_xlfn.IFS($G316=$G$5,K$5,$G316=$G$7,K$7,$G316=$G$10,K$10,$G316=$G$13,K$13,$G316=$G$14,K$14,$G316=$G$16,K$16,$G316=$G$17,K$17,$G316=$G$19,K$19,$G316=$G$20,K$20,$G316=$G$22,K$22,$G316=$G$23,K$23,$G316=$G$26,K$26,$G316=$G$29,K$29,$G316=$G$31,K$31,$G316=$G$34,K$34,$G316=$G$37,K$37,$G316=$G$107,K$107,$G316=$G$110,K$110,$G316=$G$140,K$140,$G316=$G$142,K$142,$G316=$G$408,K$408)</f>
        <v>BG sentinel + BG lure7</v>
      </c>
      <c r="O316" s="13" t="str">
        <f t="shared" si="30"/>
        <v>A_SP_BCN_24_220823</v>
      </c>
      <c r="P316" s="27">
        <v>44796</v>
      </c>
      <c r="Q316" s="29">
        <v>0.84375</v>
      </c>
      <c r="R316" s="33"/>
      <c r="S316" s="27">
        <v>44803</v>
      </c>
      <c r="T316" s="29">
        <v>0.86111111111111116</v>
      </c>
      <c r="V316" s="44" t="s">
        <v>160</v>
      </c>
      <c r="W316" t="s">
        <v>184</v>
      </c>
      <c r="X316" s="13">
        <f t="shared" si="26"/>
        <v>7</v>
      </c>
      <c r="Z316" s="13" t="s">
        <v>60</v>
      </c>
      <c r="AA316" s="13">
        <f t="shared" si="31"/>
        <v>60</v>
      </c>
      <c r="AB316" s="13" t="str">
        <f t="shared" si="27"/>
        <v>Adult</v>
      </c>
      <c r="AC316" s="13">
        <v>33</v>
      </c>
      <c r="AD316" s="13">
        <v>27</v>
      </c>
      <c r="AE316" s="13" t="str">
        <f t="shared" si="28"/>
        <v>Morphological</v>
      </c>
      <c r="AF316" s="2">
        <v>2</v>
      </c>
    </row>
    <row r="317" spans="1:32" x14ac:dyDescent="0.25">
      <c r="A317" s="13">
        <v>313</v>
      </c>
      <c r="B317" s="23" t="s">
        <v>56</v>
      </c>
      <c r="C317" s="23" t="s">
        <v>57</v>
      </c>
      <c r="D317" s="23" t="s">
        <v>58</v>
      </c>
      <c r="E317" s="23" t="s">
        <v>58</v>
      </c>
      <c r="F317" s="35" cm="1">
        <f t="array" ref="F317">_xlfn.IFS($G317=$G$5,F$5,$G317=$G$7,F$7,$G317=$G$10,F$10,$G317=$G$13,F$13,$G317=$G$14,F$14,$G317=$G$16,F$16,$G317=$G$17,F$17,$G317=$G$19,F$19,$G317=$G$20,F$20,$G317=$G$22,F$22,$G317=$G$23,F$23,$G317=$G$26,F$26,$G317=$G$29,F$29,$G317=$G$31,F$31,$G317=$G$34,F$34,$G317=$G$37,F$37,$G317=$G$107,F$107,$G317=$G$110,F$110,$G317=$G$140,F$140,$G317=$G$142,F$142,$G317=$G$408,F$408)</f>
        <v>8015</v>
      </c>
      <c r="G317" s="13" t="s">
        <v>78</v>
      </c>
      <c r="H317" s="51" cm="1">
        <f t="array" ref="H317">_xlfn.IFS($G317=$G$5,H$5,$G317=$G$7,H$7,$G317=$G$10,H$10,$G317=$G$13,H$13,$G317=$G$14,H$14,$G317=$G$16,H$16,$G317=$G$17,H$17,$G317=$G$19,H$19,$G317=$G$20,H$20,$G317=$G$22,H$22,$G317=$G$23,H$23,$G317=$G$26,H$26,$G317=$G$29,H$29,$G317=$G$31,H$31,$G317=$G$34,H$34,$G317=$G$37,H$37,$G317=$G$107,H$107,$G317=$G$110,H$110,$G317=$G$140,H$140,$G317=$G$142,H$142,$G317=$G$408,H$408)</f>
        <v>41.381725000000003</v>
      </c>
      <c r="I317" s="51" cm="1">
        <f t="array" ref="I317">_xlfn.IFS($G317=$G$5,I$5,$G317=$G$7,I$7,$G317=$G$10,I$10,$G317=$G$13,I$13,$G317=$G$14,I$14,$G317=$G$16,I$16,$G317=$G$17,I$17,$G317=$G$19,I$19,$G317=$G$20,I$20,$G317=$G$22,I$22,$G317=$G$23,I$23,$G317=$G$26,I$26,$G317=$G$29,I$29,$G317=$G$31,I$31,$G317=$G$34,I$34,$G317=$G$37,I$37,$G317=$G$107,I$107,$G317=$G$110,I$110,$G317=$G$140,I$140,$G317=$G$142,I$142,$G317=$G$408,I$408)</f>
        <v>2.1543679999999998</v>
      </c>
      <c r="J317" s="51" cm="1">
        <f t="array" ref="J317">_xlfn.IFS($G317=$G$5,J$5,$G317=$G$7,J$7,$G317=$G$10,J$10,$G317=$G$13,J$13,$G317=$G$14,J$14,$G317=$G$16,J$16,$G317=$G$17,J$17,$G317=$G$19,J$19,$G317=$G$20,J$20,$G317=$G$22,J$22,$G317=$G$23,J$23,$G317=$G$26,J$26,$G317=$G$29,J$29,$G317=$G$31,J$31,$G317=$G$34,J$34,$G317=$G$37,J$37,$G317=$G$107,J$107,$G317=$G$110,J$110,$G317=$G$140,J$140,$G317=$G$142,J$142,$G317=$G$408,J$408)</f>
        <v>20.7</v>
      </c>
      <c r="K317" s="13" t="str" cm="1">
        <f t="array" ref="K317">_xlfn.IFS($G317=$G$5,K$5,$G317=$G$7,K$7,$G317=$G$10,K$10,$G317=$G$13,K$13,$G317=$G$14,K$14,$G317=$G$16,K$16,$G317=$G$17,K$17,$G317=$G$19,K$19,$G317=$G$20,K$20,$G317=$G$22,K$22,$G317=$G$23,K$23,$G317=$G$26,K$26,$G317=$G$29,K$29,$G317=$G$31,K$31,$G317=$G$34,K$34,$G317=$G$37,K$37,$G317=$G$107,K$107,$G317=$G$110,K$110,$G317=$G$140,K$140,$G317=$G$142,K$142,$G317=$G$408,K$408)</f>
        <v>BG sentinel + BG lure7</v>
      </c>
      <c r="O317" s="13" t="str">
        <f t="shared" si="30"/>
        <v>A_SP_BCN_24_220823</v>
      </c>
      <c r="P317" s="27">
        <v>44796</v>
      </c>
      <c r="Q317" s="29">
        <v>0.84375</v>
      </c>
      <c r="R317" s="33"/>
      <c r="S317" s="27">
        <v>44803</v>
      </c>
      <c r="T317" s="29">
        <v>0.86111111111111116</v>
      </c>
      <c r="V317" s="44" t="s">
        <v>160</v>
      </c>
      <c r="W317" t="s">
        <v>184</v>
      </c>
      <c r="X317" s="13">
        <f t="shared" si="26"/>
        <v>7</v>
      </c>
      <c r="Z317" s="13" t="s">
        <v>164</v>
      </c>
      <c r="AA317" s="13">
        <f t="shared" si="31"/>
        <v>6</v>
      </c>
      <c r="AB317" s="13" t="str">
        <f t="shared" si="27"/>
        <v>Adult</v>
      </c>
      <c r="AC317" s="13">
        <v>3</v>
      </c>
      <c r="AD317" s="13">
        <v>3</v>
      </c>
      <c r="AE317" s="13" t="str">
        <f t="shared" si="28"/>
        <v>Morphological</v>
      </c>
      <c r="AF317" s="2">
        <v>2</v>
      </c>
    </row>
    <row r="318" spans="1:32" x14ac:dyDescent="0.25">
      <c r="A318" s="13">
        <v>314</v>
      </c>
      <c r="B318" s="23" t="s">
        <v>56</v>
      </c>
      <c r="C318" s="23" t="s">
        <v>57</v>
      </c>
      <c r="D318" s="23" t="s">
        <v>58</v>
      </c>
      <c r="E318" s="23" t="s">
        <v>58</v>
      </c>
      <c r="F318" s="35" cm="1">
        <f t="array" ref="F318">_xlfn.IFS($G318=$G$5,F$5,$G318=$G$7,F$7,$G318=$G$10,F$10,$G318=$G$13,F$13,$G318=$G$14,F$14,$G318=$G$16,F$16,$G318=$G$17,F$17,$G318=$G$19,F$19,$G318=$G$20,F$20,$G318=$G$22,F$22,$G318=$G$23,F$23,$G318=$G$26,F$26,$G318=$G$29,F$29,$G318=$G$31,F$31,$G318=$G$34,F$34,$G318=$G$37,F$37,$G318=$G$107,F$107,$G318=$G$110,F$110,$G318=$G$140,F$140,$G318=$G$142,F$142,$G318=$G$408,F$408)</f>
        <v>8017</v>
      </c>
      <c r="G318" s="13" t="s">
        <v>97</v>
      </c>
      <c r="H318" s="51" cm="1">
        <f t="array" ref="H318">_xlfn.IFS($G318=$G$5,H$5,$G318=$G$7,H$7,$G318=$G$10,H$10,$G318=$G$13,H$13,$G318=$G$14,H$14,$G318=$G$16,H$16,$G318=$G$17,H$17,$G318=$G$19,H$19,$G318=$G$20,H$20,$G318=$G$22,H$22,$G318=$G$23,H$23,$G318=$G$26,H$26,$G318=$G$29,H$29,$G318=$G$31,H$31,$G318=$G$34,H$34,$G318=$G$37,H$37,$G318=$G$107,H$107,$G318=$G$110,H$110,$G318=$G$140,H$140,$G318=$G$142,H$142,$G318=$G$408,H$408)</f>
        <v>41.430372407595499</v>
      </c>
      <c r="I318" s="51" cm="1">
        <f t="array" ref="I318">_xlfn.IFS($G318=$G$5,I$5,$G318=$G$7,I$7,$G318=$G$10,I$10,$G318=$G$13,I$13,$G318=$G$14,I$14,$G318=$G$16,I$16,$G318=$G$17,I$17,$G318=$G$19,I$19,$G318=$G$20,I$20,$G318=$G$22,I$22,$G318=$G$23,I$23,$G318=$G$26,I$26,$G318=$G$29,I$29,$G318=$G$31,I$31,$G318=$G$34,I$34,$G318=$G$37,I$37,$G318=$G$107,I$107,$G318=$G$110,I$110,$G318=$G$140,I$140,$G318=$G$142,I$142,$G318=$G$408,I$408)</f>
        <v>2.0778358219819002</v>
      </c>
      <c r="J318" s="51" cm="1">
        <f t="array" ref="J318">_xlfn.IFS($G318=$G$5,J$5,$G318=$G$7,J$7,$G318=$G$10,J$10,$G318=$G$13,J$13,$G318=$G$14,J$14,$G318=$G$16,J$16,$G318=$G$17,J$17,$G318=$G$19,J$19,$G318=$G$20,J$20,$G318=$G$22,J$22,$G318=$G$23,J$23,$G318=$G$26,J$26,$G318=$G$29,J$29,$G318=$G$31,J$31,$G318=$G$34,J$34,$G318=$G$37,J$37,$G318=$G$107,J$107,$G318=$G$110,J$110,$G318=$G$140,J$140,$G318=$G$142,J$142,$G318=$G$408,J$408)</f>
        <v>242</v>
      </c>
      <c r="K318" s="13" t="str" cm="1">
        <f t="array" ref="K318">_xlfn.IFS($G318=$G$5,K$5,$G318=$G$7,K$7,$G318=$G$10,K$10,$G318=$G$13,K$13,$G318=$G$14,K$14,$G318=$G$16,K$16,$G318=$G$17,K$17,$G318=$G$19,K$19,$G318=$G$20,K$20,$G318=$G$22,K$22,$G318=$G$23,K$23,$G318=$G$26,K$26,$G318=$G$29,K$29,$G318=$G$31,K$31,$G318=$G$34,K$34,$G318=$G$37,K$37,$G318=$G$107,K$107,$G318=$G$110,K$110,$G318=$G$140,K$140,$G318=$G$142,K$142,$G318=$G$408,K$408)</f>
        <v>Mtego</v>
      </c>
      <c r="O318" s="13" t="str">
        <f t="shared" si="30"/>
        <v>Premal_1_220823</v>
      </c>
      <c r="P318" s="27">
        <v>44796</v>
      </c>
      <c r="Q318" s="29">
        <v>0.74305555555555547</v>
      </c>
      <c r="R318" s="33"/>
      <c r="S318" s="27">
        <v>44803</v>
      </c>
      <c r="T318" s="29">
        <v>0.71180555555555547</v>
      </c>
      <c r="V318" s="13" t="s">
        <v>86</v>
      </c>
      <c r="W318" s="15" t="s">
        <v>107</v>
      </c>
      <c r="X318" s="13">
        <f t="shared" si="26"/>
        <v>7</v>
      </c>
      <c r="Z318" s="13" t="s">
        <v>60</v>
      </c>
      <c r="AA318" s="13">
        <f t="shared" si="31"/>
        <v>9</v>
      </c>
      <c r="AB318" s="13" t="str">
        <f t="shared" si="27"/>
        <v>Adult</v>
      </c>
      <c r="AC318" s="13">
        <v>7</v>
      </c>
      <c r="AD318" s="13">
        <v>2</v>
      </c>
      <c r="AE318" s="13" t="str">
        <f t="shared" si="28"/>
        <v>Morphological</v>
      </c>
      <c r="AF318" s="2">
        <v>3</v>
      </c>
    </row>
    <row r="319" spans="1:32" x14ac:dyDescent="0.25">
      <c r="A319" s="13">
        <v>315</v>
      </c>
      <c r="B319" s="23" t="s">
        <v>56</v>
      </c>
      <c r="C319" s="23" t="s">
        <v>57</v>
      </c>
      <c r="D319" s="23" t="s">
        <v>58</v>
      </c>
      <c r="E319" s="23" t="s">
        <v>58</v>
      </c>
      <c r="F319" s="35" cm="1">
        <f t="array" ref="F319">_xlfn.IFS($G319=$G$5,F$5,$G319=$G$7,F$7,$G319=$G$10,F$10,$G319=$G$13,F$13,$G319=$G$14,F$14,$G319=$G$16,F$16,$G319=$G$17,F$17,$G319=$G$19,F$19,$G319=$G$20,F$20,$G319=$G$22,F$22,$G319=$G$23,F$23,$G319=$G$26,F$26,$G319=$G$29,F$29,$G319=$G$31,F$31,$G319=$G$34,F$34,$G319=$G$37,F$37,$G319=$G$107,F$107,$G319=$G$110,F$110,$G319=$G$140,F$140,$G319=$G$142,F$142,$G319=$G$408,F$408)</f>
        <v>8017</v>
      </c>
      <c r="G319" s="13" t="s">
        <v>97</v>
      </c>
      <c r="H319" s="51" cm="1">
        <f t="array" ref="H319">_xlfn.IFS($G319=$G$5,H$5,$G319=$G$7,H$7,$G319=$G$10,H$10,$G319=$G$13,H$13,$G319=$G$14,H$14,$G319=$G$16,H$16,$G319=$G$17,H$17,$G319=$G$19,H$19,$G319=$G$20,H$20,$G319=$G$22,H$22,$G319=$G$23,H$23,$G319=$G$26,H$26,$G319=$G$29,H$29,$G319=$G$31,H$31,$G319=$G$34,H$34,$G319=$G$37,H$37,$G319=$G$107,H$107,$G319=$G$110,H$110,$G319=$G$140,H$140,$G319=$G$142,H$142,$G319=$G$408,H$408)</f>
        <v>41.430372407595499</v>
      </c>
      <c r="I319" s="51" cm="1">
        <f t="array" ref="I319">_xlfn.IFS($G319=$G$5,I$5,$G319=$G$7,I$7,$G319=$G$10,I$10,$G319=$G$13,I$13,$G319=$G$14,I$14,$G319=$G$16,I$16,$G319=$G$17,I$17,$G319=$G$19,I$19,$G319=$G$20,I$20,$G319=$G$22,I$22,$G319=$G$23,I$23,$G319=$G$26,I$26,$G319=$G$29,I$29,$G319=$G$31,I$31,$G319=$G$34,I$34,$G319=$G$37,I$37,$G319=$G$107,I$107,$G319=$G$110,I$110,$G319=$G$140,I$140,$G319=$G$142,I$142,$G319=$G$408,I$408)</f>
        <v>2.0778358219819002</v>
      </c>
      <c r="J319" s="51" cm="1">
        <f t="array" ref="J319">_xlfn.IFS($G319=$G$5,J$5,$G319=$G$7,J$7,$G319=$G$10,J$10,$G319=$G$13,J$13,$G319=$G$14,J$14,$G319=$G$16,J$16,$G319=$G$17,J$17,$G319=$G$19,J$19,$G319=$G$20,J$20,$G319=$G$22,J$22,$G319=$G$23,J$23,$G319=$G$26,J$26,$G319=$G$29,J$29,$G319=$G$31,J$31,$G319=$G$34,J$34,$G319=$G$37,J$37,$G319=$G$107,J$107,$G319=$G$110,J$110,$G319=$G$140,J$140,$G319=$G$142,J$142,$G319=$G$408,J$408)</f>
        <v>242</v>
      </c>
      <c r="K319" s="13" t="str" cm="1">
        <f t="array" ref="K319">_xlfn.IFS($G319=$G$5,K$5,$G319=$G$7,K$7,$G319=$G$10,K$10,$G319=$G$13,K$13,$G319=$G$14,K$14,$G319=$G$16,K$16,$G319=$G$17,K$17,$G319=$G$19,K$19,$G319=$G$20,K$20,$G319=$G$22,K$22,$G319=$G$23,K$23,$G319=$G$26,K$26,$G319=$G$29,K$29,$G319=$G$31,K$31,$G319=$G$34,K$34,$G319=$G$37,K$37,$G319=$G$107,K$107,$G319=$G$110,K$110,$G319=$G$140,K$140,$G319=$G$142,K$142,$G319=$G$408,K$408)</f>
        <v>Mtego</v>
      </c>
      <c r="O319" s="13" t="str">
        <f t="shared" si="30"/>
        <v>Premal_1_220823</v>
      </c>
      <c r="P319" s="27">
        <v>44796</v>
      </c>
      <c r="Q319" s="29">
        <v>0.74305555555555547</v>
      </c>
      <c r="R319" s="33"/>
      <c r="S319" s="27">
        <v>44803</v>
      </c>
      <c r="T319" s="29">
        <v>0.71180555555555547</v>
      </c>
      <c r="V319" s="13" t="s">
        <v>86</v>
      </c>
      <c r="W319" s="15" t="s">
        <v>107</v>
      </c>
      <c r="X319" s="13">
        <f t="shared" si="26"/>
        <v>7</v>
      </c>
      <c r="Z319" s="13" t="s">
        <v>164</v>
      </c>
      <c r="AA319" s="13">
        <f t="shared" si="31"/>
        <v>1</v>
      </c>
      <c r="AB319" s="13" t="str">
        <f t="shared" si="27"/>
        <v>Adult</v>
      </c>
      <c r="AC319" s="13">
        <v>1</v>
      </c>
      <c r="AD319" s="13">
        <v>0</v>
      </c>
      <c r="AE319" s="13" t="str">
        <f t="shared" si="28"/>
        <v>Morphological</v>
      </c>
      <c r="AF319" s="2">
        <v>3</v>
      </c>
    </row>
    <row r="320" spans="1:32" x14ac:dyDescent="0.25">
      <c r="A320" s="13">
        <v>316</v>
      </c>
      <c r="B320" s="23" t="s">
        <v>56</v>
      </c>
      <c r="C320" s="23" t="s">
        <v>57</v>
      </c>
      <c r="D320" s="23" t="s">
        <v>58</v>
      </c>
      <c r="E320" s="23" t="s">
        <v>58</v>
      </c>
      <c r="F320" s="35" cm="1">
        <f t="array" ref="F320">_xlfn.IFS($G320=$G$5,F$5,$G320=$G$7,F$7,$G320=$G$10,F$10,$G320=$G$13,F$13,$G320=$G$14,F$14,$G320=$G$16,F$16,$G320=$G$17,F$17,$G320=$G$19,F$19,$G320=$G$20,F$20,$G320=$G$22,F$22,$G320=$G$23,F$23,$G320=$G$26,F$26,$G320=$G$29,F$29,$G320=$G$31,F$31,$G320=$G$34,F$34,$G320=$G$37,F$37,$G320=$G$107,F$107,$G320=$G$110,F$110,$G320=$G$140,F$140,$G320=$G$142,F$142,$G320=$G$408,F$408)</f>
        <v>8017</v>
      </c>
      <c r="G320" s="13" t="s">
        <v>97</v>
      </c>
      <c r="H320" s="51" cm="1">
        <f t="array" ref="H320">_xlfn.IFS($G320=$G$5,H$5,$G320=$G$7,H$7,$G320=$G$10,H$10,$G320=$G$13,H$13,$G320=$G$14,H$14,$G320=$G$16,H$16,$G320=$G$17,H$17,$G320=$G$19,H$19,$G320=$G$20,H$20,$G320=$G$22,H$22,$G320=$G$23,H$23,$G320=$G$26,H$26,$G320=$G$29,H$29,$G320=$G$31,H$31,$G320=$G$34,H$34,$G320=$G$37,H$37,$G320=$G$107,H$107,$G320=$G$110,H$110,$G320=$G$140,H$140,$G320=$G$142,H$142,$G320=$G$408,H$408)</f>
        <v>41.430372407595499</v>
      </c>
      <c r="I320" s="51" cm="1">
        <f t="array" ref="I320">_xlfn.IFS($G320=$G$5,I$5,$G320=$G$7,I$7,$G320=$G$10,I$10,$G320=$G$13,I$13,$G320=$G$14,I$14,$G320=$G$16,I$16,$G320=$G$17,I$17,$G320=$G$19,I$19,$G320=$G$20,I$20,$G320=$G$22,I$22,$G320=$G$23,I$23,$G320=$G$26,I$26,$G320=$G$29,I$29,$G320=$G$31,I$31,$G320=$G$34,I$34,$G320=$G$37,I$37,$G320=$G$107,I$107,$G320=$G$110,I$110,$G320=$G$140,I$140,$G320=$G$142,I$142,$G320=$G$408,I$408)</f>
        <v>2.0778358219819002</v>
      </c>
      <c r="J320" s="51" cm="1">
        <f t="array" ref="J320">_xlfn.IFS($G320=$G$5,J$5,$G320=$G$7,J$7,$G320=$G$10,J$10,$G320=$G$13,J$13,$G320=$G$14,J$14,$G320=$G$16,J$16,$G320=$G$17,J$17,$G320=$G$19,J$19,$G320=$G$20,J$20,$G320=$G$22,J$22,$G320=$G$23,J$23,$G320=$G$26,J$26,$G320=$G$29,J$29,$G320=$G$31,J$31,$G320=$G$34,J$34,$G320=$G$37,J$37,$G320=$G$107,J$107,$G320=$G$110,J$110,$G320=$G$140,J$140,$G320=$G$142,J$142,$G320=$G$408,J$408)</f>
        <v>242</v>
      </c>
      <c r="K320" s="13" t="str" cm="1">
        <f t="array" ref="K320">_xlfn.IFS($G320=$G$5,K$5,$G320=$G$7,K$7,$G320=$G$10,K$10,$G320=$G$13,K$13,$G320=$G$14,K$14,$G320=$G$16,K$16,$G320=$G$17,K$17,$G320=$G$19,K$19,$G320=$G$20,K$20,$G320=$G$22,K$22,$G320=$G$23,K$23,$G320=$G$26,K$26,$G320=$G$29,K$29,$G320=$G$31,K$31,$G320=$G$34,K$34,$G320=$G$37,K$37,$G320=$G$107,K$107,$G320=$G$110,K$110,$G320=$G$140,K$140,$G320=$G$142,K$142,$G320=$G$408,K$408)</f>
        <v>Mtego</v>
      </c>
      <c r="O320" s="13" t="str">
        <f t="shared" si="30"/>
        <v>Premal_1_220823</v>
      </c>
      <c r="P320" s="27">
        <v>44796</v>
      </c>
      <c r="Q320" s="29">
        <v>0.74305555555555547</v>
      </c>
      <c r="R320" s="33"/>
      <c r="S320" s="27">
        <v>44803</v>
      </c>
      <c r="T320" s="29">
        <v>0.71180555555555547</v>
      </c>
      <c r="V320" s="13" t="s">
        <v>86</v>
      </c>
      <c r="W320" s="15" t="s">
        <v>107</v>
      </c>
      <c r="X320" s="13">
        <f t="shared" si="26"/>
        <v>7</v>
      </c>
      <c r="Z320" s="32" t="s">
        <v>163</v>
      </c>
      <c r="AA320" s="13">
        <f t="shared" si="31"/>
        <v>1</v>
      </c>
      <c r="AB320" s="13" t="str">
        <f t="shared" si="27"/>
        <v>Adult</v>
      </c>
      <c r="AC320" s="13">
        <v>1</v>
      </c>
      <c r="AD320" s="13">
        <v>0</v>
      </c>
      <c r="AE320" s="13" t="str">
        <f t="shared" si="28"/>
        <v>Morphological</v>
      </c>
      <c r="AF320" s="2">
        <v>3</v>
      </c>
    </row>
    <row r="321" spans="1:32" x14ac:dyDescent="0.25">
      <c r="A321" s="13">
        <v>317</v>
      </c>
      <c r="B321" s="23" t="s">
        <v>56</v>
      </c>
      <c r="C321" s="23" t="s">
        <v>57</v>
      </c>
      <c r="D321" s="23" t="s">
        <v>58</v>
      </c>
      <c r="E321" s="23" t="s">
        <v>58</v>
      </c>
      <c r="F321" s="35" cm="1">
        <f t="array" ref="F321">_xlfn.IFS($G321=$G$5,F$5,$G321=$G$7,F$7,$G321=$G$10,F$10,$G321=$G$13,F$13,$G321=$G$14,F$14,$G321=$G$16,F$16,$G321=$G$17,F$17,$G321=$G$19,F$19,$G321=$G$20,F$20,$G321=$G$22,F$22,$G321=$G$23,F$23,$G321=$G$26,F$26,$G321=$G$29,F$29,$G321=$G$31,F$31,$G321=$G$34,F$34,$G321=$G$37,F$37,$G321=$G$107,F$107,$G321=$G$110,F$110,$G321=$G$140,F$140,$G321=$G$142,F$142,$G321=$G$408,F$408)</f>
        <v>8035</v>
      </c>
      <c r="G321" s="13" t="s">
        <v>61</v>
      </c>
      <c r="H321" s="51" cm="1">
        <f t="array" ref="H321">_xlfn.IFS($G321=$G$5,H$5,$G321=$G$7,H$7,$G321=$G$10,H$10,$G321=$G$13,H$13,$G321=$G$14,H$14,$G321=$G$16,H$16,$G321=$G$17,H$17,$G321=$G$19,H$19,$G321=$G$20,H$20,$G321=$G$22,H$22,$G321=$G$23,H$23,$G321=$G$26,H$26,$G321=$G$29,H$29,$G321=$G$31,H$31,$G321=$G$34,H$34,$G321=$G$37,H$37,$G321=$G$107,H$107,$G321=$G$110,H$110,$G321=$G$140,H$140,$G321=$G$142,H$142,$G321=$G$408,H$408)</f>
        <v>41.424387000000003</v>
      </c>
      <c r="I321" s="51" cm="1">
        <f t="array" ref="I321">_xlfn.IFS($G321=$G$5,I$5,$G321=$G$7,I$7,$G321=$G$10,I$10,$G321=$G$13,I$13,$G321=$G$14,I$14,$G321=$G$16,I$16,$G321=$G$17,I$17,$G321=$G$19,I$19,$G321=$G$20,I$20,$G321=$G$22,I$22,$G321=$G$23,I$23,$G321=$G$26,I$26,$G321=$G$29,I$29,$G321=$G$31,I$31,$G321=$G$34,I$34,$G321=$G$37,I$37,$G321=$G$107,I$107,$G321=$G$110,I$110,$G321=$G$140,I$140,$G321=$G$142,I$142,$G321=$G$408,I$408)</f>
        <v>2.1431439999999999</v>
      </c>
      <c r="J321" s="51" cm="1">
        <f t="array" ref="J321">_xlfn.IFS($G321=$G$5,J$5,$G321=$G$7,J$7,$G321=$G$10,J$10,$G321=$G$13,J$13,$G321=$G$14,J$14,$G321=$G$16,J$16,$G321=$G$17,J$17,$G321=$G$19,J$19,$G321=$G$20,J$20,$G321=$G$22,J$22,$G321=$G$23,J$23,$G321=$G$26,J$26,$G321=$G$29,J$29,$G321=$G$31,J$31,$G321=$G$34,J$34,$G321=$G$37,J$37,$G321=$G$107,J$107,$G321=$G$110,J$110,$G321=$G$140,J$140,$G321=$G$142,J$142,$G321=$G$408,J$408)</f>
        <v>160</v>
      </c>
      <c r="K321" s="13" t="str" cm="1">
        <f t="array" ref="K321">_xlfn.IFS($G321=$G$5,K$5,$G321=$G$7,K$7,$G321=$G$10,K$10,$G321=$G$13,K$13,$G321=$G$14,K$14,$G321=$G$16,K$16,$G321=$G$17,K$17,$G321=$G$19,K$19,$G321=$G$20,K$20,$G321=$G$22,K$22,$G321=$G$23,K$23,$G321=$G$26,K$26,$G321=$G$29,K$29,$G321=$G$31,K$31,$G321=$G$34,K$34,$G321=$G$37,K$37,$G321=$G$107,K$107,$G321=$G$110,K$110,$G321=$G$140,K$140,$G321=$G$142,K$142,$G321=$G$408,K$408)</f>
        <v>BG sentinel + BG lure7</v>
      </c>
      <c r="O321" s="13" t="str">
        <f t="shared" si="30"/>
        <v>A_SP_BCN_2_220830</v>
      </c>
      <c r="P321" s="27">
        <v>44803</v>
      </c>
      <c r="Q321" s="29">
        <v>0.76041666666666663</v>
      </c>
      <c r="R321" s="33"/>
      <c r="S321" s="27">
        <v>44810</v>
      </c>
      <c r="T321" s="29">
        <v>0.65277777777777779</v>
      </c>
      <c r="V321" s="13" t="s">
        <v>86</v>
      </c>
      <c r="X321" s="13">
        <f t="shared" si="26"/>
        <v>7</v>
      </c>
      <c r="Z321" s="13" t="s">
        <v>60</v>
      </c>
      <c r="AA321" s="13">
        <f t="shared" si="31"/>
        <v>13</v>
      </c>
      <c r="AB321" s="13" t="str">
        <f t="shared" si="27"/>
        <v>Adult</v>
      </c>
      <c r="AC321" s="13">
        <v>12</v>
      </c>
      <c r="AD321" s="13">
        <v>1</v>
      </c>
      <c r="AE321" s="13" t="str">
        <f t="shared" si="28"/>
        <v>Morphological</v>
      </c>
      <c r="AF321" s="2">
        <v>4</v>
      </c>
    </row>
    <row r="322" spans="1:32" x14ac:dyDescent="0.25">
      <c r="A322" s="13">
        <v>318</v>
      </c>
      <c r="B322" s="23" t="s">
        <v>56</v>
      </c>
      <c r="C322" s="23" t="s">
        <v>57</v>
      </c>
      <c r="D322" s="23" t="s">
        <v>58</v>
      </c>
      <c r="E322" s="23" t="s">
        <v>58</v>
      </c>
      <c r="F322" s="35" cm="1">
        <f t="array" ref="F322">_xlfn.IFS($G322=$G$5,F$5,$G322=$G$7,F$7,$G322=$G$10,F$10,$G322=$G$13,F$13,$G322=$G$14,F$14,$G322=$G$16,F$16,$G322=$G$17,F$17,$G322=$G$19,F$19,$G322=$G$20,F$20,$G322=$G$22,F$22,$G322=$G$23,F$23,$G322=$G$26,F$26,$G322=$G$29,F$29,$G322=$G$31,F$31,$G322=$G$34,F$34,$G322=$G$37,F$37,$G322=$G$107,F$107,$G322=$G$110,F$110,$G322=$G$140,F$140,$G322=$G$142,F$142,$G322=$G$408,F$408)</f>
        <v>8016</v>
      </c>
      <c r="G322" s="13" t="s">
        <v>62</v>
      </c>
      <c r="H322" s="51" cm="1">
        <f t="array" ref="H322">_xlfn.IFS($G322=$G$5,H$5,$G322=$G$7,H$7,$G322=$G$10,H$10,$G322=$G$13,H$13,$G322=$G$14,H$14,$G322=$G$16,H$16,$G322=$G$17,H$17,$G322=$G$19,H$19,$G322=$G$20,H$20,$G322=$G$22,H$22,$G322=$G$23,H$23,$G322=$G$26,H$26,$G322=$G$29,H$29,$G322=$G$31,H$31,$G322=$G$34,H$34,$G322=$G$37,H$37,$G322=$G$107,H$107,$G322=$G$110,H$110,$G322=$G$140,H$140,$G322=$G$142,H$142,$G322=$G$408,H$408)</f>
        <v>41.437435000000001</v>
      </c>
      <c r="I322" s="51" cm="1">
        <f t="array" ref="I322">_xlfn.IFS($G322=$G$5,I$5,$G322=$G$7,I$7,$G322=$G$10,I$10,$G322=$G$13,I$13,$G322=$G$14,I$14,$G322=$G$16,I$16,$G322=$G$17,I$17,$G322=$G$19,I$19,$G322=$G$20,I$20,$G322=$G$22,I$22,$G322=$G$23,I$23,$G322=$G$26,I$26,$G322=$G$29,I$29,$G322=$G$31,I$31,$G322=$G$34,I$34,$G322=$G$37,I$37,$G322=$G$107,I$107,$G322=$G$110,I$110,$G322=$G$140,I$140,$G322=$G$142,I$142,$G322=$G$408,I$408)</f>
        <v>2.1812779999999998</v>
      </c>
      <c r="J322" s="51" cm="1">
        <f t="array" ref="J322">_xlfn.IFS($G322=$G$5,J$5,$G322=$G$7,J$7,$G322=$G$10,J$10,$G322=$G$13,J$13,$G322=$G$14,J$14,$G322=$G$16,J$16,$G322=$G$17,J$17,$G322=$G$19,J$19,$G322=$G$20,J$20,$G322=$G$22,J$22,$G322=$G$23,J$23,$G322=$G$26,J$26,$G322=$G$29,J$29,$G322=$G$31,J$31,$G322=$G$34,J$34,$G322=$G$37,J$37,$G322=$G$107,J$107,$G322=$G$110,J$110,$G322=$G$140,J$140,$G322=$G$142,J$142,$G322=$G$408,J$408)</f>
        <v>47</v>
      </c>
      <c r="K322" s="13" t="str" cm="1">
        <f t="array" ref="K322">_xlfn.IFS($G322=$G$5,K$5,$G322=$G$7,K$7,$G322=$G$10,K$10,$G322=$G$13,K$13,$G322=$G$14,K$14,$G322=$G$16,K$16,$G322=$G$17,K$17,$G322=$G$19,K$19,$G322=$G$20,K$20,$G322=$G$22,K$22,$G322=$G$23,K$23,$G322=$G$26,K$26,$G322=$G$29,K$29,$G322=$G$31,K$31,$G322=$G$34,K$34,$G322=$G$37,K$37,$G322=$G$107,K$107,$G322=$G$110,K$110,$G322=$G$140,K$140,$G322=$G$142,K$142,$G322=$G$408,K$408)</f>
        <v>BG sentinel + BG lure7</v>
      </c>
      <c r="O322" s="13" t="str">
        <f t="shared" si="30"/>
        <v>A_SP_BCN_3_220830</v>
      </c>
      <c r="P322" s="27">
        <v>44803</v>
      </c>
      <c r="Q322" s="29">
        <v>0.88541666666666663</v>
      </c>
      <c r="R322" s="33"/>
      <c r="S322" s="31">
        <v>44811</v>
      </c>
      <c r="T322" s="29">
        <v>0.54166666666666663</v>
      </c>
      <c r="V322" s="13" t="s">
        <v>86</v>
      </c>
      <c r="W322" s="15" t="s">
        <v>92</v>
      </c>
      <c r="X322" s="13">
        <f t="shared" si="26"/>
        <v>8</v>
      </c>
      <c r="Z322" s="13" t="s">
        <v>60</v>
      </c>
      <c r="AA322" s="13">
        <f t="shared" si="31"/>
        <v>17</v>
      </c>
      <c r="AB322" s="13" t="str">
        <f t="shared" si="27"/>
        <v>Adult</v>
      </c>
      <c r="AC322" s="13">
        <v>12</v>
      </c>
      <c r="AD322" s="13">
        <v>5</v>
      </c>
      <c r="AE322" s="13" t="str">
        <f t="shared" si="28"/>
        <v>Morphological</v>
      </c>
      <c r="AF322" s="2">
        <v>3</v>
      </c>
    </row>
    <row r="323" spans="1:32" x14ac:dyDescent="0.25">
      <c r="A323" s="13">
        <v>319</v>
      </c>
      <c r="B323" s="23" t="s">
        <v>56</v>
      </c>
      <c r="C323" s="23" t="s">
        <v>57</v>
      </c>
      <c r="D323" s="23" t="s">
        <v>58</v>
      </c>
      <c r="E323" s="23" t="s">
        <v>58</v>
      </c>
      <c r="F323" s="35" cm="1">
        <f t="array" ref="F323">_xlfn.IFS($G323=$G$5,F$5,$G323=$G$7,F$7,$G323=$G$10,F$10,$G323=$G$13,F$13,$G323=$G$14,F$14,$G323=$G$16,F$16,$G323=$G$17,F$17,$G323=$G$19,F$19,$G323=$G$20,F$20,$G323=$G$22,F$22,$G323=$G$23,F$23,$G323=$G$26,F$26,$G323=$G$29,F$29,$G323=$G$31,F$31,$G323=$G$34,F$34,$G323=$G$37,F$37,$G323=$G$107,F$107,$G323=$G$110,F$110,$G323=$G$140,F$140,$G323=$G$142,F$142,$G323=$G$408,F$408)</f>
        <v>8016</v>
      </c>
      <c r="G323" s="13" t="s">
        <v>62</v>
      </c>
      <c r="H323" s="51" cm="1">
        <f t="array" ref="H323">_xlfn.IFS($G323=$G$5,H$5,$G323=$G$7,H$7,$G323=$G$10,H$10,$G323=$G$13,H$13,$G323=$G$14,H$14,$G323=$G$16,H$16,$G323=$G$17,H$17,$G323=$G$19,H$19,$G323=$G$20,H$20,$G323=$G$22,H$22,$G323=$G$23,H$23,$G323=$G$26,H$26,$G323=$G$29,H$29,$G323=$G$31,H$31,$G323=$G$34,H$34,$G323=$G$37,H$37,$G323=$G$107,H$107,$G323=$G$110,H$110,$G323=$G$140,H$140,$G323=$G$142,H$142,$G323=$G$408,H$408)</f>
        <v>41.437435000000001</v>
      </c>
      <c r="I323" s="51" cm="1">
        <f t="array" ref="I323">_xlfn.IFS($G323=$G$5,I$5,$G323=$G$7,I$7,$G323=$G$10,I$10,$G323=$G$13,I$13,$G323=$G$14,I$14,$G323=$G$16,I$16,$G323=$G$17,I$17,$G323=$G$19,I$19,$G323=$G$20,I$20,$G323=$G$22,I$22,$G323=$G$23,I$23,$G323=$G$26,I$26,$G323=$G$29,I$29,$G323=$G$31,I$31,$G323=$G$34,I$34,$G323=$G$37,I$37,$G323=$G$107,I$107,$G323=$G$110,I$110,$G323=$G$140,I$140,$G323=$G$142,I$142,$G323=$G$408,I$408)</f>
        <v>2.1812779999999998</v>
      </c>
      <c r="J323" s="51" cm="1">
        <f t="array" ref="J323">_xlfn.IFS($G323=$G$5,J$5,$G323=$G$7,J$7,$G323=$G$10,J$10,$G323=$G$13,J$13,$G323=$G$14,J$14,$G323=$G$16,J$16,$G323=$G$17,J$17,$G323=$G$19,J$19,$G323=$G$20,J$20,$G323=$G$22,J$22,$G323=$G$23,J$23,$G323=$G$26,J$26,$G323=$G$29,J$29,$G323=$G$31,J$31,$G323=$G$34,J$34,$G323=$G$37,J$37,$G323=$G$107,J$107,$G323=$G$110,J$110,$G323=$G$140,J$140,$G323=$G$142,J$142,$G323=$G$408,J$408)</f>
        <v>47</v>
      </c>
      <c r="K323" s="13" t="str" cm="1">
        <f t="array" ref="K323">_xlfn.IFS($G323=$G$5,K$5,$G323=$G$7,K$7,$G323=$G$10,K$10,$G323=$G$13,K$13,$G323=$G$14,K$14,$G323=$G$16,K$16,$G323=$G$17,K$17,$G323=$G$19,K$19,$G323=$G$20,K$20,$G323=$G$22,K$22,$G323=$G$23,K$23,$G323=$G$26,K$26,$G323=$G$29,K$29,$G323=$G$31,K$31,$G323=$G$34,K$34,$G323=$G$37,K$37,$G323=$G$107,K$107,$G323=$G$110,K$110,$G323=$G$140,K$140,$G323=$G$142,K$142,$G323=$G$408,K$408)</f>
        <v>BG sentinel + BG lure7</v>
      </c>
      <c r="O323" s="13" t="str">
        <f t="shared" si="30"/>
        <v>A_SP_BCN_3_220830</v>
      </c>
      <c r="P323" s="27">
        <v>44803</v>
      </c>
      <c r="Q323" s="29">
        <v>0.88541666666666663</v>
      </c>
      <c r="R323" s="33"/>
      <c r="S323" s="31">
        <v>44811</v>
      </c>
      <c r="T323" s="29">
        <v>0.54166666666666663</v>
      </c>
      <c r="V323" s="13" t="s">
        <v>86</v>
      </c>
      <c r="W323" s="15" t="s">
        <v>92</v>
      </c>
      <c r="X323" s="13">
        <f t="shared" si="26"/>
        <v>8</v>
      </c>
      <c r="Z323" s="13" t="s">
        <v>164</v>
      </c>
      <c r="AA323" s="13">
        <f t="shared" si="31"/>
        <v>1</v>
      </c>
      <c r="AB323" s="13" t="str">
        <f t="shared" si="27"/>
        <v>Adult</v>
      </c>
      <c r="AC323" s="13">
        <v>1</v>
      </c>
      <c r="AD323" s="13">
        <v>0</v>
      </c>
      <c r="AE323" s="13" t="str">
        <f t="shared" si="28"/>
        <v>Morphological</v>
      </c>
      <c r="AF323" s="2">
        <v>3</v>
      </c>
    </row>
    <row r="324" spans="1:32" x14ac:dyDescent="0.25">
      <c r="A324" s="13">
        <v>320</v>
      </c>
      <c r="B324" s="23" t="s">
        <v>56</v>
      </c>
      <c r="C324" s="23" t="s">
        <v>57</v>
      </c>
      <c r="D324" s="23" t="s">
        <v>58</v>
      </c>
      <c r="E324" s="23" t="s">
        <v>58</v>
      </c>
      <c r="F324" s="35" cm="1">
        <f t="array" ref="F324">_xlfn.IFS($G324=$G$5,F$5,$G324=$G$7,F$7,$G324=$G$10,F$10,$G324=$G$13,F$13,$G324=$G$14,F$14,$G324=$G$16,F$16,$G324=$G$17,F$17,$G324=$G$19,F$19,$G324=$G$20,F$20,$G324=$G$22,F$22,$G324=$G$23,F$23,$G324=$G$26,F$26,$G324=$G$29,F$29,$G324=$G$31,F$31,$G324=$G$34,F$34,$G324=$G$37,F$37,$G324=$G$107,F$107,$G324=$G$110,F$110,$G324=$G$140,F$140,$G324=$G$142,F$142,$G324=$G$408,F$408)</f>
        <v>8018</v>
      </c>
      <c r="G324" s="13" t="s">
        <v>63</v>
      </c>
      <c r="H324" s="51" cm="1">
        <f t="array" ref="H324">_xlfn.IFS($G324=$G$5,H$5,$G324=$G$7,H$7,$G324=$G$10,H$10,$G324=$G$13,H$13,$G324=$G$14,H$14,$G324=$G$16,H$16,$G324=$G$17,H$17,$G324=$G$19,H$19,$G324=$G$20,H$20,$G324=$G$22,H$22,$G324=$G$23,H$23,$G324=$G$26,H$26,$G324=$G$29,H$29,$G324=$G$31,H$31,$G324=$G$34,H$34,$G324=$G$37,H$37,$G324=$G$107,H$107,$G324=$G$110,H$110,$G324=$G$140,H$140,$G324=$G$142,H$142,$G324=$G$408,H$408)</f>
        <v>41.404924999999999</v>
      </c>
      <c r="I324" s="51" cm="1">
        <f t="array" ref="I324">_xlfn.IFS($G324=$G$5,I$5,$G324=$G$7,I$7,$G324=$G$10,I$10,$G324=$G$13,I$13,$G324=$G$14,I$14,$G324=$G$16,I$16,$G324=$G$17,I$17,$G324=$G$19,I$19,$G324=$G$20,I$20,$G324=$G$22,I$22,$G324=$G$23,I$23,$G324=$G$26,I$26,$G324=$G$29,I$29,$G324=$G$31,I$31,$G324=$G$34,I$34,$G324=$G$37,I$37,$G324=$G$107,I$107,$G324=$G$110,I$110,$G324=$G$140,I$140,$G324=$G$142,I$142,$G324=$G$408,I$408)</f>
        <v>2.1987909999999999</v>
      </c>
      <c r="J324" s="51" cm="1">
        <f t="array" ref="J324">_xlfn.IFS($G324=$G$5,J$5,$G324=$G$7,J$7,$G324=$G$10,J$10,$G324=$G$13,J$13,$G324=$G$14,J$14,$G324=$G$16,J$16,$G324=$G$17,J$17,$G324=$G$19,J$19,$G324=$G$20,J$20,$G324=$G$22,J$22,$G324=$G$23,J$23,$G324=$G$26,J$26,$G324=$G$29,J$29,$G324=$G$31,J$31,$G324=$G$34,J$34,$G324=$G$37,J$37,$G324=$G$107,J$107,$G324=$G$110,J$110,$G324=$G$140,J$140,$G324=$G$142,J$142,$G324=$G$408,J$408)</f>
        <v>4</v>
      </c>
      <c r="K324" s="13" t="str" cm="1">
        <f t="array" ref="K324">_xlfn.IFS($G324=$G$5,K$5,$G324=$G$7,K$7,$G324=$G$10,K$10,$G324=$G$13,K$13,$G324=$G$14,K$14,$G324=$G$16,K$16,$G324=$G$17,K$17,$G324=$G$19,K$19,$G324=$G$20,K$20,$G324=$G$22,K$22,$G324=$G$23,K$23,$G324=$G$26,K$26,$G324=$G$29,K$29,$G324=$G$31,K$31,$G324=$G$34,K$34,$G324=$G$37,K$37,$G324=$G$107,K$107,$G324=$G$110,K$110,$G324=$G$140,K$140,$G324=$G$142,K$142,$G324=$G$408,K$408)</f>
        <v>BG sentinel + BG lure7</v>
      </c>
      <c r="O324" s="13" t="str">
        <f t="shared" si="30"/>
        <v>A_SP_BCN_4_220830</v>
      </c>
      <c r="P324" s="27">
        <v>44803</v>
      </c>
      <c r="Q324" s="29">
        <v>0.80902777777777779</v>
      </c>
      <c r="R324" s="33"/>
      <c r="S324" s="27">
        <v>44810</v>
      </c>
      <c r="T324" s="29">
        <v>0.81597222222222221</v>
      </c>
      <c r="V324" s="13" t="s">
        <v>123</v>
      </c>
      <c r="W324" t="s">
        <v>185</v>
      </c>
      <c r="X324" s="13">
        <f t="shared" si="26"/>
        <v>7</v>
      </c>
      <c r="Z324" s="13" t="s">
        <v>60</v>
      </c>
      <c r="AA324" s="13">
        <f t="shared" si="31"/>
        <v>1</v>
      </c>
      <c r="AB324" s="13" t="str">
        <f t="shared" si="27"/>
        <v>Adult</v>
      </c>
      <c r="AC324" s="13">
        <v>0</v>
      </c>
      <c r="AD324" s="13">
        <v>1</v>
      </c>
      <c r="AE324" s="13" t="str">
        <f t="shared" si="28"/>
        <v>Morphological</v>
      </c>
      <c r="AF324" s="2">
        <v>2</v>
      </c>
    </row>
    <row r="325" spans="1:32" x14ac:dyDescent="0.25">
      <c r="A325" s="13">
        <v>321</v>
      </c>
      <c r="B325" s="23" t="s">
        <v>56</v>
      </c>
      <c r="C325" s="23" t="s">
        <v>57</v>
      </c>
      <c r="D325" s="23" t="s">
        <v>58</v>
      </c>
      <c r="E325" s="23" t="s">
        <v>58</v>
      </c>
      <c r="F325" s="35" cm="1">
        <f t="array" ref="F325">_xlfn.IFS($G325=$G$5,F$5,$G325=$G$7,F$7,$G325=$G$10,F$10,$G325=$G$13,F$13,$G325=$G$14,F$14,$G325=$G$16,F$16,$G325=$G$17,F$17,$G325=$G$19,F$19,$G325=$G$20,F$20,$G325=$G$22,F$22,$G325=$G$23,F$23,$G325=$G$26,F$26,$G325=$G$29,F$29,$G325=$G$31,F$31,$G325=$G$34,F$34,$G325=$G$37,F$37,$G325=$G$107,F$107,$G325=$G$110,F$110,$G325=$G$140,F$140,$G325=$G$142,F$142,$G325=$G$408,F$408)</f>
        <v>8018</v>
      </c>
      <c r="G325" s="13" t="s">
        <v>63</v>
      </c>
      <c r="H325" s="51" cm="1">
        <f t="array" ref="H325">_xlfn.IFS($G325=$G$5,H$5,$G325=$G$7,H$7,$G325=$G$10,H$10,$G325=$G$13,H$13,$G325=$G$14,H$14,$G325=$G$16,H$16,$G325=$G$17,H$17,$G325=$G$19,H$19,$G325=$G$20,H$20,$G325=$G$22,H$22,$G325=$G$23,H$23,$G325=$G$26,H$26,$G325=$G$29,H$29,$G325=$G$31,H$31,$G325=$G$34,H$34,$G325=$G$37,H$37,$G325=$G$107,H$107,$G325=$G$110,H$110,$G325=$G$140,H$140,$G325=$G$142,H$142,$G325=$G$408,H$408)</f>
        <v>41.404924999999999</v>
      </c>
      <c r="I325" s="51" cm="1">
        <f t="array" ref="I325">_xlfn.IFS($G325=$G$5,I$5,$G325=$G$7,I$7,$G325=$G$10,I$10,$G325=$G$13,I$13,$G325=$G$14,I$14,$G325=$G$16,I$16,$G325=$G$17,I$17,$G325=$G$19,I$19,$G325=$G$20,I$20,$G325=$G$22,I$22,$G325=$G$23,I$23,$G325=$G$26,I$26,$G325=$G$29,I$29,$G325=$G$31,I$31,$G325=$G$34,I$34,$G325=$G$37,I$37,$G325=$G$107,I$107,$G325=$G$110,I$110,$G325=$G$140,I$140,$G325=$G$142,I$142,$G325=$G$408,I$408)</f>
        <v>2.1987909999999999</v>
      </c>
      <c r="J325" s="51" cm="1">
        <f t="array" ref="J325">_xlfn.IFS($G325=$G$5,J$5,$G325=$G$7,J$7,$G325=$G$10,J$10,$G325=$G$13,J$13,$G325=$G$14,J$14,$G325=$G$16,J$16,$G325=$G$17,J$17,$G325=$G$19,J$19,$G325=$G$20,J$20,$G325=$G$22,J$22,$G325=$G$23,J$23,$G325=$G$26,J$26,$G325=$G$29,J$29,$G325=$G$31,J$31,$G325=$G$34,J$34,$G325=$G$37,J$37,$G325=$G$107,J$107,$G325=$G$110,J$110,$G325=$G$140,J$140,$G325=$G$142,J$142,$G325=$G$408,J$408)</f>
        <v>4</v>
      </c>
      <c r="K325" s="13" t="str" cm="1">
        <f t="array" ref="K325">_xlfn.IFS($G325=$G$5,K$5,$G325=$G$7,K$7,$G325=$G$10,K$10,$G325=$G$13,K$13,$G325=$G$14,K$14,$G325=$G$16,K$16,$G325=$G$17,K$17,$G325=$G$19,K$19,$G325=$G$20,K$20,$G325=$G$22,K$22,$G325=$G$23,K$23,$G325=$G$26,K$26,$G325=$G$29,K$29,$G325=$G$31,K$31,$G325=$G$34,K$34,$G325=$G$37,K$37,$G325=$G$107,K$107,$G325=$G$110,K$110,$G325=$G$140,K$140,$G325=$G$142,K$142,$G325=$G$408,K$408)</f>
        <v>BG sentinel + BG lure7</v>
      </c>
      <c r="O325" s="13" t="str">
        <f t="shared" si="30"/>
        <v>A_SP_BCN_4_220830</v>
      </c>
      <c r="P325" s="27">
        <v>44803</v>
      </c>
      <c r="Q325" s="29">
        <v>0.80902777777777779</v>
      </c>
      <c r="R325" s="33"/>
      <c r="S325" s="27">
        <v>44810</v>
      </c>
      <c r="T325" s="29">
        <v>0.81597222222222221</v>
      </c>
      <c r="V325" s="13" t="s">
        <v>123</v>
      </c>
      <c r="W325" t="s">
        <v>185</v>
      </c>
      <c r="X325" s="13">
        <f t="shared" si="26"/>
        <v>7</v>
      </c>
      <c r="Z325" s="13" t="s">
        <v>164</v>
      </c>
      <c r="AA325" s="13">
        <f t="shared" si="31"/>
        <v>1</v>
      </c>
      <c r="AB325" s="13" t="str">
        <f t="shared" si="27"/>
        <v>Adult</v>
      </c>
      <c r="AC325" s="13">
        <v>1</v>
      </c>
      <c r="AD325" s="13">
        <v>0</v>
      </c>
      <c r="AE325" s="13" t="str">
        <f t="shared" si="28"/>
        <v>Morphological</v>
      </c>
      <c r="AF325" s="2">
        <v>2</v>
      </c>
    </row>
    <row r="326" spans="1:32" x14ac:dyDescent="0.25">
      <c r="A326" s="13">
        <v>322</v>
      </c>
      <c r="B326" s="23" t="s">
        <v>56</v>
      </c>
      <c r="C326" s="23" t="s">
        <v>57</v>
      </c>
      <c r="D326" s="23" t="s">
        <v>58</v>
      </c>
      <c r="E326" s="23" t="s">
        <v>58</v>
      </c>
      <c r="F326" s="35" cm="1">
        <f t="array" ref="F326">_xlfn.IFS($G326=$G$5,F$5,$G326=$G$7,F$7,$G326=$G$10,F$10,$G326=$G$13,F$13,$G326=$G$14,F$14,$G326=$G$16,F$16,$G326=$G$17,F$17,$G326=$G$19,F$19,$G326=$G$20,F$20,$G326=$G$22,F$22,$G326=$G$23,F$23,$G326=$G$26,F$26,$G326=$G$29,F$29,$G326=$G$31,F$31,$G326=$G$34,F$34,$G326=$G$37,F$37,$G326=$G$107,F$107,$G326=$G$110,F$110,$G326=$G$140,F$140,$G326=$G$142,F$142,$G326=$G$408,F$408)</f>
        <v>8019</v>
      </c>
      <c r="G326" s="13" t="s">
        <v>64</v>
      </c>
      <c r="H326" s="51" cm="1">
        <f t="array" ref="H326">_xlfn.IFS($G326=$G$5,H$5,$G326=$G$7,H$7,$G326=$G$10,H$10,$G326=$G$13,H$13,$G326=$G$14,H$14,$G326=$G$16,H$16,$G326=$G$17,H$17,$G326=$G$19,H$19,$G326=$G$20,H$20,$G326=$G$22,H$22,$G326=$G$23,H$23,$G326=$G$26,H$26,$G326=$G$29,H$29,$G326=$G$31,H$31,$G326=$G$34,H$34,$G326=$G$37,H$37,$G326=$G$107,H$107,$G326=$G$110,H$110,$G326=$G$140,H$140,$G326=$G$142,H$142,$G326=$G$408,H$408)</f>
        <v>41.410684000000003</v>
      </c>
      <c r="I326" s="51" cm="1">
        <f t="array" ref="I326">_xlfn.IFS($G326=$G$5,I$5,$G326=$G$7,I$7,$G326=$G$10,I$10,$G326=$G$13,I$13,$G326=$G$14,I$14,$G326=$G$16,I$16,$G326=$G$17,I$17,$G326=$G$19,I$19,$G326=$G$20,I$20,$G326=$G$22,I$22,$G326=$G$23,I$23,$G326=$G$26,I$26,$G326=$G$29,I$29,$G326=$G$31,I$31,$G326=$G$34,I$34,$G326=$G$37,I$37,$G326=$G$107,I$107,$G326=$G$110,I$110,$G326=$G$140,I$140,$G326=$G$142,I$142,$G326=$G$408,I$408)</f>
        <v>2.2208019999999999</v>
      </c>
      <c r="J326" s="51" cm="1">
        <f t="array" ref="J326">_xlfn.IFS($G326=$G$5,J$5,$G326=$G$7,J$7,$G326=$G$10,J$10,$G326=$G$13,J$13,$G326=$G$14,J$14,$G326=$G$16,J$16,$G326=$G$17,J$17,$G326=$G$19,J$19,$G326=$G$20,J$20,$G326=$G$22,J$22,$G326=$G$23,J$23,$G326=$G$26,J$26,$G326=$G$29,J$29,$G326=$G$31,J$31,$G326=$G$34,J$34,$G326=$G$37,J$37,$G326=$G$107,J$107,$G326=$G$110,J$110,$G326=$G$140,J$140,$G326=$G$142,J$142,$G326=$G$408,J$408)</f>
        <v>18</v>
      </c>
      <c r="K326" s="13" t="str" cm="1">
        <f t="array" ref="K326">_xlfn.IFS($G326=$G$5,K$5,$G326=$G$7,K$7,$G326=$G$10,K$10,$G326=$G$13,K$13,$G326=$G$14,K$14,$G326=$G$16,K$16,$G326=$G$17,K$17,$G326=$G$19,K$19,$G326=$G$20,K$20,$G326=$G$22,K$22,$G326=$G$23,K$23,$G326=$G$26,K$26,$G326=$G$29,K$29,$G326=$G$31,K$31,$G326=$G$34,K$34,$G326=$G$37,K$37,$G326=$G$107,K$107,$G326=$G$110,K$110,$G326=$G$140,K$140,$G326=$G$142,K$142,$G326=$G$408,K$408)</f>
        <v>BG sentinel + BG lure7</v>
      </c>
      <c r="O326" s="13" t="str">
        <f t="shared" si="30"/>
        <v>A_SP_BCN_5_220830</v>
      </c>
      <c r="P326" s="27">
        <v>44803</v>
      </c>
      <c r="Q326" s="29">
        <v>0.79513888888888884</v>
      </c>
      <c r="R326" s="33"/>
      <c r="S326" s="27">
        <v>44810</v>
      </c>
      <c r="T326" s="29">
        <v>0.79513888888888884</v>
      </c>
      <c r="V326" s="13" t="s">
        <v>86</v>
      </c>
      <c r="X326" s="13">
        <f t="shared" ref="X326:X389" si="32">S326-P326</f>
        <v>7</v>
      </c>
      <c r="Z326" s="13" t="s">
        <v>164</v>
      </c>
      <c r="AA326" s="13">
        <f t="shared" si="31"/>
        <v>1</v>
      </c>
      <c r="AB326" s="13" t="str">
        <f t="shared" ref="AB326:AB389" si="33">IF(AA326=0,"",IF(AA326="","",IF(AA326&gt;0,"Adult")))</f>
        <v>Adult</v>
      </c>
      <c r="AC326" s="13">
        <v>0</v>
      </c>
      <c r="AD326" s="13">
        <v>1</v>
      </c>
      <c r="AE326" s="13" t="str">
        <f t="shared" ref="AE326:AE389" si="34">IF(AA326=0,"",IF(AA326="","",IF(AA326&gt;0,"Morphological")))</f>
        <v>Morphological</v>
      </c>
      <c r="AF326" s="2">
        <v>4</v>
      </c>
    </row>
    <row r="327" spans="1:32" x14ac:dyDescent="0.25">
      <c r="A327" s="13">
        <v>323</v>
      </c>
      <c r="B327" s="23" t="s">
        <v>56</v>
      </c>
      <c r="C327" s="23" t="s">
        <v>57</v>
      </c>
      <c r="D327" s="23" t="s">
        <v>58</v>
      </c>
      <c r="E327" s="23" t="s">
        <v>58</v>
      </c>
      <c r="F327" s="35" cm="1">
        <f t="array" ref="F327">_xlfn.IFS($G327=$G$5,F$5,$G327=$G$7,F$7,$G327=$G$10,F$10,$G327=$G$13,F$13,$G327=$G$14,F$14,$G327=$G$16,F$16,$G327=$G$17,F$17,$G327=$G$19,F$19,$G327=$G$20,F$20,$G327=$G$22,F$22,$G327=$G$23,F$23,$G327=$G$26,F$26,$G327=$G$29,F$29,$G327=$G$31,F$31,$G327=$G$34,F$34,$G327=$G$37,F$37,$G327=$G$107,F$107,$G327=$G$110,F$110,$G327=$G$140,F$140,$G327=$G$142,F$142,$G327=$G$408,F$408)</f>
        <v>8002</v>
      </c>
      <c r="G327" s="13" t="s">
        <v>65</v>
      </c>
      <c r="H327" s="51" cm="1">
        <f t="array" ref="H327">_xlfn.IFS($G327=$G$5,H$5,$G327=$G$7,H$7,$G327=$G$10,H$10,$G327=$G$13,H$13,$G327=$G$14,H$14,$G327=$G$16,H$16,$G327=$G$17,H$17,$G327=$G$19,H$19,$G327=$G$20,H$20,$G327=$G$22,H$22,$G327=$G$23,H$23,$G327=$G$26,H$26,$G327=$G$29,H$29,$G327=$G$31,H$31,$G327=$G$34,H$34,$G327=$G$37,H$37,$G327=$G$107,H$107,$G327=$G$110,H$110,$G327=$G$140,H$140,$G327=$G$142,H$142,$G327=$G$408,H$408)</f>
        <v>41.382339999999999</v>
      </c>
      <c r="I327" s="51" cm="1">
        <f t="array" ref="I327">_xlfn.IFS($G327=$G$5,I$5,$G327=$G$7,I$7,$G327=$G$10,I$10,$G327=$G$13,I$13,$G327=$G$14,I$14,$G327=$G$16,I$16,$G327=$G$17,I$17,$G327=$G$19,I$19,$G327=$G$20,I$20,$G327=$G$22,I$22,$G327=$G$23,I$23,$G327=$G$26,I$26,$G327=$G$29,I$29,$G327=$G$31,I$31,$G327=$G$34,I$34,$G327=$G$37,I$37,$G327=$G$107,I$107,$G327=$G$110,I$110,$G327=$G$140,I$140,$G327=$G$142,I$142,$G327=$G$408,I$408)</f>
        <v>2.1714790000000002</v>
      </c>
      <c r="J327" s="51" cm="1">
        <f t="array" ref="J327">_xlfn.IFS($G327=$G$5,J$5,$G327=$G$7,J$7,$G327=$G$10,J$10,$G327=$G$13,J$13,$G327=$G$14,J$14,$G327=$G$16,J$16,$G327=$G$17,J$17,$G327=$G$19,J$19,$G327=$G$20,J$20,$G327=$G$22,J$22,$G327=$G$23,J$23,$G327=$G$26,J$26,$G327=$G$29,J$29,$G327=$G$31,J$31,$G327=$G$34,J$34,$G327=$G$37,J$37,$G327=$G$107,J$107,$G327=$G$110,J$110,$G327=$G$140,J$140,$G327=$G$142,J$142,$G327=$G$408,J$408)</f>
        <v>19</v>
      </c>
      <c r="K327" s="13" t="str" cm="1">
        <f t="array" ref="K327">_xlfn.IFS($G327=$G$5,K$5,$G327=$G$7,K$7,$G327=$G$10,K$10,$G327=$G$13,K$13,$G327=$G$14,K$14,$G327=$G$16,K$16,$G327=$G$17,K$17,$G327=$G$19,K$19,$G327=$G$20,K$20,$G327=$G$22,K$22,$G327=$G$23,K$23,$G327=$G$26,K$26,$G327=$G$29,K$29,$G327=$G$31,K$31,$G327=$G$34,K$34,$G327=$G$37,K$37,$G327=$G$107,K$107,$G327=$G$110,K$110,$G327=$G$140,K$140,$G327=$G$142,K$142,$G327=$G$408,K$408)</f>
        <v>BG sentinel + BG lure7</v>
      </c>
      <c r="O327" s="13" t="str">
        <f t="shared" si="30"/>
        <v>A_SP_BCN_6_220830</v>
      </c>
      <c r="P327" s="27">
        <v>44803</v>
      </c>
      <c r="Q327" s="29">
        <v>0.84027777777777779</v>
      </c>
      <c r="R327" s="33"/>
      <c r="S327" s="27">
        <v>44810</v>
      </c>
      <c r="T327" s="29">
        <v>0.86111111111111116</v>
      </c>
      <c r="V327" s="13" t="s">
        <v>86</v>
      </c>
      <c r="X327" s="13">
        <f t="shared" si="32"/>
        <v>7</v>
      </c>
      <c r="Z327" s="13" t="s">
        <v>164</v>
      </c>
      <c r="AA327" s="13">
        <f t="shared" si="31"/>
        <v>1</v>
      </c>
      <c r="AB327" s="13" t="str">
        <f t="shared" si="33"/>
        <v>Adult</v>
      </c>
      <c r="AC327" s="13">
        <v>1</v>
      </c>
      <c r="AD327" s="13">
        <v>0</v>
      </c>
      <c r="AE327" s="13" t="str">
        <f t="shared" si="34"/>
        <v>Morphological</v>
      </c>
      <c r="AF327" s="2">
        <v>4</v>
      </c>
    </row>
    <row r="328" spans="1:32" x14ac:dyDescent="0.25">
      <c r="A328" s="13">
        <v>324</v>
      </c>
      <c r="B328" s="23" t="s">
        <v>56</v>
      </c>
      <c r="C328" s="23" t="s">
        <v>57</v>
      </c>
      <c r="D328" s="23" t="s">
        <v>58</v>
      </c>
      <c r="E328" s="23" t="s">
        <v>58</v>
      </c>
      <c r="F328" s="35" cm="1">
        <f t="array" ref="F328">_xlfn.IFS($G328=$G$5,F$5,$G328=$G$7,F$7,$G328=$G$10,F$10,$G328=$G$13,F$13,$G328=$G$14,F$14,$G328=$G$16,F$16,$G328=$G$17,F$17,$G328=$G$19,F$19,$G328=$G$20,F$20,$G328=$G$22,F$22,$G328=$G$23,F$23,$G328=$G$26,F$26,$G328=$G$29,F$29,$G328=$G$31,F$31,$G328=$G$34,F$34,$G328=$G$37,F$37,$G328=$G$107,F$107,$G328=$G$110,F$110,$G328=$G$140,F$140,$G328=$G$142,F$142,$G328=$G$408,F$408)</f>
        <v>8038</v>
      </c>
      <c r="G328" s="13" t="s">
        <v>69</v>
      </c>
      <c r="H328" s="51" cm="1">
        <f t="array" ref="H328">_xlfn.IFS($G328=$G$5,H$5,$G328=$G$7,H$7,$G328=$G$10,H$10,$G328=$G$13,H$13,$G328=$G$14,H$14,$G328=$G$16,H$16,$G328=$G$17,H$17,$G328=$G$19,H$19,$G328=$G$20,H$20,$G328=$G$22,H$22,$G328=$G$23,H$23,$G328=$G$26,H$26,$G328=$G$29,H$29,$G328=$G$31,H$31,$G328=$G$34,H$34,$G328=$G$37,H$37,$G328=$G$107,H$107,$G328=$G$110,H$110,$G328=$G$140,H$140,$G328=$G$142,H$142,$G328=$G$408,H$408)</f>
        <v>41.363377999999997</v>
      </c>
      <c r="I328" s="51" cm="1">
        <f t="array" ref="I328">_xlfn.IFS($G328=$G$5,I$5,$G328=$G$7,I$7,$G328=$G$10,I$10,$G328=$G$13,I$13,$G328=$G$14,I$14,$G328=$G$16,I$16,$G328=$G$17,I$17,$G328=$G$19,I$19,$G328=$G$20,I$20,$G328=$G$22,I$22,$G328=$G$23,I$23,$G328=$G$26,I$26,$G328=$G$29,I$29,$G328=$G$31,I$31,$G328=$G$34,I$34,$G328=$G$37,I$37,$G328=$G$107,I$107,$G328=$G$110,I$110,$G328=$G$140,I$140,$G328=$G$142,I$142,$G328=$G$408,I$408)</f>
        <v>2.164879</v>
      </c>
      <c r="J328" s="51" cm="1">
        <f t="array" ref="J328">_xlfn.IFS($G328=$G$5,J$5,$G328=$G$7,J$7,$G328=$G$10,J$10,$G328=$G$13,J$13,$G328=$G$14,J$14,$G328=$G$16,J$16,$G328=$G$17,J$17,$G328=$G$19,J$19,$G328=$G$20,J$20,$G328=$G$22,J$22,$G328=$G$23,J$23,$G328=$G$26,J$26,$G328=$G$29,J$29,$G328=$G$31,J$31,$G328=$G$34,J$34,$G328=$G$37,J$37,$G328=$G$107,J$107,$G328=$G$110,J$110,$G328=$G$140,J$140,$G328=$G$142,J$142,$G328=$G$408,J$408)</f>
        <v>185</v>
      </c>
      <c r="K328" s="13" t="str" cm="1">
        <f t="array" ref="K328">_xlfn.IFS($G328=$G$5,K$5,$G328=$G$7,K$7,$G328=$G$10,K$10,$G328=$G$13,K$13,$G328=$G$14,K$14,$G328=$G$16,K$16,$G328=$G$17,K$17,$G328=$G$19,K$19,$G328=$G$20,K$20,$G328=$G$22,K$22,$G328=$G$23,K$23,$G328=$G$26,K$26,$G328=$G$29,K$29,$G328=$G$31,K$31,$G328=$G$34,K$34,$G328=$G$37,K$37,$G328=$G$107,K$107,$G328=$G$110,K$110,$G328=$G$140,K$140,$G328=$G$142,K$142,$G328=$G$408,K$408)</f>
        <v>BG sentinel + BG lure7</v>
      </c>
      <c r="O328" s="13" t="str">
        <f t="shared" si="30"/>
        <v>A_SP_BCN_12_220830</v>
      </c>
      <c r="P328" s="27">
        <v>44803</v>
      </c>
      <c r="Q328" s="29">
        <v>0.625</v>
      </c>
      <c r="R328" s="33"/>
      <c r="S328" s="27">
        <v>44810</v>
      </c>
      <c r="T328" s="29">
        <v>0.56944444444444442</v>
      </c>
      <c r="V328" s="13" t="s">
        <v>86</v>
      </c>
      <c r="X328" s="13">
        <f t="shared" si="32"/>
        <v>7</v>
      </c>
      <c r="Z328" s="13" t="s">
        <v>60</v>
      </c>
      <c r="AA328" s="13">
        <f t="shared" si="31"/>
        <v>23</v>
      </c>
      <c r="AB328" s="13" t="str">
        <f t="shared" si="33"/>
        <v>Adult</v>
      </c>
      <c r="AC328" s="13">
        <v>18</v>
      </c>
      <c r="AD328" s="13">
        <v>5</v>
      </c>
      <c r="AE328" s="13" t="str">
        <f t="shared" si="34"/>
        <v>Morphological</v>
      </c>
      <c r="AF328" s="2">
        <v>4</v>
      </c>
    </row>
    <row r="329" spans="1:32" x14ac:dyDescent="0.25">
      <c r="A329" s="13">
        <v>325</v>
      </c>
      <c r="B329" s="23" t="s">
        <v>56</v>
      </c>
      <c r="C329" s="23" t="s">
        <v>57</v>
      </c>
      <c r="D329" s="23" t="s">
        <v>58</v>
      </c>
      <c r="E329" s="23" t="s">
        <v>58</v>
      </c>
      <c r="F329" s="35" cm="1">
        <f t="array" ref="F329">_xlfn.IFS($G329=$G$5,F$5,$G329=$G$7,F$7,$G329=$G$10,F$10,$G329=$G$13,F$13,$G329=$G$14,F$14,$G329=$G$16,F$16,$G329=$G$17,F$17,$G329=$G$19,F$19,$G329=$G$20,F$20,$G329=$G$22,F$22,$G329=$G$23,F$23,$G329=$G$26,F$26,$G329=$G$29,F$29,$G329=$G$31,F$31,$G329=$G$34,F$34,$G329=$G$37,F$37,$G329=$G$107,F$107,$G329=$G$110,F$110,$G329=$G$140,F$140,$G329=$G$142,F$142,$G329=$G$408,F$408)</f>
        <v>8038</v>
      </c>
      <c r="G329" s="13" t="s">
        <v>69</v>
      </c>
      <c r="H329" s="51" cm="1">
        <f t="array" ref="H329">_xlfn.IFS($G329=$G$5,H$5,$G329=$G$7,H$7,$G329=$G$10,H$10,$G329=$G$13,H$13,$G329=$G$14,H$14,$G329=$G$16,H$16,$G329=$G$17,H$17,$G329=$G$19,H$19,$G329=$G$20,H$20,$G329=$G$22,H$22,$G329=$G$23,H$23,$G329=$G$26,H$26,$G329=$G$29,H$29,$G329=$G$31,H$31,$G329=$G$34,H$34,$G329=$G$37,H$37,$G329=$G$107,H$107,$G329=$G$110,H$110,$G329=$G$140,H$140,$G329=$G$142,H$142,$G329=$G$408,H$408)</f>
        <v>41.363377999999997</v>
      </c>
      <c r="I329" s="51" cm="1">
        <f t="array" ref="I329">_xlfn.IFS($G329=$G$5,I$5,$G329=$G$7,I$7,$G329=$G$10,I$10,$G329=$G$13,I$13,$G329=$G$14,I$14,$G329=$G$16,I$16,$G329=$G$17,I$17,$G329=$G$19,I$19,$G329=$G$20,I$20,$G329=$G$22,I$22,$G329=$G$23,I$23,$G329=$G$26,I$26,$G329=$G$29,I$29,$G329=$G$31,I$31,$G329=$G$34,I$34,$G329=$G$37,I$37,$G329=$G$107,I$107,$G329=$G$110,I$110,$G329=$G$140,I$140,$G329=$G$142,I$142,$G329=$G$408,I$408)</f>
        <v>2.164879</v>
      </c>
      <c r="J329" s="51" cm="1">
        <f t="array" ref="J329">_xlfn.IFS($G329=$G$5,J$5,$G329=$G$7,J$7,$G329=$G$10,J$10,$G329=$G$13,J$13,$G329=$G$14,J$14,$G329=$G$16,J$16,$G329=$G$17,J$17,$G329=$G$19,J$19,$G329=$G$20,J$20,$G329=$G$22,J$22,$G329=$G$23,J$23,$G329=$G$26,J$26,$G329=$G$29,J$29,$G329=$G$31,J$31,$G329=$G$34,J$34,$G329=$G$37,J$37,$G329=$G$107,J$107,$G329=$G$110,J$110,$G329=$G$140,J$140,$G329=$G$142,J$142,$G329=$G$408,J$408)</f>
        <v>185</v>
      </c>
      <c r="K329" s="13" t="str" cm="1">
        <f t="array" ref="K329">_xlfn.IFS($G329=$G$5,K$5,$G329=$G$7,K$7,$G329=$G$10,K$10,$G329=$G$13,K$13,$G329=$G$14,K$14,$G329=$G$16,K$16,$G329=$G$17,K$17,$G329=$G$19,K$19,$G329=$G$20,K$20,$G329=$G$22,K$22,$G329=$G$23,K$23,$G329=$G$26,K$26,$G329=$G$29,K$29,$G329=$G$31,K$31,$G329=$G$34,K$34,$G329=$G$37,K$37,$G329=$G$107,K$107,$G329=$G$110,K$110,$G329=$G$140,K$140,$G329=$G$142,K$142,$G329=$G$408,K$408)</f>
        <v>BG sentinel + BG lure7</v>
      </c>
      <c r="O329" s="13" t="str">
        <f t="shared" si="30"/>
        <v>A_SP_BCN_12_220830</v>
      </c>
      <c r="P329" s="27">
        <v>44803</v>
      </c>
      <c r="Q329" s="29">
        <v>0.625</v>
      </c>
      <c r="R329" s="33"/>
      <c r="S329" s="27">
        <v>44810</v>
      </c>
      <c r="T329" s="29">
        <v>0.56944444444444442</v>
      </c>
      <c r="V329" s="13" t="s">
        <v>86</v>
      </c>
      <c r="X329" s="13">
        <f t="shared" si="32"/>
        <v>7</v>
      </c>
      <c r="Z329" s="13" t="s">
        <v>164</v>
      </c>
      <c r="AA329" s="13">
        <f t="shared" si="31"/>
        <v>37</v>
      </c>
      <c r="AB329" s="13" t="str">
        <f t="shared" si="33"/>
        <v>Adult</v>
      </c>
      <c r="AC329" s="13">
        <v>36</v>
      </c>
      <c r="AD329" s="13">
        <v>1</v>
      </c>
      <c r="AE329" s="13" t="str">
        <f t="shared" si="34"/>
        <v>Morphological</v>
      </c>
      <c r="AF329" s="2">
        <v>4</v>
      </c>
    </row>
    <row r="330" spans="1:32" ht="13.5" customHeight="1" x14ac:dyDescent="0.25">
      <c r="A330" s="13">
        <v>326</v>
      </c>
      <c r="B330" s="23" t="s">
        <v>56</v>
      </c>
      <c r="C330" s="23" t="s">
        <v>57</v>
      </c>
      <c r="D330" s="23" t="s">
        <v>58</v>
      </c>
      <c r="E330" s="23" t="s">
        <v>58</v>
      </c>
      <c r="F330" s="35" cm="1">
        <f t="array" ref="F330">_xlfn.IFS($G330=$G$5,F$5,$G330=$G$7,F$7,$G330=$G$10,F$10,$G330=$G$13,F$13,$G330=$G$14,F$14,$G330=$G$16,F$16,$G330=$G$17,F$17,$G330=$G$19,F$19,$G330=$G$20,F$20,$G330=$G$22,F$22,$G330=$G$23,F$23,$G330=$G$26,F$26,$G330=$G$29,F$29,$G330=$G$31,F$31,$G330=$G$34,F$34,$G330=$G$37,F$37,$G330=$G$107,F$107,$G330=$G$110,F$110,$G330=$G$140,F$140,$G330=$G$142,F$142,$G330=$G$408,F$408)</f>
        <v>8038</v>
      </c>
      <c r="G330" s="13" t="s">
        <v>69</v>
      </c>
      <c r="H330" s="51" cm="1">
        <f t="array" ref="H330">_xlfn.IFS($G330=$G$5,H$5,$G330=$G$7,H$7,$G330=$G$10,H$10,$G330=$G$13,H$13,$G330=$G$14,H$14,$G330=$G$16,H$16,$G330=$G$17,H$17,$G330=$G$19,H$19,$G330=$G$20,H$20,$G330=$G$22,H$22,$G330=$G$23,H$23,$G330=$G$26,H$26,$G330=$G$29,H$29,$G330=$G$31,H$31,$G330=$G$34,H$34,$G330=$G$37,H$37,$G330=$G$107,H$107,$G330=$G$110,H$110,$G330=$G$140,H$140,$G330=$G$142,H$142,$G330=$G$408,H$408)</f>
        <v>41.363377999999997</v>
      </c>
      <c r="I330" s="51" cm="1">
        <f t="array" ref="I330">_xlfn.IFS($G330=$G$5,I$5,$G330=$G$7,I$7,$G330=$G$10,I$10,$G330=$G$13,I$13,$G330=$G$14,I$14,$G330=$G$16,I$16,$G330=$G$17,I$17,$G330=$G$19,I$19,$G330=$G$20,I$20,$G330=$G$22,I$22,$G330=$G$23,I$23,$G330=$G$26,I$26,$G330=$G$29,I$29,$G330=$G$31,I$31,$G330=$G$34,I$34,$G330=$G$37,I$37,$G330=$G$107,I$107,$G330=$G$110,I$110,$G330=$G$140,I$140,$G330=$G$142,I$142,$G330=$G$408,I$408)</f>
        <v>2.164879</v>
      </c>
      <c r="J330" s="51" cm="1">
        <f t="array" ref="J330">_xlfn.IFS($G330=$G$5,J$5,$G330=$G$7,J$7,$G330=$G$10,J$10,$G330=$G$13,J$13,$G330=$G$14,J$14,$G330=$G$16,J$16,$G330=$G$17,J$17,$G330=$G$19,J$19,$G330=$G$20,J$20,$G330=$G$22,J$22,$G330=$G$23,J$23,$G330=$G$26,J$26,$G330=$G$29,J$29,$G330=$G$31,J$31,$G330=$G$34,J$34,$G330=$G$37,J$37,$G330=$G$107,J$107,$G330=$G$110,J$110,$G330=$G$140,J$140,$G330=$G$142,J$142,$G330=$G$408,J$408)</f>
        <v>185</v>
      </c>
      <c r="K330" s="13" t="str" cm="1">
        <f t="array" ref="K330">_xlfn.IFS($G330=$G$5,K$5,$G330=$G$7,K$7,$G330=$G$10,K$10,$G330=$G$13,K$13,$G330=$G$14,K$14,$G330=$G$16,K$16,$G330=$G$17,K$17,$G330=$G$19,K$19,$G330=$G$20,K$20,$G330=$G$22,K$22,$G330=$G$23,K$23,$G330=$G$26,K$26,$G330=$G$29,K$29,$G330=$G$31,K$31,$G330=$G$34,K$34,$G330=$G$37,K$37,$G330=$G$107,K$107,$G330=$G$110,K$110,$G330=$G$140,K$140,$G330=$G$142,K$142,$G330=$G$408,K$408)</f>
        <v>BG sentinel + BG lure7</v>
      </c>
      <c r="O330" s="13" t="str">
        <f t="shared" si="30"/>
        <v>A_SP_BCN_12_220830</v>
      </c>
      <c r="P330" s="27">
        <v>44803</v>
      </c>
      <c r="Q330" s="29">
        <v>0.625</v>
      </c>
      <c r="R330" s="33"/>
      <c r="S330" s="27">
        <v>44810</v>
      </c>
      <c r="T330" s="29">
        <v>0.56944444444444442</v>
      </c>
      <c r="V330" s="13" t="s">
        <v>86</v>
      </c>
      <c r="X330" s="13">
        <f t="shared" si="32"/>
        <v>7</v>
      </c>
      <c r="Z330" s="32" t="s">
        <v>163</v>
      </c>
      <c r="AA330" s="13">
        <f t="shared" si="31"/>
        <v>2</v>
      </c>
      <c r="AB330" s="13" t="str">
        <f t="shared" si="33"/>
        <v>Adult</v>
      </c>
      <c r="AC330" s="13">
        <v>0</v>
      </c>
      <c r="AD330" s="13">
        <v>2</v>
      </c>
      <c r="AE330" s="13" t="str">
        <f t="shared" si="34"/>
        <v>Morphological</v>
      </c>
      <c r="AF330" s="2">
        <v>4</v>
      </c>
    </row>
    <row r="331" spans="1:32" ht="13.5" customHeight="1" x14ac:dyDescent="0.25">
      <c r="A331" s="13">
        <v>327</v>
      </c>
      <c r="B331" s="23" t="s">
        <v>56</v>
      </c>
      <c r="C331" s="23" t="s">
        <v>57</v>
      </c>
      <c r="D331" s="23" t="s">
        <v>58</v>
      </c>
      <c r="E331" s="23" t="s">
        <v>58</v>
      </c>
      <c r="F331" s="35" cm="1">
        <f t="array" ref="F331">_xlfn.IFS($G331=$G$5,F$5,$G331=$G$7,F$7,$G331=$G$10,F$10,$G331=$G$13,F$13,$G331=$G$14,F$14,$G331=$G$16,F$16,$G331=$G$17,F$17,$G331=$G$19,F$19,$G331=$G$20,F$20,$G331=$G$22,F$22,$G331=$G$23,F$23,$G331=$G$26,F$26,$G331=$G$29,F$29,$G331=$G$31,F$31,$G331=$G$34,F$34,$G331=$G$37,F$37,$G331=$G$107,F$107,$G331=$G$110,F$110,$G331=$G$140,F$140,$G331=$G$142,F$142,$G331=$G$408,F$408)</f>
        <v>8035</v>
      </c>
      <c r="G331" s="13" t="s">
        <v>70</v>
      </c>
      <c r="H331" s="51" cm="1">
        <f t="array" ref="H331">_xlfn.IFS($G331=$G$5,H$5,$G331=$G$7,H$7,$G331=$G$10,H$10,$G331=$G$13,H$13,$G331=$G$14,H$14,$G331=$G$16,H$16,$G331=$G$17,H$17,$G331=$G$19,H$19,$G331=$G$20,H$20,$G331=$G$22,H$22,$G331=$G$23,H$23,$G331=$G$26,H$26,$G331=$G$29,H$29,$G331=$G$31,H$31,$G331=$G$34,H$34,$G331=$G$37,H$37,$G331=$G$107,H$107,$G331=$G$110,H$110,$G331=$G$140,H$140,$G331=$G$142,H$142,$G331=$G$408,H$408)</f>
        <v>41.434472</v>
      </c>
      <c r="I331" s="51" cm="1">
        <f t="array" ref="I331">_xlfn.IFS($G331=$G$5,I$5,$G331=$G$7,I$7,$G331=$G$10,I$10,$G331=$G$13,I$13,$G331=$G$14,I$14,$G331=$G$16,I$16,$G331=$G$17,I$17,$G331=$G$19,I$19,$G331=$G$20,I$20,$G331=$G$22,I$22,$G331=$G$23,I$23,$G331=$G$26,I$26,$G331=$G$29,I$29,$G331=$G$31,I$31,$G331=$G$34,I$34,$G331=$G$37,I$37,$G331=$G$107,I$107,$G331=$G$110,I$110,$G331=$G$140,I$140,$G331=$G$142,I$142,$G331=$G$408,I$408)</f>
        <v>2.1315789999999999</v>
      </c>
      <c r="J331" s="51" cm="1">
        <f t="array" ref="J331">_xlfn.IFS($G331=$G$5,J$5,$G331=$G$7,J$7,$G331=$G$10,J$10,$G331=$G$13,J$13,$G331=$G$14,J$14,$G331=$G$16,J$16,$G331=$G$17,J$17,$G331=$G$19,J$19,$G331=$G$20,J$20,$G331=$G$22,J$22,$G331=$G$23,J$23,$G331=$G$26,J$26,$G331=$G$29,J$29,$G331=$G$31,J$31,$G331=$G$34,J$34,$G331=$G$37,J$37,$G331=$G$107,J$107,$G331=$G$110,J$110,$G331=$G$140,J$140,$G331=$G$142,J$142,$G331=$G$408,J$408)</f>
        <v>365</v>
      </c>
      <c r="K331" s="13" t="str" cm="1">
        <f t="array" ref="K331">_xlfn.IFS($G331=$G$5,K$5,$G331=$G$7,K$7,$G331=$G$10,K$10,$G331=$G$13,K$13,$G331=$G$14,K$14,$G331=$G$16,K$16,$G331=$G$17,K$17,$G331=$G$19,K$19,$G331=$G$20,K$20,$G331=$G$22,K$22,$G331=$G$23,K$23,$G331=$G$26,K$26,$G331=$G$29,K$29,$G331=$G$31,K$31,$G331=$G$34,K$34,$G331=$G$37,K$37,$G331=$G$107,K$107,$G331=$G$110,K$110,$G331=$G$140,K$140,$G331=$G$142,K$142,$G331=$G$408,K$408)</f>
        <v>BG sentinel + BG lure7</v>
      </c>
      <c r="O331" s="13" t="str">
        <f t="shared" si="30"/>
        <v>A_SP_BCN_13_220830</v>
      </c>
      <c r="P331" s="27">
        <v>44803</v>
      </c>
      <c r="Q331" s="29">
        <v>0.74652777777777779</v>
      </c>
      <c r="R331" s="33"/>
      <c r="S331" s="27">
        <v>44810</v>
      </c>
      <c r="T331" s="29">
        <v>0.66319444444444442</v>
      </c>
      <c r="V331" s="13" t="s">
        <v>86</v>
      </c>
      <c r="W331" s="15" t="s">
        <v>148</v>
      </c>
      <c r="X331" s="13">
        <f t="shared" si="32"/>
        <v>7</v>
      </c>
      <c r="Z331" s="13" t="s">
        <v>60</v>
      </c>
      <c r="AA331" s="13">
        <f t="shared" si="31"/>
        <v>3</v>
      </c>
      <c r="AB331" s="13" t="str">
        <f t="shared" si="33"/>
        <v>Adult</v>
      </c>
      <c r="AC331" s="13">
        <v>3</v>
      </c>
      <c r="AD331" s="13">
        <v>0</v>
      </c>
      <c r="AE331" s="13" t="str">
        <f t="shared" si="34"/>
        <v>Morphological</v>
      </c>
      <c r="AF331" s="2">
        <v>3</v>
      </c>
    </row>
    <row r="332" spans="1:32" ht="13.5" customHeight="1" x14ac:dyDescent="0.25">
      <c r="A332" s="13">
        <v>328</v>
      </c>
      <c r="B332" s="23" t="s">
        <v>56</v>
      </c>
      <c r="C332" s="23" t="s">
        <v>57</v>
      </c>
      <c r="D332" s="23" t="s">
        <v>58</v>
      </c>
      <c r="E332" s="23" t="s">
        <v>58</v>
      </c>
      <c r="F332" s="35" cm="1">
        <f t="array" ref="F332">_xlfn.IFS($G332=$G$5,F$5,$G332=$G$7,F$7,$G332=$G$10,F$10,$G332=$G$13,F$13,$G332=$G$14,F$14,$G332=$G$16,F$16,$G332=$G$17,F$17,$G332=$G$19,F$19,$G332=$G$20,F$20,$G332=$G$22,F$22,$G332=$G$23,F$23,$G332=$G$26,F$26,$G332=$G$29,F$29,$G332=$G$31,F$31,$G332=$G$34,F$34,$G332=$G$37,F$37,$G332=$G$107,F$107,$G332=$G$110,F$110,$G332=$G$140,F$140,$G332=$G$142,F$142,$G332=$G$408,F$408)</f>
        <v>8017</v>
      </c>
      <c r="G332" s="13" t="s">
        <v>71</v>
      </c>
      <c r="H332" s="51" cm="1">
        <f t="array" ref="H332">_xlfn.IFS($G332=$G$5,H$5,$G332=$G$7,H$7,$G332=$G$10,H$10,$G332=$G$13,H$13,$G332=$G$14,H$14,$G332=$G$16,H$16,$G332=$G$17,H$17,$G332=$G$19,H$19,$G332=$G$20,H$20,$G332=$G$22,H$22,$G332=$G$23,H$23,$G332=$G$26,H$26,$G332=$G$29,H$29,$G332=$G$31,H$31,$G332=$G$34,H$34,$G332=$G$37,H$37,$G332=$G$107,H$107,$G332=$G$110,H$110,$G332=$G$140,H$140,$G332=$G$142,H$142,$G332=$G$408,H$408)</f>
        <v>41.428533999999999</v>
      </c>
      <c r="I332" s="51" cm="1">
        <f t="array" ref="I332">_xlfn.IFS($G332=$G$5,I$5,$G332=$G$7,I$7,$G332=$G$10,I$10,$G332=$G$13,I$13,$G332=$G$14,I$14,$G332=$G$16,I$16,$G332=$G$17,I$17,$G332=$G$19,I$19,$G332=$G$20,I$20,$G332=$G$22,I$22,$G332=$G$23,I$23,$G332=$G$26,I$26,$G332=$G$29,I$29,$G332=$G$31,I$31,$G332=$G$34,I$34,$G332=$G$37,I$37,$G332=$G$107,I$107,$G332=$G$110,I$110,$G332=$G$140,I$140,$G332=$G$142,I$142,$G332=$G$408,I$408)</f>
        <v>2.090954</v>
      </c>
      <c r="J332" s="51" cm="1">
        <f t="array" ref="J332">_xlfn.IFS($G332=$G$5,J$5,$G332=$G$7,J$7,$G332=$G$10,J$10,$G332=$G$13,J$13,$G332=$G$14,J$14,$G332=$G$16,J$16,$G332=$G$17,J$17,$G332=$G$19,J$19,$G332=$G$20,J$20,$G332=$G$22,J$22,$G332=$G$23,J$23,$G332=$G$26,J$26,$G332=$G$29,J$29,$G332=$G$31,J$31,$G332=$G$34,J$34,$G332=$G$37,J$37,$G332=$G$107,J$107,$G332=$G$110,J$110,$G332=$G$140,J$140,$G332=$G$142,J$142,$G332=$G$408,J$408)</f>
        <v>215</v>
      </c>
      <c r="K332" s="13" t="str" cm="1">
        <f t="array" ref="K332">_xlfn.IFS($G332=$G$5,K$5,$G332=$G$7,K$7,$G332=$G$10,K$10,$G332=$G$13,K$13,$G332=$G$14,K$14,$G332=$G$16,K$16,$G332=$G$17,K$17,$G332=$G$19,K$19,$G332=$G$20,K$20,$G332=$G$22,K$22,$G332=$G$23,K$23,$G332=$G$26,K$26,$G332=$G$29,K$29,$G332=$G$31,K$31,$G332=$G$34,K$34,$G332=$G$37,K$37,$G332=$G$107,K$107,$G332=$G$110,K$110,$G332=$G$140,K$140,$G332=$G$142,K$142,$G332=$G$408,K$408)</f>
        <v>BG sentinel + BG lure7</v>
      </c>
      <c r="O332" s="13" t="str">
        <f t="shared" si="30"/>
        <v>A_SP_BCN_14_220830</v>
      </c>
      <c r="P332" s="27">
        <v>44803</v>
      </c>
      <c r="Q332" s="29">
        <v>0.72222222222222221</v>
      </c>
      <c r="R332" s="33"/>
      <c r="S332" s="27">
        <v>44810</v>
      </c>
      <c r="T332" s="29">
        <v>0.69791666666666663</v>
      </c>
      <c r="V332" s="13" t="s">
        <v>86</v>
      </c>
      <c r="X332" s="13">
        <f t="shared" si="32"/>
        <v>7</v>
      </c>
      <c r="Z332" s="13" t="s">
        <v>60</v>
      </c>
      <c r="AA332" s="13">
        <f t="shared" si="31"/>
        <v>28</v>
      </c>
      <c r="AB332" s="13" t="str">
        <f t="shared" si="33"/>
        <v>Adult</v>
      </c>
      <c r="AC332" s="13">
        <v>25</v>
      </c>
      <c r="AD332" s="13">
        <v>3</v>
      </c>
      <c r="AE332" s="13" t="str">
        <f t="shared" si="34"/>
        <v>Morphological</v>
      </c>
      <c r="AF332" s="2">
        <v>4</v>
      </c>
    </row>
    <row r="333" spans="1:32" x14ac:dyDescent="0.25">
      <c r="A333" s="13">
        <v>329</v>
      </c>
      <c r="B333" s="23" t="s">
        <v>56</v>
      </c>
      <c r="C333" s="23" t="s">
        <v>57</v>
      </c>
      <c r="D333" s="23" t="s">
        <v>58</v>
      </c>
      <c r="E333" s="23" t="s">
        <v>58</v>
      </c>
      <c r="F333" s="35" cm="1">
        <f t="array" ref="F333">_xlfn.IFS($G333=$G$5,F$5,$G333=$G$7,F$7,$G333=$G$10,F$10,$G333=$G$13,F$13,$G333=$G$14,F$14,$G333=$G$16,F$16,$G333=$G$17,F$17,$G333=$G$19,F$19,$G333=$G$20,F$20,$G333=$G$22,F$22,$G333=$G$23,F$23,$G333=$G$26,F$26,$G333=$G$29,F$29,$G333=$G$31,F$31,$G333=$G$34,F$34,$G333=$G$37,F$37,$G333=$G$107,F$107,$G333=$G$110,F$110,$G333=$G$140,F$140,$G333=$G$142,F$142,$G333=$G$408,F$408)</f>
        <v>8017</v>
      </c>
      <c r="G333" s="13" t="s">
        <v>72</v>
      </c>
      <c r="H333" s="51" cm="1">
        <f t="array" ref="H333">_xlfn.IFS($G333=$G$5,H$5,$G333=$G$7,H$7,$G333=$G$10,H$10,$G333=$G$13,H$13,$G333=$G$14,H$14,$G333=$G$16,H$16,$G333=$G$17,H$17,$G333=$G$19,H$19,$G333=$G$20,H$20,$G333=$G$22,H$22,$G333=$G$23,H$23,$G333=$G$26,H$26,$G333=$G$29,H$29,$G333=$G$31,H$31,$G333=$G$34,H$34,$G333=$G$37,H$37,$G333=$G$107,H$107,$G333=$G$110,H$110,$G333=$G$140,H$140,$G333=$G$142,H$142,$G333=$G$408,H$408)</f>
        <v>41.419471000000001</v>
      </c>
      <c r="I333" s="51" cm="1">
        <f t="array" ref="I333">_xlfn.IFS($G333=$G$5,I$5,$G333=$G$7,I$7,$G333=$G$10,I$10,$G333=$G$13,I$13,$G333=$G$14,I$14,$G333=$G$16,I$16,$G333=$G$17,I$17,$G333=$G$19,I$19,$G333=$G$20,I$20,$G333=$G$22,I$22,$G333=$G$23,I$23,$G333=$G$26,I$26,$G333=$G$29,I$29,$G333=$G$31,I$31,$G333=$G$34,I$34,$G333=$G$37,I$37,$G333=$G$107,I$107,$G333=$G$110,I$110,$G333=$G$140,I$140,$G333=$G$142,I$142,$G333=$G$408,I$408)</f>
        <v>2.1010149999999999</v>
      </c>
      <c r="J333" s="51" cm="1">
        <f t="array" ref="J333">_xlfn.IFS($G333=$G$5,J$5,$G333=$G$7,J$7,$G333=$G$10,J$10,$G333=$G$13,J$13,$G333=$G$14,J$14,$G333=$G$16,J$16,$G333=$G$17,J$17,$G333=$G$19,J$19,$G333=$G$20,J$20,$G333=$G$22,J$22,$G333=$G$23,J$23,$G333=$G$26,J$26,$G333=$G$29,J$29,$G333=$G$31,J$31,$G333=$G$34,J$34,$G333=$G$37,J$37,$G333=$G$107,J$107,$G333=$G$110,J$110,$G333=$G$140,J$140,$G333=$G$142,J$142,$G333=$G$408,J$408)</f>
        <v>284</v>
      </c>
      <c r="K333" s="13" t="str" cm="1">
        <f t="array" ref="K333">_xlfn.IFS($G333=$G$5,K$5,$G333=$G$7,K$7,$G333=$G$10,K$10,$G333=$G$13,K$13,$G333=$G$14,K$14,$G333=$G$16,K$16,$G333=$G$17,K$17,$G333=$G$19,K$19,$G333=$G$20,K$20,$G333=$G$22,K$22,$G333=$G$23,K$23,$G333=$G$26,K$26,$G333=$G$29,K$29,$G333=$G$31,K$31,$G333=$G$34,K$34,$G333=$G$37,K$37,$G333=$G$107,K$107,$G333=$G$110,K$110,$G333=$G$140,K$140,$G333=$G$142,K$142,$G333=$G$408,K$408)</f>
        <v>BG sentinel + BG lure7</v>
      </c>
      <c r="O333" s="13" t="str">
        <f t="shared" si="30"/>
        <v>A_SP_BCN_15_220830</v>
      </c>
      <c r="P333" s="27">
        <v>44803</v>
      </c>
      <c r="Q333" s="29">
        <v>0.70138888888888884</v>
      </c>
      <c r="R333" s="33"/>
      <c r="S333" s="27">
        <v>44810</v>
      </c>
      <c r="T333" s="29">
        <v>0.67708333333333337</v>
      </c>
      <c r="V333" s="13" t="s">
        <v>86</v>
      </c>
      <c r="W333" s="15" t="s">
        <v>146</v>
      </c>
      <c r="X333" s="13">
        <f t="shared" si="32"/>
        <v>7</v>
      </c>
      <c r="AA333" s="13">
        <v>0</v>
      </c>
      <c r="AB333" s="13" t="str">
        <f t="shared" si="33"/>
        <v/>
      </c>
      <c r="AE333" s="13" t="str">
        <f t="shared" si="34"/>
        <v/>
      </c>
      <c r="AF333" s="2">
        <v>2</v>
      </c>
    </row>
    <row r="334" spans="1:32" x14ac:dyDescent="0.25">
      <c r="A334" s="13">
        <v>330</v>
      </c>
      <c r="B334" s="23" t="s">
        <v>56</v>
      </c>
      <c r="C334" s="23" t="s">
        <v>57</v>
      </c>
      <c r="D334" s="23" t="s">
        <v>58</v>
      </c>
      <c r="E334" s="23" t="s">
        <v>58</v>
      </c>
      <c r="F334" s="35" cm="1">
        <f t="array" ref="F334">_xlfn.IFS($G334=$G$5,F$5,$G334=$G$7,F$7,$G334=$G$10,F$10,$G334=$G$13,F$13,$G334=$G$14,F$14,$G334=$G$16,F$16,$G334=$G$17,F$17,$G334=$G$19,F$19,$G334=$G$20,F$20,$G334=$G$22,F$22,$G334=$G$23,F$23,$G334=$G$26,F$26,$G334=$G$29,F$29,$G334=$G$31,F$31,$G334=$G$34,F$34,$G334=$G$37,F$37,$G334=$G$107,F$107,$G334=$G$110,F$110,$G334=$G$140,F$140,$G334=$G$142,F$142,$G334=$G$408,F$408)</f>
        <v>8023</v>
      </c>
      <c r="G334" s="13" t="s">
        <v>74</v>
      </c>
      <c r="H334" s="51" cm="1">
        <f t="array" ref="H334">_xlfn.IFS($G334=$G$5,H$5,$G334=$G$7,H$7,$G334=$G$10,H$10,$G334=$G$13,H$13,$G334=$G$14,H$14,$G334=$G$16,H$16,$G334=$G$17,H$17,$G334=$G$19,H$19,$G334=$G$20,H$20,$G334=$G$22,H$22,$G334=$G$23,H$23,$G334=$G$26,H$26,$G334=$G$29,H$29,$G334=$G$31,H$31,$G334=$G$34,H$34,$G334=$G$37,H$37,$G334=$G$107,H$107,$G334=$G$110,H$110,$G334=$G$140,H$140,$G334=$G$142,H$142,$G334=$G$408,H$408)</f>
        <v>41.417256000000002</v>
      </c>
      <c r="I334" s="51" cm="1">
        <f t="array" ref="I334">_xlfn.IFS($G334=$G$5,I$5,$G334=$G$7,I$7,$G334=$G$10,I$10,$G334=$G$13,I$13,$G334=$G$14,I$14,$G334=$G$16,I$16,$G334=$G$17,I$17,$G334=$G$19,I$19,$G334=$G$20,I$20,$G334=$G$22,I$22,$G334=$G$23,I$23,$G334=$G$26,I$26,$G334=$G$29,I$29,$G334=$G$31,I$31,$G334=$G$34,I$34,$G334=$G$37,I$37,$G334=$G$107,I$107,$G334=$G$110,I$110,$G334=$G$140,I$140,$G334=$G$142,I$142,$G334=$G$408,I$408)</f>
        <v>2.1455709999999999</v>
      </c>
      <c r="J334" s="51" cm="1">
        <f t="array" ref="J334">_xlfn.IFS($G334=$G$5,J$5,$G334=$G$7,J$7,$G334=$G$10,J$10,$G334=$G$13,J$13,$G334=$G$14,J$14,$G334=$G$16,J$16,$G334=$G$17,J$17,$G334=$G$19,J$19,$G334=$G$20,J$20,$G334=$G$22,J$22,$G334=$G$23,J$23,$G334=$G$26,J$26,$G334=$G$29,J$29,$G334=$G$31,J$31,$G334=$G$34,J$34,$G334=$G$37,J$37,$G334=$G$107,J$107,$G334=$G$110,J$110,$G334=$G$140,J$140,$G334=$G$142,J$142,$G334=$G$408,J$408)</f>
        <v>186</v>
      </c>
      <c r="K334" s="13" t="str" cm="1">
        <f t="array" ref="K334">_xlfn.IFS($G334=$G$5,K$5,$G334=$G$7,K$7,$G334=$G$10,K$10,$G334=$G$13,K$13,$G334=$G$14,K$14,$G334=$G$16,K$16,$G334=$G$17,K$17,$G334=$G$19,K$19,$G334=$G$20,K$20,$G334=$G$22,K$22,$G334=$G$23,K$23,$G334=$G$26,K$26,$G334=$G$29,K$29,$G334=$G$31,K$31,$G334=$G$34,K$34,$G334=$G$37,K$37,$G334=$G$107,K$107,$G334=$G$110,K$110,$G334=$G$140,K$140,$G334=$G$142,K$142,$G334=$G$408,K$408)</f>
        <v>BG sentinel + BG lure7</v>
      </c>
      <c r="O334" s="13" t="str">
        <f t="shared" si="30"/>
        <v>A_SP_BCN_17_220830</v>
      </c>
      <c r="P334" s="27">
        <v>44803</v>
      </c>
      <c r="Q334" s="29">
        <v>0.77083333333333337</v>
      </c>
      <c r="R334" s="33"/>
      <c r="S334" s="27">
        <v>44810</v>
      </c>
      <c r="T334" s="29">
        <v>0.60069444444444442</v>
      </c>
      <c r="V334" s="13" t="s">
        <v>86</v>
      </c>
      <c r="W334" t="s">
        <v>186</v>
      </c>
      <c r="X334" s="13">
        <f t="shared" si="32"/>
        <v>7</v>
      </c>
      <c r="Z334" s="13" t="s">
        <v>60</v>
      </c>
      <c r="AA334" s="13">
        <f>SUM(AC334:AD334)</f>
        <v>15</v>
      </c>
      <c r="AB334" s="13" t="str">
        <f t="shared" si="33"/>
        <v>Adult</v>
      </c>
      <c r="AC334" s="13">
        <v>11</v>
      </c>
      <c r="AD334" s="13">
        <v>4</v>
      </c>
      <c r="AE334" s="13" t="str">
        <f t="shared" si="34"/>
        <v>Morphological</v>
      </c>
      <c r="AF334" s="2">
        <v>3</v>
      </c>
    </row>
    <row r="335" spans="1:32" x14ac:dyDescent="0.25">
      <c r="A335" s="13">
        <v>331</v>
      </c>
      <c r="B335" s="23" t="s">
        <v>56</v>
      </c>
      <c r="C335" s="23" t="s">
        <v>57</v>
      </c>
      <c r="D335" s="23" t="s">
        <v>58</v>
      </c>
      <c r="E335" s="23" t="s">
        <v>58</v>
      </c>
      <c r="F335" s="35" cm="1">
        <f t="array" ref="F335">_xlfn.IFS($G335=$G$5,F$5,$G335=$G$7,F$7,$G335=$G$10,F$10,$G335=$G$13,F$13,$G335=$G$14,F$14,$G335=$G$16,F$16,$G335=$G$17,F$17,$G335=$G$19,F$19,$G335=$G$20,F$20,$G335=$G$22,F$22,$G335=$G$23,F$23,$G335=$G$26,F$26,$G335=$G$29,F$29,$G335=$G$31,F$31,$G335=$G$34,F$34,$G335=$G$37,F$37,$G335=$G$107,F$107,$G335=$G$110,F$110,$G335=$G$140,F$140,$G335=$G$142,F$142,$G335=$G$408,F$408)</f>
        <v>8031</v>
      </c>
      <c r="G335" s="13" t="s">
        <v>75</v>
      </c>
      <c r="H335" s="51" cm="1">
        <f t="array" ref="H335">_xlfn.IFS($G335=$G$5,H$5,$G335=$G$7,H$7,$G335=$G$10,H$10,$G335=$G$13,H$13,$G335=$G$14,H$14,$G335=$G$16,H$16,$G335=$G$17,H$17,$G335=$G$19,H$19,$G335=$G$20,H$20,$G335=$G$22,H$22,$G335=$G$23,H$23,$G335=$G$26,H$26,$G335=$G$29,H$29,$G335=$G$31,H$31,$G335=$G$34,H$34,$G335=$G$37,H$37,$G335=$G$107,H$107,$G335=$G$110,H$110,$G335=$G$140,H$140,$G335=$G$142,H$142,$G335=$G$408,H$408)</f>
        <v>41.433618000000003</v>
      </c>
      <c r="I335" s="51" cm="1">
        <f t="array" ref="I335">_xlfn.IFS($G335=$G$5,I$5,$G335=$G$7,I$7,$G335=$G$10,I$10,$G335=$G$13,I$13,$G335=$G$14,I$14,$G335=$G$16,I$16,$G335=$G$17,I$17,$G335=$G$19,I$19,$G335=$G$20,I$20,$G335=$G$22,I$22,$G335=$G$23,I$23,$G335=$G$26,I$26,$G335=$G$29,I$29,$G335=$G$31,I$31,$G335=$G$34,I$34,$G335=$G$37,I$37,$G335=$G$107,I$107,$G335=$G$110,I$110,$G335=$G$140,I$140,$G335=$G$142,I$142,$G335=$G$408,I$408)</f>
        <v>2.1677469999999999</v>
      </c>
      <c r="J335" s="51" cm="1">
        <f t="array" ref="J335">_xlfn.IFS($G335=$G$5,J$5,$G335=$G$7,J$7,$G335=$G$10,J$10,$G335=$G$13,J$13,$G335=$G$14,J$14,$G335=$G$16,J$16,$G335=$G$17,J$17,$G335=$G$19,J$19,$G335=$G$20,J$20,$G335=$G$22,J$22,$G335=$G$23,J$23,$G335=$G$26,J$26,$G335=$G$29,J$29,$G335=$G$31,J$31,$G335=$G$34,J$34,$G335=$G$37,J$37,$G335=$G$107,J$107,$G335=$G$110,J$110,$G335=$G$140,J$140,$G335=$G$142,J$142,$G335=$G$408,J$408)</f>
        <v>96.85</v>
      </c>
      <c r="K335" s="13" t="str" cm="1">
        <f t="array" ref="K335">_xlfn.IFS($G335=$G$5,K$5,$G335=$G$7,K$7,$G335=$G$10,K$10,$G335=$G$13,K$13,$G335=$G$14,K$14,$G335=$G$16,K$16,$G335=$G$17,K$17,$G335=$G$19,K$19,$G335=$G$20,K$20,$G335=$G$22,K$22,$G335=$G$23,K$23,$G335=$G$26,K$26,$G335=$G$29,K$29,$G335=$G$31,K$31,$G335=$G$34,K$34,$G335=$G$37,K$37,$G335=$G$107,K$107,$G335=$G$110,K$110,$G335=$G$140,K$140,$G335=$G$142,K$142,$G335=$G$408,K$408)</f>
        <v>BG sentinel + BG lure7</v>
      </c>
      <c r="O335" s="13" t="str">
        <f t="shared" si="30"/>
        <v>A_SP_BCN_18_220727</v>
      </c>
      <c r="P335" s="27">
        <v>44769</v>
      </c>
      <c r="Q335" s="29">
        <v>0.85416666666666663</v>
      </c>
      <c r="R335" s="33"/>
      <c r="S335" s="27">
        <v>44810</v>
      </c>
      <c r="T335" s="29">
        <v>0.77430555555555547</v>
      </c>
      <c r="V335" s="13" t="s">
        <v>123</v>
      </c>
      <c r="W335" s="15" t="s">
        <v>147</v>
      </c>
      <c r="X335" s="13">
        <f t="shared" si="32"/>
        <v>41</v>
      </c>
      <c r="Z335" s="13" t="s">
        <v>60</v>
      </c>
      <c r="AA335" s="13">
        <f t="shared" ref="AA335:AA336" si="35">SUM(AC335:AD335)</f>
        <v>20</v>
      </c>
      <c r="AB335" s="13" t="str">
        <f t="shared" si="33"/>
        <v>Adult</v>
      </c>
      <c r="AC335" s="13">
        <v>18</v>
      </c>
      <c r="AD335" s="13">
        <v>2</v>
      </c>
      <c r="AE335" s="13" t="str">
        <f t="shared" si="34"/>
        <v>Morphological</v>
      </c>
      <c r="AF335" s="2">
        <v>1</v>
      </c>
    </row>
    <row r="336" spans="1:32" x14ac:dyDescent="0.25">
      <c r="A336" s="13">
        <v>332</v>
      </c>
      <c r="B336" s="23" t="s">
        <v>56</v>
      </c>
      <c r="C336" s="23" t="s">
        <v>57</v>
      </c>
      <c r="D336" s="23" t="s">
        <v>58</v>
      </c>
      <c r="E336" s="23" t="s">
        <v>58</v>
      </c>
      <c r="F336" s="35" cm="1">
        <f t="array" ref="F336">_xlfn.IFS($G336=$G$5,F$5,$G336=$G$7,F$7,$G336=$G$10,F$10,$G336=$G$13,F$13,$G336=$G$14,F$14,$G336=$G$16,F$16,$G336=$G$17,F$17,$G336=$G$19,F$19,$G336=$G$20,F$20,$G336=$G$22,F$22,$G336=$G$23,F$23,$G336=$G$26,F$26,$G336=$G$29,F$29,$G336=$G$31,F$31,$G336=$G$34,F$34,$G336=$G$37,F$37,$G336=$G$107,F$107,$G336=$G$110,F$110,$G336=$G$140,F$140,$G336=$G$142,F$142,$G336=$G$408,F$408)</f>
        <v>8031</v>
      </c>
      <c r="G336" s="13" t="s">
        <v>75</v>
      </c>
      <c r="H336" s="51" cm="1">
        <f t="array" ref="H336">_xlfn.IFS($G336=$G$5,H$5,$G336=$G$7,H$7,$G336=$G$10,H$10,$G336=$G$13,H$13,$G336=$G$14,H$14,$G336=$G$16,H$16,$G336=$G$17,H$17,$G336=$G$19,H$19,$G336=$G$20,H$20,$G336=$G$22,H$22,$G336=$G$23,H$23,$G336=$G$26,H$26,$G336=$G$29,H$29,$G336=$G$31,H$31,$G336=$G$34,H$34,$G336=$G$37,H$37,$G336=$G$107,H$107,$G336=$G$110,H$110,$G336=$G$140,H$140,$G336=$G$142,H$142,$G336=$G$408,H$408)</f>
        <v>41.433618000000003</v>
      </c>
      <c r="I336" s="51" cm="1">
        <f t="array" ref="I336">_xlfn.IFS($G336=$G$5,I$5,$G336=$G$7,I$7,$G336=$G$10,I$10,$G336=$G$13,I$13,$G336=$G$14,I$14,$G336=$G$16,I$16,$G336=$G$17,I$17,$G336=$G$19,I$19,$G336=$G$20,I$20,$G336=$G$22,I$22,$G336=$G$23,I$23,$G336=$G$26,I$26,$G336=$G$29,I$29,$G336=$G$31,I$31,$G336=$G$34,I$34,$G336=$G$37,I$37,$G336=$G$107,I$107,$G336=$G$110,I$110,$G336=$G$140,I$140,$G336=$G$142,I$142,$G336=$G$408,I$408)</f>
        <v>2.1677469999999999</v>
      </c>
      <c r="J336" s="51" cm="1">
        <f t="array" ref="J336">_xlfn.IFS($G336=$G$5,J$5,$G336=$G$7,J$7,$G336=$G$10,J$10,$G336=$G$13,J$13,$G336=$G$14,J$14,$G336=$G$16,J$16,$G336=$G$17,J$17,$G336=$G$19,J$19,$G336=$G$20,J$20,$G336=$G$22,J$22,$G336=$G$23,J$23,$G336=$G$26,J$26,$G336=$G$29,J$29,$G336=$G$31,J$31,$G336=$G$34,J$34,$G336=$G$37,J$37,$G336=$G$107,J$107,$G336=$G$110,J$110,$G336=$G$140,J$140,$G336=$G$142,J$142,$G336=$G$408,J$408)</f>
        <v>96.85</v>
      </c>
      <c r="K336" s="13" t="str" cm="1">
        <f t="array" ref="K336">_xlfn.IFS($G336=$G$5,K$5,$G336=$G$7,K$7,$G336=$G$10,K$10,$G336=$G$13,K$13,$G336=$G$14,K$14,$G336=$G$16,K$16,$G336=$G$17,K$17,$G336=$G$19,K$19,$G336=$G$20,K$20,$G336=$G$22,K$22,$G336=$G$23,K$23,$G336=$G$26,K$26,$G336=$G$29,K$29,$G336=$G$31,K$31,$G336=$G$34,K$34,$G336=$G$37,K$37,$G336=$G$107,K$107,$G336=$G$110,K$110,$G336=$G$140,K$140,$G336=$G$142,K$142,$G336=$G$408,K$408)</f>
        <v>BG sentinel + BG lure7</v>
      </c>
      <c r="O336" s="13" t="str">
        <f t="shared" si="30"/>
        <v>A_SP_BCN_18_220727</v>
      </c>
      <c r="P336" s="27">
        <v>44769</v>
      </c>
      <c r="Q336" s="29">
        <v>0.85416666666666663</v>
      </c>
      <c r="R336" s="33"/>
      <c r="S336" s="27">
        <v>44810</v>
      </c>
      <c r="T336" s="29">
        <v>0.77430555555555547</v>
      </c>
      <c r="V336" s="13" t="s">
        <v>123</v>
      </c>
      <c r="W336" s="15" t="s">
        <v>147</v>
      </c>
      <c r="X336" s="13">
        <f t="shared" si="32"/>
        <v>41</v>
      </c>
      <c r="Z336" s="13" t="s">
        <v>164</v>
      </c>
      <c r="AA336" s="13">
        <f t="shared" si="35"/>
        <v>1</v>
      </c>
      <c r="AB336" s="13" t="str">
        <f t="shared" si="33"/>
        <v>Adult</v>
      </c>
      <c r="AC336" s="13">
        <v>0</v>
      </c>
      <c r="AD336" s="13">
        <v>1</v>
      </c>
      <c r="AE336" s="13" t="str">
        <f t="shared" si="34"/>
        <v>Morphological</v>
      </c>
      <c r="AF336" s="2">
        <v>1</v>
      </c>
    </row>
    <row r="337" spans="1:32" x14ac:dyDescent="0.25">
      <c r="A337" s="13">
        <v>333</v>
      </c>
      <c r="B337" s="23" t="s">
        <v>56</v>
      </c>
      <c r="C337" s="23" t="s">
        <v>57</v>
      </c>
      <c r="D337" s="23" t="s">
        <v>58</v>
      </c>
      <c r="E337" s="23" t="s">
        <v>58</v>
      </c>
      <c r="F337" s="35" cm="1">
        <f t="array" ref="F337">_xlfn.IFS($G337=$G$5,F$5,$G337=$G$7,F$7,$G337=$G$10,F$10,$G337=$G$13,F$13,$G337=$G$14,F$14,$G337=$G$16,F$16,$G337=$G$17,F$17,$G337=$G$19,F$19,$G337=$G$20,F$20,$G337=$G$22,F$22,$G337=$G$23,F$23,$G337=$G$26,F$26,$G337=$G$29,F$29,$G337=$G$31,F$31,$G337=$G$34,F$34,$G337=$G$37,F$37,$G337=$G$107,F$107,$G337=$G$110,F$110,$G337=$G$140,F$140,$G337=$G$142,F$142,$G337=$G$408,F$408)</f>
        <v>8038</v>
      </c>
      <c r="G337" s="13" t="s">
        <v>76</v>
      </c>
      <c r="H337" s="51" cm="1">
        <f t="array" ref="H337">_xlfn.IFS($G337=$G$5,H$5,$G337=$G$7,H$7,$G337=$G$10,H$10,$G337=$G$13,H$13,$G337=$G$14,H$14,$G337=$G$16,H$16,$G337=$G$17,H$17,$G337=$G$19,H$19,$G337=$G$20,H$20,$G337=$G$22,H$22,$G337=$G$23,H$23,$G337=$G$26,H$26,$G337=$G$29,H$29,$G337=$G$31,H$31,$G337=$G$34,H$34,$G337=$G$37,H$37,$G337=$G$107,H$107,$G337=$G$110,H$110,$G337=$G$140,H$140,$G337=$G$142,H$142,$G337=$G$408,H$408)</f>
        <v>41.359864999999999</v>
      </c>
      <c r="I337" s="51" cm="1">
        <f t="array" ref="I337">_xlfn.IFS($G337=$G$5,I$5,$G337=$G$7,I$7,$G337=$G$10,I$10,$G337=$G$13,I$13,$G337=$G$14,I$14,$G337=$G$16,I$16,$G337=$G$17,I$17,$G337=$G$19,I$19,$G337=$G$20,I$20,$G337=$G$22,I$22,$G337=$G$23,I$23,$G337=$G$26,I$26,$G337=$G$29,I$29,$G337=$G$31,I$31,$G337=$G$34,I$34,$G337=$G$37,I$37,$G337=$G$107,I$107,$G337=$G$110,I$110,$G337=$G$140,I$140,$G337=$G$142,I$142,$G337=$G$408,I$408)</f>
        <v>2.1445430000000001</v>
      </c>
      <c r="J337" s="51" cm="1">
        <f t="array" ref="J337">_xlfn.IFS($G337=$G$5,J$5,$G337=$G$7,J$7,$G337=$G$10,J$10,$G337=$G$13,J$13,$G337=$G$14,J$14,$G337=$G$16,J$16,$G337=$G$17,J$17,$G337=$G$19,J$19,$G337=$G$20,J$20,$G337=$G$22,J$22,$G337=$G$23,J$23,$G337=$G$26,J$26,$G337=$G$29,J$29,$G337=$G$31,J$31,$G337=$G$34,J$34,$G337=$G$37,J$37,$G337=$G$107,J$107,$G337=$G$110,J$110,$G337=$G$140,J$140,$G337=$G$142,J$142,$G337=$G$408,J$408)</f>
        <v>11.4</v>
      </c>
      <c r="K337" s="13" t="str" cm="1">
        <f t="array" ref="K337">_xlfn.IFS($G337=$G$5,K$5,$G337=$G$7,K$7,$G337=$G$10,K$10,$G337=$G$13,K$13,$G337=$G$14,K$14,$G337=$G$16,K$16,$G337=$G$17,K$17,$G337=$G$19,K$19,$G337=$G$20,K$20,$G337=$G$22,K$22,$G337=$G$23,K$23,$G337=$G$26,K$26,$G337=$G$29,K$29,$G337=$G$31,K$31,$G337=$G$34,K$34,$G337=$G$37,K$37,$G337=$G$107,K$107,$G337=$G$110,K$110,$G337=$G$140,K$140,$G337=$G$142,K$142,$G337=$G$408,K$408)</f>
        <v>BG sentinel + BG lure7</v>
      </c>
      <c r="O337" s="13" t="str">
        <f t="shared" si="30"/>
        <v>A_SP_BCN_19_220830</v>
      </c>
      <c r="P337" s="27">
        <v>44803</v>
      </c>
      <c r="Q337" s="36">
        <v>0.59375</v>
      </c>
      <c r="R337" s="33"/>
      <c r="S337" s="27">
        <v>44810</v>
      </c>
      <c r="T337" s="29">
        <v>0.54166666666666663</v>
      </c>
      <c r="V337" s="13" t="s">
        <v>86</v>
      </c>
      <c r="X337" s="13">
        <f t="shared" si="32"/>
        <v>7</v>
      </c>
      <c r="Z337" s="13" t="s">
        <v>164</v>
      </c>
      <c r="AA337" s="13">
        <f>SUM(AC337:AD337)</f>
        <v>12</v>
      </c>
      <c r="AB337" s="13" t="str">
        <f t="shared" si="33"/>
        <v>Adult</v>
      </c>
      <c r="AC337" s="13">
        <v>12</v>
      </c>
      <c r="AD337" s="13">
        <v>0</v>
      </c>
      <c r="AE337" s="13" t="str">
        <f t="shared" si="34"/>
        <v>Morphological</v>
      </c>
      <c r="AF337" s="2">
        <v>4</v>
      </c>
    </row>
    <row r="338" spans="1:32" x14ac:dyDescent="0.25">
      <c r="A338" s="13">
        <v>334</v>
      </c>
      <c r="B338" s="23" t="s">
        <v>56</v>
      </c>
      <c r="C338" s="23" t="s">
        <v>57</v>
      </c>
      <c r="D338" s="23" t="s">
        <v>58</v>
      </c>
      <c r="E338" s="23" t="s">
        <v>58</v>
      </c>
      <c r="F338" s="35" cm="1">
        <f t="array" ref="F338">_xlfn.IFS($G338=$G$5,F$5,$G338=$G$7,F$7,$G338=$G$10,F$10,$G338=$G$13,F$13,$G338=$G$14,F$14,$G338=$G$16,F$16,$G338=$G$17,F$17,$G338=$G$19,F$19,$G338=$G$20,F$20,$G338=$G$22,F$22,$G338=$G$23,F$23,$G338=$G$26,F$26,$G338=$G$29,F$29,$G338=$G$31,F$31,$G338=$G$34,F$34,$G338=$G$37,F$37,$G338=$G$107,F$107,$G338=$G$110,F$110,$G338=$G$140,F$140,$G338=$G$142,F$142,$G338=$G$408,F$408)</f>
        <v>8017</v>
      </c>
      <c r="G338" s="13" t="s">
        <v>77</v>
      </c>
      <c r="H338" s="51" cm="1">
        <f t="array" ref="H338">_xlfn.IFS($G338=$G$5,H$5,$G338=$G$7,H$7,$G338=$G$10,H$10,$G338=$G$13,H$13,$G338=$G$14,H$14,$G338=$G$16,H$16,$G338=$G$17,H$17,$G338=$G$19,H$19,$G338=$G$20,H$20,$G338=$G$22,H$22,$G338=$G$23,H$23,$G338=$G$26,H$26,$G338=$G$29,H$29,$G338=$G$31,H$31,$G338=$G$34,H$34,$G338=$G$37,H$37,$G338=$G$107,H$107,$G338=$G$110,H$110,$G338=$G$140,H$140,$G338=$G$142,H$142,$G338=$G$408,H$408)</f>
        <v>41.430315999999998</v>
      </c>
      <c r="I338" s="51" cm="1">
        <f t="array" ref="I338">_xlfn.IFS($G338=$G$5,I$5,$G338=$G$7,I$7,$G338=$G$10,I$10,$G338=$G$13,I$13,$G338=$G$14,I$14,$G338=$G$16,I$16,$G338=$G$17,I$17,$G338=$G$19,I$19,$G338=$G$20,I$20,$G338=$G$22,I$22,$G338=$G$23,I$23,$G338=$G$26,I$26,$G338=$G$29,I$29,$G338=$G$31,I$31,$G338=$G$34,I$34,$G338=$G$37,I$37,$G338=$G$107,I$107,$G338=$G$110,I$110,$G338=$G$140,I$140,$G338=$G$142,I$142,$G338=$G$408,I$408)</f>
        <v>2.077556</v>
      </c>
      <c r="J338" s="51" cm="1">
        <f t="array" ref="J338">_xlfn.IFS($G338=$G$5,J$5,$G338=$G$7,J$7,$G338=$G$10,J$10,$G338=$G$13,J$13,$G338=$G$14,J$14,$G338=$G$16,J$16,$G338=$G$17,J$17,$G338=$G$19,J$19,$G338=$G$20,J$20,$G338=$G$22,J$22,$G338=$G$23,J$23,$G338=$G$26,J$26,$G338=$G$29,J$29,$G338=$G$31,J$31,$G338=$G$34,J$34,$G338=$G$37,J$37,$G338=$G$107,J$107,$G338=$G$110,J$110,$G338=$G$140,J$140,$G338=$G$142,J$142,$G338=$G$408,J$408)</f>
        <v>243.3</v>
      </c>
      <c r="K338" s="13" t="str" cm="1">
        <f t="array" ref="K338">_xlfn.IFS($G338=$G$5,K$5,$G338=$G$7,K$7,$G338=$G$10,K$10,$G338=$G$13,K$13,$G338=$G$14,K$14,$G338=$G$16,K$16,$G338=$G$17,K$17,$G338=$G$19,K$19,$G338=$G$20,K$20,$G338=$G$22,K$22,$G338=$G$23,K$23,$G338=$G$26,K$26,$G338=$G$29,K$29,$G338=$G$31,K$31,$G338=$G$34,K$34,$G338=$G$37,K$37,$G338=$G$107,K$107,$G338=$G$110,K$110,$G338=$G$140,K$140,$G338=$G$142,K$142,$G338=$G$408,K$408)</f>
        <v>BG sentinel + BG lure7</v>
      </c>
      <c r="O338" s="13" t="str">
        <f t="shared" si="30"/>
        <v>A_SP_BCN_22_220830</v>
      </c>
      <c r="P338" s="42">
        <v>44803</v>
      </c>
      <c r="Q338" s="36">
        <v>0.71180555555555547</v>
      </c>
      <c r="R338" s="43"/>
      <c r="S338" s="42">
        <v>44810</v>
      </c>
      <c r="T338" s="36">
        <v>0.6875</v>
      </c>
      <c r="V338" s="13" t="s">
        <v>160</v>
      </c>
      <c r="W338" s="16" t="s">
        <v>187</v>
      </c>
      <c r="X338" s="13">
        <f t="shared" si="32"/>
        <v>7</v>
      </c>
      <c r="AB338" s="13" t="str">
        <f t="shared" si="33"/>
        <v/>
      </c>
      <c r="AE338" s="13" t="str">
        <f t="shared" si="34"/>
        <v/>
      </c>
      <c r="AF338" s="2">
        <v>1</v>
      </c>
    </row>
    <row r="339" spans="1:32" x14ac:dyDescent="0.25">
      <c r="A339" s="13">
        <v>335</v>
      </c>
      <c r="B339" s="23" t="s">
        <v>56</v>
      </c>
      <c r="C339" s="23" t="s">
        <v>57</v>
      </c>
      <c r="D339" s="23" t="s">
        <v>58</v>
      </c>
      <c r="E339" s="23" t="s">
        <v>58</v>
      </c>
      <c r="F339" s="35" cm="1">
        <f t="array" ref="F339">_xlfn.IFS($G339=$G$5,F$5,$G339=$G$7,F$7,$G339=$G$10,F$10,$G339=$G$13,F$13,$G339=$G$14,F$14,$G339=$G$16,F$16,$G339=$G$17,F$17,$G339=$G$19,F$19,$G339=$G$20,F$20,$G339=$G$22,F$22,$G339=$G$23,F$23,$G339=$G$26,F$26,$G339=$G$29,F$29,$G339=$G$31,F$31,$G339=$G$34,F$34,$G339=$G$37,F$37,$G339=$G$107,F$107,$G339=$G$110,F$110,$G339=$G$140,F$140,$G339=$G$142,F$142,$G339=$G$408,F$408)</f>
        <v>8038</v>
      </c>
      <c r="G339" s="13" t="s">
        <v>79</v>
      </c>
      <c r="H339" s="51" cm="1">
        <f t="array" ref="H339">_xlfn.IFS($G339=$G$5,H$5,$G339=$G$7,H$7,$G339=$G$10,H$10,$G339=$G$13,H$13,$G339=$G$14,H$14,$G339=$G$16,H$16,$G339=$G$17,H$17,$G339=$G$19,H$19,$G339=$G$20,H$20,$G339=$G$22,H$22,$G339=$G$23,H$23,$G339=$G$26,H$26,$G339=$G$29,H$29,$G339=$G$31,H$31,$G339=$G$34,H$34,$G339=$G$37,H$37,$G339=$G$107,H$107,$G339=$G$110,H$110,$G339=$G$140,H$140,$G339=$G$142,H$142,$G339=$G$408,H$408)</f>
        <v>41.367100000000001</v>
      </c>
      <c r="I339" s="51" cm="1">
        <f t="array" ref="I339">_xlfn.IFS($G339=$G$5,I$5,$G339=$G$7,I$7,$G339=$G$10,I$10,$G339=$G$13,I$13,$G339=$G$14,I$14,$G339=$G$16,I$16,$G339=$G$17,I$17,$G339=$G$19,I$19,$G339=$G$20,I$20,$G339=$G$22,I$22,$G339=$G$23,I$23,$G339=$G$26,I$26,$G339=$G$29,I$29,$G339=$G$31,I$31,$G339=$G$34,I$34,$G339=$G$37,I$37,$G339=$G$107,I$107,$G339=$G$110,I$110,$G339=$G$140,I$140,$G339=$G$142,I$142,$G339=$G$408,I$408)</f>
        <v>2.1539079999999999</v>
      </c>
      <c r="J339" s="51" cm="1">
        <f t="array" ref="J339">_xlfn.IFS($G339=$G$5,J$5,$G339=$G$7,J$7,$G339=$G$10,J$10,$G339=$G$13,J$13,$G339=$G$14,J$14,$G339=$G$16,J$16,$G339=$G$17,J$17,$G339=$G$19,J$19,$G339=$G$20,J$20,$G339=$G$22,J$22,$G339=$G$23,J$23,$G339=$G$26,J$26,$G339=$G$29,J$29,$G339=$G$31,J$31,$G339=$G$34,J$34,$G339=$G$37,J$37,$G339=$G$107,J$107,$G339=$G$110,J$110,$G339=$G$140,J$140,$G339=$G$142,J$142,$G339=$G$408,J$408)</f>
        <v>68</v>
      </c>
      <c r="K339" s="13" t="str" cm="1">
        <f t="array" ref="K339">_xlfn.IFS($G339=$G$5,K$5,$G339=$G$7,K$7,$G339=$G$10,K$10,$G339=$G$13,K$13,$G339=$G$14,K$14,$G339=$G$16,K$16,$G339=$G$17,K$17,$G339=$G$19,K$19,$G339=$G$20,K$20,$G339=$G$22,K$22,$G339=$G$23,K$23,$G339=$G$26,K$26,$G339=$G$29,K$29,$G339=$G$31,K$31,$G339=$G$34,K$34,$G339=$G$37,K$37,$G339=$G$107,K$107,$G339=$G$110,K$110,$G339=$G$140,K$140,$G339=$G$142,K$142,$G339=$G$408,K$408)</f>
        <v>BG sentinel + BG lure7</v>
      </c>
      <c r="O339" s="13" t="str">
        <f t="shared" si="30"/>
        <v>A_SP_BCN_23_220830</v>
      </c>
      <c r="P339" s="27">
        <v>44803</v>
      </c>
      <c r="Q339" s="29">
        <v>0.60763888888888895</v>
      </c>
      <c r="R339" s="33"/>
      <c r="S339" s="27">
        <v>44810</v>
      </c>
      <c r="T339" s="29">
        <v>0.55555555555555558</v>
      </c>
      <c r="V339" s="13" t="s">
        <v>86</v>
      </c>
      <c r="X339" s="13">
        <f t="shared" si="32"/>
        <v>7</v>
      </c>
      <c r="Z339" s="13" t="s">
        <v>60</v>
      </c>
      <c r="AA339" s="13">
        <f t="shared" ref="AA339:AA345" si="36">SUM(AC339:AD339)</f>
        <v>5</v>
      </c>
      <c r="AB339" s="13" t="str">
        <f t="shared" si="33"/>
        <v>Adult</v>
      </c>
      <c r="AC339" s="13">
        <v>2</v>
      </c>
      <c r="AD339" s="13">
        <v>3</v>
      </c>
      <c r="AE339" s="13" t="str">
        <f t="shared" si="34"/>
        <v>Morphological</v>
      </c>
      <c r="AF339" s="2">
        <v>4</v>
      </c>
    </row>
    <row r="340" spans="1:32" x14ac:dyDescent="0.25">
      <c r="A340" s="13">
        <v>336</v>
      </c>
      <c r="B340" s="23" t="s">
        <v>56</v>
      </c>
      <c r="C340" s="23" t="s">
        <v>57</v>
      </c>
      <c r="D340" s="23" t="s">
        <v>58</v>
      </c>
      <c r="E340" s="23" t="s">
        <v>58</v>
      </c>
      <c r="F340" s="35" cm="1">
        <f t="array" ref="F340">_xlfn.IFS($G340=$G$5,F$5,$G340=$G$7,F$7,$G340=$G$10,F$10,$G340=$G$13,F$13,$G340=$G$14,F$14,$G340=$G$16,F$16,$G340=$G$17,F$17,$G340=$G$19,F$19,$G340=$G$20,F$20,$G340=$G$22,F$22,$G340=$G$23,F$23,$G340=$G$26,F$26,$G340=$G$29,F$29,$G340=$G$31,F$31,$G340=$G$34,F$34,$G340=$G$37,F$37,$G340=$G$107,F$107,$G340=$G$110,F$110,$G340=$G$140,F$140,$G340=$G$142,F$142,$G340=$G$408,F$408)</f>
        <v>8038</v>
      </c>
      <c r="G340" s="13" t="s">
        <v>79</v>
      </c>
      <c r="H340" s="51" cm="1">
        <f t="array" ref="H340">_xlfn.IFS($G340=$G$5,H$5,$G340=$G$7,H$7,$G340=$G$10,H$10,$G340=$G$13,H$13,$G340=$G$14,H$14,$G340=$G$16,H$16,$G340=$G$17,H$17,$G340=$G$19,H$19,$G340=$G$20,H$20,$G340=$G$22,H$22,$G340=$G$23,H$23,$G340=$G$26,H$26,$G340=$G$29,H$29,$G340=$G$31,H$31,$G340=$G$34,H$34,$G340=$G$37,H$37,$G340=$G$107,H$107,$G340=$G$110,H$110,$G340=$G$140,H$140,$G340=$G$142,H$142,$G340=$G$408,H$408)</f>
        <v>41.367100000000001</v>
      </c>
      <c r="I340" s="51" cm="1">
        <f t="array" ref="I340">_xlfn.IFS($G340=$G$5,I$5,$G340=$G$7,I$7,$G340=$G$10,I$10,$G340=$G$13,I$13,$G340=$G$14,I$14,$G340=$G$16,I$16,$G340=$G$17,I$17,$G340=$G$19,I$19,$G340=$G$20,I$20,$G340=$G$22,I$22,$G340=$G$23,I$23,$G340=$G$26,I$26,$G340=$G$29,I$29,$G340=$G$31,I$31,$G340=$G$34,I$34,$G340=$G$37,I$37,$G340=$G$107,I$107,$G340=$G$110,I$110,$G340=$G$140,I$140,$G340=$G$142,I$142,$G340=$G$408,I$408)</f>
        <v>2.1539079999999999</v>
      </c>
      <c r="J340" s="51" cm="1">
        <f t="array" ref="J340">_xlfn.IFS($G340=$G$5,J$5,$G340=$G$7,J$7,$G340=$G$10,J$10,$G340=$G$13,J$13,$G340=$G$14,J$14,$G340=$G$16,J$16,$G340=$G$17,J$17,$G340=$G$19,J$19,$G340=$G$20,J$20,$G340=$G$22,J$22,$G340=$G$23,J$23,$G340=$G$26,J$26,$G340=$G$29,J$29,$G340=$G$31,J$31,$G340=$G$34,J$34,$G340=$G$37,J$37,$G340=$G$107,J$107,$G340=$G$110,J$110,$G340=$G$140,J$140,$G340=$G$142,J$142,$G340=$G$408,J$408)</f>
        <v>68</v>
      </c>
      <c r="K340" s="13" t="str" cm="1">
        <f t="array" ref="K340">_xlfn.IFS($G340=$G$5,K$5,$G340=$G$7,K$7,$G340=$G$10,K$10,$G340=$G$13,K$13,$G340=$G$14,K$14,$G340=$G$16,K$16,$G340=$G$17,K$17,$G340=$G$19,K$19,$G340=$G$20,K$20,$G340=$G$22,K$22,$G340=$G$23,K$23,$G340=$G$26,K$26,$G340=$G$29,K$29,$G340=$G$31,K$31,$G340=$G$34,K$34,$G340=$G$37,K$37,$G340=$G$107,K$107,$G340=$G$110,K$110,$G340=$G$140,K$140,$G340=$G$142,K$142,$G340=$G$408,K$408)</f>
        <v>BG sentinel + BG lure7</v>
      </c>
      <c r="O340" s="13" t="str">
        <f t="shared" si="30"/>
        <v>A_SP_BCN_23_220830</v>
      </c>
      <c r="P340" s="27">
        <v>44803</v>
      </c>
      <c r="Q340" s="29">
        <v>0.60763888888888895</v>
      </c>
      <c r="R340" s="33"/>
      <c r="S340" s="27">
        <v>44810</v>
      </c>
      <c r="T340" s="29">
        <v>0.55555555555555558</v>
      </c>
      <c r="V340" s="13" t="s">
        <v>86</v>
      </c>
      <c r="X340" s="13">
        <f t="shared" si="32"/>
        <v>7</v>
      </c>
      <c r="Z340" s="13" t="s">
        <v>164</v>
      </c>
      <c r="AA340" s="13">
        <f t="shared" si="36"/>
        <v>1</v>
      </c>
      <c r="AB340" s="13" t="str">
        <f t="shared" si="33"/>
        <v>Adult</v>
      </c>
      <c r="AC340" s="13">
        <v>1</v>
      </c>
      <c r="AD340" s="13">
        <v>0</v>
      </c>
      <c r="AE340" s="13" t="str">
        <f t="shared" si="34"/>
        <v>Morphological</v>
      </c>
      <c r="AF340" s="2">
        <v>4</v>
      </c>
    </row>
    <row r="341" spans="1:32" x14ac:dyDescent="0.25">
      <c r="A341" s="13">
        <v>337</v>
      </c>
      <c r="B341" s="23" t="s">
        <v>56</v>
      </c>
      <c r="C341" s="23" t="s">
        <v>57</v>
      </c>
      <c r="D341" s="23" t="s">
        <v>58</v>
      </c>
      <c r="E341" s="23" t="s">
        <v>58</v>
      </c>
      <c r="F341" s="35" cm="1">
        <f t="array" ref="F341">_xlfn.IFS($G341=$G$5,F$5,$G341=$G$7,F$7,$G341=$G$10,F$10,$G341=$G$13,F$13,$G341=$G$14,F$14,$G341=$G$16,F$16,$G341=$G$17,F$17,$G341=$G$19,F$19,$G341=$G$20,F$20,$G341=$G$22,F$22,$G341=$G$23,F$23,$G341=$G$26,F$26,$G341=$G$29,F$29,$G341=$G$31,F$31,$G341=$G$34,F$34,$G341=$G$37,F$37,$G341=$G$107,F$107,$G341=$G$110,F$110,$G341=$G$140,F$140,$G341=$G$142,F$142,$G341=$G$408,F$408)</f>
        <v>8015</v>
      </c>
      <c r="G341" s="13" t="s">
        <v>78</v>
      </c>
      <c r="H341" s="51" cm="1">
        <f t="array" ref="H341">_xlfn.IFS($G341=$G$5,H$5,$G341=$G$7,H$7,$G341=$G$10,H$10,$G341=$G$13,H$13,$G341=$G$14,H$14,$G341=$G$16,H$16,$G341=$G$17,H$17,$G341=$G$19,H$19,$G341=$G$20,H$20,$G341=$G$22,H$22,$G341=$G$23,H$23,$G341=$G$26,H$26,$G341=$G$29,H$29,$G341=$G$31,H$31,$G341=$G$34,H$34,$G341=$G$37,H$37,$G341=$G$107,H$107,$G341=$G$110,H$110,$G341=$G$140,H$140,$G341=$G$142,H$142,$G341=$G$408,H$408)</f>
        <v>41.381725000000003</v>
      </c>
      <c r="I341" s="51" cm="1">
        <f t="array" ref="I341">_xlfn.IFS($G341=$G$5,I$5,$G341=$G$7,I$7,$G341=$G$10,I$10,$G341=$G$13,I$13,$G341=$G$14,I$14,$G341=$G$16,I$16,$G341=$G$17,I$17,$G341=$G$19,I$19,$G341=$G$20,I$20,$G341=$G$22,I$22,$G341=$G$23,I$23,$G341=$G$26,I$26,$G341=$G$29,I$29,$G341=$G$31,I$31,$G341=$G$34,I$34,$G341=$G$37,I$37,$G341=$G$107,I$107,$G341=$G$110,I$110,$G341=$G$140,I$140,$G341=$G$142,I$142,$G341=$G$408,I$408)</f>
        <v>2.1543679999999998</v>
      </c>
      <c r="J341" s="51" cm="1">
        <f t="array" ref="J341">_xlfn.IFS($G341=$G$5,J$5,$G341=$G$7,J$7,$G341=$G$10,J$10,$G341=$G$13,J$13,$G341=$G$14,J$14,$G341=$G$16,J$16,$G341=$G$17,J$17,$G341=$G$19,J$19,$G341=$G$20,J$20,$G341=$G$22,J$22,$G341=$G$23,J$23,$G341=$G$26,J$26,$G341=$G$29,J$29,$G341=$G$31,J$31,$G341=$G$34,J$34,$G341=$G$37,J$37,$G341=$G$107,J$107,$G341=$G$110,J$110,$G341=$G$140,J$140,$G341=$G$142,J$142,$G341=$G$408,J$408)</f>
        <v>20.7</v>
      </c>
      <c r="K341" s="13" t="str" cm="1">
        <f t="array" ref="K341">_xlfn.IFS($G341=$G$5,K$5,$G341=$G$7,K$7,$G341=$G$10,K$10,$G341=$G$13,K$13,$G341=$G$14,K$14,$G341=$G$16,K$16,$G341=$G$17,K$17,$G341=$G$19,K$19,$G341=$G$20,K$20,$G341=$G$22,K$22,$G341=$G$23,K$23,$G341=$G$26,K$26,$G341=$G$29,K$29,$G341=$G$31,K$31,$G341=$G$34,K$34,$G341=$G$37,K$37,$G341=$G$107,K$107,$G341=$G$110,K$110,$G341=$G$140,K$140,$G341=$G$142,K$142,$G341=$G$408,K$408)</f>
        <v>BG sentinel + BG lure7</v>
      </c>
      <c r="O341" s="13" t="str">
        <f t="shared" si="30"/>
        <v>A_SP_BCN_24_220830</v>
      </c>
      <c r="P341" s="27">
        <v>44803</v>
      </c>
      <c r="Q341" s="29">
        <v>0.86111111111111116</v>
      </c>
      <c r="R341" s="33"/>
      <c r="S341" s="27">
        <v>44810</v>
      </c>
      <c r="T341" s="29">
        <v>0.88194444444444453</v>
      </c>
      <c r="V341" s="13" t="s">
        <v>86</v>
      </c>
      <c r="X341" s="13">
        <f t="shared" si="32"/>
        <v>7</v>
      </c>
      <c r="Z341" s="13" t="s">
        <v>60</v>
      </c>
      <c r="AA341" s="13">
        <f t="shared" si="36"/>
        <v>92</v>
      </c>
      <c r="AB341" s="13" t="str">
        <f t="shared" si="33"/>
        <v>Adult</v>
      </c>
      <c r="AC341" s="13">
        <v>45</v>
      </c>
      <c r="AD341" s="13">
        <v>47</v>
      </c>
      <c r="AE341" s="13" t="str">
        <f t="shared" si="34"/>
        <v>Morphological</v>
      </c>
      <c r="AF341" s="2">
        <v>4</v>
      </c>
    </row>
    <row r="342" spans="1:32" x14ac:dyDescent="0.25">
      <c r="A342" s="13">
        <v>338</v>
      </c>
      <c r="B342" s="23" t="s">
        <v>56</v>
      </c>
      <c r="C342" s="23" t="s">
        <v>57</v>
      </c>
      <c r="D342" s="23" t="s">
        <v>58</v>
      </c>
      <c r="E342" s="23" t="s">
        <v>58</v>
      </c>
      <c r="F342" s="35" cm="1">
        <f t="array" ref="F342">_xlfn.IFS($G342=$G$5,F$5,$G342=$G$7,F$7,$G342=$G$10,F$10,$G342=$G$13,F$13,$G342=$G$14,F$14,$G342=$G$16,F$16,$G342=$G$17,F$17,$G342=$G$19,F$19,$G342=$G$20,F$20,$G342=$G$22,F$22,$G342=$G$23,F$23,$G342=$G$26,F$26,$G342=$G$29,F$29,$G342=$G$31,F$31,$G342=$G$34,F$34,$G342=$G$37,F$37,$G342=$G$107,F$107,$G342=$G$110,F$110,$G342=$G$140,F$140,$G342=$G$142,F$142,$G342=$G$408,F$408)</f>
        <v>8015</v>
      </c>
      <c r="G342" s="13" t="s">
        <v>78</v>
      </c>
      <c r="H342" s="51" cm="1">
        <f t="array" ref="H342">_xlfn.IFS($G342=$G$5,H$5,$G342=$G$7,H$7,$G342=$G$10,H$10,$G342=$G$13,H$13,$G342=$G$14,H$14,$G342=$G$16,H$16,$G342=$G$17,H$17,$G342=$G$19,H$19,$G342=$G$20,H$20,$G342=$G$22,H$22,$G342=$G$23,H$23,$G342=$G$26,H$26,$G342=$G$29,H$29,$G342=$G$31,H$31,$G342=$G$34,H$34,$G342=$G$37,H$37,$G342=$G$107,H$107,$G342=$G$110,H$110,$G342=$G$140,H$140,$G342=$G$142,H$142,$G342=$G$408,H$408)</f>
        <v>41.381725000000003</v>
      </c>
      <c r="I342" s="51" cm="1">
        <f t="array" ref="I342">_xlfn.IFS($G342=$G$5,I$5,$G342=$G$7,I$7,$G342=$G$10,I$10,$G342=$G$13,I$13,$G342=$G$14,I$14,$G342=$G$16,I$16,$G342=$G$17,I$17,$G342=$G$19,I$19,$G342=$G$20,I$20,$G342=$G$22,I$22,$G342=$G$23,I$23,$G342=$G$26,I$26,$G342=$G$29,I$29,$G342=$G$31,I$31,$G342=$G$34,I$34,$G342=$G$37,I$37,$G342=$G$107,I$107,$G342=$G$110,I$110,$G342=$G$140,I$140,$G342=$G$142,I$142,$G342=$G$408,I$408)</f>
        <v>2.1543679999999998</v>
      </c>
      <c r="J342" s="51" cm="1">
        <f t="array" ref="J342">_xlfn.IFS($G342=$G$5,J$5,$G342=$G$7,J$7,$G342=$G$10,J$10,$G342=$G$13,J$13,$G342=$G$14,J$14,$G342=$G$16,J$16,$G342=$G$17,J$17,$G342=$G$19,J$19,$G342=$G$20,J$20,$G342=$G$22,J$22,$G342=$G$23,J$23,$G342=$G$26,J$26,$G342=$G$29,J$29,$G342=$G$31,J$31,$G342=$G$34,J$34,$G342=$G$37,J$37,$G342=$G$107,J$107,$G342=$G$110,J$110,$G342=$G$140,J$140,$G342=$G$142,J$142,$G342=$G$408,J$408)</f>
        <v>20.7</v>
      </c>
      <c r="K342" s="13" t="str" cm="1">
        <f t="array" ref="K342">_xlfn.IFS($G342=$G$5,K$5,$G342=$G$7,K$7,$G342=$G$10,K$10,$G342=$G$13,K$13,$G342=$G$14,K$14,$G342=$G$16,K$16,$G342=$G$17,K$17,$G342=$G$19,K$19,$G342=$G$20,K$20,$G342=$G$22,K$22,$G342=$G$23,K$23,$G342=$G$26,K$26,$G342=$G$29,K$29,$G342=$G$31,K$31,$G342=$G$34,K$34,$G342=$G$37,K$37,$G342=$G$107,K$107,$G342=$G$110,K$110,$G342=$G$140,K$140,$G342=$G$142,K$142,$G342=$G$408,K$408)</f>
        <v>BG sentinel + BG lure7</v>
      </c>
      <c r="O342" s="13" t="str">
        <f t="shared" si="30"/>
        <v>A_SP_BCN_24_220830</v>
      </c>
      <c r="P342" s="27">
        <v>44803</v>
      </c>
      <c r="Q342" s="29">
        <v>0.86111111111111116</v>
      </c>
      <c r="R342" s="33"/>
      <c r="S342" s="27">
        <v>44810</v>
      </c>
      <c r="T342" s="29">
        <v>0.88194444444444453</v>
      </c>
      <c r="V342" s="13" t="s">
        <v>86</v>
      </c>
      <c r="X342" s="13">
        <f t="shared" si="32"/>
        <v>7</v>
      </c>
      <c r="Z342" s="13" t="s">
        <v>164</v>
      </c>
      <c r="AA342" s="13">
        <f t="shared" si="36"/>
        <v>2</v>
      </c>
      <c r="AB342" s="13" t="str">
        <f t="shared" si="33"/>
        <v>Adult</v>
      </c>
      <c r="AC342" s="13">
        <v>1</v>
      </c>
      <c r="AD342" s="13">
        <v>1</v>
      </c>
      <c r="AE342" s="13" t="str">
        <f t="shared" si="34"/>
        <v>Morphological</v>
      </c>
      <c r="AF342" s="2">
        <v>4</v>
      </c>
    </row>
    <row r="343" spans="1:32" x14ac:dyDescent="0.25">
      <c r="A343" s="13">
        <v>339</v>
      </c>
      <c r="B343" s="23" t="s">
        <v>56</v>
      </c>
      <c r="C343" s="23" t="s">
        <v>57</v>
      </c>
      <c r="D343" s="23" t="s">
        <v>58</v>
      </c>
      <c r="E343" s="23" t="s">
        <v>58</v>
      </c>
      <c r="F343" s="35" cm="1">
        <f t="array" ref="F343">_xlfn.IFS($G343=$G$5,F$5,$G343=$G$7,F$7,$G343=$G$10,F$10,$G343=$G$13,F$13,$G343=$G$14,F$14,$G343=$G$16,F$16,$G343=$G$17,F$17,$G343=$G$19,F$19,$G343=$G$20,F$20,$G343=$G$22,F$22,$G343=$G$23,F$23,$G343=$G$26,F$26,$G343=$G$29,F$29,$G343=$G$31,F$31,$G343=$G$34,F$34,$G343=$G$37,F$37,$G343=$G$107,F$107,$G343=$G$110,F$110,$G343=$G$140,F$140,$G343=$G$142,F$142,$G343=$G$408,F$408)</f>
        <v>8017</v>
      </c>
      <c r="G343" s="13" t="s">
        <v>97</v>
      </c>
      <c r="H343" s="51" cm="1">
        <f t="array" ref="H343">_xlfn.IFS($G343=$G$5,H$5,$G343=$G$7,H$7,$G343=$G$10,H$10,$G343=$G$13,H$13,$G343=$G$14,H$14,$G343=$G$16,H$16,$G343=$G$17,H$17,$G343=$G$19,H$19,$G343=$G$20,H$20,$G343=$G$22,H$22,$G343=$G$23,H$23,$G343=$G$26,H$26,$G343=$G$29,H$29,$G343=$G$31,H$31,$G343=$G$34,H$34,$G343=$G$37,H$37,$G343=$G$107,H$107,$G343=$G$110,H$110,$G343=$G$140,H$140,$G343=$G$142,H$142,$G343=$G$408,H$408)</f>
        <v>41.430372407595499</v>
      </c>
      <c r="I343" s="51" cm="1">
        <f t="array" ref="I343">_xlfn.IFS($G343=$G$5,I$5,$G343=$G$7,I$7,$G343=$G$10,I$10,$G343=$G$13,I$13,$G343=$G$14,I$14,$G343=$G$16,I$16,$G343=$G$17,I$17,$G343=$G$19,I$19,$G343=$G$20,I$20,$G343=$G$22,I$22,$G343=$G$23,I$23,$G343=$G$26,I$26,$G343=$G$29,I$29,$G343=$G$31,I$31,$G343=$G$34,I$34,$G343=$G$37,I$37,$G343=$G$107,I$107,$G343=$G$110,I$110,$G343=$G$140,I$140,$G343=$G$142,I$142,$G343=$G$408,I$408)</f>
        <v>2.0778358219819002</v>
      </c>
      <c r="J343" s="51" cm="1">
        <f t="array" ref="J343">_xlfn.IFS($G343=$G$5,J$5,$G343=$G$7,J$7,$G343=$G$10,J$10,$G343=$G$13,J$13,$G343=$G$14,J$14,$G343=$G$16,J$16,$G343=$G$17,J$17,$G343=$G$19,J$19,$G343=$G$20,J$20,$G343=$G$22,J$22,$G343=$G$23,J$23,$G343=$G$26,J$26,$G343=$G$29,J$29,$G343=$G$31,J$31,$G343=$G$34,J$34,$G343=$G$37,J$37,$G343=$G$107,J$107,$G343=$G$110,J$110,$G343=$G$140,J$140,$G343=$G$142,J$142,$G343=$G$408,J$408)</f>
        <v>242</v>
      </c>
      <c r="K343" s="13" t="str" cm="1">
        <f t="array" ref="K343">_xlfn.IFS($G343=$G$5,K$5,$G343=$G$7,K$7,$G343=$G$10,K$10,$G343=$G$13,K$13,$G343=$G$14,K$14,$G343=$G$16,K$16,$G343=$G$17,K$17,$G343=$G$19,K$19,$G343=$G$20,K$20,$G343=$G$22,K$22,$G343=$G$23,K$23,$G343=$G$26,K$26,$G343=$G$29,K$29,$G343=$G$31,K$31,$G343=$G$34,K$34,$G343=$G$37,K$37,$G343=$G$107,K$107,$G343=$G$110,K$110,$G343=$G$140,K$140,$G343=$G$142,K$142,$G343=$G$408,K$408)</f>
        <v>Mtego</v>
      </c>
      <c r="O343" s="13" t="str">
        <f t="shared" si="30"/>
        <v>Premal_1_220830</v>
      </c>
      <c r="P343" s="27">
        <v>44803</v>
      </c>
      <c r="Q343" s="29">
        <v>0.71180555555555547</v>
      </c>
      <c r="R343" s="33"/>
      <c r="S343" s="27">
        <v>44810</v>
      </c>
      <c r="T343" s="29">
        <v>0.6875</v>
      </c>
      <c r="V343" s="13" t="s">
        <v>86</v>
      </c>
      <c r="X343" s="13">
        <f t="shared" si="32"/>
        <v>7</v>
      </c>
      <c r="Z343" s="13" t="s">
        <v>60</v>
      </c>
      <c r="AA343" s="13">
        <f t="shared" si="36"/>
        <v>11</v>
      </c>
      <c r="AB343" s="13" t="str">
        <f t="shared" si="33"/>
        <v>Adult</v>
      </c>
      <c r="AC343" s="13">
        <v>11</v>
      </c>
      <c r="AD343" s="13">
        <v>0</v>
      </c>
      <c r="AE343" s="13" t="str">
        <f t="shared" si="34"/>
        <v>Morphological</v>
      </c>
      <c r="AF343" s="2">
        <v>4</v>
      </c>
    </row>
    <row r="344" spans="1:32" x14ac:dyDescent="0.25">
      <c r="A344" s="13">
        <v>340</v>
      </c>
      <c r="B344" s="23" t="s">
        <v>56</v>
      </c>
      <c r="C344" s="23" t="s">
        <v>57</v>
      </c>
      <c r="D344" s="23" t="s">
        <v>58</v>
      </c>
      <c r="E344" s="23" t="s">
        <v>58</v>
      </c>
      <c r="F344" s="35" cm="1">
        <f t="array" ref="F344">_xlfn.IFS($G344=$G$5,F$5,$G344=$G$7,F$7,$G344=$G$10,F$10,$G344=$G$13,F$13,$G344=$G$14,F$14,$G344=$G$16,F$16,$G344=$G$17,F$17,$G344=$G$19,F$19,$G344=$G$20,F$20,$G344=$G$22,F$22,$G344=$G$23,F$23,$G344=$G$26,F$26,$G344=$G$29,F$29,$G344=$G$31,F$31,$G344=$G$34,F$34,$G344=$G$37,F$37,$G344=$G$107,F$107,$G344=$G$110,F$110,$G344=$G$140,F$140,$G344=$G$142,F$142,$G344=$G$408,F$408)</f>
        <v>8017</v>
      </c>
      <c r="G344" s="13" t="s">
        <v>97</v>
      </c>
      <c r="H344" s="51" cm="1">
        <f t="array" ref="H344">_xlfn.IFS($G344=$G$5,H$5,$G344=$G$7,H$7,$G344=$G$10,H$10,$G344=$G$13,H$13,$G344=$G$14,H$14,$G344=$G$16,H$16,$G344=$G$17,H$17,$G344=$G$19,H$19,$G344=$G$20,H$20,$G344=$G$22,H$22,$G344=$G$23,H$23,$G344=$G$26,H$26,$G344=$G$29,H$29,$G344=$G$31,H$31,$G344=$G$34,H$34,$G344=$G$37,H$37,$G344=$G$107,H$107,$G344=$G$110,H$110,$G344=$G$140,H$140,$G344=$G$142,H$142,$G344=$G$408,H$408)</f>
        <v>41.430372407595499</v>
      </c>
      <c r="I344" s="51" cm="1">
        <f t="array" ref="I344">_xlfn.IFS($G344=$G$5,I$5,$G344=$G$7,I$7,$G344=$G$10,I$10,$G344=$G$13,I$13,$G344=$G$14,I$14,$G344=$G$16,I$16,$G344=$G$17,I$17,$G344=$G$19,I$19,$G344=$G$20,I$20,$G344=$G$22,I$22,$G344=$G$23,I$23,$G344=$G$26,I$26,$G344=$G$29,I$29,$G344=$G$31,I$31,$G344=$G$34,I$34,$G344=$G$37,I$37,$G344=$G$107,I$107,$G344=$G$110,I$110,$G344=$G$140,I$140,$G344=$G$142,I$142,$G344=$G$408,I$408)</f>
        <v>2.0778358219819002</v>
      </c>
      <c r="J344" s="51" cm="1">
        <f t="array" ref="J344">_xlfn.IFS($G344=$G$5,J$5,$G344=$G$7,J$7,$G344=$G$10,J$10,$G344=$G$13,J$13,$G344=$G$14,J$14,$G344=$G$16,J$16,$G344=$G$17,J$17,$G344=$G$19,J$19,$G344=$G$20,J$20,$G344=$G$22,J$22,$G344=$G$23,J$23,$G344=$G$26,J$26,$G344=$G$29,J$29,$G344=$G$31,J$31,$G344=$G$34,J$34,$G344=$G$37,J$37,$G344=$G$107,J$107,$G344=$G$110,J$110,$G344=$G$140,J$140,$G344=$G$142,J$142,$G344=$G$408,J$408)</f>
        <v>242</v>
      </c>
      <c r="K344" s="13" t="str" cm="1">
        <f t="array" ref="K344">_xlfn.IFS($G344=$G$5,K$5,$G344=$G$7,K$7,$G344=$G$10,K$10,$G344=$G$13,K$13,$G344=$G$14,K$14,$G344=$G$16,K$16,$G344=$G$17,K$17,$G344=$G$19,K$19,$G344=$G$20,K$20,$G344=$G$22,K$22,$G344=$G$23,K$23,$G344=$G$26,K$26,$G344=$G$29,K$29,$G344=$G$31,K$31,$G344=$G$34,K$34,$G344=$G$37,K$37,$G344=$G$107,K$107,$G344=$G$110,K$110,$G344=$G$140,K$140,$G344=$G$142,K$142,$G344=$G$408,K$408)</f>
        <v>Mtego</v>
      </c>
      <c r="O344" s="13" t="str">
        <f t="shared" si="30"/>
        <v>Premal_1_220830</v>
      </c>
      <c r="P344" s="27">
        <v>44803</v>
      </c>
      <c r="Q344" s="29">
        <v>0.71180555555555547</v>
      </c>
      <c r="R344" s="33"/>
      <c r="S344" s="27">
        <v>44810</v>
      </c>
      <c r="T344" s="29">
        <v>0.6875</v>
      </c>
      <c r="V344" s="13" t="s">
        <v>86</v>
      </c>
      <c r="X344" s="13">
        <f t="shared" si="32"/>
        <v>7</v>
      </c>
      <c r="Z344" s="13" t="s">
        <v>164</v>
      </c>
      <c r="AA344" s="13">
        <f t="shared" si="36"/>
        <v>2</v>
      </c>
      <c r="AB344" s="13" t="str">
        <f t="shared" si="33"/>
        <v>Adult</v>
      </c>
      <c r="AC344" s="13">
        <v>2</v>
      </c>
      <c r="AD344" s="13">
        <v>0</v>
      </c>
      <c r="AE344" s="13" t="str">
        <f t="shared" si="34"/>
        <v>Morphological</v>
      </c>
      <c r="AF344" s="2">
        <v>4</v>
      </c>
    </row>
    <row r="345" spans="1:32" x14ac:dyDescent="0.25">
      <c r="A345" s="13">
        <v>341</v>
      </c>
      <c r="B345" s="23" t="s">
        <v>56</v>
      </c>
      <c r="C345" s="23" t="s">
        <v>57</v>
      </c>
      <c r="D345" s="23" t="s">
        <v>58</v>
      </c>
      <c r="E345" s="23" t="s">
        <v>58</v>
      </c>
      <c r="F345" s="35" cm="1">
        <f t="array" ref="F345">_xlfn.IFS($G345=$G$5,F$5,$G345=$G$7,F$7,$G345=$G$10,F$10,$G345=$G$13,F$13,$G345=$G$14,F$14,$G345=$G$16,F$16,$G345=$G$17,F$17,$G345=$G$19,F$19,$G345=$G$20,F$20,$G345=$G$22,F$22,$G345=$G$23,F$23,$G345=$G$26,F$26,$G345=$G$29,F$29,$G345=$G$31,F$31,$G345=$G$34,F$34,$G345=$G$37,F$37,$G345=$G$107,F$107,$G345=$G$110,F$110,$G345=$G$140,F$140,$G345=$G$142,F$142,$G345=$G$408,F$408)</f>
        <v>8035</v>
      </c>
      <c r="G345" s="13" t="s">
        <v>61</v>
      </c>
      <c r="H345" s="51" cm="1">
        <f t="array" ref="H345">_xlfn.IFS($G345=$G$5,H$5,$G345=$G$7,H$7,$G345=$G$10,H$10,$G345=$G$13,H$13,$G345=$G$14,H$14,$G345=$G$16,H$16,$G345=$G$17,H$17,$G345=$G$19,H$19,$G345=$G$20,H$20,$G345=$G$22,H$22,$G345=$G$23,H$23,$G345=$G$26,H$26,$G345=$G$29,H$29,$G345=$G$31,H$31,$G345=$G$34,H$34,$G345=$G$37,H$37,$G345=$G$107,H$107,$G345=$G$110,H$110,$G345=$G$140,H$140,$G345=$G$142,H$142,$G345=$G$408,H$408)</f>
        <v>41.424387000000003</v>
      </c>
      <c r="I345" s="51" cm="1">
        <f t="array" ref="I345">_xlfn.IFS($G345=$G$5,I$5,$G345=$G$7,I$7,$G345=$G$10,I$10,$G345=$G$13,I$13,$G345=$G$14,I$14,$G345=$G$16,I$16,$G345=$G$17,I$17,$G345=$G$19,I$19,$G345=$G$20,I$20,$G345=$G$22,I$22,$G345=$G$23,I$23,$G345=$G$26,I$26,$G345=$G$29,I$29,$G345=$G$31,I$31,$G345=$G$34,I$34,$G345=$G$37,I$37,$G345=$G$107,I$107,$G345=$G$110,I$110,$G345=$G$140,I$140,$G345=$G$142,I$142,$G345=$G$408,I$408)</f>
        <v>2.1431439999999999</v>
      </c>
      <c r="J345" s="51" cm="1">
        <f t="array" ref="J345">_xlfn.IFS($G345=$G$5,J$5,$G345=$G$7,J$7,$G345=$G$10,J$10,$G345=$G$13,J$13,$G345=$G$14,J$14,$G345=$G$16,J$16,$G345=$G$17,J$17,$G345=$G$19,J$19,$G345=$G$20,J$20,$G345=$G$22,J$22,$G345=$G$23,J$23,$G345=$G$26,J$26,$G345=$G$29,J$29,$G345=$G$31,J$31,$G345=$G$34,J$34,$G345=$G$37,J$37,$G345=$G$107,J$107,$G345=$G$110,J$110,$G345=$G$140,J$140,$G345=$G$142,J$142,$G345=$G$408,J$408)</f>
        <v>160</v>
      </c>
      <c r="K345" s="13" t="str" cm="1">
        <f t="array" ref="K345">_xlfn.IFS($G345=$G$5,K$5,$G345=$G$7,K$7,$G345=$G$10,K$10,$G345=$G$13,K$13,$G345=$G$14,K$14,$G345=$G$16,K$16,$G345=$G$17,K$17,$G345=$G$19,K$19,$G345=$G$20,K$20,$G345=$G$22,K$22,$G345=$G$23,K$23,$G345=$G$26,K$26,$G345=$G$29,K$29,$G345=$G$31,K$31,$G345=$G$34,K$34,$G345=$G$37,K$37,$G345=$G$107,K$107,$G345=$G$110,K$110,$G345=$G$140,K$140,$G345=$G$142,K$142,$G345=$G$408,K$408)</f>
        <v>BG sentinel + BG lure7</v>
      </c>
      <c r="O345" s="13" t="str">
        <f t="shared" si="30"/>
        <v>A_SP_BCN_2_220906</v>
      </c>
      <c r="P345" s="27">
        <v>44810</v>
      </c>
      <c r="Q345" s="29">
        <v>0.65277777777777779</v>
      </c>
      <c r="R345" s="33"/>
      <c r="S345" s="27">
        <v>44817</v>
      </c>
      <c r="T345" s="29">
        <v>0.65625</v>
      </c>
      <c r="V345" s="13" t="s">
        <v>86</v>
      </c>
      <c r="X345" s="13">
        <f t="shared" si="32"/>
        <v>7</v>
      </c>
      <c r="Z345" s="13" t="s">
        <v>60</v>
      </c>
      <c r="AA345" s="13">
        <f t="shared" si="36"/>
        <v>4</v>
      </c>
      <c r="AB345" s="13" t="str">
        <f t="shared" si="33"/>
        <v>Adult</v>
      </c>
      <c r="AC345" s="13">
        <v>3</v>
      </c>
      <c r="AD345" s="13">
        <v>1</v>
      </c>
      <c r="AE345" s="13" t="str">
        <f t="shared" si="34"/>
        <v>Morphological</v>
      </c>
      <c r="AF345" s="2">
        <v>4</v>
      </c>
    </row>
    <row r="346" spans="1:32" x14ac:dyDescent="0.25">
      <c r="A346" s="13">
        <v>342</v>
      </c>
      <c r="B346" s="23" t="s">
        <v>56</v>
      </c>
      <c r="C346" s="23" t="s">
        <v>57</v>
      </c>
      <c r="D346" s="23" t="s">
        <v>58</v>
      </c>
      <c r="E346" s="23" t="s">
        <v>58</v>
      </c>
      <c r="F346" s="35" cm="1">
        <f t="array" ref="F346">_xlfn.IFS($G346=$G$5,F$5,$G346=$G$7,F$7,$G346=$G$10,F$10,$G346=$G$13,F$13,$G346=$G$14,F$14,$G346=$G$16,F$16,$G346=$G$17,F$17,$G346=$G$19,F$19,$G346=$G$20,F$20,$G346=$G$22,F$22,$G346=$G$23,F$23,$G346=$G$26,F$26,$G346=$G$29,F$29,$G346=$G$31,F$31,$G346=$G$34,F$34,$G346=$G$37,F$37,$G346=$G$107,F$107,$G346=$G$110,F$110,$G346=$G$140,F$140,$G346=$G$142,F$142,$G346=$G$408,F$408)</f>
        <v>8016</v>
      </c>
      <c r="G346" s="13" t="s">
        <v>62</v>
      </c>
      <c r="H346" s="51" cm="1">
        <f t="array" ref="H346">_xlfn.IFS($G346=$G$5,H$5,$G346=$G$7,H$7,$G346=$G$10,H$10,$G346=$G$13,H$13,$G346=$G$14,H$14,$G346=$G$16,H$16,$G346=$G$17,H$17,$G346=$G$19,H$19,$G346=$G$20,H$20,$G346=$G$22,H$22,$G346=$G$23,H$23,$G346=$G$26,H$26,$G346=$G$29,H$29,$G346=$G$31,H$31,$G346=$G$34,H$34,$G346=$G$37,H$37,$G346=$G$107,H$107,$G346=$G$110,H$110,$G346=$G$140,H$140,$G346=$G$142,H$142,$G346=$G$408,H$408)</f>
        <v>41.437435000000001</v>
      </c>
      <c r="I346" s="51" cm="1">
        <f t="array" ref="I346">_xlfn.IFS($G346=$G$5,I$5,$G346=$G$7,I$7,$G346=$G$10,I$10,$G346=$G$13,I$13,$G346=$G$14,I$14,$G346=$G$16,I$16,$G346=$G$17,I$17,$G346=$G$19,I$19,$G346=$G$20,I$20,$G346=$G$22,I$22,$G346=$G$23,I$23,$G346=$G$26,I$26,$G346=$G$29,I$29,$G346=$G$31,I$31,$G346=$G$34,I$34,$G346=$G$37,I$37,$G346=$G$107,I$107,$G346=$G$110,I$110,$G346=$G$140,I$140,$G346=$G$142,I$142,$G346=$G$408,I$408)</f>
        <v>2.1812779999999998</v>
      </c>
      <c r="J346" s="51" cm="1">
        <f t="array" ref="J346">_xlfn.IFS($G346=$G$5,J$5,$G346=$G$7,J$7,$G346=$G$10,J$10,$G346=$G$13,J$13,$G346=$G$14,J$14,$G346=$G$16,J$16,$G346=$G$17,J$17,$G346=$G$19,J$19,$G346=$G$20,J$20,$G346=$G$22,J$22,$G346=$G$23,J$23,$G346=$G$26,J$26,$G346=$G$29,J$29,$G346=$G$31,J$31,$G346=$G$34,J$34,$G346=$G$37,J$37,$G346=$G$107,J$107,$G346=$G$110,J$110,$G346=$G$140,J$140,$G346=$G$142,J$142,$G346=$G$408,J$408)</f>
        <v>47</v>
      </c>
      <c r="K346" s="13" t="str" cm="1">
        <f t="array" ref="K346">_xlfn.IFS($G346=$G$5,K$5,$G346=$G$7,K$7,$G346=$G$10,K$10,$G346=$G$13,K$13,$G346=$G$14,K$14,$G346=$G$16,K$16,$G346=$G$17,K$17,$G346=$G$19,K$19,$G346=$G$20,K$20,$G346=$G$22,K$22,$G346=$G$23,K$23,$G346=$G$26,K$26,$G346=$G$29,K$29,$G346=$G$31,K$31,$G346=$G$34,K$34,$G346=$G$37,K$37,$G346=$G$107,K$107,$G346=$G$110,K$110,$G346=$G$140,K$140,$G346=$G$142,K$142,$G346=$G$408,K$408)</f>
        <v>BG sentinel + BG lure7</v>
      </c>
      <c r="O346" s="13" t="str">
        <f t="shared" si="30"/>
        <v>A_SP_BCN_3_220907</v>
      </c>
      <c r="P346" s="31">
        <v>44811</v>
      </c>
      <c r="Q346" s="29">
        <v>0.54166666666666663</v>
      </c>
      <c r="R346" s="33"/>
      <c r="S346" s="27">
        <v>44817</v>
      </c>
      <c r="T346" s="29">
        <v>0.77777777777777779</v>
      </c>
      <c r="V346" s="13" t="s">
        <v>139</v>
      </c>
      <c r="W346" s="15" t="s">
        <v>151</v>
      </c>
      <c r="X346" s="13">
        <f t="shared" si="32"/>
        <v>6</v>
      </c>
      <c r="AB346" s="13" t="str">
        <f t="shared" si="33"/>
        <v/>
      </c>
      <c r="AE346" s="13" t="str">
        <f t="shared" si="34"/>
        <v/>
      </c>
      <c r="AF346" s="2">
        <v>1</v>
      </c>
    </row>
    <row r="347" spans="1:32" x14ac:dyDescent="0.25">
      <c r="A347" s="13">
        <v>343</v>
      </c>
      <c r="B347" s="23" t="s">
        <v>56</v>
      </c>
      <c r="C347" s="23" t="s">
        <v>57</v>
      </c>
      <c r="D347" s="23" t="s">
        <v>58</v>
      </c>
      <c r="E347" s="23" t="s">
        <v>58</v>
      </c>
      <c r="F347" s="35" cm="1">
        <f t="array" ref="F347">_xlfn.IFS($G347=$G$5,F$5,$G347=$G$7,F$7,$G347=$G$10,F$10,$G347=$G$13,F$13,$G347=$G$14,F$14,$G347=$G$16,F$16,$G347=$G$17,F$17,$G347=$G$19,F$19,$G347=$G$20,F$20,$G347=$G$22,F$22,$G347=$G$23,F$23,$G347=$G$26,F$26,$G347=$G$29,F$29,$G347=$G$31,F$31,$G347=$G$34,F$34,$G347=$G$37,F$37,$G347=$G$107,F$107,$G347=$G$110,F$110,$G347=$G$140,F$140,$G347=$G$142,F$142,$G347=$G$408,F$408)</f>
        <v>8018</v>
      </c>
      <c r="G347" s="13" t="s">
        <v>63</v>
      </c>
      <c r="H347" s="51" cm="1">
        <f t="array" ref="H347">_xlfn.IFS($G347=$G$5,H$5,$G347=$G$7,H$7,$G347=$G$10,H$10,$G347=$G$13,H$13,$G347=$G$14,H$14,$G347=$G$16,H$16,$G347=$G$17,H$17,$G347=$G$19,H$19,$G347=$G$20,H$20,$G347=$G$22,H$22,$G347=$G$23,H$23,$G347=$G$26,H$26,$G347=$G$29,H$29,$G347=$G$31,H$31,$G347=$G$34,H$34,$G347=$G$37,H$37,$G347=$G$107,H$107,$G347=$G$110,H$110,$G347=$G$140,H$140,$G347=$G$142,H$142,$G347=$G$408,H$408)</f>
        <v>41.404924999999999</v>
      </c>
      <c r="I347" s="51" cm="1">
        <f t="array" ref="I347">_xlfn.IFS($G347=$G$5,I$5,$G347=$G$7,I$7,$G347=$G$10,I$10,$G347=$G$13,I$13,$G347=$G$14,I$14,$G347=$G$16,I$16,$G347=$G$17,I$17,$G347=$G$19,I$19,$G347=$G$20,I$20,$G347=$G$22,I$22,$G347=$G$23,I$23,$G347=$G$26,I$26,$G347=$G$29,I$29,$G347=$G$31,I$31,$G347=$G$34,I$34,$G347=$G$37,I$37,$G347=$G$107,I$107,$G347=$G$110,I$110,$G347=$G$140,I$140,$G347=$G$142,I$142,$G347=$G$408,I$408)</f>
        <v>2.1987909999999999</v>
      </c>
      <c r="J347" s="51" cm="1">
        <f t="array" ref="J347">_xlfn.IFS($G347=$G$5,J$5,$G347=$G$7,J$7,$G347=$G$10,J$10,$G347=$G$13,J$13,$G347=$G$14,J$14,$G347=$G$16,J$16,$G347=$G$17,J$17,$G347=$G$19,J$19,$G347=$G$20,J$20,$G347=$G$22,J$22,$G347=$G$23,J$23,$G347=$G$26,J$26,$G347=$G$29,J$29,$G347=$G$31,J$31,$G347=$G$34,J$34,$G347=$G$37,J$37,$G347=$G$107,J$107,$G347=$G$110,J$110,$G347=$G$140,J$140,$G347=$G$142,J$142,$G347=$G$408,J$408)</f>
        <v>4</v>
      </c>
      <c r="K347" s="13" t="str" cm="1">
        <f t="array" ref="K347">_xlfn.IFS($G347=$G$5,K$5,$G347=$G$7,K$7,$G347=$G$10,K$10,$G347=$G$13,K$13,$G347=$G$14,K$14,$G347=$G$16,K$16,$G347=$G$17,K$17,$G347=$G$19,K$19,$G347=$G$20,K$20,$G347=$G$22,K$22,$G347=$G$23,K$23,$G347=$G$26,K$26,$G347=$G$29,K$29,$G347=$G$31,K$31,$G347=$G$34,K$34,$G347=$G$37,K$37,$G347=$G$107,K$107,$G347=$G$110,K$110,$G347=$G$140,K$140,$G347=$G$142,K$142,$G347=$G$408,K$408)</f>
        <v>BG sentinel + BG lure7</v>
      </c>
      <c r="O347" s="13" t="str">
        <f t="shared" si="30"/>
        <v>A_SP_BCN_4_220906</v>
      </c>
      <c r="P347" s="27">
        <v>44810</v>
      </c>
      <c r="Q347" s="29">
        <v>0.81597222222222221</v>
      </c>
      <c r="R347" s="33"/>
      <c r="S347" s="27">
        <v>44817</v>
      </c>
      <c r="T347" s="29">
        <v>0.82291666666666663</v>
      </c>
      <c r="V347" s="13" t="s">
        <v>86</v>
      </c>
      <c r="X347" s="13">
        <f t="shared" si="32"/>
        <v>7</v>
      </c>
      <c r="Z347" s="13" t="s">
        <v>60</v>
      </c>
      <c r="AA347" s="13">
        <f t="shared" ref="AA347:AA363" si="37">SUM(AC347:AD347)</f>
        <v>25</v>
      </c>
      <c r="AB347" s="13" t="str">
        <f t="shared" si="33"/>
        <v>Adult</v>
      </c>
      <c r="AC347" s="13">
        <v>13</v>
      </c>
      <c r="AD347" s="13">
        <v>12</v>
      </c>
      <c r="AE347" s="13" t="str">
        <f t="shared" si="34"/>
        <v>Morphological</v>
      </c>
      <c r="AF347" s="2">
        <v>4</v>
      </c>
    </row>
    <row r="348" spans="1:32" x14ac:dyDescent="0.25">
      <c r="A348" s="13">
        <v>344</v>
      </c>
      <c r="B348" s="23" t="s">
        <v>56</v>
      </c>
      <c r="C348" s="23" t="s">
        <v>57</v>
      </c>
      <c r="D348" s="23" t="s">
        <v>58</v>
      </c>
      <c r="E348" s="23" t="s">
        <v>58</v>
      </c>
      <c r="F348" s="35" cm="1">
        <f t="array" ref="F348">_xlfn.IFS($G348=$G$5,F$5,$G348=$G$7,F$7,$G348=$G$10,F$10,$G348=$G$13,F$13,$G348=$G$14,F$14,$G348=$G$16,F$16,$G348=$G$17,F$17,$G348=$G$19,F$19,$G348=$G$20,F$20,$G348=$G$22,F$22,$G348=$G$23,F$23,$G348=$G$26,F$26,$G348=$G$29,F$29,$G348=$G$31,F$31,$G348=$G$34,F$34,$G348=$G$37,F$37,$G348=$G$107,F$107,$G348=$G$110,F$110,$G348=$G$140,F$140,$G348=$G$142,F$142,$G348=$G$408,F$408)</f>
        <v>8019</v>
      </c>
      <c r="G348" s="13" t="s">
        <v>64</v>
      </c>
      <c r="H348" s="51" cm="1">
        <f t="array" ref="H348">_xlfn.IFS($G348=$G$5,H$5,$G348=$G$7,H$7,$G348=$G$10,H$10,$G348=$G$13,H$13,$G348=$G$14,H$14,$G348=$G$16,H$16,$G348=$G$17,H$17,$G348=$G$19,H$19,$G348=$G$20,H$20,$G348=$G$22,H$22,$G348=$G$23,H$23,$G348=$G$26,H$26,$G348=$G$29,H$29,$G348=$G$31,H$31,$G348=$G$34,H$34,$G348=$G$37,H$37,$G348=$G$107,H$107,$G348=$G$110,H$110,$G348=$G$140,H$140,$G348=$G$142,H$142,$G348=$G$408,H$408)</f>
        <v>41.410684000000003</v>
      </c>
      <c r="I348" s="51" cm="1">
        <f t="array" ref="I348">_xlfn.IFS($G348=$G$5,I$5,$G348=$G$7,I$7,$G348=$G$10,I$10,$G348=$G$13,I$13,$G348=$G$14,I$14,$G348=$G$16,I$16,$G348=$G$17,I$17,$G348=$G$19,I$19,$G348=$G$20,I$20,$G348=$G$22,I$22,$G348=$G$23,I$23,$G348=$G$26,I$26,$G348=$G$29,I$29,$G348=$G$31,I$31,$G348=$G$34,I$34,$G348=$G$37,I$37,$G348=$G$107,I$107,$G348=$G$110,I$110,$G348=$G$140,I$140,$G348=$G$142,I$142,$G348=$G$408,I$408)</f>
        <v>2.2208019999999999</v>
      </c>
      <c r="J348" s="51" cm="1">
        <f t="array" ref="J348">_xlfn.IFS($G348=$G$5,J$5,$G348=$G$7,J$7,$G348=$G$10,J$10,$G348=$G$13,J$13,$G348=$G$14,J$14,$G348=$G$16,J$16,$G348=$G$17,J$17,$G348=$G$19,J$19,$G348=$G$20,J$20,$G348=$G$22,J$22,$G348=$G$23,J$23,$G348=$G$26,J$26,$G348=$G$29,J$29,$G348=$G$31,J$31,$G348=$G$34,J$34,$G348=$G$37,J$37,$G348=$G$107,J$107,$G348=$G$110,J$110,$G348=$G$140,J$140,$G348=$G$142,J$142,$G348=$G$408,J$408)</f>
        <v>18</v>
      </c>
      <c r="K348" s="13" t="str" cm="1">
        <f t="array" ref="K348">_xlfn.IFS($G348=$G$5,K$5,$G348=$G$7,K$7,$G348=$G$10,K$10,$G348=$G$13,K$13,$G348=$G$14,K$14,$G348=$G$16,K$16,$G348=$G$17,K$17,$G348=$G$19,K$19,$G348=$G$20,K$20,$G348=$G$22,K$22,$G348=$G$23,K$23,$G348=$G$26,K$26,$G348=$G$29,K$29,$G348=$G$31,K$31,$G348=$G$34,K$34,$G348=$G$37,K$37,$G348=$G$107,K$107,$G348=$G$110,K$110,$G348=$G$140,K$140,$G348=$G$142,K$142,$G348=$G$408,K$408)</f>
        <v>BG sentinel + BG lure7</v>
      </c>
      <c r="O348" s="13" t="str">
        <f t="shared" si="30"/>
        <v>A_SP_BCN_5_220906</v>
      </c>
      <c r="P348" s="27">
        <v>44810</v>
      </c>
      <c r="Q348" s="29">
        <v>0.79513888888888884</v>
      </c>
      <c r="R348" s="33"/>
      <c r="S348" s="27">
        <v>44817</v>
      </c>
      <c r="T348" s="29">
        <v>0.80555555555555547</v>
      </c>
      <c r="V348" s="13" t="s">
        <v>86</v>
      </c>
      <c r="X348" s="13">
        <f t="shared" si="32"/>
        <v>7</v>
      </c>
      <c r="Z348" s="13" t="s">
        <v>60</v>
      </c>
      <c r="AA348" s="13">
        <f t="shared" si="37"/>
        <v>1</v>
      </c>
      <c r="AB348" s="13" t="str">
        <f t="shared" si="33"/>
        <v>Adult</v>
      </c>
      <c r="AC348" s="13">
        <v>1</v>
      </c>
      <c r="AD348" s="13">
        <v>0</v>
      </c>
      <c r="AE348" s="13" t="str">
        <f t="shared" si="34"/>
        <v>Morphological</v>
      </c>
      <c r="AF348" s="2">
        <v>4</v>
      </c>
    </row>
    <row r="349" spans="1:32" x14ac:dyDescent="0.25">
      <c r="A349" s="13">
        <v>345</v>
      </c>
      <c r="B349" s="23" t="s">
        <v>56</v>
      </c>
      <c r="C349" s="23" t="s">
        <v>57</v>
      </c>
      <c r="D349" s="23" t="s">
        <v>58</v>
      </c>
      <c r="E349" s="23" t="s">
        <v>58</v>
      </c>
      <c r="F349" s="35" cm="1">
        <f t="array" ref="F349">_xlfn.IFS($G349=$G$5,F$5,$G349=$G$7,F$7,$G349=$G$10,F$10,$G349=$G$13,F$13,$G349=$G$14,F$14,$G349=$G$16,F$16,$G349=$G$17,F$17,$G349=$G$19,F$19,$G349=$G$20,F$20,$G349=$G$22,F$22,$G349=$G$23,F$23,$G349=$G$26,F$26,$G349=$G$29,F$29,$G349=$G$31,F$31,$G349=$G$34,F$34,$G349=$G$37,F$37,$G349=$G$107,F$107,$G349=$G$110,F$110,$G349=$G$140,F$140,$G349=$G$142,F$142,$G349=$G$408,F$408)</f>
        <v>8002</v>
      </c>
      <c r="G349" s="13" t="s">
        <v>65</v>
      </c>
      <c r="H349" s="51" cm="1">
        <f t="array" ref="H349">_xlfn.IFS($G349=$G$5,H$5,$G349=$G$7,H$7,$G349=$G$10,H$10,$G349=$G$13,H$13,$G349=$G$14,H$14,$G349=$G$16,H$16,$G349=$G$17,H$17,$G349=$G$19,H$19,$G349=$G$20,H$20,$G349=$G$22,H$22,$G349=$G$23,H$23,$G349=$G$26,H$26,$G349=$G$29,H$29,$G349=$G$31,H$31,$G349=$G$34,H$34,$G349=$G$37,H$37,$G349=$G$107,H$107,$G349=$G$110,H$110,$G349=$G$140,H$140,$G349=$G$142,H$142,$G349=$G$408,H$408)</f>
        <v>41.382339999999999</v>
      </c>
      <c r="I349" s="51" cm="1">
        <f t="array" ref="I349">_xlfn.IFS($G349=$G$5,I$5,$G349=$G$7,I$7,$G349=$G$10,I$10,$G349=$G$13,I$13,$G349=$G$14,I$14,$G349=$G$16,I$16,$G349=$G$17,I$17,$G349=$G$19,I$19,$G349=$G$20,I$20,$G349=$G$22,I$22,$G349=$G$23,I$23,$G349=$G$26,I$26,$G349=$G$29,I$29,$G349=$G$31,I$31,$G349=$G$34,I$34,$G349=$G$37,I$37,$G349=$G$107,I$107,$G349=$G$110,I$110,$G349=$G$140,I$140,$G349=$G$142,I$142,$G349=$G$408,I$408)</f>
        <v>2.1714790000000002</v>
      </c>
      <c r="J349" s="51" cm="1">
        <f t="array" ref="J349">_xlfn.IFS($G349=$G$5,J$5,$G349=$G$7,J$7,$G349=$G$10,J$10,$G349=$G$13,J$13,$G349=$G$14,J$14,$G349=$G$16,J$16,$G349=$G$17,J$17,$G349=$G$19,J$19,$G349=$G$20,J$20,$G349=$G$22,J$22,$G349=$G$23,J$23,$G349=$G$26,J$26,$G349=$G$29,J$29,$G349=$G$31,J$31,$G349=$G$34,J$34,$G349=$G$37,J$37,$G349=$G$107,J$107,$G349=$G$110,J$110,$G349=$G$140,J$140,$G349=$G$142,J$142,$G349=$G$408,J$408)</f>
        <v>19</v>
      </c>
      <c r="K349" s="13" t="str" cm="1">
        <f t="array" ref="K349">_xlfn.IFS($G349=$G$5,K$5,$G349=$G$7,K$7,$G349=$G$10,K$10,$G349=$G$13,K$13,$G349=$G$14,K$14,$G349=$G$16,K$16,$G349=$G$17,K$17,$G349=$G$19,K$19,$G349=$G$20,K$20,$G349=$G$22,K$22,$G349=$G$23,K$23,$G349=$G$26,K$26,$G349=$G$29,K$29,$G349=$G$31,K$31,$G349=$G$34,K$34,$G349=$G$37,K$37,$G349=$G$107,K$107,$G349=$G$110,K$110,$G349=$G$140,K$140,$G349=$G$142,K$142,$G349=$G$408,K$408)</f>
        <v>BG sentinel + BG lure7</v>
      </c>
      <c r="O349" s="13" t="str">
        <f t="shared" si="30"/>
        <v>A_SP_BCN_6_220906</v>
      </c>
      <c r="P349" s="27">
        <v>44810</v>
      </c>
      <c r="Q349" s="29">
        <v>0.86111111111111116</v>
      </c>
      <c r="R349" s="33"/>
      <c r="S349" s="27">
        <v>44817</v>
      </c>
      <c r="T349" s="29">
        <v>0.84375</v>
      </c>
      <c r="V349" s="13" t="s">
        <v>86</v>
      </c>
      <c r="X349" s="13">
        <f t="shared" si="32"/>
        <v>7</v>
      </c>
      <c r="Z349" s="13" t="s">
        <v>60</v>
      </c>
      <c r="AA349" s="13">
        <f t="shared" si="37"/>
        <v>2</v>
      </c>
      <c r="AB349" s="13" t="str">
        <f t="shared" si="33"/>
        <v>Adult</v>
      </c>
      <c r="AC349" s="13">
        <v>2</v>
      </c>
      <c r="AD349" s="13">
        <v>0</v>
      </c>
      <c r="AE349" s="13" t="str">
        <f t="shared" si="34"/>
        <v>Morphological</v>
      </c>
      <c r="AF349" s="2">
        <v>4</v>
      </c>
    </row>
    <row r="350" spans="1:32" x14ac:dyDescent="0.25">
      <c r="A350" s="13">
        <v>346</v>
      </c>
      <c r="B350" s="23" t="s">
        <v>56</v>
      </c>
      <c r="C350" s="23" t="s">
        <v>57</v>
      </c>
      <c r="D350" s="23" t="s">
        <v>58</v>
      </c>
      <c r="E350" s="23" t="s">
        <v>58</v>
      </c>
      <c r="F350" s="35" cm="1">
        <f t="array" ref="F350">_xlfn.IFS($G350=$G$5,F$5,$G350=$G$7,F$7,$G350=$G$10,F$10,$G350=$G$13,F$13,$G350=$G$14,F$14,$G350=$G$16,F$16,$G350=$G$17,F$17,$G350=$G$19,F$19,$G350=$G$20,F$20,$G350=$G$22,F$22,$G350=$G$23,F$23,$G350=$G$26,F$26,$G350=$G$29,F$29,$G350=$G$31,F$31,$G350=$G$34,F$34,$G350=$G$37,F$37,$G350=$G$107,F$107,$G350=$G$110,F$110,$G350=$G$140,F$140,$G350=$G$142,F$142,$G350=$G$408,F$408)</f>
        <v>8040</v>
      </c>
      <c r="G350" s="13" t="s">
        <v>68</v>
      </c>
      <c r="H350" s="51" cm="1">
        <f t="array" ref="H350">_xlfn.IFS($G350=$G$5,H$5,$G350=$G$7,H$7,$G350=$G$10,H$10,$G350=$G$13,H$13,$G350=$G$14,H$14,$G350=$G$16,H$16,$G350=$G$17,H$17,$G350=$G$19,H$19,$G350=$G$20,H$20,$G350=$G$22,H$22,$G350=$G$23,H$23,$G350=$G$26,H$26,$G350=$G$29,H$29,$G350=$G$31,H$31,$G350=$G$34,H$34,$G350=$G$37,H$37,$G350=$G$107,H$107,$G350=$G$110,H$110,$G350=$G$140,H$140,$G350=$G$142,H$142,$G350=$G$408,H$408)</f>
        <v>41.343685000000001</v>
      </c>
      <c r="I350" s="51" cm="1">
        <f t="array" ref="I350">_xlfn.IFS($G350=$G$5,I$5,$G350=$G$7,I$7,$G350=$G$10,I$10,$G350=$G$13,I$13,$G350=$G$14,I$14,$G350=$G$16,I$16,$G350=$G$17,I$17,$G350=$G$19,I$19,$G350=$G$20,I$20,$G350=$G$22,I$22,$G350=$G$23,I$23,$G350=$G$26,I$26,$G350=$G$29,I$29,$G350=$G$31,I$31,$G350=$G$34,I$34,$G350=$G$37,I$37,$G350=$G$107,I$107,$G350=$G$110,I$110,$G350=$G$140,I$140,$G350=$G$142,I$142,$G350=$G$408,I$408)</f>
        <v>2.1441490000000001</v>
      </c>
      <c r="J350" s="51" cm="1">
        <f t="array" ref="J350">_xlfn.IFS($G350=$G$5,J$5,$G350=$G$7,J$7,$G350=$G$10,J$10,$G350=$G$13,J$13,$G350=$G$14,J$14,$G350=$G$16,J$16,$G350=$G$17,J$17,$G350=$G$19,J$19,$G350=$G$20,J$20,$G350=$G$22,J$22,$G350=$G$23,J$23,$G350=$G$26,J$26,$G350=$G$29,J$29,$G350=$G$31,J$31,$G350=$G$34,J$34,$G350=$G$37,J$37,$G350=$G$107,J$107,$G350=$G$110,J$110,$G350=$G$140,J$140,$G350=$G$142,J$142,$G350=$G$408,J$408)</f>
        <v>4</v>
      </c>
      <c r="K350" s="13" t="str" cm="1">
        <f t="array" ref="K350">_xlfn.IFS($G350=$G$5,K$5,$G350=$G$7,K$7,$G350=$G$10,K$10,$G350=$G$13,K$13,$G350=$G$14,K$14,$G350=$G$16,K$16,$G350=$G$17,K$17,$G350=$G$19,K$19,$G350=$G$20,K$20,$G350=$G$22,K$22,$G350=$G$23,K$23,$G350=$G$26,K$26,$G350=$G$29,K$29,$G350=$G$31,K$31,$G350=$G$34,K$34,$G350=$G$37,K$37,$G350=$G$107,K$107,$G350=$G$110,K$110,$G350=$G$140,K$140,$G350=$G$142,K$142,$G350=$G$408,K$408)</f>
        <v>BG sentinel + BG lure7</v>
      </c>
      <c r="O350" s="13" t="str">
        <f t="shared" si="30"/>
        <v>A_SP_BCN_10_220906</v>
      </c>
      <c r="P350" s="27">
        <v>44810</v>
      </c>
      <c r="Q350" s="29">
        <v>0.52777777777777779</v>
      </c>
      <c r="R350" s="33"/>
      <c r="S350" s="27">
        <v>44817</v>
      </c>
      <c r="T350" s="29">
        <v>0.57291666666666663</v>
      </c>
      <c r="V350" s="13" t="s">
        <v>86</v>
      </c>
      <c r="X350" s="13">
        <f t="shared" si="32"/>
        <v>7</v>
      </c>
      <c r="Z350" s="13" t="s">
        <v>60</v>
      </c>
      <c r="AA350" s="13">
        <f t="shared" si="37"/>
        <v>29</v>
      </c>
      <c r="AB350" s="13" t="str">
        <f t="shared" si="33"/>
        <v>Adult</v>
      </c>
      <c r="AC350" s="13">
        <v>18</v>
      </c>
      <c r="AD350" s="13">
        <v>11</v>
      </c>
      <c r="AE350" s="13" t="str">
        <f t="shared" si="34"/>
        <v>Morphological</v>
      </c>
      <c r="AF350" s="2">
        <v>4</v>
      </c>
    </row>
    <row r="351" spans="1:32" x14ac:dyDescent="0.25">
      <c r="A351" s="13">
        <v>347</v>
      </c>
      <c r="B351" s="23" t="s">
        <v>56</v>
      </c>
      <c r="C351" s="23" t="s">
        <v>57</v>
      </c>
      <c r="D351" s="23" t="s">
        <v>58</v>
      </c>
      <c r="E351" s="23" t="s">
        <v>58</v>
      </c>
      <c r="F351" s="35" cm="1">
        <f t="array" ref="F351">_xlfn.IFS($G351=$G$5,F$5,$G351=$G$7,F$7,$G351=$G$10,F$10,$G351=$G$13,F$13,$G351=$G$14,F$14,$G351=$G$16,F$16,$G351=$G$17,F$17,$G351=$G$19,F$19,$G351=$G$20,F$20,$G351=$G$22,F$22,$G351=$G$23,F$23,$G351=$G$26,F$26,$G351=$G$29,F$29,$G351=$G$31,F$31,$G351=$G$34,F$34,$G351=$G$37,F$37,$G351=$G$107,F$107,$G351=$G$110,F$110,$G351=$G$140,F$140,$G351=$G$142,F$142,$G351=$G$408,F$408)</f>
        <v>8040</v>
      </c>
      <c r="G351" s="13" t="s">
        <v>68</v>
      </c>
      <c r="H351" s="51" cm="1">
        <f t="array" ref="H351">_xlfn.IFS($G351=$G$5,H$5,$G351=$G$7,H$7,$G351=$G$10,H$10,$G351=$G$13,H$13,$G351=$G$14,H$14,$G351=$G$16,H$16,$G351=$G$17,H$17,$G351=$G$19,H$19,$G351=$G$20,H$20,$G351=$G$22,H$22,$G351=$G$23,H$23,$G351=$G$26,H$26,$G351=$G$29,H$29,$G351=$G$31,H$31,$G351=$G$34,H$34,$G351=$G$37,H$37,$G351=$G$107,H$107,$G351=$G$110,H$110,$G351=$G$140,H$140,$G351=$G$142,H$142,$G351=$G$408,H$408)</f>
        <v>41.343685000000001</v>
      </c>
      <c r="I351" s="51" cm="1">
        <f t="array" ref="I351">_xlfn.IFS($G351=$G$5,I$5,$G351=$G$7,I$7,$G351=$G$10,I$10,$G351=$G$13,I$13,$G351=$G$14,I$14,$G351=$G$16,I$16,$G351=$G$17,I$17,$G351=$G$19,I$19,$G351=$G$20,I$20,$G351=$G$22,I$22,$G351=$G$23,I$23,$G351=$G$26,I$26,$G351=$G$29,I$29,$G351=$G$31,I$31,$G351=$G$34,I$34,$G351=$G$37,I$37,$G351=$G$107,I$107,$G351=$G$110,I$110,$G351=$G$140,I$140,$G351=$G$142,I$142,$G351=$G$408,I$408)</f>
        <v>2.1441490000000001</v>
      </c>
      <c r="J351" s="51" cm="1">
        <f t="array" ref="J351">_xlfn.IFS($G351=$G$5,J$5,$G351=$G$7,J$7,$G351=$G$10,J$10,$G351=$G$13,J$13,$G351=$G$14,J$14,$G351=$G$16,J$16,$G351=$G$17,J$17,$G351=$G$19,J$19,$G351=$G$20,J$20,$G351=$G$22,J$22,$G351=$G$23,J$23,$G351=$G$26,J$26,$G351=$G$29,J$29,$G351=$G$31,J$31,$G351=$G$34,J$34,$G351=$G$37,J$37,$G351=$G$107,J$107,$G351=$G$110,J$110,$G351=$G$140,J$140,$G351=$G$142,J$142,$G351=$G$408,J$408)</f>
        <v>4</v>
      </c>
      <c r="K351" s="13" t="str" cm="1">
        <f t="array" ref="K351">_xlfn.IFS($G351=$G$5,K$5,$G351=$G$7,K$7,$G351=$G$10,K$10,$G351=$G$13,K$13,$G351=$G$14,K$14,$G351=$G$16,K$16,$G351=$G$17,K$17,$G351=$G$19,K$19,$G351=$G$20,K$20,$G351=$G$22,K$22,$G351=$G$23,K$23,$G351=$G$26,K$26,$G351=$G$29,K$29,$G351=$G$31,K$31,$G351=$G$34,K$34,$G351=$G$37,K$37,$G351=$G$107,K$107,$G351=$G$110,K$110,$G351=$G$140,K$140,$G351=$G$142,K$142,$G351=$G$408,K$408)</f>
        <v>BG sentinel + BG lure7</v>
      </c>
      <c r="O351" s="13" t="str">
        <f t="shared" si="30"/>
        <v>A_SP_BCN_10_220906</v>
      </c>
      <c r="P351" s="27">
        <v>44810</v>
      </c>
      <c r="Q351" s="29">
        <v>0.52777777777777779</v>
      </c>
      <c r="R351" s="33"/>
      <c r="S351" s="27">
        <v>44817</v>
      </c>
      <c r="T351" s="29">
        <v>0.57291666666666663</v>
      </c>
      <c r="V351" s="13" t="s">
        <v>86</v>
      </c>
      <c r="X351" s="13">
        <f t="shared" si="32"/>
        <v>7</v>
      </c>
      <c r="Z351" s="13" t="s">
        <v>164</v>
      </c>
      <c r="AA351" s="13">
        <f t="shared" si="37"/>
        <v>2</v>
      </c>
      <c r="AB351" s="13" t="str">
        <f t="shared" si="33"/>
        <v>Adult</v>
      </c>
      <c r="AC351" s="13">
        <v>2</v>
      </c>
      <c r="AD351" s="13">
        <v>0</v>
      </c>
      <c r="AE351" s="13" t="str">
        <f t="shared" si="34"/>
        <v>Morphological</v>
      </c>
      <c r="AF351" s="2">
        <v>4</v>
      </c>
    </row>
    <row r="352" spans="1:32" x14ac:dyDescent="0.25">
      <c r="A352" s="13">
        <v>348</v>
      </c>
      <c r="B352" s="23" t="s">
        <v>56</v>
      </c>
      <c r="C352" s="23" t="s">
        <v>57</v>
      </c>
      <c r="D352" s="23" t="s">
        <v>58</v>
      </c>
      <c r="E352" s="23" t="s">
        <v>58</v>
      </c>
      <c r="F352" s="35" cm="1">
        <f t="array" ref="F352">_xlfn.IFS($G352=$G$5,F$5,$G352=$G$7,F$7,$G352=$G$10,F$10,$G352=$G$13,F$13,$G352=$G$14,F$14,$G352=$G$16,F$16,$G352=$G$17,F$17,$G352=$G$19,F$19,$G352=$G$20,F$20,$G352=$G$22,F$22,$G352=$G$23,F$23,$G352=$G$26,F$26,$G352=$G$29,F$29,$G352=$G$31,F$31,$G352=$G$34,F$34,$G352=$G$37,F$37,$G352=$G$107,F$107,$G352=$G$110,F$110,$G352=$G$140,F$140,$G352=$G$142,F$142,$G352=$G$408,F$408)</f>
        <v>8038</v>
      </c>
      <c r="G352" s="13" t="s">
        <v>69</v>
      </c>
      <c r="H352" s="51" cm="1">
        <f t="array" ref="H352">_xlfn.IFS($G352=$G$5,H$5,$G352=$G$7,H$7,$G352=$G$10,H$10,$G352=$G$13,H$13,$G352=$G$14,H$14,$G352=$G$16,H$16,$G352=$G$17,H$17,$G352=$G$19,H$19,$G352=$G$20,H$20,$G352=$G$22,H$22,$G352=$G$23,H$23,$G352=$G$26,H$26,$G352=$G$29,H$29,$G352=$G$31,H$31,$G352=$G$34,H$34,$G352=$G$37,H$37,$G352=$G$107,H$107,$G352=$G$110,H$110,$G352=$G$140,H$140,$G352=$G$142,H$142,$G352=$G$408,H$408)</f>
        <v>41.363377999999997</v>
      </c>
      <c r="I352" s="51" cm="1">
        <f t="array" ref="I352">_xlfn.IFS($G352=$G$5,I$5,$G352=$G$7,I$7,$G352=$G$10,I$10,$G352=$G$13,I$13,$G352=$G$14,I$14,$G352=$G$16,I$16,$G352=$G$17,I$17,$G352=$G$19,I$19,$G352=$G$20,I$20,$G352=$G$22,I$22,$G352=$G$23,I$23,$G352=$G$26,I$26,$G352=$G$29,I$29,$G352=$G$31,I$31,$G352=$G$34,I$34,$G352=$G$37,I$37,$G352=$G$107,I$107,$G352=$G$110,I$110,$G352=$G$140,I$140,$G352=$G$142,I$142,$G352=$G$408,I$408)</f>
        <v>2.164879</v>
      </c>
      <c r="J352" s="51" cm="1">
        <f t="array" ref="J352">_xlfn.IFS($G352=$G$5,J$5,$G352=$G$7,J$7,$G352=$G$10,J$10,$G352=$G$13,J$13,$G352=$G$14,J$14,$G352=$G$16,J$16,$G352=$G$17,J$17,$G352=$G$19,J$19,$G352=$G$20,J$20,$G352=$G$22,J$22,$G352=$G$23,J$23,$G352=$G$26,J$26,$G352=$G$29,J$29,$G352=$G$31,J$31,$G352=$G$34,J$34,$G352=$G$37,J$37,$G352=$G$107,J$107,$G352=$G$110,J$110,$G352=$G$140,J$140,$G352=$G$142,J$142,$G352=$G$408,J$408)</f>
        <v>185</v>
      </c>
      <c r="K352" s="13" t="str" cm="1">
        <f t="array" ref="K352">_xlfn.IFS($G352=$G$5,K$5,$G352=$G$7,K$7,$G352=$G$10,K$10,$G352=$G$13,K$13,$G352=$G$14,K$14,$G352=$G$16,K$16,$G352=$G$17,K$17,$G352=$G$19,K$19,$G352=$G$20,K$20,$G352=$G$22,K$22,$G352=$G$23,K$23,$G352=$G$26,K$26,$G352=$G$29,K$29,$G352=$G$31,K$31,$G352=$G$34,K$34,$G352=$G$37,K$37,$G352=$G$107,K$107,$G352=$G$110,K$110,$G352=$G$140,K$140,$G352=$G$142,K$142,$G352=$G$408,K$408)</f>
        <v>BG sentinel + BG lure7</v>
      </c>
      <c r="O352" s="13" t="str">
        <f t="shared" si="30"/>
        <v>A_SP_BCN_12_220906</v>
      </c>
      <c r="P352" s="27">
        <v>44810</v>
      </c>
      <c r="Q352" s="29">
        <v>0.56944444444444442</v>
      </c>
      <c r="R352" s="33"/>
      <c r="S352" s="27">
        <v>44817</v>
      </c>
      <c r="T352" s="29">
        <v>0.61458333333333337</v>
      </c>
      <c r="V352" s="13" t="s">
        <v>86</v>
      </c>
      <c r="X352" s="13">
        <f t="shared" si="32"/>
        <v>7</v>
      </c>
      <c r="Z352" s="13" t="s">
        <v>60</v>
      </c>
      <c r="AA352" s="13">
        <f t="shared" si="37"/>
        <v>13</v>
      </c>
      <c r="AB352" s="13" t="str">
        <f t="shared" si="33"/>
        <v>Adult</v>
      </c>
      <c r="AC352" s="13">
        <v>10</v>
      </c>
      <c r="AD352" s="13">
        <v>3</v>
      </c>
      <c r="AE352" s="13" t="str">
        <f t="shared" si="34"/>
        <v>Morphological</v>
      </c>
      <c r="AF352" s="2">
        <v>4</v>
      </c>
    </row>
    <row r="353" spans="1:32" x14ac:dyDescent="0.25">
      <c r="A353" s="13">
        <v>349</v>
      </c>
      <c r="B353" s="23" t="s">
        <v>56</v>
      </c>
      <c r="C353" s="23" t="s">
        <v>57</v>
      </c>
      <c r="D353" s="23" t="s">
        <v>58</v>
      </c>
      <c r="E353" s="23" t="s">
        <v>58</v>
      </c>
      <c r="F353" s="35" cm="1">
        <f t="array" ref="F353">_xlfn.IFS($G353=$G$5,F$5,$G353=$G$7,F$7,$G353=$G$10,F$10,$G353=$G$13,F$13,$G353=$G$14,F$14,$G353=$G$16,F$16,$G353=$G$17,F$17,$G353=$G$19,F$19,$G353=$G$20,F$20,$G353=$G$22,F$22,$G353=$G$23,F$23,$G353=$G$26,F$26,$G353=$G$29,F$29,$G353=$G$31,F$31,$G353=$G$34,F$34,$G353=$G$37,F$37,$G353=$G$107,F$107,$G353=$G$110,F$110,$G353=$G$140,F$140,$G353=$G$142,F$142,$G353=$G$408,F$408)</f>
        <v>8038</v>
      </c>
      <c r="G353" s="13" t="s">
        <v>69</v>
      </c>
      <c r="H353" s="51" cm="1">
        <f t="array" ref="H353">_xlfn.IFS($G353=$G$5,H$5,$G353=$G$7,H$7,$G353=$G$10,H$10,$G353=$G$13,H$13,$G353=$G$14,H$14,$G353=$G$16,H$16,$G353=$G$17,H$17,$G353=$G$19,H$19,$G353=$G$20,H$20,$G353=$G$22,H$22,$G353=$G$23,H$23,$G353=$G$26,H$26,$G353=$G$29,H$29,$G353=$G$31,H$31,$G353=$G$34,H$34,$G353=$G$37,H$37,$G353=$G$107,H$107,$G353=$G$110,H$110,$G353=$G$140,H$140,$G353=$G$142,H$142,$G353=$G$408,H$408)</f>
        <v>41.363377999999997</v>
      </c>
      <c r="I353" s="51" cm="1">
        <f t="array" ref="I353">_xlfn.IFS($G353=$G$5,I$5,$G353=$G$7,I$7,$G353=$G$10,I$10,$G353=$G$13,I$13,$G353=$G$14,I$14,$G353=$G$16,I$16,$G353=$G$17,I$17,$G353=$G$19,I$19,$G353=$G$20,I$20,$G353=$G$22,I$22,$G353=$G$23,I$23,$G353=$G$26,I$26,$G353=$G$29,I$29,$G353=$G$31,I$31,$G353=$G$34,I$34,$G353=$G$37,I$37,$G353=$G$107,I$107,$G353=$G$110,I$110,$G353=$G$140,I$140,$G353=$G$142,I$142,$G353=$G$408,I$408)</f>
        <v>2.164879</v>
      </c>
      <c r="J353" s="51" cm="1">
        <f t="array" ref="J353">_xlfn.IFS($G353=$G$5,J$5,$G353=$G$7,J$7,$G353=$G$10,J$10,$G353=$G$13,J$13,$G353=$G$14,J$14,$G353=$G$16,J$16,$G353=$G$17,J$17,$G353=$G$19,J$19,$G353=$G$20,J$20,$G353=$G$22,J$22,$G353=$G$23,J$23,$G353=$G$26,J$26,$G353=$G$29,J$29,$G353=$G$31,J$31,$G353=$G$34,J$34,$G353=$G$37,J$37,$G353=$G$107,J$107,$G353=$G$110,J$110,$G353=$G$140,J$140,$G353=$G$142,J$142,$G353=$G$408,J$408)</f>
        <v>185</v>
      </c>
      <c r="K353" s="13" t="str" cm="1">
        <f t="array" ref="K353">_xlfn.IFS($G353=$G$5,K$5,$G353=$G$7,K$7,$G353=$G$10,K$10,$G353=$G$13,K$13,$G353=$G$14,K$14,$G353=$G$16,K$16,$G353=$G$17,K$17,$G353=$G$19,K$19,$G353=$G$20,K$20,$G353=$G$22,K$22,$G353=$G$23,K$23,$G353=$G$26,K$26,$G353=$G$29,K$29,$G353=$G$31,K$31,$G353=$G$34,K$34,$G353=$G$37,K$37,$G353=$G$107,K$107,$G353=$G$110,K$110,$G353=$G$140,K$140,$G353=$G$142,K$142,$G353=$G$408,K$408)</f>
        <v>BG sentinel + BG lure7</v>
      </c>
      <c r="O353" s="13" t="str">
        <f t="shared" si="30"/>
        <v>A_SP_BCN_12_220906</v>
      </c>
      <c r="P353" s="27">
        <v>44810</v>
      </c>
      <c r="Q353" s="29">
        <v>0.56944444444444442</v>
      </c>
      <c r="R353" s="33"/>
      <c r="S353" s="27">
        <v>44817</v>
      </c>
      <c r="T353" s="29">
        <v>0.61458333333333337</v>
      </c>
      <c r="V353" s="13" t="s">
        <v>86</v>
      </c>
      <c r="X353" s="13">
        <f t="shared" si="32"/>
        <v>7</v>
      </c>
      <c r="Z353" s="13" t="s">
        <v>164</v>
      </c>
      <c r="AA353" s="13">
        <f t="shared" si="37"/>
        <v>42</v>
      </c>
      <c r="AB353" s="13" t="str">
        <f t="shared" si="33"/>
        <v>Adult</v>
      </c>
      <c r="AC353" s="13">
        <v>42</v>
      </c>
      <c r="AD353" s="13">
        <v>0</v>
      </c>
      <c r="AE353" s="13" t="str">
        <f t="shared" si="34"/>
        <v>Morphological</v>
      </c>
      <c r="AF353" s="2">
        <v>4</v>
      </c>
    </row>
    <row r="354" spans="1:32" x14ac:dyDescent="0.25">
      <c r="A354" s="13">
        <v>350</v>
      </c>
      <c r="B354" s="23" t="s">
        <v>56</v>
      </c>
      <c r="C354" s="23" t="s">
        <v>57</v>
      </c>
      <c r="D354" s="23" t="s">
        <v>58</v>
      </c>
      <c r="E354" s="23" t="s">
        <v>58</v>
      </c>
      <c r="F354" s="35" cm="1">
        <f t="array" ref="F354">_xlfn.IFS($G354=$G$5,F$5,$G354=$G$7,F$7,$G354=$G$10,F$10,$G354=$G$13,F$13,$G354=$G$14,F$14,$G354=$G$16,F$16,$G354=$G$17,F$17,$G354=$G$19,F$19,$G354=$G$20,F$20,$G354=$G$22,F$22,$G354=$G$23,F$23,$G354=$G$26,F$26,$G354=$G$29,F$29,$G354=$G$31,F$31,$G354=$G$34,F$34,$G354=$G$37,F$37,$G354=$G$107,F$107,$G354=$G$110,F$110,$G354=$G$140,F$140,$G354=$G$142,F$142,$G354=$G$408,F$408)</f>
        <v>8038</v>
      </c>
      <c r="G354" s="13" t="s">
        <v>69</v>
      </c>
      <c r="H354" s="51" cm="1">
        <f t="array" ref="H354">_xlfn.IFS($G354=$G$5,H$5,$G354=$G$7,H$7,$G354=$G$10,H$10,$G354=$G$13,H$13,$G354=$G$14,H$14,$G354=$G$16,H$16,$G354=$G$17,H$17,$G354=$G$19,H$19,$G354=$G$20,H$20,$G354=$G$22,H$22,$G354=$G$23,H$23,$G354=$G$26,H$26,$G354=$G$29,H$29,$G354=$G$31,H$31,$G354=$G$34,H$34,$G354=$G$37,H$37,$G354=$G$107,H$107,$G354=$G$110,H$110,$G354=$G$140,H$140,$G354=$G$142,H$142,$G354=$G$408,H$408)</f>
        <v>41.363377999999997</v>
      </c>
      <c r="I354" s="51" cm="1">
        <f t="array" ref="I354">_xlfn.IFS($G354=$G$5,I$5,$G354=$G$7,I$7,$G354=$G$10,I$10,$G354=$G$13,I$13,$G354=$G$14,I$14,$G354=$G$16,I$16,$G354=$G$17,I$17,$G354=$G$19,I$19,$G354=$G$20,I$20,$G354=$G$22,I$22,$G354=$G$23,I$23,$G354=$G$26,I$26,$G354=$G$29,I$29,$G354=$G$31,I$31,$G354=$G$34,I$34,$G354=$G$37,I$37,$G354=$G$107,I$107,$G354=$G$110,I$110,$G354=$G$140,I$140,$G354=$G$142,I$142,$G354=$G$408,I$408)</f>
        <v>2.164879</v>
      </c>
      <c r="J354" s="51" cm="1">
        <f t="array" ref="J354">_xlfn.IFS($G354=$G$5,J$5,$G354=$G$7,J$7,$G354=$G$10,J$10,$G354=$G$13,J$13,$G354=$G$14,J$14,$G354=$G$16,J$16,$G354=$G$17,J$17,$G354=$G$19,J$19,$G354=$G$20,J$20,$G354=$G$22,J$22,$G354=$G$23,J$23,$G354=$G$26,J$26,$G354=$G$29,J$29,$G354=$G$31,J$31,$G354=$G$34,J$34,$G354=$G$37,J$37,$G354=$G$107,J$107,$G354=$G$110,J$110,$G354=$G$140,J$140,$G354=$G$142,J$142,$G354=$G$408,J$408)</f>
        <v>185</v>
      </c>
      <c r="K354" s="13" t="str" cm="1">
        <f t="array" ref="K354">_xlfn.IFS($G354=$G$5,K$5,$G354=$G$7,K$7,$G354=$G$10,K$10,$G354=$G$13,K$13,$G354=$G$14,K$14,$G354=$G$16,K$16,$G354=$G$17,K$17,$G354=$G$19,K$19,$G354=$G$20,K$20,$G354=$G$22,K$22,$G354=$G$23,K$23,$G354=$G$26,K$26,$G354=$G$29,K$29,$G354=$G$31,K$31,$G354=$G$34,K$34,$G354=$G$37,K$37,$G354=$G$107,K$107,$G354=$G$110,K$110,$G354=$G$140,K$140,$G354=$G$142,K$142,$G354=$G$408,K$408)</f>
        <v>BG sentinel + BG lure7</v>
      </c>
      <c r="O354" s="13" t="str">
        <f t="shared" si="30"/>
        <v>A_SP_BCN_12_220906</v>
      </c>
      <c r="P354" s="27">
        <v>44810</v>
      </c>
      <c r="Q354" s="29">
        <v>0.56944444444444442</v>
      </c>
      <c r="R354" s="33"/>
      <c r="S354" s="27">
        <v>44817</v>
      </c>
      <c r="T354" s="29">
        <v>0.61458333333333337</v>
      </c>
      <c r="V354" s="13" t="s">
        <v>86</v>
      </c>
      <c r="X354" s="13">
        <f t="shared" si="32"/>
        <v>7</v>
      </c>
      <c r="Z354" s="32" t="s">
        <v>163</v>
      </c>
      <c r="AA354" s="13">
        <f t="shared" si="37"/>
        <v>1</v>
      </c>
      <c r="AB354" s="13" t="str">
        <f t="shared" si="33"/>
        <v>Adult</v>
      </c>
      <c r="AC354" s="13">
        <v>0</v>
      </c>
      <c r="AD354" s="13">
        <v>1</v>
      </c>
      <c r="AE354" s="13" t="str">
        <f t="shared" si="34"/>
        <v>Morphological</v>
      </c>
      <c r="AF354" s="2">
        <v>4</v>
      </c>
    </row>
    <row r="355" spans="1:32" x14ac:dyDescent="0.25">
      <c r="A355" s="13">
        <v>351</v>
      </c>
      <c r="B355" s="23" t="s">
        <v>56</v>
      </c>
      <c r="C355" s="23" t="s">
        <v>57</v>
      </c>
      <c r="D355" s="23" t="s">
        <v>58</v>
      </c>
      <c r="E355" s="23" t="s">
        <v>58</v>
      </c>
      <c r="F355" s="35" cm="1">
        <f t="array" ref="F355">_xlfn.IFS($G355=$G$5,F$5,$G355=$G$7,F$7,$G355=$G$10,F$10,$G355=$G$13,F$13,$G355=$G$14,F$14,$G355=$G$16,F$16,$G355=$G$17,F$17,$G355=$G$19,F$19,$G355=$G$20,F$20,$G355=$G$22,F$22,$G355=$G$23,F$23,$G355=$G$26,F$26,$G355=$G$29,F$29,$G355=$G$31,F$31,$G355=$G$34,F$34,$G355=$G$37,F$37,$G355=$G$107,F$107,$G355=$G$110,F$110,$G355=$G$140,F$140,$G355=$G$142,F$142,$G355=$G$408,F$408)</f>
        <v>8035</v>
      </c>
      <c r="G355" s="13" t="s">
        <v>70</v>
      </c>
      <c r="H355" s="51" cm="1">
        <f t="array" ref="H355">_xlfn.IFS($G355=$G$5,H$5,$G355=$G$7,H$7,$G355=$G$10,H$10,$G355=$G$13,H$13,$G355=$G$14,H$14,$G355=$G$16,H$16,$G355=$G$17,H$17,$G355=$G$19,H$19,$G355=$G$20,H$20,$G355=$G$22,H$22,$G355=$G$23,H$23,$G355=$G$26,H$26,$G355=$G$29,H$29,$G355=$G$31,H$31,$G355=$G$34,H$34,$G355=$G$37,H$37,$G355=$G$107,H$107,$G355=$G$110,H$110,$G355=$G$140,H$140,$G355=$G$142,H$142,$G355=$G$408,H$408)</f>
        <v>41.434472</v>
      </c>
      <c r="I355" s="51" cm="1">
        <f t="array" ref="I355">_xlfn.IFS($G355=$G$5,I$5,$G355=$G$7,I$7,$G355=$G$10,I$10,$G355=$G$13,I$13,$G355=$G$14,I$14,$G355=$G$16,I$16,$G355=$G$17,I$17,$G355=$G$19,I$19,$G355=$G$20,I$20,$G355=$G$22,I$22,$G355=$G$23,I$23,$G355=$G$26,I$26,$G355=$G$29,I$29,$G355=$G$31,I$31,$G355=$G$34,I$34,$G355=$G$37,I$37,$G355=$G$107,I$107,$G355=$G$110,I$110,$G355=$G$140,I$140,$G355=$G$142,I$142,$G355=$G$408,I$408)</f>
        <v>2.1315789999999999</v>
      </c>
      <c r="J355" s="51" cm="1">
        <f t="array" ref="J355">_xlfn.IFS($G355=$G$5,J$5,$G355=$G$7,J$7,$G355=$G$10,J$10,$G355=$G$13,J$13,$G355=$G$14,J$14,$G355=$G$16,J$16,$G355=$G$17,J$17,$G355=$G$19,J$19,$G355=$G$20,J$20,$G355=$G$22,J$22,$G355=$G$23,J$23,$G355=$G$26,J$26,$G355=$G$29,J$29,$G355=$G$31,J$31,$G355=$G$34,J$34,$G355=$G$37,J$37,$G355=$G$107,J$107,$G355=$G$110,J$110,$G355=$G$140,J$140,$G355=$G$142,J$142,$G355=$G$408,J$408)</f>
        <v>365</v>
      </c>
      <c r="K355" s="13" t="str" cm="1">
        <f t="array" ref="K355">_xlfn.IFS($G355=$G$5,K$5,$G355=$G$7,K$7,$G355=$G$10,K$10,$G355=$G$13,K$13,$G355=$G$14,K$14,$G355=$G$16,K$16,$G355=$G$17,K$17,$G355=$G$19,K$19,$G355=$G$20,K$20,$G355=$G$22,K$22,$G355=$G$23,K$23,$G355=$G$26,K$26,$G355=$G$29,K$29,$G355=$G$31,K$31,$G355=$G$34,K$34,$G355=$G$37,K$37,$G355=$G$107,K$107,$G355=$G$110,K$110,$G355=$G$140,K$140,$G355=$G$142,K$142,$G355=$G$408,K$408)</f>
        <v>BG sentinel + BG lure7</v>
      </c>
      <c r="O355" s="13" t="str">
        <f t="shared" si="30"/>
        <v>A_SP_BCN_13_220906</v>
      </c>
      <c r="P355" s="27">
        <v>44810</v>
      </c>
      <c r="Q355" s="29">
        <v>0.66319444444444442</v>
      </c>
      <c r="R355" s="33"/>
      <c r="S355" s="27">
        <v>44817</v>
      </c>
      <c r="T355" s="29">
        <v>0.68055555555555547</v>
      </c>
      <c r="V355" s="13" t="s">
        <v>86</v>
      </c>
      <c r="X355" s="13">
        <f t="shared" si="32"/>
        <v>7</v>
      </c>
      <c r="Z355" s="13" t="s">
        <v>60</v>
      </c>
      <c r="AA355" s="13">
        <f t="shared" si="37"/>
        <v>3</v>
      </c>
      <c r="AB355" s="13" t="str">
        <f t="shared" si="33"/>
        <v>Adult</v>
      </c>
      <c r="AC355" s="13">
        <v>2</v>
      </c>
      <c r="AD355" s="13">
        <v>1</v>
      </c>
      <c r="AE355" s="13" t="str">
        <f t="shared" si="34"/>
        <v>Morphological</v>
      </c>
      <c r="AF355" s="2">
        <v>4</v>
      </c>
    </row>
    <row r="356" spans="1:32" x14ac:dyDescent="0.25">
      <c r="A356" s="13">
        <v>352</v>
      </c>
      <c r="B356" s="23" t="s">
        <v>56</v>
      </c>
      <c r="C356" s="23" t="s">
        <v>57</v>
      </c>
      <c r="D356" s="23" t="s">
        <v>58</v>
      </c>
      <c r="E356" s="23" t="s">
        <v>58</v>
      </c>
      <c r="F356" s="35" cm="1">
        <f t="array" ref="F356">_xlfn.IFS($G356=$G$5,F$5,$G356=$G$7,F$7,$G356=$G$10,F$10,$G356=$G$13,F$13,$G356=$G$14,F$14,$G356=$G$16,F$16,$G356=$G$17,F$17,$G356=$G$19,F$19,$G356=$G$20,F$20,$G356=$G$22,F$22,$G356=$G$23,F$23,$G356=$G$26,F$26,$G356=$G$29,F$29,$G356=$G$31,F$31,$G356=$G$34,F$34,$G356=$G$37,F$37,$G356=$G$107,F$107,$G356=$G$110,F$110,$G356=$G$140,F$140,$G356=$G$142,F$142,$G356=$G$408,F$408)</f>
        <v>8017</v>
      </c>
      <c r="G356" s="13" t="s">
        <v>71</v>
      </c>
      <c r="H356" s="51" cm="1">
        <f t="array" ref="H356">_xlfn.IFS($G356=$G$5,H$5,$G356=$G$7,H$7,$G356=$G$10,H$10,$G356=$G$13,H$13,$G356=$G$14,H$14,$G356=$G$16,H$16,$G356=$G$17,H$17,$G356=$G$19,H$19,$G356=$G$20,H$20,$G356=$G$22,H$22,$G356=$G$23,H$23,$G356=$G$26,H$26,$G356=$G$29,H$29,$G356=$G$31,H$31,$G356=$G$34,H$34,$G356=$G$37,H$37,$G356=$G$107,H$107,$G356=$G$110,H$110,$G356=$G$140,H$140,$G356=$G$142,H$142,$G356=$G$408,H$408)</f>
        <v>41.428533999999999</v>
      </c>
      <c r="I356" s="51" cm="1">
        <f t="array" ref="I356">_xlfn.IFS($G356=$G$5,I$5,$G356=$G$7,I$7,$G356=$G$10,I$10,$G356=$G$13,I$13,$G356=$G$14,I$14,$G356=$G$16,I$16,$G356=$G$17,I$17,$G356=$G$19,I$19,$G356=$G$20,I$20,$G356=$G$22,I$22,$G356=$G$23,I$23,$G356=$G$26,I$26,$G356=$G$29,I$29,$G356=$G$31,I$31,$G356=$G$34,I$34,$G356=$G$37,I$37,$G356=$G$107,I$107,$G356=$G$110,I$110,$G356=$G$140,I$140,$G356=$G$142,I$142,$G356=$G$408,I$408)</f>
        <v>2.090954</v>
      </c>
      <c r="J356" s="51" cm="1">
        <f t="array" ref="J356">_xlfn.IFS($G356=$G$5,J$5,$G356=$G$7,J$7,$G356=$G$10,J$10,$G356=$G$13,J$13,$G356=$G$14,J$14,$G356=$G$16,J$16,$G356=$G$17,J$17,$G356=$G$19,J$19,$G356=$G$20,J$20,$G356=$G$22,J$22,$G356=$G$23,J$23,$G356=$G$26,J$26,$G356=$G$29,J$29,$G356=$G$31,J$31,$G356=$G$34,J$34,$G356=$G$37,J$37,$G356=$G$107,J$107,$G356=$G$110,J$110,$G356=$G$140,J$140,$G356=$G$142,J$142,$G356=$G$408,J$408)</f>
        <v>215</v>
      </c>
      <c r="K356" s="13" t="str" cm="1">
        <f t="array" ref="K356">_xlfn.IFS($G356=$G$5,K$5,$G356=$G$7,K$7,$G356=$G$10,K$10,$G356=$G$13,K$13,$G356=$G$14,K$14,$G356=$G$16,K$16,$G356=$G$17,K$17,$G356=$G$19,K$19,$G356=$G$20,K$20,$G356=$G$22,K$22,$G356=$G$23,K$23,$G356=$G$26,K$26,$G356=$G$29,K$29,$G356=$G$31,K$31,$G356=$G$34,K$34,$G356=$G$37,K$37,$G356=$G$107,K$107,$G356=$G$110,K$110,$G356=$G$140,K$140,$G356=$G$142,K$142,$G356=$G$408,K$408)</f>
        <v>BG sentinel + BG lure7</v>
      </c>
      <c r="O356" s="13" t="str">
        <f t="shared" si="30"/>
        <v>A_SP_BCN_14_220906</v>
      </c>
      <c r="P356" s="27">
        <v>44810</v>
      </c>
      <c r="Q356" s="29">
        <v>0.69791666666666663</v>
      </c>
      <c r="R356" s="33"/>
      <c r="S356" s="27">
        <v>44817</v>
      </c>
      <c r="T356" s="29">
        <v>0.72916666666666663</v>
      </c>
      <c r="V356" s="13" t="s">
        <v>86</v>
      </c>
      <c r="X356" s="13">
        <f t="shared" si="32"/>
        <v>7</v>
      </c>
      <c r="Z356" s="13" t="s">
        <v>60</v>
      </c>
      <c r="AA356" s="13">
        <f t="shared" si="37"/>
        <v>38</v>
      </c>
      <c r="AB356" s="13" t="str">
        <f t="shared" si="33"/>
        <v>Adult</v>
      </c>
      <c r="AC356" s="13">
        <v>33</v>
      </c>
      <c r="AD356" s="13">
        <v>5</v>
      </c>
      <c r="AE356" s="13" t="str">
        <f t="shared" si="34"/>
        <v>Morphological</v>
      </c>
      <c r="AF356" s="2">
        <v>4</v>
      </c>
    </row>
    <row r="357" spans="1:32" x14ac:dyDescent="0.25">
      <c r="A357" s="13">
        <v>353</v>
      </c>
      <c r="B357" s="23" t="s">
        <v>56</v>
      </c>
      <c r="C357" s="23" t="s">
        <v>57</v>
      </c>
      <c r="D357" s="23" t="s">
        <v>58</v>
      </c>
      <c r="E357" s="23" t="s">
        <v>58</v>
      </c>
      <c r="F357" s="35" cm="1">
        <f t="array" ref="F357">_xlfn.IFS($G357=$G$5,F$5,$G357=$G$7,F$7,$G357=$G$10,F$10,$G357=$G$13,F$13,$G357=$G$14,F$14,$G357=$G$16,F$16,$G357=$G$17,F$17,$G357=$G$19,F$19,$G357=$G$20,F$20,$G357=$G$22,F$22,$G357=$G$23,F$23,$G357=$G$26,F$26,$G357=$G$29,F$29,$G357=$G$31,F$31,$G357=$G$34,F$34,$G357=$G$37,F$37,$G357=$G$107,F$107,$G357=$G$110,F$110,$G357=$G$140,F$140,$G357=$G$142,F$142,$G357=$G$408,F$408)</f>
        <v>8017</v>
      </c>
      <c r="G357" s="13" t="s">
        <v>72</v>
      </c>
      <c r="H357" s="51" cm="1">
        <f t="array" ref="H357">_xlfn.IFS($G357=$G$5,H$5,$G357=$G$7,H$7,$G357=$G$10,H$10,$G357=$G$13,H$13,$G357=$G$14,H$14,$G357=$G$16,H$16,$G357=$G$17,H$17,$G357=$G$19,H$19,$G357=$G$20,H$20,$G357=$G$22,H$22,$G357=$G$23,H$23,$G357=$G$26,H$26,$G357=$G$29,H$29,$G357=$G$31,H$31,$G357=$G$34,H$34,$G357=$G$37,H$37,$G357=$G$107,H$107,$G357=$G$110,H$110,$G357=$G$140,H$140,$G357=$G$142,H$142,$G357=$G$408,H$408)</f>
        <v>41.419471000000001</v>
      </c>
      <c r="I357" s="51" cm="1">
        <f t="array" ref="I357">_xlfn.IFS($G357=$G$5,I$5,$G357=$G$7,I$7,$G357=$G$10,I$10,$G357=$G$13,I$13,$G357=$G$14,I$14,$G357=$G$16,I$16,$G357=$G$17,I$17,$G357=$G$19,I$19,$G357=$G$20,I$20,$G357=$G$22,I$22,$G357=$G$23,I$23,$G357=$G$26,I$26,$G357=$G$29,I$29,$G357=$G$31,I$31,$G357=$G$34,I$34,$G357=$G$37,I$37,$G357=$G$107,I$107,$G357=$G$110,I$110,$G357=$G$140,I$140,$G357=$G$142,I$142,$G357=$G$408,I$408)</f>
        <v>2.1010149999999999</v>
      </c>
      <c r="J357" s="51" cm="1">
        <f t="array" ref="J357">_xlfn.IFS($G357=$G$5,J$5,$G357=$G$7,J$7,$G357=$G$10,J$10,$G357=$G$13,J$13,$G357=$G$14,J$14,$G357=$G$16,J$16,$G357=$G$17,J$17,$G357=$G$19,J$19,$G357=$G$20,J$20,$G357=$G$22,J$22,$G357=$G$23,J$23,$G357=$G$26,J$26,$G357=$G$29,J$29,$G357=$G$31,J$31,$G357=$G$34,J$34,$G357=$G$37,J$37,$G357=$G$107,J$107,$G357=$G$110,J$110,$G357=$G$140,J$140,$G357=$G$142,J$142,$G357=$G$408,J$408)</f>
        <v>284</v>
      </c>
      <c r="K357" s="13" t="str" cm="1">
        <f t="array" ref="K357">_xlfn.IFS($G357=$G$5,K$5,$G357=$G$7,K$7,$G357=$G$10,K$10,$G357=$G$13,K$13,$G357=$G$14,K$14,$G357=$G$16,K$16,$G357=$G$17,K$17,$G357=$G$19,K$19,$G357=$G$20,K$20,$G357=$G$22,K$22,$G357=$G$23,K$23,$G357=$G$26,K$26,$G357=$G$29,K$29,$G357=$G$31,K$31,$G357=$G$34,K$34,$G357=$G$37,K$37,$G357=$G$107,K$107,$G357=$G$110,K$110,$G357=$G$140,K$140,$G357=$G$142,K$142,$G357=$G$408,K$408)</f>
        <v>BG sentinel + BG lure7</v>
      </c>
      <c r="O357" s="13" t="str">
        <f t="shared" si="30"/>
        <v>A_SP_BCN_15_220906</v>
      </c>
      <c r="P357" s="27">
        <v>44810</v>
      </c>
      <c r="Q357" s="29">
        <v>0.67708333333333337</v>
      </c>
      <c r="R357" s="33"/>
      <c r="S357" s="27">
        <v>44817</v>
      </c>
      <c r="T357" s="29">
        <v>0.69791666666666663</v>
      </c>
      <c r="V357" s="13" t="s">
        <v>86</v>
      </c>
      <c r="X357" s="13">
        <f t="shared" si="32"/>
        <v>7</v>
      </c>
      <c r="Z357" s="13" t="s">
        <v>60</v>
      </c>
      <c r="AA357" s="13">
        <f t="shared" si="37"/>
        <v>13</v>
      </c>
      <c r="AB357" s="13" t="str">
        <f t="shared" si="33"/>
        <v>Adult</v>
      </c>
      <c r="AC357" s="13">
        <v>12</v>
      </c>
      <c r="AD357" s="13">
        <v>1</v>
      </c>
      <c r="AE357" s="13" t="str">
        <f t="shared" si="34"/>
        <v>Morphological</v>
      </c>
      <c r="AF357" s="2">
        <v>4</v>
      </c>
    </row>
    <row r="358" spans="1:32" x14ac:dyDescent="0.25">
      <c r="A358" s="13">
        <v>354</v>
      </c>
      <c r="B358" s="23" t="s">
        <v>56</v>
      </c>
      <c r="C358" s="23" t="s">
        <v>57</v>
      </c>
      <c r="D358" s="23" t="s">
        <v>58</v>
      </c>
      <c r="E358" s="23" t="s">
        <v>58</v>
      </c>
      <c r="F358" s="35" cm="1">
        <f t="array" ref="F358">_xlfn.IFS($G358=$G$5,F$5,$G358=$G$7,F$7,$G358=$G$10,F$10,$G358=$G$13,F$13,$G358=$G$14,F$14,$G358=$G$16,F$16,$G358=$G$17,F$17,$G358=$G$19,F$19,$G358=$G$20,F$20,$G358=$G$22,F$22,$G358=$G$23,F$23,$G358=$G$26,F$26,$G358=$G$29,F$29,$G358=$G$31,F$31,$G358=$G$34,F$34,$G358=$G$37,F$37,$G358=$G$107,F$107,$G358=$G$110,F$110,$G358=$G$140,F$140,$G358=$G$142,F$142,$G358=$G$408,F$408)</f>
        <v>8017</v>
      </c>
      <c r="G358" s="13" t="s">
        <v>72</v>
      </c>
      <c r="H358" s="51" cm="1">
        <f t="array" ref="H358">_xlfn.IFS($G358=$G$5,H$5,$G358=$G$7,H$7,$G358=$G$10,H$10,$G358=$G$13,H$13,$G358=$G$14,H$14,$G358=$G$16,H$16,$G358=$G$17,H$17,$G358=$G$19,H$19,$G358=$G$20,H$20,$G358=$G$22,H$22,$G358=$G$23,H$23,$G358=$G$26,H$26,$G358=$G$29,H$29,$G358=$G$31,H$31,$G358=$G$34,H$34,$G358=$G$37,H$37,$G358=$G$107,H$107,$G358=$G$110,H$110,$G358=$G$140,H$140,$G358=$G$142,H$142,$G358=$G$408,H$408)</f>
        <v>41.419471000000001</v>
      </c>
      <c r="I358" s="51" cm="1">
        <f t="array" ref="I358">_xlfn.IFS($G358=$G$5,I$5,$G358=$G$7,I$7,$G358=$G$10,I$10,$G358=$G$13,I$13,$G358=$G$14,I$14,$G358=$G$16,I$16,$G358=$G$17,I$17,$G358=$G$19,I$19,$G358=$G$20,I$20,$G358=$G$22,I$22,$G358=$G$23,I$23,$G358=$G$26,I$26,$G358=$G$29,I$29,$G358=$G$31,I$31,$G358=$G$34,I$34,$G358=$G$37,I$37,$G358=$G$107,I$107,$G358=$G$110,I$110,$G358=$G$140,I$140,$G358=$G$142,I$142,$G358=$G$408,I$408)</f>
        <v>2.1010149999999999</v>
      </c>
      <c r="J358" s="51" cm="1">
        <f t="array" ref="J358">_xlfn.IFS($G358=$G$5,J$5,$G358=$G$7,J$7,$G358=$G$10,J$10,$G358=$G$13,J$13,$G358=$G$14,J$14,$G358=$G$16,J$16,$G358=$G$17,J$17,$G358=$G$19,J$19,$G358=$G$20,J$20,$G358=$G$22,J$22,$G358=$G$23,J$23,$G358=$G$26,J$26,$G358=$G$29,J$29,$G358=$G$31,J$31,$G358=$G$34,J$34,$G358=$G$37,J$37,$G358=$G$107,J$107,$G358=$G$110,J$110,$G358=$G$140,J$140,$G358=$G$142,J$142,$G358=$G$408,J$408)</f>
        <v>284</v>
      </c>
      <c r="K358" s="13" t="str" cm="1">
        <f t="array" ref="K358">_xlfn.IFS($G358=$G$5,K$5,$G358=$G$7,K$7,$G358=$G$10,K$10,$G358=$G$13,K$13,$G358=$G$14,K$14,$G358=$G$16,K$16,$G358=$G$17,K$17,$G358=$G$19,K$19,$G358=$G$20,K$20,$G358=$G$22,K$22,$G358=$G$23,K$23,$G358=$G$26,K$26,$G358=$G$29,K$29,$G358=$G$31,K$31,$G358=$G$34,K$34,$G358=$G$37,K$37,$G358=$G$107,K$107,$G358=$G$110,K$110,$G358=$G$140,K$140,$G358=$G$142,K$142,$G358=$G$408,K$408)</f>
        <v>BG sentinel + BG lure7</v>
      </c>
      <c r="O358" s="13" t="str">
        <f t="shared" si="30"/>
        <v>A_SP_BCN_15_220906</v>
      </c>
      <c r="P358" s="27">
        <v>44810</v>
      </c>
      <c r="Q358" s="29">
        <v>0.67708333333333337</v>
      </c>
      <c r="R358" s="33"/>
      <c r="S358" s="27">
        <v>44817</v>
      </c>
      <c r="T358" s="29">
        <v>0.69791666666666663</v>
      </c>
      <c r="V358" s="13" t="s">
        <v>86</v>
      </c>
      <c r="X358" s="13">
        <f t="shared" si="32"/>
        <v>7</v>
      </c>
      <c r="Z358" s="13" t="s">
        <v>164</v>
      </c>
      <c r="AA358" s="13">
        <f t="shared" si="37"/>
        <v>1</v>
      </c>
      <c r="AB358" s="13" t="str">
        <f t="shared" si="33"/>
        <v>Adult</v>
      </c>
      <c r="AC358" s="13">
        <v>1</v>
      </c>
      <c r="AD358" s="13">
        <v>0</v>
      </c>
      <c r="AE358" s="13" t="str">
        <f t="shared" si="34"/>
        <v>Morphological</v>
      </c>
      <c r="AF358" s="2">
        <v>4</v>
      </c>
    </row>
    <row r="359" spans="1:32" x14ac:dyDescent="0.25">
      <c r="A359" s="13">
        <v>355</v>
      </c>
      <c r="B359" s="23" t="s">
        <v>56</v>
      </c>
      <c r="C359" s="23" t="s">
        <v>57</v>
      </c>
      <c r="D359" s="23" t="s">
        <v>58</v>
      </c>
      <c r="E359" s="23" t="s">
        <v>58</v>
      </c>
      <c r="F359" s="35" cm="1">
        <f t="array" ref="F359">_xlfn.IFS($G359=$G$5,F$5,$G359=$G$7,F$7,$G359=$G$10,F$10,$G359=$G$13,F$13,$G359=$G$14,F$14,$G359=$G$16,F$16,$G359=$G$17,F$17,$G359=$G$19,F$19,$G359=$G$20,F$20,$G359=$G$22,F$22,$G359=$G$23,F$23,$G359=$G$26,F$26,$G359=$G$29,F$29,$G359=$G$31,F$31,$G359=$G$34,F$34,$G359=$G$37,F$37,$G359=$G$107,F$107,$G359=$G$110,F$110,$G359=$G$140,F$140,$G359=$G$142,F$142,$G359=$G$408,F$408)</f>
        <v>8017</v>
      </c>
      <c r="G359" s="13" t="s">
        <v>72</v>
      </c>
      <c r="H359" s="51" cm="1">
        <f t="array" ref="H359">_xlfn.IFS($G359=$G$5,H$5,$G359=$G$7,H$7,$G359=$G$10,H$10,$G359=$G$13,H$13,$G359=$G$14,H$14,$G359=$G$16,H$16,$G359=$G$17,H$17,$G359=$G$19,H$19,$G359=$G$20,H$20,$G359=$G$22,H$22,$G359=$G$23,H$23,$G359=$G$26,H$26,$G359=$G$29,H$29,$G359=$G$31,H$31,$G359=$G$34,H$34,$G359=$G$37,H$37,$G359=$G$107,H$107,$G359=$G$110,H$110,$G359=$G$140,H$140,$G359=$G$142,H$142,$G359=$G$408,H$408)</f>
        <v>41.419471000000001</v>
      </c>
      <c r="I359" s="51" cm="1">
        <f t="array" ref="I359">_xlfn.IFS($G359=$G$5,I$5,$G359=$G$7,I$7,$G359=$G$10,I$10,$G359=$G$13,I$13,$G359=$G$14,I$14,$G359=$G$16,I$16,$G359=$G$17,I$17,$G359=$G$19,I$19,$G359=$G$20,I$20,$G359=$G$22,I$22,$G359=$G$23,I$23,$G359=$G$26,I$26,$G359=$G$29,I$29,$G359=$G$31,I$31,$G359=$G$34,I$34,$G359=$G$37,I$37,$G359=$G$107,I$107,$G359=$G$110,I$110,$G359=$G$140,I$140,$G359=$G$142,I$142,$G359=$G$408,I$408)</f>
        <v>2.1010149999999999</v>
      </c>
      <c r="J359" s="51" cm="1">
        <f t="array" ref="J359">_xlfn.IFS($G359=$G$5,J$5,$G359=$G$7,J$7,$G359=$G$10,J$10,$G359=$G$13,J$13,$G359=$G$14,J$14,$G359=$G$16,J$16,$G359=$G$17,J$17,$G359=$G$19,J$19,$G359=$G$20,J$20,$G359=$G$22,J$22,$G359=$G$23,J$23,$G359=$G$26,J$26,$G359=$G$29,J$29,$G359=$G$31,J$31,$G359=$G$34,J$34,$G359=$G$37,J$37,$G359=$G$107,J$107,$G359=$G$110,J$110,$G359=$G$140,J$140,$G359=$G$142,J$142,$G359=$G$408,J$408)</f>
        <v>284</v>
      </c>
      <c r="K359" s="13" t="str" cm="1">
        <f t="array" ref="K359">_xlfn.IFS($G359=$G$5,K$5,$G359=$G$7,K$7,$G359=$G$10,K$10,$G359=$G$13,K$13,$G359=$G$14,K$14,$G359=$G$16,K$16,$G359=$G$17,K$17,$G359=$G$19,K$19,$G359=$G$20,K$20,$G359=$G$22,K$22,$G359=$G$23,K$23,$G359=$G$26,K$26,$G359=$G$29,K$29,$G359=$G$31,K$31,$G359=$G$34,K$34,$G359=$G$37,K$37,$G359=$G$107,K$107,$G359=$G$110,K$110,$G359=$G$140,K$140,$G359=$G$142,K$142,$G359=$G$408,K$408)</f>
        <v>BG sentinel + BG lure7</v>
      </c>
      <c r="O359" s="13" t="str">
        <f t="shared" si="30"/>
        <v>A_SP_BCN_15_220906</v>
      </c>
      <c r="P359" s="27">
        <v>44810</v>
      </c>
      <c r="Q359" s="29">
        <v>0.67708333333333337</v>
      </c>
      <c r="R359" s="33"/>
      <c r="S359" s="27">
        <v>44817</v>
      </c>
      <c r="T359" s="29">
        <v>0.69791666666666663</v>
      </c>
      <c r="V359" s="13" t="s">
        <v>86</v>
      </c>
      <c r="X359" s="13">
        <f t="shared" si="32"/>
        <v>7</v>
      </c>
      <c r="Z359" s="32" t="s">
        <v>163</v>
      </c>
      <c r="AA359" s="13">
        <f t="shared" si="37"/>
        <v>1</v>
      </c>
      <c r="AB359" s="13" t="str">
        <f t="shared" si="33"/>
        <v>Adult</v>
      </c>
      <c r="AC359" s="13">
        <v>0</v>
      </c>
      <c r="AD359" s="13">
        <v>1</v>
      </c>
      <c r="AE359" s="13" t="str">
        <f t="shared" si="34"/>
        <v>Morphological</v>
      </c>
      <c r="AF359" s="2">
        <v>4</v>
      </c>
    </row>
    <row r="360" spans="1:32" x14ac:dyDescent="0.25">
      <c r="A360" s="13">
        <v>356</v>
      </c>
      <c r="B360" s="23" t="s">
        <v>56</v>
      </c>
      <c r="C360" s="23" t="s">
        <v>57</v>
      </c>
      <c r="D360" s="23" t="s">
        <v>58</v>
      </c>
      <c r="E360" s="23" t="s">
        <v>58</v>
      </c>
      <c r="F360" s="35" cm="1">
        <f t="array" ref="F360">_xlfn.IFS($G360=$G$5,F$5,$G360=$G$7,F$7,$G360=$G$10,F$10,$G360=$G$13,F$13,$G360=$G$14,F$14,$G360=$G$16,F$16,$G360=$G$17,F$17,$G360=$G$19,F$19,$G360=$G$20,F$20,$G360=$G$22,F$22,$G360=$G$23,F$23,$G360=$G$26,F$26,$G360=$G$29,F$29,$G360=$G$31,F$31,$G360=$G$34,F$34,$G360=$G$37,F$37,$G360=$G$107,F$107,$G360=$G$110,F$110,$G360=$G$140,F$140,$G360=$G$142,F$142,$G360=$G$408,F$408)</f>
        <v>8017</v>
      </c>
      <c r="G360" s="13" t="s">
        <v>73</v>
      </c>
      <c r="H360" s="51" cm="1">
        <f t="array" ref="H360">_xlfn.IFS($G360=$G$5,H$5,$G360=$G$7,H$7,$G360=$G$10,H$10,$G360=$G$13,H$13,$G360=$G$14,H$14,$G360=$G$16,H$16,$G360=$G$17,H$17,$G360=$G$19,H$19,$G360=$G$20,H$20,$G360=$G$22,H$22,$G360=$G$23,H$23,$G360=$G$26,H$26,$G360=$G$29,H$29,$G360=$G$31,H$31,$G360=$G$34,H$34,$G360=$G$37,H$37,$G360=$G$107,H$107,$G360=$G$110,H$110,$G360=$G$140,H$140,$G360=$G$142,H$142,$G360=$G$408,H$408)</f>
        <v>41.398387</v>
      </c>
      <c r="I360" s="51" cm="1">
        <f t="array" ref="I360">_xlfn.IFS($G360=$G$5,I$5,$G360=$G$7,I$7,$G360=$G$10,I$10,$G360=$G$13,I$13,$G360=$G$14,I$14,$G360=$G$16,I$16,$G360=$G$17,I$17,$G360=$G$19,I$19,$G360=$G$20,I$20,$G360=$G$22,I$22,$G360=$G$23,I$23,$G360=$G$26,I$26,$G360=$G$29,I$29,$G360=$G$31,I$31,$G360=$G$34,I$34,$G360=$G$37,I$37,$G360=$G$107,I$107,$G360=$G$110,I$110,$G360=$G$140,I$140,$G360=$G$142,I$142,$G360=$G$408,I$408)</f>
        <v>2.1244429999999999</v>
      </c>
      <c r="J360" s="51" cm="1">
        <f t="array" ref="J360">_xlfn.IFS($G360=$G$5,J$5,$G360=$G$7,J$7,$G360=$G$10,J$10,$G360=$G$13,J$13,$G360=$G$14,J$14,$G360=$G$16,J$16,$G360=$G$17,J$17,$G360=$G$19,J$19,$G360=$G$20,J$20,$G360=$G$22,J$22,$G360=$G$23,J$23,$G360=$G$26,J$26,$G360=$G$29,J$29,$G360=$G$31,J$31,$G360=$G$34,J$34,$G360=$G$37,J$37,$G360=$G$107,J$107,$G360=$G$110,J$110,$G360=$G$140,J$140,$G360=$G$142,J$142,$G360=$G$408,J$408)</f>
        <v>106</v>
      </c>
      <c r="K360" s="13" t="str" cm="1">
        <f t="array" ref="K360">_xlfn.IFS($G360=$G$5,K$5,$G360=$G$7,K$7,$G360=$G$10,K$10,$G360=$G$13,K$13,$G360=$G$14,K$14,$G360=$G$16,K$16,$G360=$G$17,K$17,$G360=$G$19,K$19,$G360=$G$20,K$20,$G360=$G$22,K$22,$G360=$G$23,K$23,$G360=$G$26,K$26,$G360=$G$29,K$29,$G360=$G$31,K$31,$G360=$G$34,K$34,$G360=$G$37,K$37,$G360=$G$107,K$107,$G360=$G$110,K$110,$G360=$G$140,K$140,$G360=$G$142,K$142,$G360=$G$408,K$408)</f>
        <v>BG sentinel + BG lure7</v>
      </c>
      <c r="O360" s="13" t="str">
        <f t="shared" si="30"/>
        <v>A_SP_BCN_16_220906</v>
      </c>
      <c r="P360" s="27">
        <v>44810</v>
      </c>
      <c r="Q360" s="29">
        <v>0.72569444444444453</v>
      </c>
      <c r="R360" s="33"/>
      <c r="S360" s="27">
        <v>44817</v>
      </c>
      <c r="T360" s="29">
        <v>0.74652777777777779</v>
      </c>
      <c r="V360" s="13" t="s">
        <v>86</v>
      </c>
      <c r="X360" s="13">
        <f t="shared" si="32"/>
        <v>7</v>
      </c>
      <c r="Z360" s="13" t="s">
        <v>60</v>
      </c>
      <c r="AA360" s="13">
        <f t="shared" si="37"/>
        <v>230</v>
      </c>
      <c r="AB360" s="13" t="str">
        <f t="shared" si="33"/>
        <v>Adult</v>
      </c>
      <c r="AC360" s="13">
        <v>92</v>
      </c>
      <c r="AD360" s="13">
        <v>138</v>
      </c>
      <c r="AE360" s="13" t="str">
        <f t="shared" si="34"/>
        <v>Morphological</v>
      </c>
      <c r="AF360" s="2">
        <v>4</v>
      </c>
    </row>
    <row r="361" spans="1:32" x14ac:dyDescent="0.25">
      <c r="A361" s="13">
        <v>357</v>
      </c>
      <c r="B361" s="23" t="s">
        <v>56</v>
      </c>
      <c r="C361" s="23" t="s">
        <v>57</v>
      </c>
      <c r="D361" s="23" t="s">
        <v>58</v>
      </c>
      <c r="E361" s="23" t="s">
        <v>58</v>
      </c>
      <c r="F361" s="35" cm="1">
        <f t="array" ref="F361">_xlfn.IFS($G361=$G$5,F$5,$G361=$G$7,F$7,$G361=$G$10,F$10,$G361=$G$13,F$13,$G361=$G$14,F$14,$G361=$G$16,F$16,$G361=$G$17,F$17,$G361=$G$19,F$19,$G361=$G$20,F$20,$G361=$G$22,F$22,$G361=$G$23,F$23,$G361=$G$26,F$26,$G361=$G$29,F$29,$G361=$G$31,F$31,$G361=$G$34,F$34,$G361=$G$37,F$37,$G361=$G$107,F$107,$G361=$G$110,F$110,$G361=$G$140,F$140,$G361=$G$142,F$142,$G361=$G$408,F$408)</f>
        <v>8017</v>
      </c>
      <c r="G361" s="13" t="s">
        <v>73</v>
      </c>
      <c r="H361" s="51" cm="1">
        <f t="array" ref="H361">_xlfn.IFS($G361=$G$5,H$5,$G361=$G$7,H$7,$G361=$G$10,H$10,$G361=$G$13,H$13,$G361=$G$14,H$14,$G361=$G$16,H$16,$G361=$G$17,H$17,$G361=$G$19,H$19,$G361=$G$20,H$20,$G361=$G$22,H$22,$G361=$G$23,H$23,$G361=$G$26,H$26,$G361=$G$29,H$29,$G361=$G$31,H$31,$G361=$G$34,H$34,$G361=$G$37,H$37,$G361=$G$107,H$107,$G361=$G$110,H$110,$G361=$G$140,H$140,$G361=$G$142,H$142,$G361=$G$408,H$408)</f>
        <v>41.398387</v>
      </c>
      <c r="I361" s="51" cm="1">
        <f t="array" ref="I361">_xlfn.IFS($G361=$G$5,I$5,$G361=$G$7,I$7,$G361=$G$10,I$10,$G361=$G$13,I$13,$G361=$G$14,I$14,$G361=$G$16,I$16,$G361=$G$17,I$17,$G361=$G$19,I$19,$G361=$G$20,I$20,$G361=$G$22,I$22,$G361=$G$23,I$23,$G361=$G$26,I$26,$G361=$G$29,I$29,$G361=$G$31,I$31,$G361=$G$34,I$34,$G361=$G$37,I$37,$G361=$G$107,I$107,$G361=$G$110,I$110,$G361=$G$140,I$140,$G361=$G$142,I$142,$G361=$G$408,I$408)</f>
        <v>2.1244429999999999</v>
      </c>
      <c r="J361" s="51" cm="1">
        <f t="array" ref="J361">_xlfn.IFS($G361=$G$5,J$5,$G361=$G$7,J$7,$G361=$G$10,J$10,$G361=$G$13,J$13,$G361=$G$14,J$14,$G361=$G$16,J$16,$G361=$G$17,J$17,$G361=$G$19,J$19,$G361=$G$20,J$20,$G361=$G$22,J$22,$G361=$G$23,J$23,$G361=$G$26,J$26,$G361=$G$29,J$29,$G361=$G$31,J$31,$G361=$G$34,J$34,$G361=$G$37,J$37,$G361=$G$107,J$107,$G361=$G$110,J$110,$G361=$G$140,J$140,$G361=$G$142,J$142,$G361=$G$408,J$408)</f>
        <v>106</v>
      </c>
      <c r="K361" s="13" t="str" cm="1">
        <f t="array" ref="K361">_xlfn.IFS($G361=$G$5,K$5,$G361=$G$7,K$7,$G361=$G$10,K$10,$G361=$G$13,K$13,$G361=$G$14,K$14,$G361=$G$16,K$16,$G361=$G$17,K$17,$G361=$G$19,K$19,$G361=$G$20,K$20,$G361=$G$22,K$22,$G361=$G$23,K$23,$G361=$G$26,K$26,$G361=$G$29,K$29,$G361=$G$31,K$31,$G361=$G$34,K$34,$G361=$G$37,K$37,$G361=$G$107,K$107,$G361=$G$110,K$110,$G361=$G$140,K$140,$G361=$G$142,K$142,$G361=$G$408,K$408)</f>
        <v>BG sentinel + BG lure7</v>
      </c>
      <c r="O361" s="13" t="str">
        <f t="shared" si="30"/>
        <v>A_SP_BCN_16_220906</v>
      </c>
      <c r="P361" s="27">
        <v>44810</v>
      </c>
      <c r="Q361" s="29">
        <v>0.72569444444444453</v>
      </c>
      <c r="R361" s="33"/>
      <c r="S361" s="27">
        <v>44817</v>
      </c>
      <c r="T361" s="29">
        <v>0.74652777777777779</v>
      </c>
      <c r="V361" s="13" t="s">
        <v>86</v>
      </c>
      <c r="X361" s="13">
        <f t="shared" si="32"/>
        <v>7</v>
      </c>
      <c r="Z361" s="13" t="s">
        <v>164</v>
      </c>
      <c r="AA361" s="13">
        <f t="shared" si="37"/>
        <v>12</v>
      </c>
      <c r="AB361" s="13" t="str">
        <f t="shared" si="33"/>
        <v>Adult</v>
      </c>
      <c r="AC361" s="13">
        <v>3</v>
      </c>
      <c r="AD361" s="13">
        <v>9</v>
      </c>
      <c r="AE361" s="13" t="str">
        <f t="shared" si="34"/>
        <v>Morphological</v>
      </c>
      <c r="AF361" s="2">
        <v>4</v>
      </c>
    </row>
    <row r="362" spans="1:32" x14ac:dyDescent="0.25">
      <c r="A362" s="13">
        <v>358</v>
      </c>
      <c r="B362" s="23" t="s">
        <v>56</v>
      </c>
      <c r="C362" s="23" t="s">
        <v>57</v>
      </c>
      <c r="D362" s="23" t="s">
        <v>58</v>
      </c>
      <c r="E362" s="23" t="s">
        <v>58</v>
      </c>
      <c r="F362" s="35" cm="1">
        <f t="array" ref="F362">_xlfn.IFS($G362=$G$5,F$5,$G362=$G$7,F$7,$G362=$G$10,F$10,$G362=$G$13,F$13,$G362=$G$14,F$14,$G362=$G$16,F$16,$G362=$G$17,F$17,$G362=$G$19,F$19,$G362=$G$20,F$20,$G362=$G$22,F$22,$G362=$G$23,F$23,$G362=$G$26,F$26,$G362=$G$29,F$29,$G362=$G$31,F$31,$G362=$G$34,F$34,$G362=$G$37,F$37,$G362=$G$107,F$107,$G362=$G$110,F$110,$G362=$G$140,F$140,$G362=$G$142,F$142,$G362=$G$408,F$408)</f>
        <v>8017</v>
      </c>
      <c r="G362" s="13" t="s">
        <v>73</v>
      </c>
      <c r="H362" s="51" cm="1">
        <f t="array" ref="H362">_xlfn.IFS($G362=$G$5,H$5,$G362=$G$7,H$7,$G362=$G$10,H$10,$G362=$G$13,H$13,$G362=$G$14,H$14,$G362=$G$16,H$16,$G362=$G$17,H$17,$G362=$G$19,H$19,$G362=$G$20,H$20,$G362=$G$22,H$22,$G362=$G$23,H$23,$G362=$G$26,H$26,$G362=$G$29,H$29,$G362=$G$31,H$31,$G362=$G$34,H$34,$G362=$G$37,H$37,$G362=$G$107,H$107,$G362=$G$110,H$110,$G362=$G$140,H$140,$G362=$G$142,H$142,$G362=$G$408,H$408)</f>
        <v>41.398387</v>
      </c>
      <c r="I362" s="51" cm="1">
        <f t="array" ref="I362">_xlfn.IFS($G362=$G$5,I$5,$G362=$G$7,I$7,$G362=$G$10,I$10,$G362=$G$13,I$13,$G362=$G$14,I$14,$G362=$G$16,I$16,$G362=$G$17,I$17,$G362=$G$19,I$19,$G362=$G$20,I$20,$G362=$G$22,I$22,$G362=$G$23,I$23,$G362=$G$26,I$26,$G362=$G$29,I$29,$G362=$G$31,I$31,$G362=$G$34,I$34,$G362=$G$37,I$37,$G362=$G$107,I$107,$G362=$G$110,I$110,$G362=$G$140,I$140,$G362=$G$142,I$142,$G362=$G$408,I$408)</f>
        <v>2.1244429999999999</v>
      </c>
      <c r="J362" s="51" cm="1">
        <f t="array" ref="J362">_xlfn.IFS($G362=$G$5,J$5,$G362=$G$7,J$7,$G362=$G$10,J$10,$G362=$G$13,J$13,$G362=$G$14,J$14,$G362=$G$16,J$16,$G362=$G$17,J$17,$G362=$G$19,J$19,$G362=$G$20,J$20,$G362=$G$22,J$22,$G362=$G$23,J$23,$G362=$G$26,J$26,$G362=$G$29,J$29,$G362=$G$31,J$31,$G362=$G$34,J$34,$G362=$G$37,J$37,$G362=$G$107,J$107,$G362=$G$110,J$110,$G362=$G$140,J$140,$G362=$G$142,J$142,$G362=$G$408,J$408)</f>
        <v>106</v>
      </c>
      <c r="K362" s="13" t="str" cm="1">
        <f t="array" ref="K362">_xlfn.IFS($G362=$G$5,K$5,$G362=$G$7,K$7,$G362=$G$10,K$10,$G362=$G$13,K$13,$G362=$G$14,K$14,$G362=$G$16,K$16,$G362=$G$17,K$17,$G362=$G$19,K$19,$G362=$G$20,K$20,$G362=$G$22,K$22,$G362=$G$23,K$23,$G362=$G$26,K$26,$G362=$G$29,K$29,$G362=$G$31,K$31,$G362=$G$34,K$34,$G362=$G$37,K$37,$G362=$G$107,K$107,$G362=$G$110,K$110,$G362=$G$140,K$140,$G362=$G$142,K$142,$G362=$G$408,K$408)</f>
        <v>BG sentinel + BG lure7</v>
      </c>
      <c r="O362" s="13" t="str">
        <f t="shared" si="30"/>
        <v>A_SP_BCN_16_220906</v>
      </c>
      <c r="P362" s="27">
        <v>44810</v>
      </c>
      <c r="Q362" s="29">
        <v>0.72569444444444453</v>
      </c>
      <c r="R362" s="33"/>
      <c r="S362" s="27">
        <v>44817</v>
      </c>
      <c r="T362" s="29">
        <v>0.74652777777777779</v>
      </c>
      <c r="V362" s="13" t="s">
        <v>86</v>
      </c>
      <c r="X362" s="13">
        <f t="shared" si="32"/>
        <v>7</v>
      </c>
      <c r="Z362" s="32" t="s">
        <v>163</v>
      </c>
      <c r="AA362" s="13">
        <f t="shared" si="37"/>
        <v>1</v>
      </c>
      <c r="AB362" s="13" t="str">
        <f t="shared" si="33"/>
        <v>Adult</v>
      </c>
      <c r="AC362" s="13">
        <v>1</v>
      </c>
      <c r="AD362" s="13">
        <v>0</v>
      </c>
      <c r="AE362" s="13" t="str">
        <f t="shared" si="34"/>
        <v>Morphological</v>
      </c>
      <c r="AF362" s="2">
        <v>4</v>
      </c>
    </row>
    <row r="363" spans="1:32" x14ac:dyDescent="0.25">
      <c r="A363" s="13">
        <v>359</v>
      </c>
      <c r="B363" s="23" t="s">
        <v>56</v>
      </c>
      <c r="C363" s="23" t="s">
        <v>57</v>
      </c>
      <c r="D363" s="23" t="s">
        <v>58</v>
      </c>
      <c r="E363" s="23" t="s">
        <v>58</v>
      </c>
      <c r="F363" s="35" cm="1">
        <f t="array" ref="F363">_xlfn.IFS($G363=$G$5,F$5,$G363=$G$7,F$7,$G363=$G$10,F$10,$G363=$G$13,F$13,$G363=$G$14,F$14,$G363=$G$16,F$16,$G363=$G$17,F$17,$G363=$G$19,F$19,$G363=$G$20,F$20,$G363=$G$22,F$22,$G363=$G$23,F$23,$G363=$G$26,F$26,$G363=$G$29,F$29,$G363=$G$31,F$31,$G363=$G$34,F$34,$G363=$G$37,F$37,$G363=$G$107,F$107,$G363=$G$110,F$110,$G363=$G$140,F$140,$G363=$G$142,F$142,$G363=$G$408,F$408)</f>
        <v>8023</v>
      </c>
      <c r="G363" s="13" t="s">
        <v>74</v>
      </c>
      <c r="H363" s="51" cm="1">
        <f t="array" ref="H363">_xlfn.IFS($G363=$G$5,H$5,$G363=$G$7,H$7,$G363=$G$10,H$10,$G363=$G$13,H$13,$G363=$G$14,H$14,$G363=$G$16,H$16,$G363=$G$17,H$17,$G363=$G$19,H$19,$G363=$G$20,H$20,$G363=$G$22,H$22,$G363=$G$23,H$23,$G363=$G$26,H$26,$G363=$G$29,H$29,$G363=$G$31,H$31,$G363=$G$34,H$34,$G363=$G$37,H$37,$G363=$G$107,H$107,$G363=$G$110,H$110,$G363=$G$140,H$140,$G363=$G$142,H$142,$G363=$G$408,H$408)</f>
        <v>41.417256000000002</v>
      </c>
      <c r="I363" s="51" cm="1">
        <f t="array" ref="I363">_xlfn.IFS($G363=$G$5,I$5,$G363=$G$7,I$7,$G363=$G$10,I$10,$G363=$G$13,I$13,$G363=$G$14,I$14,$G363=$G$16,I$16,$G363=$G$17,I$17,$G363=$G$19,I$19,$G363=$G$20,I$20,$G363=$G$22,I$22,$G363=$G$23,I$23,$G363=$G$26,I$26,$G363=$G$29,I$29,$G363=$G$31,I$31,$G363=$G$34,I$34,$G363=$G$37,I$37,$G363=$G$107,I$107,$G363=$G$110,I$110,$G363=$G$140,I$140,$G363=$G$142,I$142,$G363=$G$408,I$408)</f>
        <v>2.1455709999999999</v>
      </c>
      <c r="J363" s="51" cm="1">
        <f t="array" ref="J363">_xlfn.IFS($G363=$G$5,J$5,$G363=$G$7,J$7,$G363=$G$10,J$10,$G363=$G$13,J$13,$G363=$G$14,J$14,$G363=$G$16,J$16,$G363=$G$17,J$17,$G363=$G$19,J$19,$G363=$G$20,J$20,$G363=$G$22,J$22,$G363=$G$23,J$23,$G363=$G$26,J$26,$G363=$G$29,J$29,$G363=$G$31,J$31,$G363=$G$34,J$34,$G363=$G$37,J$37,$G363=$G$107,J$107,$G363=$G$110,J$110,$G363=$G$140,J$140,$G363=$G$142,J$142,$G363=$G$408,J$408)</f>
        <v>186</v>
      </c>
      <c r="K363" s="13" t="str" cm="1">
        <f t="array" ref="K363">_xlfn.IFS($G363=$G$5,K$5,$G363=$G$7,K$7,$G363=$G$10,K$10,$G363=$G$13,K$13,$G363=$G$14,K$14,$G363=$G$16,K$16,$G363=$G$17,K$17,$G363=$G$19,K$19,$G363=$G$20,K$20,$G363=$G$22,K$22,$G363=$G$23,K$23,$G363=$G$26,K$26,$G363=$G$29,K$29,$G363=$G$31,K$31,$G363=$G$34,K$34,$G363=$G$37,K$37,$G363=$G$107,K$107,$G363=$G$110,K$110,$G363=$G$140,K$140,$G363=$G$142,K$142,$G363=$G$408,K$408)</f>
        <v>BG sentinel + BG lure7</v>
      </c>
      <c r="O363" s="13" t="str">
        <f t="shared" si="30"/>
        <v>A_SP_BCN_17_220906</v>
      </c>
      <c r="P363" s="27">
        <v>44810</v>
      </c>
      <c r="Q363" s="29">
        <v>0.60069444444444442</v>
      </c>
      <c r="R363" s="33"/>
      <c r="S363" s="27">
        <v>44817</v>
      </c>
      <c r="T363" s="29">
        <v>0.63888888888888895</v>
      </c>
      <c r="V363" s="13" t="s">
        <v>86</v>
      </c>
      <c r="X363" s="13">
        <f t="shared" si="32"/>
        <v>7</v>
      </c>
      <c r="Z363" s="13" t="s">
        <v>60</v>
      </c>
      <c r="AA363" s="13">
        <f t="shared" si="37"/>
        <v>28</v>
      </c>
      <c r="AB363" s="13" t="str">
        <f t="shared" si="33"/>
        <v>Adult</v>
      </c>
      <c r="AC363" s="13">
        <v>16</v>
      </c>
      <c r="AD363" s="13">
        <v>12</v>
      </c>
      <c r="AE363" s="13" t="str">
        <f t="shared" si="34"/>
        <v>Morphological</v>
      </c>
      <c r="AF363" s="2">
        <v>4</v>
      </c>
    </row>
    <row r="364" spans="1:32" x14ac:dyDescent="0.25">
      <c r="A364" s="13">
        <v>360</v>
      </c>
      <c r="B364" s="23" t="s">
        <v>56</v>
      </c>
      <c r="C364" s="23" t="s">
        <v>57</v>
      </c>
      <c r="D364" s="23" t="s">
        <v>58</v>
      </c>
      <c r="E364" s="23" t="s">
        <v>58</v>
      </c>
      <c r="F364" s="35" cm="1">
        <f t="array" ref="F364">_xlfn.IFS($G364=$G$5,F$5,$G364=$G$7,F$7,$G364=$G$10,F$10,$G364=$G$13,F$13,$G364=$G$14,F$14,$G364=$G$16,F$16,$G364=$G$17,F$17,$G364=$G$19,F$19,$G364=$G$20,F$20,$G364=$G$22,F$22,$G364=$G$23,F$23,$G364=$G$26,F$26,$G364=$G$29,F$29,$G364=$G$31,F$31,$G364=$G$34,F$34,$G364=$G$37,F$37,$G364=$G$107,F$107,$G364=$G$110,F$110,$G364=$G$140,F$140,$G364=$G$142,F$142,$G364=$G$408,F$408)</f>
        <v>8031</v>
      </c>
      <c r="G364" s="13" t="s">
        <v>75</v>
      </c>
      <c r="H364" s="51" cm="1">
        <f t="array" ref="H364">_xlfn.IFS($G364=$G$5,H$5,$G364=$G$7,H$7,$G364=$G$10,H$10,$G364=$G$13,H$13,$G364=$G$14,H$14,$G364=$G$16,H$16,$G364=$G$17,H$17,$G364=$G$19,H$19,$G364=$G$20,H$20,$G364=$G$22,H$22,$G364=$G$23,H$23,$G364=$G$26,H$26,$G364=$G$29,H$29,$G364=$G$31,H$31,$G364=$G$34,H$34,$G364=$G$37,H$37,$G364=$G$107,H$107,$G364=$G$110,H$110,$G364=$G$140,H$140,$G364=$G$142,H$142,$G364=$G$408,H$408)</f>
        <v>41.433618000000003</v>
      </c>
      <c r="I364" s="51" cm="1">
        <f t="array" ref="I364">_xlfn.IFS($G364=$G$5,I$5,$G364=$G$7,I$7,$G364=$G$10,I$10,$G364=$G$13,I$13,$G364=$G$14,I$14,$G364=$G$16,I$16,$G364=$G$17,I$17,$G364=$G$19,I$19,$G364=$G$20,I$20,$G364=$G$22,I$22,$G364=$G$23,I$23,$G364=$G$26,I$26,$G364=$G$29,I$29,$G364=$G$31,I$31,$G364=$G$34,I$34,$G364=$G$37,I$37,$G364=$G$107,I$107,$G364=$G$110,I$110,$G364=$G$140,I$140,$G364=$G$142,I$142,$G364=$G$408,I$408)</f>
        <v>2.1677469999999999</v>
      </c>
      <c r="J364" s="51" cm="1">
        <f t="array" ref="J364">_xlfn.IFS($G364=$G$5,J$5,$G364=$G$7,J$7,$G364=$G$10,J$10,$G364=$G$13,J$13,$G364=$G$14,J$14,$G364=$G$16,J$16,$G364=$G$17,J$17,$G364=$G$19,J$19,$G364=$G$20,J$20,$G364=$G$22,J$22,$G364=$G$23,J$23,$G364=$G$26,J$26,$G364=$G$29,J$29,$G364=$G$31,J$31,$G364=$G$34,J$34,$G364=$G$37,J$37,$G364=$G$107,J$107,$G364=$G$110,J$110,$G364=$G$140,J$140,$G364=$G$142,J$142,$G364=$G$408,J$408)</f>
        <v>96.85</v>
      </c>
      <c r="K364" s="13" t="str" cm="1">
        <f t="array" ref="K364">_xlfn.IFS($G364=$G$5,K$5,$G364=$G$7,K$7,$G364=$G$10,K$10,$G364=$G$13,K$13,$G364=$G$14,K$14,$G364=$G$16,K$16,$G364=$G$17,K$17,$G364=$G$19,K$19,$G364=$G$20,K$20,$G364=$G$22,K$22,$G364=$G$23,K$23,$G364=$G$26,K$26,$G364=$G$29,K$29,$G364=$G$31,K$31,$G364=$G$34,K$34,$G364=$G$37,K$37,$G364=$G$107,K$107,$G364=$G$110,K$110,$G364=$G$140,K$140,$G364=$G$142,K$142,$G364=$G$408,K$408)</f>
        <v>BG sentinel + BG lure7</v>
      </c>
      <c r="O364" s="13" t="str">
        <f t="shared" si="30"/>
        <v>A_SP_BCN_18_220906</v>
      </c>
      <c r="P364" s="45">
        <v>44810</v>
      </c>
      <c r="Q364" s="36">
        <v>0.77430555555555547</v>
      </c>
      <c r="R364" s="43"/>
      <c r="S364" s="45">
        <v>44817</v>
      </c>
      <c r="T364" s="36">
        <v>0.76041666666666663</v>
      </c>
      <c r="V364" s="13" t="s">
        <v>160</v>
      </c>
      <c r="W364" s="15" t="s">
        <v>188</v>
      </c>
      <c r="X364" s="13">
        <f t="shared" si="32"/>
        <v>7</v>
      </c>
      <c r="AB364" s="13" t="str">
        <f t="shared" si="33"/>
        <v/>
      </c>
      <c r="AE364" s="13" t="str">
        <f t="shared" si="34"/>
        <v/>
      </c>
      <c r="AF364" s="2">
        <v>1</v>
      </c>
    </row>
    <row r="365" spans="1:32" x14ac:dyDescent="0.25">
      <c r="A365" s="13">
        <v>361</v>
      </c>
      <c r="B365" s="23" t="s">
        <v>56</v>
      </c>
      <c r="C365" s="23" t="s">
        <v>57</v>
      </c>
      <c r="D365" s="23" t="s">
        <v>58</v>
      </c>
      <c r="E365" s="23" t="s">
        <v>58</v>
      </c>
      <c r="F365" s="35" cm="1">
        <f t="array" ref="F365">_xlfn.IFS($G365=$G$5,F$5,$G365=$G$7,F$7,$G365=$G$10,F$10,$G365=$G$13,F$13,$G365=$G$14,F$14,$G365=$G$16,F$16,$G365=$G$17,F$17,$G365=$G$19,F$19,$G365=$G$20,F$20,$G365=$G$22,F$22,$G365=$G$23,F$23,$G365=$G$26,F$26,$G365=$G$29,F$29,$G365=$G$31,F$31,$G365=$G$34,F$34,$G365=$G$37,F$37,$G365=$G$107,F$107,$G365=$G$110,F$110,$G365=$G$140,F$140,$G365=$G$142,F$142,$G365=$G$408,F$408)</f>
        <v>8038</v>
      </c>
      <c r="G365" s="13" t="s">
        <v>76</v>
      </c>
      <c r="H365" s="51" cm="1">
        <f t="array" ref="H365">_xlfn.IFS($G365=$G$5,H$5,$G365=$G$7,H$7,$G365=$G$10,H$10,$G365=$G$13,H$13,$G365=$G$14,H$14,$G365=$G$16,H$16,$G365=$G$17,H$17,$G365=$G$19,H$19,$G365=$G$20,H$20,$G365=$G$22,H$22,$G365=$G$23,H$23,$G365=$G$26,H$26,$G365=$G$29,H$29,$G365=$G$31,H$31,$G365=$G$34,H$34,$G365=$G$37,H$37,$G365=$G$107,H$107,$G365=$G$110,H$110,$G365=$G$140,H$140,$G365=$G$142,H$142,$G365=$G$408,H$408)</f>
        <v>41.359864999999999</v>
      </c>
      <c r="I365" s="51" cm="1">
        <f t="array" ref="I365">_xlfn.IFS($G365=$G$5,I$5,$G365=$G$7,I$7,$G365=$G$10,I$10,$G365=$G$13,I$13,$G365=$G$14,I$14,$G365=$G$16,I$16,$G365=$G$17,I$17,$G365=$G$19,I$19,$G365=$G$20,I$20,$G365=$G$22,I$22,$G365=$G$23,I$23,$G365=$G$26,I$26,$G365=$G$29,I$29,$G365=$G$31,I$31,$G365=$G$34,I$34,$G365=$G$37,I$37,$G365=$G$107,I$107,$G365=$G$110,I$110,$G365=$G$140,I$140,$G365=$G$142,I$142,$G365=$G$408,I$408)</f>
        <v>2.1445430000000001</v>
      </c>
      <c r="J365" s="51" cm="1">
        <f t="array" ref="J365">_xlfn.IFS($G365=$G$5,J$5,$G365=$G$7,J$7,$G365=$G$10,J$10,$G365=$G$13,J$13,$G365=$G$14,J$14,$G365=$G$16,J$16,$G365=$G$17,J$17,$G365=$G$19,J$19,$G365=$G$20,J$20,$G365=$G$22,J$22,$G365=$G$23,J$23,$G365=$G$26,J$26,$G365=$G$29,J$29,$G365=$G$31,J$31,$G365=$G$34,J$34,$G365=$G$37,J$37,$G365=$G$107,J$107,$G365=$G$110,J$110,$G365=$G$140,J$140,$G365=$G$142,J$142,$G365=$G$408,J$408)</f>
        <v>11.4</v>
      </c>
      <c r="K365" s="13" t="str" cm="1">
        <f t="array" ref="K365">_xlfn.IFS($G365=$G$5,K$5,$G365=$G$7,K$7,$G365=$G$10,K$10,$G365=$G$13,K$13,$G365=$G$14,K$14,$G365=$G$16,K$16,$G365=$G$17,K$17,$G365=$G$19,K$19,$G365=$G$20,K$20,$G365=$G$22,K$22,$G365=$G$23,K$23,$G365=$G$26,K$26,$G365=$G$29,K$29,$G365=$G$31,K$31,$G365=$G$34,K$34,$G365=$G$37,K$37,$G365=$G$107,K$107,$G365=$G$110,K$110,$G365=$G$140,K$140,$G365=$G$142,K$142,$G365=$G$408,K$408)</f>
        <v>BG sentinel + BG lure7</v>
      </c>
      <c r="O365" s="13" t="str">
        <f t="shared" si="30"/>
        <v>A_SP_BCN_19_220906</v>
      </c>
      <c r="P365" s="27">
        <v>44810</v>
      </c>
      <c r="Q365" s="29">
        <v>0.54166666666666663</v>
      </c>
      <c r="R365" s="33"/>
      <c r="S365" s="27">
        <v>44817</v>
      </c>
      <c r="T365" s="29">
        <v>0.58680555555555558</v>
      </c>
      <c r="V365" s="13" t="s">
        <v>86</v>
      </c>
      <c r="X365" s="13">
        <f t="shared" si="32"/>
        <v>7</v>
      </c>
      <c r="Z365" s="13" t="s">
        <v>164</v>
      </c>
      <c r="AA365" s="13">
        <f t="shared" ref="AA365:AA399" si="38">SUM(AC365:AD365)</f>
        <v>1</v>
      </c>
      <c r="AB365" s="13" t="str">
        <f t="shared" si="33"/>
        <v>Adult</v>
      </c>
      <c r="AC365" s="13">
        <v>1</v>
      </c>
      <c r="AD365" s="13">
        <v>0</v>
      </c>
      <c r="AE365" s="13" t="str">
        <f t="shared" si="34"/>
        <v>Morphological</v>
      </c>
      <c r="AF365" s="2">
        <v>4</v>
      </c>
    </row>
    <row r="366" spans="1:32" x14ac:dyDescent="0.25">
      <c r="A366" s="13">
        <v>362</v>
      </c>
      <c r="B366" s="23" t="s">
        <v>56</v>
      </c>
      <c r="C366" s="23" t="s">
        <v>57</v>
      </c>
      <c r="D366" s="23" t="s">
        <v>58</v>
      </c>
      <c r="E366" s="23" t="s">
        <v>58</v>
      </c>
      <c r="F366" s="35" cm="1">
        <f t="array" ref="F366">_xlfn.IFS($G366=$G$5,F$5,$G366=$G$7,F$7,$G366=$G$10,F$10,$G366=$G$13,F$13,$G366=$G$14,F$14,$G366=$G$16,F$16,$G366=$G$17,F$17,$G366=$G$19,F$19,$G366=$G$20,F$20,$G366=$G$22,F$22,$G366=$G$23,F$23,$G366=$G$26,F$26,$G366=$G$29,F$29,$G366=$G$31,F$31,$G366=$G$34,F$34,$G366=$G$37,F$37,$G366=$G$107,F$107,$G366=$G$110,F$110,$G366=$G$140,F$140,$G366=$G$142,F$142,$G366=$G$408,F$408)</f>
        <v>8017</v>
      </c>
      <c r="G366" s="13" t="s">
        <v>77</v>
      </c>
      <c r="H366" s="51" cm="1">
        <f t="array" ref="H366">_xlfn.IFS($G366=$G$5,H$5,$G366=$G$7,H$7,$G366=$G$10,H$10,$G366=$G$13,H$13,$G366=$G$14,H$14,$G366=$G$16,H$16,$G366=$G$17,H$17,$G366=$G$19,H$19,$G366=$G$20,H$20,$G366=$G$22,H$22,$G366=$G$23,H$23,$G366=$G$26,H$26,$G366=$G$29,H$29,$G366=$G$31,H$31,$G366=$G$34,H$34,$G366=$G$37,H$37,$G366=$G$107,H$107,$G366=$G$110,H$110,$G366=$G$140,H$140,$G366=$G$142,H$142,$G366=$G$408,H$408)</f>
        <v>41.430315999999998</v>
      </c>
      <c r="I366" s="51" cm="1">
        <f t="array" ref="I366">_xlfn.IFS($G366=$G$5,I$5,$G366=$G$7,I$7,$G366=$G$10,I$10,$G366=$G$13,I$13,$G366=$G$14,I$14,$G366=$G$16,I$16,$G366=$G$17,I$17,$G366=$G$19,I$19,$G366=$G$20,I$20,$G366=$G$22,I$22,$G366=$G$23,I$23,$G366=$G$26,I$26,$G366=$G$29,I$29,$G366=$G$31,I$31,$G366=$G$34,I$34,$G366=$G$37,I$37,$G366=$G$107,I$107,$G366=$G$110,I$110,$G366=$G$140,I$140,$G366=$G$142,I$142,$G366=$G$408,I$408)</f>
        <v>2.077556</v>
      </c>
      <c r="J366" s="51" cm="1">
        <f t="array" ref="J366">_xlfn.IFS($G366=$G$5,J$5,$G366=$G$7,J$7,$G366=$G$10,J$10,$G366=$G$13,J$13,$G366=$G$14,J$14,$G366=$G$16,J$16,$G366=$G$17,J$17,$G366=$G$19,J$19,$G366=$G$20,J$20,$G366=$G$22,J$22,$G366=$G$23,J$23,$G366=$G$26,J$26,$G366=$G$29,J$29,$G366=$G$31,J$31,$G366=$G$34,J$34,$G366=$G$37,J$37,$G366=$G$107,J$107,$G366=$G$110,J$110,$G366=$G$140,J$140,$G366=$G$142,J$142,$G366=$G$408,J$408)</f>
        <v>243.3</v>
      </c>
      <c r="K366" s="13" t="str" cm="1">
        <f t="array" ref="K366">_xlfn.IFS($G366=$G$5,K$5,$G366=$G$7,K$7,$G366=$G$10,K$10,$G366=$G$13,K$13,$G366=$G$14,K$14,$G366=$G$16,K$16,$G366=$G$17,K$17,$G366=$G$19,K$19,$G366=$G$20,K$20,$G366=$G$22,K$22,$G366=$G$23,K$23,$G366=$G$26,K$26,$G366=$G$29,K$29,$G366=$G$31,K$31,$G366=$G$34,K$34,$G366=$G$37,K$37,$G366=$G$107,K$107,$G366=$G$110,K$110,$G366=$G$140,K$140,$G366=$G$142,K$142,$G366=$G$408,K$408)</f>
        <v>BG sentinel + BG lure7</v>
      </c>
      <c r="O366" s="13" t="str">
        <f t="shared" si="30"/>
        <v>A_SP_BCN_22_220906</v>
      </c>
      <c r="P366" s="27">
        <v>44810</v>
      </c>
      <c r="Q366" s="29">
        <v>0.6875</v>
      </c>
      <c r="R366" s="33"/>
      <c r="S366" s="27">
        <v>44817</v>
      </c>
      <c r="T366" s="29">
        <v>0.71180555555555547</v>
      </c>
      <c r="V366" s="13" t="s">
        <v>86</v>
      </c>
      <c r="X366" s="13">
        <f t="shared" si="32"/>
        <v>7</v>
      </c>
      <c r="Z366" s="13" t="s">
        <v>60</v>
      </c>
      <c r="AA366" s="13">
        <f t="shared" si="38"/>
        <v>50</v>
      </c>
      <c r="AB366" s="13" t="str">
        <f t="shared" si="33"/>
        <v>Adult</v>
      </c>
      <c r="AC366" s="13">
        <v>44</v>
      </c>
      <c r="AD366" s="13">
        <v>6</v>
      </c>
      <c r="AE366" s="13" t="str">
        <f t="shared" si="34"/>
        <v>Morphological</v>
      </c>
      <c r="AF366" s="2">
        <v>4</v>
      </c>
    </row>
    <row r="367" spans="1:32" x14ac:dyDescent="0.25">
      <c r="A367" s="13">
        <v>363</v>
      </c>
      <c r="B367" s="23" t="s">
        <v>56</v>
      </c>
      <c r="C367" s="23" t="s">
        <v>57</v>
      </c>
      <c r="D367" s="23" t="s">
        <v>58</v>
      </c>
      <c r="E367" s="23" t="s">
        <v>58</v>
      </c>
      <c r="F367" s="35" cm="1">
        <f t="array" ref="F367">_xlfn.IFS($G367=$G$5,F$5,$G367=$G$7,F$7,$G367=$G$10,F$10,$G367=$G$13,F$13,$G367=$G$14,F$14,$G367=$G$16,F$16,$G367=$G$17,F$17,$G367=$G$19,F$19,$G367=$G$20,F$20,$G367=$G$22,F$22,$G367=$G$23,F$23,$G367=$G$26,F$26,$G367=$G$29,F$29,$G367=$G$31,F$31,$G367=$G$34,F$34,$G367=$G$37,F$37,$G367=$G$107,F$107,$G367=$G$110,F$110,$G367=$G$140,F$140,$G367=$G$142,F$142,$G367=$G$408,F$408)</f>
        <v>8038</v>
      </c>
      <c r="G367" s="13" t="s">
        <v>79</v>
      </c>
      <c r="H367" s="51" cm="1">
        <f t="array" ref="H367">_xlfn.IFS($G367=$G$5,H$5,$G367=$G$7,H$7,$G367=$G$10,H$10,$G367=$G$13,H$13,$G367=$G$14,H$14,$G367=$G$16,H$16,$G367=$G$17,H$17,$G367=$G$19,H$19,$G367=$G$20,H$20,$G367=$G$22,H$22,$G367=$G$23,H$23,$G367=$G$26,H$26,$G367=$G$29,H$29,$G367=$G$31,H$31,$G367=$G$34,H$34,$G367=$G$37,H$37,$G367=$G$107,H$107,$G367=$G$110,H$110,$G367=$G$140,H$140,$G367=$G$142,H$142,$G367=$G$408,H$408)</f>
        <v>41.367100000000001</v>
      </c>
      <c r="I367" s="51" cm="1">
        <f t="array" ref="I367">_xlfn.IFS($G367=$G$5,I$5,$G367=$G$7,I$7,$G367=$G$10,I$10,$G367=$G$13,I$13,$G367=$G$14,I$14,$G367=$G$16,I$16,$G367=$G$17,I$17,$G367=$G$19,I$19,$G367=$G$20,I$20,$G367=$G$22,I$22,$G367=$G$23,I$23,$G367=$G$26,I$26,$G367=$G$29,I$29,$G367=$G$31,I$31,$G367=$G$34,I$34,$G367=$G$37,I$37,$G367=$G$107,I$107,$G367=$G$110,I$110,$G367=$G$140,I$140,$G367=$G$142,I$142,$G367=$G$408,I$408)</f>
        <v>2.1539079999999999</v>
      </c>
      <c r="J367" s="51" cm="1">
        <f t="array" ref="J367">_xlfn.IFS($G367=$G$5,J$5,$G367=$G$7,J$7,$G367=$G$10,J$10,$G367=$G$13,J$13,$G367=$G$14,J$14,$G367=$G$16,J$16,$G367=$G$17,J$17,$G367=$G$19,J$19,$G367=$G$20,J$20,$G367=$G$22,J$22,$G367=$G$23,J$23,$G367=$G$26,J$26,$G367=$G$29,J$29,$G367=$G$31,J$31,$G367=$G$34,J$34,$G367=$G$37,J$37,$G367=$G$107,J$107,$G367=$G$110,J$110,$G367=$G$140,J$140,$G367=$G$142,J$142,$G367=$G$408,J$408)</f>
        <v>68</v>
      </c>
      <c r="K367" s="13" t="str" cm="1">
        <f t="array" ref="K367">_xlfn.IFS($G367=$G$5,K$5,$G367=$G$7,K$7,$G367=$G$10,K$10,$G367=$G$13,K$13,$G367=$G$14,K$14,$G367=$G$16,K$16,$G367=$G$17,K$17,$G367=$G$19,K$19,$G367=$G$20,K$20,$G367=$G$22,K$22,$G367=$G$23,K$23,$G367=$G$26,K$26,$G367=$G$29,K$29,$G367=$G$31,K$31,$G367=$G$34,K$34,$G367=$G$37,K$37,$G367=$G$107,K$107,$G367=$G$110,K$110,$G367=$G$140,K$140,$G367=$G$142,K$142,$G367=$G$408,K$408)</f>
        <v>BG sentinel + BG lure7</v>
      </c>
      <c r="O367" s="13" t="str">
        <f t="shared" si="30"/>
        <v>A_SP_BCN_23_220906</v>
      </c>
      <c r="P367" s="27">
        <v>44810</v>
      </c>
      <c r="Q367" s="29">
        <v>0.55555555555555558</v>
      </c>
      <c r="R367" s="33"/>
      <c r="S367" s="27">
        <v>44817</v>
      </c>
      <c r="T367" s="29">
        <v>0.59722222222222221</v>
      </c>
      <c r="V367" s="13" t="s">
        <v>86</v>
      </c>
      <c r="X367" s="13">
        <f t="shared" si="32"/>
        <v>7</v>
      </c>
      <c r="Z367" s="13" t="s">
        <v>60</v>
      </c>
      <c r="AA367" s="13">
        <f t="shared" si="38"/>
        <v>59</v>
      </c>
      <c r="AB367" s="13" t="str">
        <f t="shared" si="33"/>
        <v>Adult</v>
      </c>
      <c r="AC367" s="13">
        <v>32</v>
      </c>
      <c r="AD367" s="13">
        <v>27</v>
      </c>
      <c r="AE367" s="13" t="str">
        <f t="shared" si="34"/>
        <v>Morphological</v>
      </c>
      <c r="AF367" s="2">
        <v>4</v>
      </c>
    </row>
    <row r="368" spans="1:32" x14ac:dyDescent="0.25">
      <c r="A368" s="13">
        <v>364</v>
      </c>
      <c r="B368" s="23" t="s">
        <v>56</v>
      </c>
      <c r="C368" s="23" t="s">
        <v>57</v>
      </c>
      <c r="D368" s="23" t="s">
        <v>58</v>
      </c>
      <c r="E368" s="23" t="s">
        <v>58</v>
      </c>
      <c r="F368" s="35" cm="1">
        <f t="array" ref="F368">_xlfn.IFS($G368=$G$5,F$5,$G368=$G$7,F$7,$G368=$G$10,F$10,$G368=$G$13,F$13,$G368=$G$14,F$14,$G368=$G$16,F$16,$G368=$G$17,F$17,$G368=$G$19,F$19,$G368=$G$20,F$20,$G368=$G$22,F$22,$G368=$G$23,F$23,$G368=$G$26,F$26,$G368=$G$29,F$29,$G368=$G$31,F$31,$G368=$G$34,F$34,$G368=$G$37,F$37,$G368=$G$107,F$107,$G368=$G$110,F$110,$G368=$G$140,F$140,$G368=$G$142,F$142,$G368=$G$408,F$408)</f>
        <v>8038</v>
      </c>
      <c r="G368" s="13" t="s">
        <v>79</v>
      </c>
      <c r="H368" s="51" cm="1">
        <f t="array" ref="H368">_xlfn.IFS($G368=$G$5,H$5,$G368=$G$7,H$7,$G368=$G$10,H$10,$G368=$G$13,H$13,$G368=$G$14,H$14,$G368=$G$16,H$16,$G368=$G$17,H$17,$G368=$G$19,H$19,$G368=$G$20,H$20,$G368=$G$22,H$22,$G368=$G$23,H$23,$G368=$G$26,H$26,$G368=$G$29,H$29,$G368=$G$31,H$31,$G368=$G$34,H$34,$G368=$G$37,H$37,$G368=$G$107,H$107,$G368=$G$110,H$110,$G368=$G$140,H$140,$G368=$G$142,H$142,$G368=$G$408,H$408)</f>
        <v>41.367100000000001</v>
      </c>
      <c r="I368" s="51" cm="1">
        <f t="array" ref="I368">_xlfn.IFS($G368=$G$5,I$5,$G368=$G$7,I$7,$G368=$G$10,I$10,$G368=$G$13,I$13,$G368=$G$14,I$14,$G368=$G$16,I$16,$G368=$G$17,I$17,$G368=$G$19,I$19,$G368=$G$20,I$20,$G368=$G$22,I$22,$G368=$G$23,I$23,$G368=$G$26,I$26,$G368=$G$29,I$29,$G368=$G$31,I$31,$G368=$G$34,I$34,$G368=$G$37,I$37,$G368=$G$107,I$107,$G368=$G$110,I$110,$G368=$G$140,I$140,$G368=$G$142,I$142,$G368=$G$408,I$408)</f>
        <v>2.1539079999999999</v>
      </c>
      <c r="J368" s="51" cm="1">
        <f t="array" ref="J368">_xlfn.IFS($G368=$G$5,J$5,$G368=$G$7,J$7,$G368=$G$10,J$10,$G368=$G$13,J$13,$G368=$G$14,J$14,$G368=$G$16,J$16,$G368=$G$17,J$17,$G368=$G$19,J$19,$G368=$G$20,J$20,$G368=$G$22,J$22,$G368=$G$23,J$23,$G368=$G$26,J$26,$G368=$G$29,J$29,$G368=$G$31,J$31,$G368=$G$34,J$34,$G368=$G$37,J$37,$G368=$G$107,J$107,$G368=$G$110,J$110,$G368=$G$140,J$140,$G368=$G$142,J$142,$G368=$G$408,J$408)</f>
        <v>68</v>
      </c>
      <c r="K368" s="13" t="str" cm="1">
        <f t="array" ref="K368">_xlfn.IFS($G368=$G$5,K$5,$G368=$G$7,K$7,$G368=$G$10,K$10,$G368=$G$13,K$13,$G368=$G$14,K$14,$G368=$G$16,K$16,$G368=$G$17,K$17,$G368=$G$19,K$19,$G368=$G$20,K$20,$G368=$G$22,K$22,$G368=$G$23,K$23,$G368=$G$26,K$26,$G368=$G$29,K$29,$G368=$G$31,K$31,$G368=$G$34,K$34,$G368=$G$37,K$37,$G368=$G$107,K$107,$G368=$G$110,K$110,$G368=$G$140,K$140,$G368=$G$142,K$142,$G368=$G$408,K$408)</f>
        <v>BG sentinel + BG lure7</v>
      </c>
      <c r="O368" s="13" t="str">
        <f t="shared" si="30"/>
        <v>A_SP_BCN_23_220906</v>
      </c>
      <c r="P368" s="27">
        <v>44810</v>
      </c>
      <c r="Q368" s="29">
        <v>0.55555555555555558</v>
      </c>
      <c r="R368" s="33"/>
      <c r="S368" s="27">
        <v>44817</v>
      </c>
      <c r="T368" s="29">
        <v>0.59722222222222221</v>
      </c>
      <c r="V368" s="13" t="s">
        <v>86</v>
      </c>
      <c r="X368" s="13">
        <f t="shared" si="32"/>
        <v>7</v>
      </c>
      <c r="Z368" s="13" t="s">
        <v>164</v>
      </c>
      <c r="AA368" s="13">
        <f t="shared" si="38"/>
        <v>4</v>
      </c>
      <c r="AB368" s="13" t="str">
        <f t="shared" si="33"/>
        <v>Adult</v>
      </c>
      <c r="AC368" s="13">
        <v>2</v>
      </c>
      <c r="AD368" s="13">
        <v>2</v>
      </c>
      <c r="AE368" s="13" t="str">
        <f t="shared" si="34"/>
        <v>Morphological</v>
      </c>
      <c r="AF368" s="2">
        <v>4</v>
      </c>
    </row>
    <row r="369" spans="1:32" x14ac:dyDescent="0.25">
      <c r="A369" s="13">
        <v>365</v>
      </c>
      <c r="B369" s="23" t="s">
        <v>56</v>
      </c>
      <c r="C369" s="23" t="s">
        <v>57</v>
      </c>
      <c r="D369" s="23" t="s">
        <v>58</v>
      </c>
      <c r="E369" s="23" t="s">
        <v>58</v>
      </c>
      <c r="F369" s="35" cm="1">
        <f t="array" ref="F369">_xlfn.IFS($G369=$G$5,F$5,$G369=$G$7,F$7,$G369=$G$10,F$10,$G369=$G$13,F$13,$G369=$G$14,F$14,$G369=$G$16,F$16,$G369=$G$17,F$17,$G369=$G$19,F$19,$G369=$G$20,F$20,$G369=$G$22,F$22,$G369=$G$23,F$23,$G369=$G$26,F$26,$G369=$G$29,F$29,$G369=$G$31,F$31,$G369=$G$34,F$34,$G369=$G$37,F$37,$G369=$G$107,F$107,$G369=$G$110,F$110,$G369=$G$140,F$140,$G369=$G$142,F$142,$G369=$G$408,F$408)</f>
        <v>8015</v>
      </c>
      <c r="G369" s="13" t="s">
        <v>78</v>
      </c>
      <c r="H369" s="51" cm="1">
        <f t="array" ref="H369">_xlfn.IFS($G369=$G$5,H$5,$G369=$G$7,H$7,$G369=$G$10,H$10,$G369=$G$13,H$13,$G369=$G$14,H$14,$G369=$G$16,H$16,$G369=$G$17,H$17,$G369=$G$19,H$19,$G369=$G$20,H$20,$G369=$G$22,H$22,$G369=$G$23,H$23,$G369=$G$26,H$26,$G369=$G$29,H$29,$G369=$G$31,H$31,$G369=$G$34,H$34,$G369=$G$37,H$37,$G369=$G$107,H$107,$G369=$G$110,H$110,$G369=$G$140,H$140,$G369=$G$142,H$142,$G369=$G$408,H$408)</f>
        <v>41.381725000000003</v>
      </c>
      <c r="I369" s="51" cm="1">
        <f t="array" ref="I369">_xlfn.IFS($G369=$G$5,I$5,$G369=$G$7,I$7,$G369=$G$10,I$10,$G369=$G$13,I$13,$G369=$G$14,I$14,$G369=$G$16,I$16,$G369=$G$17,I$17,$G369=$G$19,I$19,$G369=$G$20,I$20,$G369=$G$22,I$22,$G369=$G$23,I$23,$G369=$G$26,I$26,$G369=$G$29,I$29,$G369=$G$31,I$31,$G369=$G$34,I$34,$G369=$G$37,I$37,$G369=$G$107,I$107,$G369=$G$110,I$110,$G369=$G$140,I$140,$G369=$G$142,I$142,$G369=$G$408,I$408)</f>
        <v>2.1543679999999998</v>
      </c>
      <c r="J369" s="51" cm="1">
        <f t="array" ref="J369">_xlfn.IFS($G369=$G$5,J$5,$G369=$G$7,J$7,$G369=$G$10,J$10,$G369=$G$13,J$13,$G369=$G$14,J$14,$G369=$G$16,J$16,$G369=$G$17,J$17,$G369=$G$19,J$19,$G369=$G$20,J$20,$G369=$G$22,J$22,$G369=$G$23,J$23,$G369=$G$26,J$26,$G369=$G$29,J$29,$G369=$G$31,J$31,$G369=$G$34,J$34,$G369=$G$37,J$37,$G369=$G$107,J$107,$G369=$G$110,J$110,$G369=$G$140,J$140,$G369=$G$142,J$142,$G369=$G$408,J$408)</f>
        <v>20.7</v>
      </c>
      <c r="K369" s="13" t="str" cm="1">
        <f t="array" ref="K369">_xlfn.IFS($G369=$G$5,K$5,$G369=$G$7,K$7,$G369=$G$10,K$10,$G369=$G$13,K$13,$G369=$G$14,K$14,$G369=$G$16,K$16,$G369=$G$17,K$17,$G369=$G$19,K$19,$G369=$G$20,K$20,$G369=$G$22,K$22,$G369=$G$23,K$23,$G369=$G$26,K$26,$G369=$G$29,K$29,$G369=$G$31,K$31,$G369=$G$34,K$34,$G369=$G$37,K$37,$G369=$G$107,K$107,$G369=$G$110,K$110,$G369=$G$140,K$140,$G369=$G$142,K$142,$G369=$G$408,K$408)</f>
        <v>BG sentinel + BG lure7</v>
      </c>
      <c r="O369" s="13" t="str">
        <f t="shared" ref="O369:O463" si="39">G369&amp;"_"&amp;TEXT(P369, "AAMMDD")</f>
        <v>A_SP_BCN_24_220906</v>
      </c>
      <c r="P369" s="27">
        <v>44810</v>
      </c>
      <c r="Q369" s="29">
        <v>0.88194444444444453</v>
      </c>
      <c r="R369" s="33"/>
      <c r="S369" s="27">
        <v>44817</v>
      </c>
      <c r="T369" s="29">
        <v>0.86458333333333337</v>
      </c>
      <c r="V369" s="13" t="s">
        <v>86</v>
      </c>
      <c r="X369" s="13">
        <f t="shared" si="32"/>
        <v>7</v>
      </c>
      <c r="Z369" s="13" t="s">
        <v>60</v>
      </c>
      <c r="AA369" s="13">
        <f t="shared" si="38"/>
        <v>83</v>
      </c>
      <c r="AB369" s="13" t="str">
        <f t="shared" si="33"/>
        <v>Adult</v>
      </c>
      <c r="AC369" s="13">
        <v>36</v>
      </c>
      <c r="AD369" s="13">
        <v>47</v>
      </c>
      <c r="AE369" s="13" t="str">
        <f t="shared" si="34"/>
        <v>Morphological</v>
      </c>
      <c r="AF369" s="2">
        <v>4</v>
      </c>
    </row>
    <row r="370" spans="1:32" x14ac:dyDescent="0.25">
      <c r="A370" s="13">
        <v>366</v>
      </c>
      <c r="B370" s="23" t="s">
        <v>56</v>
      </c>
      <c r="C370" s="23" t="s">
        <v>57</v>
      </c>
      <c r="D370" s="23" t="s">
        <v>58</v>
      </c>
      <c r="E370" s="23" t="s">
        <v>58</v>
      </c>
      <c r="F370" s="35" cm="1">
        <f t="array" ref="F370">_xlfn.IFS($G370=$G$5,F$5,$G370=$G$7,F$7,$G370=$G$10,F$10,$G370=$G$13,F$13,$G370=$G$14,F$14,$G370=$G$16,F$16,$G370=$G$17,F$17,$G370=$G$19,F$19,$G370=$G$20,F$20,$G370=$G$22,F$22,$G370=$G$23,F$23,$G370=$G$26,F$26,$G370=$G$29,F$29,$G370=$G$31,F$31,$G370=$G$34,F$34,$G370=$G$37,F$37,$G370=$G$107,F$107,$G370=$G$110,F$110,$G370=$G$140,F$140,$G370=$G$142,F$142,$G370=$G$408,F$408)</f>
        <v>8015</v>
      </c>
      <c r="G370" s="13" t="s">
        <v>78</v>
      </c>
      <c r="H370" s="51" cm="1">
        <f t="array" ref="H370">_xlfn.IFS($G370=$G$5,H$5,$G370=$G$7,H$7,$G370=$G$10,H$10,$G370=$G$13,H$13,$G370=$G$14,H$14,$G370=$G$16,H$16,$G370=$G$17,H$17,$G370=$G$19,H$19,$G370=$G$20,H$20,$G370=$G$22,H$22,$G370=$G$23,H$23,$G370=$G$26,H$26,$G370=$G$29,H$29,$G370=$G$31,H$31,$G370=$G$34,H$34,$G370=$G$37,H$37,$G370=$G$107,H$107,$G370=$G$110,H$110,$G370=$G$140,H$140,$G370=$G$142,H$142,$G370=$G$408,H$408)</f>
        <v>41.381725000000003</v>
      </c>
      <c r="I370" s="51" cm="1">
        <f t="array" ref="I370">_xlfn.IFS($G370=$G$5,I$5,$G370=$G$7,I$7,$G370=$G$10,I$10,$G370=$G$13,I$13,$G370=$G$14,I$14,$G370=$G$16,I$16,$G370=$G$17,I$17,$G370=$G$19,I$19,$G370=$G$20,I$20,$G370=$G$22,I$22,$G370=$G$23,I$23,$G370=$G$26,I$26,$G370=$G$29,I$29,$G370=$G$31,I$31,$G370=$G$34,I$34,$G370=$G$37,I$37,$G370=$G$107,I$107,$G370=$G$110,I$110,$G370=$G$140,I$140,$G370=$G$142,I$142,$G370=$G$408,I$408)</f>
        <v>2.1543679999999998</v>
      </c>
      <c r="J370" s="51" cm="1">
        <f t="array" ref="J370">_xlfn.IFS($G370=$G$5,J$5,$G370=$G$7,J$7,$G370=$G$10,J$10,$G370=$G$13,J$13,$G370=$G$14,J$14,$G370=$G$16,J$16,$G370=$G$17,J$17,$G370=$G$19,J$19,$G370=$G$20,J$20,$G370=$G$22,J$22,$G370=$G$23,J$23,$G370=$G$26,J$26,$G370=$G$29,J$29,$G370=$G$31,J$31,$G370=$G$34,J$34,$G370=$G$37,J$37,$G370=$G$107,J$107,$G370=$G$110,J$110,$G370=$G$140,J$140,$G370=$G$142,J$142,$G370=$G$408,J$408)</f>
        <v>20.7</v>
      </c>
      <c r="K370" s="13" t="str" cm="1">
        <f t="array" ref="K370">_xlfn.IFS($G370=$G$5,K$5,$G370=$G$7,K$7,$G370=$G$10,K$10,$G370=$G$13,K$13,$G370=$G$14,K$14,$G370=$G$16,K$16,$G370=$G$17,K$17,$G370=$G$19,K$19,$G370=$G$20,K$20,$G370=$G$22,K$22,$G370=$G$23,K$23,$G370=$G$26,K$26,$G370=$G$29,K$29,$G370=$G$31,K$31,$G370=$G$34,K$34,$G370=$G$37,K$37,$G370=$G$107,K$107,$G370=$G$110,K$110,$G370=$G$140,K$140,$G370=$G$142,K$142,$G370=$G$408,K$408)</f>
        <v>BG sentinel + BG lure7</v>
      </c>
      <c r="O370" s="13" t="str">
        <f t="shared" si="39"/>
        <v>A_SP_BCN_24_220906</v>
      </c>
      <c r="P370" s="27">
        <v>44810</v>
      </c>
      <c r="Q370" s="29">
        <v>0.88194444444444453</v>
      </c>
      <c r="R370" s="33"/>
      <c r="S370" s="27">
        <v>44817</v>
      </c>
      <c r="T370" s="29">
        <v>0.86458333333333337</v>
      </c>
      <c r="V370" s="13" t="s">
        <v>86</v>
      </c>
      <c r="X370" s="13">
        <f t="shared" si="32"/>
        <v>7</v>
      </c>
      <c r="Z370" s="13" t="s">
        <v>164</v>
      </c>
      <c r="AA370" s="13">
        <f t="shared" si="38"/>
        <v>2</v>
      </c>
      <c r="AB370" s="13" t="str">
        <f t="shared" si="33"/>
        <v>Adult</v>
      </c>
      <c r="AC370" s="13">
        <v>2</v>
      </c>
      <c r="AD370" s="13">
        <v>0</v>
      </c>
      <c r="AE370" s="13" t="str">
        <f t="shared" si="34"/>
        <v>Morphological</v>
      </c>
      <c r="AF370" s="2">
        <v>4</v>
      </c>
    </row>
    <row r="371" spans="1:32" x14ac:dyDescent="0.25">
      <c r="A371" s="13">
        <v>367</v>
      </c>
      <c r="B371" s="23" t="s">
        <v>56</v>
      </c>
      <c r="C371" s="23" t="s">
        <v>57</v>
      </c>
      <c r="D371" s="23" t="s">
        <v>58</v>
      </c>
      <c r="E371" s="23" t="s">
        <v>58</v>
      </c>
      <c r="F371" s="35" cm="1">
        <f t="array" ref="F371">_xlfn.IFS($G371=$G$5,F$5,$G371=$G$7,F$7,$G371=$G$10,F$10,$G371=$G$13,F$13,$G371=$G$14,F$14,$G371=$G$16,F$16,$G371=$G$17,F$17,$G371=$G$19,F$19,$G371=$G$20,F$20,$G371=$G$22,F$22,$G371=$G$23,F$23,$G371=$G$26,F$26,$G371=$G$29,F$29,$G371=$G$31,F$31,$G371=$G$34,F$34,$G371=$G$37,F$37,$G371=$G$107,F$107,$G371=$G$110,F$110,$G371=$G$140,F$140,$G371=$G$142,F$142,$G371=$G$408,F$408)</f>
        <v>8025</v>
      </c>
      <c r="G371" s="13" t="s">
        <v>122</v>
      </c>
      <c r="H371" s="51" cm="1">
        <f t="array" ref="H371">_xlfn.IFS($G371=$G$5,H$5,$G371=$G$7,H$7,$G371=$G$10,H$10,$G371=$G$13,H$13,$G371=$G$14,H$14,$G371=$G$16,H$16,$G371=$G$17,H$17,$G371=$G$19,H$19,$G371=$G$20,H$20,$G371=$G$22,H$22,$G371=$G$23,H$23,$G371=$G$26,H$26,$G371=$G$29,H$29,$G371=$G$31,H$31,$G371=$G$34,H$34,$G371=$G$37,H$37,$G371=$G$107,H$107,$G371=$G$110,H$110,$G371=$G$140,H$140,$G371=$G$142,H$142,$G371=$G$408,H$408)</f>
        <v>41.407992</v>
      </c>
      <c r="I371" s="51" cm="1">
        <f t="array" ref="I371">_xlfn.IFS($G371=$G$5,I$5,$G371=$G$7,I$7,$G371=$G$10,I$10,$G371=$G$13,I$13,$G371=$G$14,I$14,$G371=$G$16,I$16,$G371=$G$17,I$17,$G371=$G$19,I$19,$G371=$G$20,I$20,$G371=$G$22,I$22,$G371=$G$23,I$23,$G371=$G$26,I$26,$G371=$G$29,I$29,$G371=$G$31,I$31,$G371=$G$34,I$34,$G371=$G$37,I$37,$G371=$G$107,I$107,$G371=$G$110,I$110,$G371=$G$140,I$140,$G371=$G$142,I$142,$G371=$G$408,I$408)</f>
        <v>2.1679379999999999</v>
      </c>
      <c r="J371" s="51" cm="1">
        <f t="array" ref="J371">_xlfn.IFS($G371=$G$5,J$5,$G371=$G$7,J$7,$G371=$G$10,J$10,$G371=$G$13,J$13,$G371=$G$14,J$14,$G371=$G$16,J$16,$G371=$G$17,J$17,$G371=$G$19,J$19,$G371=$G$20,J$20,$G371=$G$22,J$22,$G371=$G$23,J$23,$G371=$G$26,J$26,$G371=$G$29,J$29,$G371=$G$31,J$31,$G371=$G$34,J$34,$G371=$G$37,J$37,$G371=$G$107,J$107,$G371=$G$110,J$110,$G371=$G$140,J$140,$G371=$G$142,J$142,$G371=$G$408,J$408)</f>
        <v>61</v>
      </c>
      <c r="K371" s="13" t="str" cm="1">
        <f t="array" ref="K371">_xlfn.IFS($G371=$G$5,K$5,$G371=$G$7,K$7,$G371=$G$10,K$10,$G371=$G$13,K$13,$G371=$G$14,K$14,$G371=$G$16,K$16,$G371=$G$17,K$17,$G371=$G$19,K$19,$G371=$G$20,K$20,$G371=$G$22,K$22,$G371=$G$23,K$23,$G371=$G$26,K$26,$G371=$G$29,K$29,$G371=$G$31,K$31,$G371=$G$34,K$34,$G371=$G$37,K$37,$G371=$G$107,K$107,$G371=$G$110,K$110,$G371=$G$140,K$140,$G371=$G$142,K$142,$G371=$G$408,K$408)</f>
        <v>BG sentinel</v>
      </c>
      <c r="O371" s="13" t="str">
        <f t="shared" si="39"/>
        <v>A_SP_BCN_25_220906</v>
      </c>
      <c r="P371" s="27">
        <v>44810</v>
      </c>
      <c r="Q371" s="29">
        <v>0.62152777777777779</v>
      </c>
      <c r="R371" s="33"/>
      <c r="S371" s="31">
        <v>44818</v>
      </c>
      <c r="T371" s="29">
        <v>0.72916666666666663</v>
      </c>
      <c r="V371" s="13" t="s">
        <v>86</v>
      </c>
      <c r="X371" s="13">
        <f t="shared" si="32"/>
        <v>8</v>
      </c>
      <c r="Z371" s="13" t="s">
        <v>60</v>
      </c>
      <c r="AA371" s="13">
        <f t="shared" si="38"/>
        <v>27</v>
      </c>
      <c r="AB371" s="13" t="str">
        <f t="shared" si="33"/>
        <v>Adult</v>
      </c>
      <c r="AC371" s="13">
        <v>13</v>
      </c>
      <c r="AD371" s="13">
        <v>14</v>
      </c>
      <c r="AE371" s="13" t="str">
        <f t="shared" si="34"/>
        <v>Morphological</v>
      </c>
      <c r="AF371" s="2">
        <v>4</v>
      </c>
    </row>
    <row r="372" spans="1:32" x14ac:dyDescent="0.25">
      <c r="A372" s="13">
        <v>368</v>
      </c>
      <c r="B372" s="23" t="s">
        <v>56</v>
      </c>
      <c r="C372" s="23" t="s">
        <v>57</v>
      </c>
      <c r="D372" s="23" t="s">
        <v>58</v>
      </c>
      <c r="E372" s="23" t="s">
        <v>58</v>
      </c>
      <c r="F372" s="35" cm="1">
        <f t="array" ref="F372">_xlfn.IFS($G372=$G$5,F$5,$G372=$G$7,F$7,$G372=$G$10,F$10,$G372=$G$13,F$13,$G372=$G$14,F$14,$G372=$G$16,F$16,$G372=$G$17,F$17,$G372=$G$19,F$19,$G372=$G$20,F$20,$G372=$G$22,F$22,$G372=$G$23,F$23,$G372=$G$26,F$26,$G372=$G$29,F$29,$G372=$G$31,F$31,$G372=$G$34,F$34,$G372=$G$37,F$37,$G372=$G$107,F$107,$G372=$G$110,F$110,$G372=$G$140,F$140,$G372=$G$142,F$142,$G372=$G$408,F$408)</f>
        <v>8025</v>
      </c>
      <c r="G372" s="13" t="s">
        <v>122</v>
      </c>
      <c r="H372" s="51" cm="1">
        <f t="array" ref="H372">_xlfn.IFS($G372=$G$5,H$5,$G372=$G$7,H$7,$G372=$G$10,H$10,$G372=$G$13,H$13,$G372=$G$14,H$14,$G372=$G$16,H$16,$G372=$G$17,H$17,$G372=$G$19,H$19,$G372=$G$20,H$20,$G372=$G$22,H$22,$G372=$G$23,H$23,$G372=$G$26,H$26,$G372=$G$29,H$29,$G372=$G$31,H$31,$G372=$G$34,H$34,$G372=$G$37,H$37,$G372=$G$107,H$107,$G372=$G$110,H$110,$G372=$G$140,H$140,$G372=$G$142,H$142,$G372=$G$408,H$408)</f>
        <v>41.407992</v>
      </c>
      <c r="I372" s="51" cm="1">
        <f t="array" ref="I372">_xlfn.IFS($G372=$G$5,I$5,$G372=$G$7,I$7,$G372=$G$10,I$10,$G372=$G$13,I$13,$G372=$G$14,I$14,$G372=$G$16,I$16,$G372=$G$17,I$17,$G372=$G$19,I$19,$G372=$G$20,I$20,$G372=$G$22,I$22,$G372=$G$23,I$23,$G372=$G$26,I$26,$G372=$G$29,I$29,$G372=$G$31,I$31,$G372=$G$34,I$34,$G372=$G$37,I$37,$G372=$G$107,I$107,$G372=$G$110,I$110,$G372=$G$140,I$140,$G372=$G$142,I$142,$G372=$G$408,I$408)</f>
        <v>2.1679379999999999</v>
      </c>
      <c r="J372" s="51" cm="1">
        <f t="array" ref="J372">_xlfn.IFS($G372=$G$5,J$5,$G372=$G$7,J$7,$G372=$G$10,J$10,$G372=$G$13,J$13,$G372=$G$14,J$14,$G372=$G$16,J$16,$G372=$G$17,J$17,$G372=$G$19,J$19,$G372=$G$20,J$20,$G372=$G$22,J$22,$G372=$G$23,J$23,$G372=$G$26,J$26,$G372=$G$29,J$29,$G372=$G$31,J$31,$G372=$G$34,J$34,$G372=$G$37,J$37,$G372=$G$107,J$107,$G372=$G$110,J$110,$G372=$G$140,J$140,$G372=$G$142,J$142,$G372=$G$408,J$408)</f>
        <v>61</v>
      </c>
      <c r="K372" s="13" t="str" cm="1">
        <f t="array" ref="K372">_xlfn.IFS($G372=$G$5,K$5,$G372=$G$7,K$7,$G372=$G$10,K$10,$G372=$G$13,K$13,$G372=$G$14,K$14,$G372=$G$16,K$16,$G372=$G$17,K$17,$G372=$G$19,K$19,$G372=$G$20,K$20,$G372=$G$22,K$22,$G372=$G$23,K$23,$G372=$G$26,K$26,$G372=$G$29,K$29,$G372=$G$31,K$31,$G372=$G$34,K$34,$G372=$G$37,K$37,$G372=$G$107,K$107,$G372=$G$110,K$110,$G372=$G$140,K$140,$G372=$G$142,K$142,$G372=$G$408,K$408)</f>
        <v>BG sentinel</v>
      </c>
      <c r="O372" s="13" t="str">
        <f t="shared" si="39"/>
        <v>A_SP_BCN_25_220906</v>
      </c>
      <c r="P372" s="27">
        <v>44810</v>
      </c>
      <c r="Q372" s="29">
        <v>0.62152777777777779</v>
      </c>
      <c r="R372" s="33"/>
      <c r="S372" s="31">
        <v>44818</v>
      </c>
      <c r="T372" s="29">
        <v>0.72916666666666663</v>
      </c>
      <c r="V372" s="13" t="s">
        <v>86</v>
      </c>
      <c r="X372" s="13">
        <f t="shared" si="32"/>
        <v>8</v>
      </c>
      <c r="Z372" s="13" t="s">
        <v>164</v>
      </c>
      <c r="AA372" s="13">
        <f t="shared" si="38"/>
        <v>1</v>
      </c>
      <c r="AB372" s="13" t="str">
        <f t="shared" si="33"/>
        <v>Adult</v>
      </c>
      <c r="AC372" s="13">
        <v>1</v>
      </c>
      <c r="AD372" s="13">
        <v>0</v>
      </c>
      <c r="AE372" s="13" t="str">
        <f t="shared" si="34"/>
        <v>Morphological</v>
      </c>
      <c r="AF372" s="2">
        <v>4</v>
      </c>
    </row>
    <row r="373" spans="1:32" x14ac:dyDescent="0.25">
      <c r="A373" s="13">
        <v>369</v>
      </c>
      <c r="B373" s="23" t="s">
        <v>56</v>
      </c>
      <c r="C373" s="23" t="s">
        <v>57</v>
      </c>
      <c r="D373" s="23" t="s">
        <v>58</v>
      </c>
      <c r="E373" s="23" t="s">
        <v>58</v>
      </c>
      <c r="F373" s="35" cm="1">
        <f t="array" ref="F373">_xlfn.IFS($G373=$G$5,F$5,$G373=$G$7,F$7,$G373=$G$10,F$10,$G373=$G$13,F$13,$G373=$G$14,F$14,$G373=$G$16,F$16,$G373=$G$17,F$17,$G373=$G$19,F$19,$G373=$G$20,F$20,$G373=$G$22,F$22,$G373=$G$23,F$23,$G373=$G$26,F$26,$G373=$G$29,F$29,$G373=$G$31,F$31,$G373=$G$34,F$34,$G373=$G$37,F$37,$G373=$G$107,F$107,$G373=$G$110,F$110,$G373=$G$140,F$140,$G373=$G$142,F$142,$G373=$G$408,F$408)</f>
        <v>8025</v>
      </c>
      <c r="G373" s="13" t="s">
        <v>122</v>
      </c>
      <c r="H373" s="51" cm="1">
        <f t="array" ref="H373">_xlfn.IFS($G373=$G$5,H$5,$G373=$G$7,H$7,$G373=$G$10,H$10,$G373=$G$13,H$13,$G373=$G$14,H$14,$G373=$G$16,H$16,$G373=$G$17,H$17,$G373=$G$19,H$19,$G373=$G$20,H$20,$G373=$G$22,H$22,$G373=$G$23,H$23,$G373=$G$26,H$26,$G373=$G$29,H$29,$G373=$G$31,H$31,$G373=$G$34,H$34,$G373=$G$37,H$37,$G373=$G$107,H$107,$G373=$G$110,H$110,$G373=$G$140,H$140,$G373=$G$142,H$142,$G373=$G$408,H$408)</f>
        <v>41.407992</v>
      </c>
      <c r="I373" s="51" cm="1">
        <f t="array" ref="I373">_xlfn.IFS($G373=$G$5,I$5,$G373=$G$7,I$7,$G373=$G$10,I$10,$G373=$G$13,I$13,$G373=$G$14,I$14,$G373=$G$16,I$16,$G373=$G$17,I$17,$G373=$G$19,I$19,$G373=$G$20,I$20,$G373=$G$22,I$22,$G373=$G$23,I$23,$G373=$G$26,I$26,$G373=$G$29,I$29,$G373=$G$31,I$31,$G373=$G$34,I$34,$G373=$G$37,I$37,$G373=$G$107,I$107,$G373=$G$110,I$110,$G373=$G$140,I$140,$G373=$G$142,I$142,$G373=$G$408,I$408)</f>
        <v>2.1679379999999999</v>
      </c>
      <c r="J373" s="51" cm="1">
        <f t="array" ref="J373">_xlfn.IFS($G373=$G$5,J$5,$G373=$G$7,J$7,$G373=$G$10,J$10,$G373=$G$13,J$13,$G373=$G$14,J$14,$G373=$G$16,J$16,$G373=$G$17,J$17,$G373=$G$19,J$19,$G373=$G$20,J$20,$G373=$G$22,J$22,$G373=$G$23,J$23,$G373=$G$26,J$26,$G373=$G$29,J$29,$G373=$G$31,J$31,$G373=$G$34,J$34,$G373=$G$37,J$37,$G373=$G$107,J$107,$G373=$G$110,J$110,$G373=$G$140,J$140,$G373=$G$142,J$142,$G373=$G$408,J$408)</f>
        <v>61</v>
      </c>
      <c r="K373" s="13" t="str" cm="1">
        <f t="array" ref="K373">_xlfn.IFS($G373=$G$5,K$5,$G373=$G$7,K$7,$G373=$G$10,K$10,$G373=$G$13,K$13,$G373=$G$14,K$14,$G373=$G$16,K$16,$G373=$G$17,K$17,$G373=$G$19,K$19,$G373=$G$20,K$20,$G373=$G$22,K$22,$G373=$G$23,K$23,$G373=$G$26,K$26,$G373=$G$29,K$29,$G373=$G$31,K$31,$G373=$G$34,K$34,$G373=$G$37,K$37,$G373=$G$107,K$107,$G373=$G$110,K$110,$G373=$G$140,K$140,$G373=$G$142,K$142,$G373=$G$408,K$408)</f>
        <v>BG sentinel</v>
      </c>
      <c r="O373" s="13" t="str">
        <f t="shared" si="39"/>
        <v>A_SP_BCN_25_220906</v>
      </c>
      <c r="P373" s="27">
        <v>44810</v>
      </c>
      <c r="Q373" s="29">
        <v>0.62152777777777779</v>
      </c>
      <c r="R373" s="33"/>
      <c r="S373" s="31">
        <v>44818</v>
      </c>
      <c r="T373" s="29">
        <v>0.72916666666666663</v>
      </c>
      <c r="V373" s="13" t="s">
        <v>86</v>
      </c>
      <c r="X373" s="13">
        <f t="shared" si="32"/>
        <v>8</v>
      </c>
      <c r="Z373" s="32" t="s">
        <v>163</v>
      </c>
      <c r="AA373" s="13">
        <f t="shared" si="38"/>
        <v>1</v>
      </c>
      <c r="AB373" s="13" t="str">
        <f t="shared" si="33"/>
        <v>Adult</v>
      </c>
      <c r="AC373" s="13">
        <v>1</v>
      </c>
      <c r="AD373" s="13">
        <v>0</v>
      </c>
      <c r="AE373" s="13" t="str">
        <f t="shared" si="34"/>
        <v>Morphological</v>
      </c>
      <c r="AF373" s="2">
        <v>4</v>
      </c>
    </row>
    <row r="374" spans="1:32" x14ac:dyDescent="0.25">
      <c r="A374" s="13">
        <v>370</v>
      </c>
      <c r="B374" s="23" t="s">
        <v>56</v>
      </c>
      <c r="C374" s="23" t="s">
        <v>57</v>
      </c>
      <c r="D374" s="23" t="s">
        <v>58</v>
      </c>
      <c r="E374" s="23" t="s">
        <v>58</v>
      </c>
      <c r="F374" s="35" cm="1">
        <f t="array" ref="F374">_xlfn.IFS($G374=$G$5,F$5,$G374=$G$7,F$7,$G374=$G$10,F$10,$G374=$G$13,F$13,$G374=$G$14,F$14,$G374=$G$16,F$16,$G374=$G$17,F$17,$G374=$G$19,F$19,$G374=$G$20,F$20,$G374=$G$22,F$22,$G374=$G$23,F$23,$G374=$G$26,F$26,$G374=$G$29,F$29,$G374=$G$31,F$31,$G374=$G$34,F$34,$G374=$G$37,F$37,$G374=$G$107,F$107,$G374=$G$110,F$110,$G374=$G$140,F$140,$G374=$G$142,F$142,$G374=$G$408,F$408)</f>
        <v>8025</v>
      </c>
      <c r="G374" s="13" t="s">
        <v>104</v>
      </c>
      <c r="H374" s="51" cm="1">
        <f t="array" ref="H374">_xlfn.IFS($G374=$G$5,H$5,$G374=$G$7,H$7,$G374=$G$10,H$10,$G374=$G$13,H$13,$G374=$G$14,H$14,$G374=$G$16,H$16,$G374=$G$17,H$17,$G374=$G$19,H$19,$G374=$G$20,H$20,$G374=$G$22,H$22,$G374=$G$23,H$23,$G374=$G$26,H$26,$G374=$G$29,H$29,$G374=$G$31,H$31,$G374=$G$34,H$34,$G374=$G$37,H$37,$G374=$G$107,H$107,$G374=$G$110,H$110,$G374=$G$140,H$140,$G374=$G$142,H$142,$G374=$G$408,H$408)</f>
        <v>41.408046826557602</v>
      </c>
      <c r="I374" s="51" cm="1">
        <f t="array" ref="I374">_xlfn.IFS($G374=$G$5,I$5,$G374=$G$7,I$7,$G374=$G$10,I$10,$G374=$G$13,I$13,$G374=$G$14,I$14,$G374=$G$16,I$16,$G374=$G$17,I$17,$G374=$G$19,I$19,$G374=$G$20,I$20,$G374=$G$22,I$22,$G374=$G$23,I$23,$G374=$G$26,I$26,$G374=$G$29,I$29,$G374=$G$31,I$31,$G374=$G$34,I$34,$G374=$G$37,I$37,$G374=$G$107,I$107,$G374=$G$110,I$110,$G374=$G$140,I$140,$G374=$G$142,I$142,$G374=$G$408,I$408)</f>
        <v>2.1678084611616502</v>
      </c>
      <c r="J374" s="51" cm="1">
        <f t="array" ref="J374">_xlfn.IFS($G374=$G$5,J$5,$G374=$G$7,J$7,$G374=$G$10,J$10,$G374=$G$13,J$13,$G374=$G$14,J$14,$G374=$G$16,J$16,$G374=$G$17,J$17,$G374=$G$19,J$19,$G374=$G$20,J$20,$G374=$G$22,J$22,$G374=$G$23,J$23,$G374=$G$26,J$26,$G374=$G$29,J$29,$G374=$G$31,J$31,$G374=$G$34,J$34,$G374=$G$37,J$37,$G374=$G$107,J$107,$G374=$G$110,J$110,$G374=$G$140,J$140,$G374=$G$142,J$142,$G374=$G$408,J$408)</f>
        <v>61</v>
      </c>
      <c r="K374" s="13" t="str" cm="1">
        <f t="array" ref="K374">_xlfn.IFS($G374=$G$5,K$5,$G374=$G$7,K$7,$G374=$G$10,K$10,$G374=$G$13,K$13,$G374=$G$14,K$14,$G374=$G$16,K$16,$G374=$G$17,K$17,$G374=$G$19,K$19,$G374=$G$20,K$20,$G374=$G$22,K$22,$G374=$G$23,K$23,$G374=$G$26,K$26,$G374=$G$29,K$29,$G374=$G$31,K$31,$G374=$G$34,K$34,$G374=$G$37,K$37,$G374=$G$107,K$107,$G374=$G$110,K$110,$G374=$G$140,K$140,$G374=$G$142,K$142,$G374=$G$408,K$408)</f>
        <v>BG sentinel</v>
      </c>
      <c r="O374" s="13" t="str">
        <f t="shared" si="39"/>
        <v>A_SP_BCN_26_220906</v>
      </c>
      <c r="P374" s="31">
        <v>44810</v>
      </c>
      <c r="Q374" s="29">
        <v>0.62152777777777779</v>
      </c>
      <c r="R374" s="33"/>
      <c r="S374" s="31">
        <v>44818</v>
      </c>
      <c r="T374" s="29">
        <v>0.72916666666666663</v>
      </c>
      <c r="V374" s="13" t="s">
        <v>86</v>
      </c>
      <c r="X374" s="13">
        <f t="shared" si="32"/>
        <v>8</v>
      </c>
      <c r="Z374" s="13" t="s">
        <v>60</v>
      </c>
      <c r="AA374" s="13">
        <f t="shared" si="38"/>
        <v>70</v>
      </c>
      <c r="AB374" s="13" t="str">
        <f t="shared" si="33"/>
        <v>Adult</v>
      </c>
      <c r="AC374" s="13">
        <v>41</v>
      </c>
      <c r="AD374" s="13">
        <v>29</v>
      </c>
      <c r="AE374" s="13" t="str">
        <f t="shared" si="34"/>
        <v>Morphological</v>
      </c>
      <c r="AF374" s="2">
        <v>4</v>
      </c>
    </row>
    <row r="375" spans="1:32" x14ac:dyDescent="0.25">
      <c r="A375" s="13">
        <v>371</v>
      </c>
      <c r="B375" s="23" t="s">
        <v>56</v>
      </c>
      <c r="C375" s="23" t="s">
        <v>57</v>
      </c>
      <c r="D375" s="23" t="s">
        <v>58</v>
      </c>
      <c r="E375" s="23" t="s">
        <v>58</v>
      </c>
      <c r="F375" s="35" cm="1">
        <f t="array" ref="F375">_xlfn.IFS($G375=$G$5,F$5,$G375=$G$7,F$7,$G375=$G$10,F$10,$G375=$G$13,F$13,$G375=$G$14,F$14,$G375=$G$16,F$16,$G375=$G$17,F$17,$G375=$G$19,F$19,$G375=$G$20,F$20,$G375=$G$22,F$22,$G375=$G$23,F$23,$G375=$G$26,F$26,$G375=$G$29,F$29,$G375=$G$31,F$31,$G375=$G$34,F$34,$G375=$G$37,F$37,$G375=$G$107,F$107,$G375=$G$110,F$110,$G375=$G$140,F$140,$G375=$G$142,F$142,$G375=$G$408,F$408)</f>
        <v>8025</v>
      </c>
      <c r="G375" s="13" t="s">
        <v>104</v>
      </c>
      <c r="H375" s="51" cm="1">
        <f t="array" ref="H375">_xlfn.IFS($G375=$G$5,H$5,$G375=$G$7,H$7,$G375=$G$10,H$10,$G375=$G$13,H$13,$G375=$G$14,H$14,$G375=$G$16,H$16,$G375=$G$17,H$17,$G375=$G$19,H$19,$G375=$G$20,H$20,$G375=$G$22,H$22,$G375=$G$23,H$23,$G375=$G$26,H$26,$G375=$G$29,H$29,$G375=$G$31,H$31,$G375=$G$34,H$34,$G375=$G$37,H$37,$G375=$G$107,H$107,$G375=$G$110,H$110,$G375=$G$140,H$140,$G375=$G$142,H$142,$G375=$G$408,H$408)</f>
        <v>41.408046826557602</v>
      </c>
      <c r="I375" s="51" cm="1">
        <f t="array" ref="I375">_xlfn.IFS($G375=$G$5,I$5,$G375=$G$7,I$7,$G375=$G$10,I$10,$G375=$G$13,I$13,$G375=$G$14,I$14,$G375=$G$16,I$16,$G375=$G$17,I$17,$G375=$G$19,I$19,$G375=$G$20,I$20,$G375=$G$22,I$22,$G375=$G$23,I$23,$G375=$G$26,I$26,$G375=$G$29,I$29,$G375=$G$31,I$31,$G375=$G$34,I$34,$G375=$G$37,I$37,$G375=$G$107,I$107,$G375=$G$110,I$110,$G375=$G$140,I$140,$G375=$G$142,I$142,$G375=$G$408,I$408)</f>
        <v>2.1678084611616502</v>
      </c>
      <c r="J375" s="51" cm="1">
        <f t="array" ref="J375">_xlfn.IFS($G375=$G$5,J$5,$G375=$G$7,J$7,$G375=$G$10,J$10,$G375=$G$13,J$13,$G375=$G$14,J$14,$G375=$G$16,J$16,$G375=$G$17,J$17,$G375=$G$19,J$19,$G375=$G$20,J$20,$G375=$G$22,J$22,$G375=$G$23,J$23,$G375=$G$26,J$26,$G375=$G$29,J$29,$G375=$G$31,J$31,$G375=$G$34,J$34,$G375=$G$37,J$37,$G375=$G$107,J$107,$G375=$G$110,J$110,$G375=$G$140,J$140,$G375=$G$142,J$142,$G375=$G$408,J$408)</f>
        <v>61</v>
      </c>
      <c r="K375" s="13" t="str" cm="1">
        <f t="array" ref="K375">_xlfn.IFS($G375=$G$5,K$5,$G375=$G$7,K$7,$G375=$G$10,K$10,$G375=$G$13,K$13,$G375=$G$14,K$14,$G375=$G$16,K$16,$G375=$G$17,K$17,$G375=$G$19,K$19,$G375=$G$20,K$20,$G375=$G$22,K$22,$G375=$G$23,K$23,$G375=$G$26,K$26,$G375=$G$29,K$29,$G375=$G$31,K$31,$G375=$G$34,K$34,$G375=$G$37,K$37,$G375=$G$107,K$107,$G375=$G$110,K$110,$G375=$G$140,K$140,$G375=$G$142,K$142,$G375=$G$408,K$408)</f>
        <v>BG sentinel</v>
      </c>
      <c r="O375" s="13" t="str">
        <f t="shared" si="39"/>
        <v>A_SP_BCN_26_220906</v>
      </c>
      <c r="P375" s="31">
        <v>44810</v>
      </c>
      <c r="Q375" s="29">
        <v>0.62152777777777779</v>
      </c>
      <c r="R375" s="33"/>
      <c r="S375" s="31">
        <v>44818</v>
      </c>
      <c r="T375" s="29">
        <v>0.72916666666666663</v>
      </c>
      <c r="V375" s="13" t="s">
        <v>86</v>
      </c>
      <c r="X375" s="13">
        <f t="shared" si="32"/>
        <v>8</v>
      </c>
      <c r="Z375" s="13" t="s">
        <v>164</v>
      </c>
      <c r="AA375" s="13">
        <f t="shared" si="38"/>
        <v>4</v>
      </c>
      <c r="AB375" s="13" t="str">
        <f t="shared" si="33"/>
        <v>Adult</v>
      </c>
      <c r="AC375" s="13">
        <v>4</v>
      </c>
      <c r="AD375" s="13">
        <v>0</v>
      </c>
      <c r="AE375" s="13" t="str">
        <f t="shared" si="34"/>
        <v>Morphological</v>
      </c>
      <c r="AF375" s="2">
        <v>4</v>
      </c>
    </row>
    <row r="376" spans="1:32" x14ac:dyDescent="0.25">
      <c r="A376" s="13">
        <v>372</v>
      </c>
      <c r="B376" s="23" t="s">
        <v>56</v>
      </c>
      <c r="C376" s="23" t="s">
        <v>57</v>
      </c>
      <c r="D376" s="23" t="s">
        <v>58</v>
      </c>
      <c r="E376" s="23" t="s">
        <v>58</v>
      </c>
      <c r="F376" s="35" cm="1">
        <f t="array" ref="F376">_xlfn.IFS($G376=$G$5,F$5,$G376=$G$7,F$7,$G376=$G$10,F$10,$G376=$G$13,F$13,$G376=$G$14,F$14,$G376=$G$16,F$16,$G376=$G$17,F$17,$G376=$G$19,F$19,$G376=$G$20,F$20,$G376=$G$22,F$22,$G376=$G$23,F$23,$G376=$G$26,F$26,$G376=$G$29,F$29,$G376=$G$31,F$31,$G376=$G$34,F$34,$G376=$G$37,F$37,$G376=$G$107,F$107,$G376=$G$110,F$110,$G376=$G$140,F$140,$G376=$G$142,F$142,$G376=$G$408,F$408)</f>
        <v>8025</v>
      </c>
      <c r="G376" s="13" t="s">
        <v>104</v>
      </c>
      <c r="H376" s="51" cm="1">
        <f t="array" ref="H376">_xlfn.IFS($G376=$G$5,H$5,$G376=$G$7,H$7,$G376=$G$10,H$10,$G376=$G$13,H$13,$G376=$G$14,H$14,$G376=$G$16,H$16,$G376=$G$17,H$17,$G376=$G$19,H$19,$G376=$G$20,H$20,$G376=$G$22,H$22,$G376=$G$23,H$23,$G376=$G$26,H$26,$G376=$G$29,H$29,$G376=$G$31,H$31,$G376=$G$34,H$34,$G376=$G$37,H$37,$G376=$G$107,H$107,$G376=$G$110,H$110,$G376=$G$140,H$140,$G376=$G$142,H$142,$G376=$G$408,H$408)</f>
        <v>41.408046826557602</v>
      </c>
      <c r="I376" s="51" cm="1">
        <f t="array" ref="I376">_xlfn.IFS($G376=$G$5,I$5,$G376=$G$7,I$7,$G376=$G$10,I$10,$G376=$G$13,I$13,$G376=$G$14,I$14,$G376=$G$16,I$16,$G376=$G$17,I$17,$G376=$G$19,I$19,$G376=$G$20,I$20,$G376=$G$22,I$22,$G376=$G$23,I$23,$G376=$G$26,I$26,$G376=$G$29,I$29,$G376=$G$31,I$31,$G376=$G$34,I$34,$G376=$G$37,I$37,$G376=$G$107,I$107,$G376=$G$110,I$110,$G376=$G$140,I$140,$G376=$G$142,I$142,$G376=$G$408,I$408)</f>
        <v>2.1678084611616502</v>
      </c>
      <c r="J376" s="51" cm="1">
        <f t="array" ref="J376">_xlfn.IFS($G376=$G$5,J$5,$G376=$G$7,J$7,$G376=$G$10,J$10,$G376=$G$13,J$13,$G376=$G$14,J$14,$G376=$G$16,J$16,$G376=$G$17,J$17,$G376=$G$19,J$19,$G376=$G$20,J$20,$G376=$G$22,J$22,$G376=$G$23,J$23,$G376=$G$26,J$26,$G376=$G$29,J$29,$G376=$G$31,J$31,$G376=$G$34,J$34,$G376=$G$37,J$37,$G376=$G$107,J$107,$G376=$G$110,J$110,$G376=$G$140,J$140,$G376=$G$142,J$142,$G376=$G$408,J$408)</f>
        <v>61</v>
      </c>
      <c r="K376" s="13" t="str" cm="1">
        <f t="array" ref="K376">_xlfn.IFS($G376=$G$5,K$5,$G376=$G$7,K$7,$G376=$G$10,K$10,$G376=$G$13,K$13,$G376=$G$14,K$14,$G376=$G$16,K$16,$G376=$G$17,K$17,$G376=$G$19,K$19,$G376=$G$20,K$20,$G376=$G$22,K$22,$G376=$G$23,K$23,$G376=$G$26,K$26,$G376=$G$29,K$29,$G376=$G$31,K$31,$G376=$G$34,K$34,$G376=$G$37,K$37,$G376=$G$107,K$107,$G376=$G$110,K$110,$G376=$G$140,K$140,$G376=$G$142,K$142,$G376=$G$408,K$408)</f>
        <v>BG sentinel</v>
      </c>
      <c r="O376" s="13" t="str">
        <f t="shared" si="39"/>
        <v>A_SP_BCN_26_220906</v>
      </c>
      <c r="P376" s="31">
        <v>44810</v>
      </c>
      <c r="Q376" s="29">
        <v>0.62152777777777779</v>
      </c>
      <c r="R376" s="33"/>
      <c r="S376" s="31">
        <v>44818</v>
      </c>
      <c r="T376" s="29">
        <v>0.72916666666666663</v>
      </c>
      <c r="V376" s="13" t="s">
        <v>86</v>
      </c>
      <c r="W376" s="15" t="s">
        <v>144</v>
      </c>
      <c r="X376" s="13">
        <f t="shared" si="32"/>
        <v>8</v>
      </c>
      <c r="Z376" s="32" t="s">
        <v>163</v>
      </c>
      <c r="AA376" s="13">
        <f t="shared" si="38"/>
        <v>3</v>
      </c>
      <c r="AB376" s="13" t="str">
        <f t="shared" si="33"/>
        <v>Adult</v>
      </c>
      <c r="AC376" s="13">
        <v>2</v>
      </c>
      <c r="AD376" s="13">
        <v>1</v>
      </c>
      <c r="AE376" s="13" t="str">
        <f t="shared" si="34"/>
        <v>Morphological</v>
      </c>
      <c r="AF376" s="2">
        <v>4</v>
      </c>
    </row>
    <row r="377" spans="1:32" x14ac:dyDescent="0.25">
      <c r="A377" s="13">
        <v>373</v>
      </c>
      <c r="B377" s="23" t="s">
        <v>56</v>
      </c>
      <c r="C377" s="23" t="s">
        <v>57</v>
      </c>
      <c r="D377" s="23" t="s">
        <v>58</v>
      </c>
      <c r="E377" s="23" t="s">
        <v>58</v>
      </c>
      <c r="F377" s="35" cm="1">
        <f t="array" ref="F377">_xlfn.IFS($G377=$G$5,F$5,$G377=$G$7,F$7,$G377=$G$10,F$10,$G377=$G$13,F$13,$G377=$G$14,F$14,$G377=$G$16,F$16,$G377=$G$17,F$17,$G377=$G$19,F$19,$G377=$G$20,F$20,$G377=$G$22,F$22,$G377=$G$23,F$23,$G377=$G$26,F$26,$G377=$G$29,F$29,$G377=$G$31,F$31,$G377=$G$34,F$34,$G377=$G$37,F$37,$G377=$G$107,F$107,$G377=$G$110,F$110,$G377=$G$140,F$140,$G377=$G$142,F$142,$G377=$G$408,F$408)</f>
        <v>8017</v>
      </c>
      <c r="G377" s="13" t="s">
        <v>97</v>
      </c>
      <c r="H377" s="51" cm="1">
        <f t="array" ref="H377">_xlfn.IFS($G377=$G$5,H$5,$G377=$G$7,H$7,$G377=$G$10,H$10,$G377=$G$13,H$13,$G377=$G$14,H$14,$G377=$G$16,H$16,$G377=$G$17,H$17,$G377=$G$19,H$19,$G377=$G$20,H$20,$G377=$G$22,H$22,$G377=$G$23,H$23,$G377=$G$26,H$26,$G377=$G$29,H$29,$G377=$G$31,H$31,$G377=$G$34,H$34,$G377=$G$37,H$37,$G377=$G$107,H$107,$G377=$G$110,H$110,$G377=$G$140,H$140,$G377=$G$142,H$142,$G377=$G$408,H$408)</f>
        <v>41.430372407595499</v>
      </c>
      <c r="I377" s="51" cm="1">
        <f t="array" ref="I377">_xlfn.IFS($G377=$G$5,I$5,$G377=$G$7,I$7,$G377=$G$10,I$10,$G377=$G$13,I$13,$G377=$G$14,I$14,$G377=$G$16,I$16,$G377=$G$17,I$17,$G377=$G$19,I$19,$G377=$G$20,I$20,$G377=$G$22,I$22,$G377=$G$23,I$23,$G377=$G$26,I$26,$G377=$G$29,I$29,$G377=$G$31,I$31,$G377=$G$34,I$34,$G377=$G$37,I$37,$G377=$G$107,I$107,$G377=$G$110,I$110,$G377=$G$140,I$140,$G377=$G$142,I$142,$G377=$G$408,I$408)</f>
        <v>2.0778358219819002</v>
      </c>
      <c r="J377" s="51" cm="1">
        <f t="array" ref="J377">_xlfn.IFS($G377=$G$5,J$5,$G377=$G$7,J$7,$G377=$G$10,J$10,$G377=$G$13,J$13,$G377=$G$14,J$14,$G377=$G$16,J$16,$G377=$G$17,J$17,$G377=$G$19,J$19,$G377=$G$20,J$20,$G377=$G$22,J$22,$G377=$G$23,J$23,$G377=$G$26,J$26,$G377=$G$29,J$29,$G377=$G$31,J$31,$G377=$G$34,J$34,$G377=$G$37,J$37,$G377=$G$107,J$107,$G377=$G$110,J$110,$G377=$G$140,J$140,$G377=$G$142,J$142,$G377=$G$408,J$408)</f>
        <v>242</v>
      </c>
      <c r="K377" s="13" t="str" cm="1">
        <f t="array" ref="K377">_xlfn.IFS($G377=$G$5,K$5,$G377=$G$7,K$7,$G377=$G$10,K$10,$G377=$G$13,K$13,$G377=$G$14,K$14,$G377=$G$16,K$16,$G377=$G$17,K$17,$G377=$G$19,K$19,$G377=$G$20,K$20,$G377=$G$22,K$22,$G377=$G$23,K$23,$G377=$G$26,K$26,$G377=$G$29,K$29,$G377=$G$31,K$31,$G377=$G$34,K$34,$G377=$G$37,K$37,$G377=$G$107,K$107,$G377=$G$110,K$110,$G377=$G$140,K$140,$G377=$G$142,K$142,$G377=$G$408,K$408)</f>
        <v>Mtego</v>
      </c>
      <c r="O377" s="13" t="str">
        <f t="shared" si="39"/>
        <v>Premal_1_220906</v>
      </c>
      <c r="P377" s="27">
        <v>44810</v>
      </c>
      <c r="Q377" s="29">
        <v>0.6875</v>
      </c>
      <c r="R377" s="33"/>
      <c r="S377" s="27">
        <v>44817</v>
      </c>
      <c r="T377" s="29">
        <v>0.71180555555555547</v>
      </c>
      <c r="V377" s="13" t="s">
        <v>86</v>
      </c>
      <c r="X377" s="13">
        <f t="shared" si="32"/>
        <v>7</v>
      </c>
      <c r="Z377" s="13" t="s">
        <v>60</v>
      </c>
      <c r="AA377" s="13">
        <f t="shared" si="38"/>
        <v>20</v>
      </c>
      <c r="AB377" s="13" t="str">
        <f t="shared" si="33"/>
        <v>Adult</v>
      </c>
      <c r="AC377" s="13">
        <v>17</v>
      </c>
      <c r="AD377" s="13">
        <v>3</v>
      </c>
      <c r="AE377" s="13" t="str">
        <f t="shared" si="34"/>
        <v>Morphological</v>
      </c>
      <c r="AF377" s="2">
        <v>4</v>
      </c>
    </row>
    <row r="378" spans="1:32" x14ac:dyDescent="0.25">
      <c r="A378" s="13">
        <v>374</v>
      </c>
      <c r="B378" s="23" t="s">
        <v>56</v>
      </c>
      <c r="C378" s="23" t="s">
        <v>57</v>
      </c>
      <c r="D378" s="23" t="s">
        <v>58</v>
      </c>
      <c r="E378" s="23" t="s">
        <v>58</v>
      </c>
      <c r="F378" s="35" cm="1">
        <f t="array" ref="F378">_xlfn.IFS($G378=$G$5,F$5,$G378=$G$7,F$7,$G378=$G$10,F$10,$G378=$G$13,F$13,$G378=$G$14,F$14,$G378=$G$16,F$16,$G378=$G$17,F$17,$G378=$G$19,F$19,$G378=$G$20,F$20,$G378=$G$22,F$22,$G378=$G$23,F$23,$G378=$G$26,F$26,$G378=$G$29,F$29,$G378=$G$31,F$31,$G378=$G$34,F$34,$G378=$G$37,F$37,$G378=$G$107,F$107,$G378=$G$110,F$110,$G378=$G$140,F$140,$G378=$G$142,F$142,$G378=$G$408,F$408)</f>
        <v>8035</v>
      </c>
      <c r="G378" s="13" t="s">
        <v>61</v>
      </c>
      <c r="H378" s="51" cm="1">
        <f t="array" ref="H378">_xlfn.IFS($G378=$G$5,H$5,$G378=$G$7,H$7,$G378=$G$10,H$10,$G378=$G$13,H$13,$G378=$G$14,H$14,$G378=$G$16,H$16,$G378=$G$17,H$17,$G378=$G$19,H$19,$G378=$G$20,H$20,$G378=$G$22,H$22,$G378=$G$23,H$23,$G378=$G$26,H$26,$G378=$G$29,H$29,$G378=$G$31,H$31,$G378=$G$34,H$34,$G378=$G$37,H$37,$G378=$G$107,H$107,$G378=$G$110,H$110,$G378=$G$140,H$140,$G378=$G$142,H$142,$G378=$G$408,H$408)</f>
        <v>41.424387000000003</v>
      </c>
      <c r="I378" s="51" cm="1">
        <f t="array" ref="I378">_xlfn.IFS($G378=$G$5,I$5,$G378=$G$7,I$7,$G378=$G$10,I$10,$G378=$G$13,I$13,$G378=$G$14,I$14,$G378=$G$16,I$16,$G378=$G$17,I$17,$G378=$G$19,I$19,$G378=$G$20,I$20,$G378=$G$22,I$22,$G378=$G$23,I$23,$G378=$G$26,I$26,$G378=$G$29,I$29,$G378=$G$31,I$31,$G378=$G$34,I$34,$G378=$G$37,I$37,$G378=$G$107,I$107,$G378=$G$110,I$110,$G378=$G$140,I$140,$G378=$G$142,I$142,$G378=$G$408,I$408)</f>
        <v>2.1431439999999999</v>
      </c>
      <c r="J378" s="51" cm="1">
        <f t="array" ref="J378">_xlfn.IFS($G378=$G$5,J$5,$G378=$G$7,J$7,$G378=$G$10,J$10,$G378=$G$13,J$13,$G378=$G$14,J$14,$G378=$G$16,J$16,$G378=$G$17,J$17,$G378=$G$19,J$19,$G378=$G$20,J$20,$G378=$G$22,J$22,$G378=$G$23,J$23,$G378=$G$26,J$26,$G378=$G$29,J$29,$G378=$G$31,J$31,$G378=$G$34,J$34,$G378=$G$37,J$37,$G378=$G$107,J$107,$G378=$G$110,J$110,$G378=$G$140,J$140,$G378=$G$142,J$142,$G378=$G$408,J$408)</f>
        <v>160</v>
      </c>
      <c r="K378" s="13" t="str" cm="1">
        <f t="array" ref="K378">_xlfn.IFS($G378=$G$5,K$5,$G378=$G$7,K$7,$G378=$G$10,K$10,$G378=$G$13,K$13,$G378=$G$14,K$14,$G378=$G$16,K$16,$G378=$G$17,K$17,$G378=$G$19,K$19,$G378=$G$20,K$20,$G378=$G$22,K$22,$G378=$G$23,K$23,$G378=$G$26,K$26,$G378=$G$29,K$29,$G378=$G$31,K$31,$G378=$G$34,K$34,$G378=$G$37,K$37,$G378=$G$107,K$107,$G378=$G$110,K$110,$G378=$G$140,K$140,$G378=$G$142,K$142,$G378=$G$408,K$408)</f>
        <v>BG sentinel + BG lure7</v>
      </c>
      <c r="O378" s="13" t="str">
        <f t="shared" si="39"/>
        <v>A_SP_BCN_2_220913</v>
      </c>
      <c r="P378" s="27">
        <v>44817</v>
      </c>
      <c r="Q378" s="29">
        <v>0.65625</v>
      </c>
      <c r="R378" s="33"/>
      <c r="S378" s="31">
        <v>44825</v>
      </c>
      <c r="T378" s="29">
        <v>0.59722222222222221</v>
      </c>
      <c r="V378" s="13" t="s">
        <v>86</v>
      </c>
      <c r="X378" s="13">
        <f t="shared" si="32"/>
        <v>8</v>
      </c>
      <c r="Z378" s="13" t="s">
        <v>60</v>
      </c>
      <c r="AA378" s="13">
        <f t="shared" si="38"/>
        <v>36</v>
      </c>
      <c r="AB378" s="13" t="str">
        <f t="shared" si="33"/>
        <v>Adult</v>
      </c>
      <c r="AC378" s="13">
        <v>26</v>
      </c>
      <c r="AD378" s="13">
        <v>10</v>
      </c>
      <c r="AE378" s="13" t="str">
        <f t="shared" si="34"/>
        <v>Morphological</v>
      </c>
      <c r="AF378" s="2">
        <v>4</v>
      </c>
    </row>
    <row r="379" spans="1:32" x14ac:dyDescent="0.25">
      <c r="A379" s="13">
        <v>375</v>
      </c>
      <c r="B379" s="23" t="s">
        <v>56</v>
      </c>
      <c r="C379" s="23" t="s">
        <v>57</v>
      </c>
      <c r="D379" s="23" t="s">
        <v>58</v>
      </c>
      <c r="E379" s="23" t="s">
        <v>58</v>
      </c>
      <c r="F379" s="35" cm="1">
        <f t="array" ref="F379">_xlfn.IFS($G379=$G$5,F$5,$G379=$G$7,F$7,$G379=$G$10,F$10,$G379=$G$13,F$13,$G379=$G$14,F$14,$G379=$G$16,F$16,$G379=$G$17,F$17,$G379=$G$19,F$19,$G379=$G$20,F$20,$G379=$G$22,F$22,$G379=$G$23,F$23,$G379=$G$26,F$26,$G379=$G$29,F$29,$G379=$G$31,F$31,$G379=$G$34,F$34,$G379=$G$37,F$37,$G379=$G$107,F$107,$G379=$G$110,F$110,$G379=$G$140,F$140,$G379=$G$142,F$142,$G379=$G$408,F$408)</f>
        <v>8035</v>
      </c>
      <c r="G379" s="13" t="s">
        <v>61</v>
      </c>
      <c r="H379" s="51" cm="1">
        <f t="array" ref="H379">_xlfn.IFS($G379=$G$5,H$5,$G379=$G$7,H$7,$G379=$G$10,H$10,$G379=$G$13,H$13,$G379=$G$14,H$14,$G379=$G$16,H$16,$G379=$G$17,H$17,$G379=$G$19,H$19,$G379=$G$20,H$20,$G379=$G$22,H$22,$G379=$G$23,H$23,$G379=$G$26,H$26,$G379=$G$29,H$29,$G379=$G$31,H$31,$G379=$G$34,H$34,$G379=$G$37,H$37,$G379=$G$107,H$107,$G379=$G$110,H$110,$G379=$G$140,H$140,$G379=$G$142,H$142,$G379=$G$408,H$408)</f>
        <v>41.424387000000003</v>
      </c>
      <c r="I379" s="51" cm="1">
        <f t="array" ref="I379">_xlfn.IFS($G379=$G$5,I$5,$G379=$G$7,I$7,$G379=$G$10,I$10,$G379=$G$13,I$13,$G379=$G$14,I$14,$G379=$G$16,I$16,$G379=$G$17,I$17,$G379=$G$19,I$19,$G379=$G$20,I$20,$G379=$G$22,I$22,$G379=$G$23,I$23,$G379=$G$26,I$26,$G379=$G$29,I$29,$G379=$G$31,I$31,$G379=$G$34,I$34,$G379=$G$37,I$37,$G379=$G$107,I$107,$G379=$G$110,I$110,$G379=$G$140,I$140,$G379=$G$142,I$142,$G379=$G$408,I$408)</f>
        <v>2.1431439999999999</v>
      </c>
      <c r="J379" s="51" cm="1">
        <f t="array" ref="J379">_xlfn.IFS($G379=$G$5,J$5,$G379=$G$7,J$7,$G379=$G$10,J$10,$G379=$G$13,J$13,$G379=$G$14,J$14,$G379=$G$16,J$16,$G379=$G$17,J$17,$G379=$G$19,J$19,$G379=$G$20,J$20,$G379=$G$22,J$22,$G379=$G$23,J$23,$G379=$G$26,J$26,$G379=$G$29,J$29,$G379=$G$31,J$31,$G379=$G$34,J$34,$G379=$G$37,J$37,$G379=$G$107,J$107,$G379=$G$110,J$110,$G379=$G$140,J$140,$G379=$G$142,J$142,$G379=$G$408,J$408)</f>
        <v>160</v>
      </c>
      <c r="K379" s="13" t="str" cm="1">
        <f t="array" ref="K379">_xlfn.IFS($G379=$G$5,K$5,$G379=$G$7,K$7,$G379=$G$10,K$10,$G379=$G$13,K$13,$G379=$G$14,K$14,$G379=$G$16,K$16,$G379=$G$17,K$17,$G379=$G$19,K$19,$G379=$G$20,K$20,$G379=$G$22,K$22,$G379=$G$23,K$23,$G379=$G$26,K$26,$G379=$G$29,K$29,$G379=$G$31,K$31,$G379=$G$34,K$34,$G379=$G$37,K$37,$G379=$G$107,K$107,$G379=$G$110,K$110,$G379=$G$140,K$140,$G379=$G$142,K$142,$G379=$G$408,K$408)</f>
        <v>BG sentinel + BG lure7</v>
      </c>
      <c r="O379" s="13" t="str">
        <f t="shared" si="39"/>
        <v>A_SP_BCN_2_220913</v>
      </c>
      <c r="P379" s="27">
        <v>44817</v>
      </c>
      <c r="Q379" s="29">
        <v>0.65625</v>
      </c>
      <c r="R379" s="33"/>
      <c r="S379" s="31">
        <v>44825</v>
      </c>
      <c r="T379" s="29">
        <v>0.59722222222222221</v>
      </c>
      <c r="V379" s="13" t="s">
        <v>86</v>
      </c>
      <c r="X379" s="13">
        <f t="shared" si="32"/>
        <v>8</v>
      </c>
      <c r="Z379" s="13" t="s">
        <v>164</v>
      </c>
      <c r="AA379" s="13">
        <f t="shared" si="38"/>
        <v>1</v>
      </c>
      <c r="AB379" s="13" t="str">
        <f t="shared" si="33"/>
        <v>Adult</v>
      </c>
      <c r="AC379" s="13">
        <v>1</v>
      </c>
      <c r="AD379" s="13">
        <v>0</v>
      </c>
      <c r="AE379" s="13" t="str">
        <f t="shared" si="34"/>
        <v>Morphological</v>
      </c>
      <c r="AF379" s="2">
        <v>4</v>
      </c>
    </row>
    <row r="380" spans="1:32" x14ac:dyDescent="0.25">
      <c r="A380" s="13">
        <v>376</v>
      </c>
      <c r="B380" s="23" t="s">
        <v>56</v>
      </c>
      <c r="C380" s="23" t="s">
        <v>57</v>
      </c>
      <c r="D380" s="23" t="s">
        <v>58</v>
      </c>
      <c r="E380" s="23" t="s">
        <v>58</v>
      </c>
      <c r="F380" s="35" cm="1">
        <f t="array" ref="F380">_xlfn.IFS($G380=$G$5,F$5,$G380=$G$7,F$7,$G380=$G$10,F$10,$G380=$G$13,F$13,$G380=$G$14,F$14,$G380=$G$16,F$16,$G380=$G$17,F$17,$G380=$G$19,F$19,$G380=$G$20,F$20,$G380=$G$22,F$22,$G380=$G$23,F$23,$G380=$G$26,F$26,$G380=$G$29,F$29,$G380=$G$31,F$31,$G380=$G$34,F$34,$G380=$G$37,F$37,$G380=$G$107,F$107,$G380=$G$110,F$110,$G380=$G$140,F$140,$G380=$G$142,F$142,$G380=$G$408,F$408)</f>
        <v>8016</v>
      </c>
      <c r="G380" s="13" t="s">
        <v>62</v>
      </c>
      <c r="H380" s="51" cm="1">
        <f t="array" ref="H380">_xlfn.IFS($G380=$G$5,H$5,$G380=$G$7,H$7,$G380=$G$10,H$10,$G380=$G$13,H$13,$G380=$G$14,H$14,$G380=$G$16,H$16,$G380=$G$17,H$17,$G380=$G$19,H$19,$G380=$G$20,H$20,$G380=$G$22,H$22,$G380=$G$23,H$23,$G380=$G$26,H$26,$G380=$G$29,H$29,$G380=$G$31,H$31,$G380=$G$34,H$34,$G380=$G$37,H$37,$G380=$G$107,H$107,$G380=$G$110,H$110,$G380=$G$140,H$140,$G380=$G$142,H$142,$G380=$G$408,H$408)</f>
        <v>41.437435000000001</v>
      </c>
      <c r="I380" s="51" cm="1">
        <f t="array" ref="I380">_xlfn.IFS($G380=$G$5,I$5,$G380=$G$7,I$7,$G380=$G$10,I$10,$G380=$G$13,I$13,$G380=$G$14,I$14,$G380=$G$16,I$16,$G380=$G$17,I$17,$G380=$G$19,I$19,$G380=$G$20,I$20,$G380=$G$22,I$22,$G380=$G$23,I$23,$G380=$G$26,I$26,$G380=$G$29,I$29,$G380=$G$31,I$31,$G380=$G$34,I$34,$G380=$G$37,I$37,$G380=$G$107,I$107,$G380=$G$110,I$110,$G380=$G$140,I$140,$G380=$G$142,I$142,$G380=$G$408,I$408)</f>
        <v>2.1812779999999998</v>
      </c>
      <c r="J380" s="51" cm="1">
        <f t="array" ref="J380">_xlfn.IFS($G380=$G$5,J$5,$G380=$G$7,J$7,$G380=$G$10,J$10,$G380=$G$13,J$13,$G380=$G$14,J$14,$G380=$G$16,J$16,$G380=$G$17,J$17,$G380=$G$19,J$19,$G380=$G$20,J$20,$G380=$G$22,J$22,$G380=$G$23,J$23,$G380=$G$26,J$26,$G380=$G$29,J$29,$G380=$G$31,J$31,$G380=$G$34,J$34,$G380=$G$37,J$37,$G380=$G$107,J$107,$G380=$G$110,J$110,$G380=$G$140,J$140,$G380=$G$142,J$142,$G380=$G$408,J$408)</f>
        <v>47</v>
      </c>
      <c r="K380" s="13" t="str" cm="1">
        <f t="array" ref="K380">_xlfn.IFS($G380=$G$5,K$5,$G380=$G$7,K$7,$G380=$G$10,K$10,$G380=$G$13,K$13,$G380=$G$14,K$14,$G380=$G$16,K$16,$G380=$G$17,K$17,$G380=$G$19,K$19,$G380=$G$20,K$20,$G380=$G$22,K$22,$G380=$G$23,K$23,$G380=$G$26,K$26,$G380=$G$29,K$29,$G380=$G$31,K$31,$G380=$G$34,K$34,$G380=$G$37,K$37,$G380=$G$107,K$107,$G380=$G$110,K$110,$G380=$G$140,K$140,$G380=$G$142,K$142,$G380=$G$408,K$408)</f>
        <v>BG sentinel + BG lure7</v>
      </c>
      <c r="O380" s="13" t="str">
        <f t="shared" si="39"/>
        <v>A_SP_BCN_3_220913</v>
      </c>
      <c r="P380" s="27">
        <v>44817</v>
      </c>
      <c r="Q380" s="29">
        <v>0.77777777777777779</v>
      </c>
      <c r="R380" s="33"/>
      <c r="S380" s="31">
        <v>44825</v>
      </c>
      <c r="T380" s="29">
        <v>0.77083333333333337</v>
      </c>
      <c r="V380" s="13" t="s">
        <v>86</v>
      </c>
      <c r="X380" s="13">
        <f t="shared" si="32"/>
        <v>8</v>
      </c>
      <c r="Z380" s="13" t="s">
        <v>60</v>
      </c>
      <c r="AA380" s="13">
        <f t="shared" si="38"/>
        <v>30</v>
      </c>
      <c r="AB380" s="13" t="str">
        <f t="shared" si="33"/>
        <v>Adult</v>
      </c>
      <c r="AC380" s="13">
        <v>17</v>
      </c>
      <c r="AD380" s="13">
        <v>13</v>
      </c>
      <c r="AE380" s="13" t="str">
        <f t="shared" si="34"/>
        <v>Morphological</v>
      </c>
      <c r="AF380" s="2">
        <v>4</v>
      </c>
    </row>
    <row r="381" spans="1:32" x14ac:dyDescent="0.25">
      <c r="A381" s="13">
        <v>377</v>
      </c>
      <c r="B381" s="23" t="s">
        <v>56</v>
      </c>
      <c r="C381" s="23" t="s">
        <v>57</v>
      </c>
      <c r="D381" s="23" t="s">
        <v>58</v>
      </c>
      <c r="E381" s="23" t="s">
        <v>58</v>
      </c>
      <c r="F381" s="35" cm="1">
        <f t="array" ref="F381">_xlfn.IFS($G381=$G$5,F$5,$G381=$G$7,F$7,$G381=$G$10,F$10,$G381=$G$13,F$13,$G381=$G$14,F$14,$G381=$G$16,F$16,$G381=$G$17,F$17,$G381=$G$19,F$19,$G381=$G$20,F$20,$G381=$G$22,F$22,$G381=$G$23,F$23,$G381=$G$26,F$26,$G381=$G$29,F$29,$G381=$G$31,F$31,$G381=$G$34,F$34,$G381=$G$37,F$37,$G381=$G$107,F$107,$G381=$G$110,F$110,$G381=$G$140,F$140,$G381=$G$142,F$142,$G381=$G$408,F$408)</f>
        <v>8018</v>
      </c>
      <c r="G381" s="13" t="s">
        <v>63</v>
      </c>
      <c r="H381" s="51" cm="1">
        <f t="array" ref="H381">_xlfn.IFS($G381=$G$5,H$5,$G381=$G$7,H$7,$G381=$G$10,H$10,$G381=$G$13,H$13,$G381=$G$14,H$14,$G381=$G$16,H$16,$G381=$G$17,H$17,$G381=$G$19,H$19,$G381=$G$20,H$20,$G381=$G$22,H$22,$G381=$G$23,H$23,$G381=$G$26,H$26,$G381=$G$29,H$29,$G381=$G$31,H$31,$G381=$G$34,H$34,$G381=$G$37,H$37,$G381=$G$107,H$107,$G381=$G$110,H$110,$G381=$G$140,H$140,$G381=$G$142,H$142,$G381=$G$408,H$408)</f>
        <v>41.404924999999999</v>
      </c>
      <c r="I381" s="51" cm="1">
        <f t="array" ref="I381">_xlfn.IFS($G381=$G$5,I$5,$G381=$G$7,I$7,$G381=$G$10,I$10,$G381=$G$13,I$13,$G381=$G$14,I$14,$G381=$G$16,I$16,$G381=$G$17,I$17,$G381=$G$19,I$19,$G381=$G$20,I$20,$G381=$G$22,I$22,$G381=$G$23,I$23,$G381=$G$26,I$26,$G381=$G$29,I$29,$G381=$G$31,I$31,$G381=$G$34,I$34,$G381=$G$37,I$37,$G381=$G$107,I$107,$G381=$G$110,I$110,$G381=$G$140,I$140,$G381=$G$142,I$142,$G381=$G$408,I$408)</f>
        <v>2.1987909999999999</v>
      </c>
      <c r="J381" s="51" cm="1">
        <f t="array" ref="J381">_xlfn.IFS($G381=$G$5,J$5,$G381=$G$7,J$7,$G381=$G$10,J$10,$G381=$G$13,J$13,$G381=$G$14,J$14,$G381=$G$16,J$16,$G381=$G$17,J$17,$G381=$G$19,J$19,$G381=$G$20,J$20,$G381=$G$22,J$22,$G381=$G$23,J$23,$G381=$G$26,J$26,$G381=$G$29,J$29,$G381=$G$31,J$31,$G381=$G$34,J$34,$G381=$G$37,J$37,$G381=$G$107,J$107,$G381=$G$110,J$110,$G381=$G$140,J$140,$G381=$G$142,J$142,$G381=$G$408,J$408)</f>
        <v>4</v>
      </c>
      <c r="K381" s="13" t="str" cm="1">
        <f t="array" ref="K381">_xlfn.IFS($G381=$G$5,K$5,$G381=$G$7,K$7,$G381=$G$10,K$10,$G381=$G$13,K$13,$G381=$G$14,K$14,$G381=$G$16,K$16,$G381=$G$17,K$17,$G381=$G$19,K$19,$G381=$G$20,K$20,$G381=$G$22,K$22,$G381=$G$23,K$23,$G381=$G$26,K$26,$G381=$G$29,K$29,$G381=$G$31,K$31,$G381=$G$34,K$34,$G381=$G$37,K$37,$G381=$G$107,K$107,$G381=$G$110,K$110,$G381=$G$140,K$140,$G381=$G$142,K$142,$G381=$G$408,K$408)</f>
        <v>BG sentinel + BG lure7</v>
      </c>
      <c r="O381" s="13" t="str">
        <f t="shared" si="39"/>
        <v>A_SP_BCN_4_220913</v>
      </c>
      <c r="P381" s="27">
        <v>44817</v>
      </c>
      <c r="Q381" s="29">
        <v>0.82291666666666663</v>
      </c>
      <c r="R381" s="33"/>
      <c r="S381" s="31">
        <v>44825</v>
      </c>
      <c r="T381" s="29">
        <v>0.76388888888888884</v>
      </c>
      <c r="V381" s="13" t="s">
        <v>86</v>
      </c>
      <c r="X381" s="13">
        <f t="shared" si="32"/>
        <v>8</v>
      </c>
      <c r="Z381" s="13" t="s">
        <v>60</v>
      </c>
      <c r="AA381" s="13">
        <f t="shared" si="38"/>
        <v>46</v>
      </c>
      <c r="AB381" s="13" t="str">
        <f t="shared" si="33"/>
        <v>Adult</v>
      </c>
      <c r="AC381" s="13">
        <v>28</v>
      </c>
      <c r="AD381" s="13">
        <v>18</v>
      </c>
      <c r="AE381" s="13" t="str">
        <f t="shared" si="34"/>
        <v>Morphological</v>
      </c>
      <c r="AF381" s="2">
        <v>4</v>
      </c>
    </row>
    <row r="382" spans="1:32" x14ac:dyDescent="0.25">
      <c r="A382" s="13">
        <v>378</v>
      </c>
      <c r="B382" s="23" t="s">
        <v>56</v>
      </c>
      <c r="C382" s="23" t="s">
        <v>57</v>
      </c>
      <c r="D382" s="23" t="s">
        <v>58</v>
      </c>
      <c r="E382" s="23" t="s">
        <v>58</v>
      </c>
      <c r="F382" s="35" cm="1">
        <f t="array" ref="F382">_xlfn.IFS($G382=$G$5,F$5,$G382=$G$7,F$7,$G382=$G$10,F$10,$G382=$G$13,F$13,$G382=$G$14,F$14,$G382=$G$16,F$16,$G382=$G$17,F$17,$G382=$G$19,F$19,$G382=$G$20,F$20,$G382=$G$22,F$22,$G382=$G$23,F$23,$G382=$G$26,F$26,$G382=$G$29,F$29,$G382=$G$31,F$31,$G382=$G$34,F$34,$G382=$G$37,F$37,$G382=$G$107,F$107,$G382=$G$110,F$110,$G382=$G$140,F$140,$G382=$G$142,F$142,$G382=$G$408,F$408)</f>
        <v>8018</v>
      </c>
      <c r="G382" s="13" t="s">
        <v>63</v>
      </c>
      <c r="H382" s="51" cm="1">
        <f t="array" ref="H382">_xlfn.IFS($G382=$G$5,H$5,$G382=$G$7,H$7,$G382=$G$10,H$10,$G382=$G$13,H$13,$G382=$G$14,H$14,$G382=$G$16,H$16,$G382=$G$17,H$17,$G382=$G$19,H$19,$G382=$G$20,H$20,$G382=$G$22,H$22,$G382=$G$23,H$23,$G382=$G$26,H$26,$G382=$G$29,H$29,$G382=$G$31,H$31,$G382=$G$34,H$34,$G382=$G$37,H$37,$G382=$G$107,H$107,$G382=$G$110,H$110,$G382=$G$140,H$140,$G382=$G$142,H$142,$G382=$G$408,H$408)</f>
        <v>41.404924999999999</v>
      </c>
      <c r="I382" s="51" cm="1">
        <f t="array" ref="I382">_xlfn.IFS($G382=$G$5,I$5,$G382=$G$7,I$7,$G382=$G$10,I$10,$G382=$G$13,I$13,$G382=$G$14,I$14,$G382=$G$16,I$16,$G382=$G$17,I$17,$G382=$G$19,I$19,$G382=$G$20,I$20,$G382=$G$22,I$22,$G382=$G$23,I$23,$G382=$G$26,I$26,$G382=$G$29,I$29,$G382=$G$31,I$31,$G382=$G$34,I$34,$G382=$G$37,I$37,$G382=$G$107,I$107,$G382=$G$110,I$110,$G382=$G$140,I$140,$G382=$G$142,I$142,$G382=$G$408,I$408)</f>
        <v>2.1987909999999999</v>
      </c>
      <c r="J382" s="51" cm="1">
        <f t="array" ref="J382">_xlfn.IFS($G382=$G$5,J$5,$G382=$G$7,J$7,$G382=$G$10,J$10,$G382=$G$13,J$13,$G382=$G$14,J$14,$G382=$G$16,J$16,$G382=$G$17,J$17,$G382=$G$19,J$19,$G382=$G$20,J$20,$G382=$G$22,J$22,$G382=$G$23,J$23,$G382=$G$26,J$26,$G382=$G$29,J$29,$G382=$G$31,J$31,$G382=$G$34,J$34,$G382=$G$37,J$37,$G382=$G$107,J$107,$G382=$G$110,J$110,$G382=$G$140,J$140,$G382=$G$142,J$142,$G382=$G$408,J$408)</f>
        <v>4</v>
      </c>
      <c r="K382" s="13" t="str" cm="1">
        <f t="array" ref="K382">_xlfn.IFS($G382=$G$5,K$5,$G382=$G$7,K$7,$G382=$G$10,K$10,$G382=$G$13,K$13,$G382=$G$14,K$14,$G382=$G$16,K$16,$G382=$G$17,K$17,$G382=$G$19,K$19,$G382=$G$20,K$20,$G382=$G$22,K$22,$G382=$G$23,K$23,$G382=$G$26,K$26,$G382=$G$29,K$29,$G382=$G$31,K$31,$G382=$G$34,K$34,$G382=$G$37,K$37,$G382=$G$107,K$107,$G382=$G$110,K$110,$G382=$G$140,K$140,$G382=$G$142,K$142,$G382=$G$408,K$408)</f>
        <v>BG sentinel + BG lure7</v>
      </c>
      <c r="O382" s="13" t="str">
        <f t="shared" si="39"/>
        <v>A_SP_BCN_4_220913</v>
      </c>
      <c r="P382" s="27">
        <v>44817</v>
      </c>
      <c r="Q382" s="29">
        <v>0.82291666666666663</v>
      </c>
      <c r="R382" s="33"/>
      <c r="S382" s="31">
        <v>44825</v>
      </c>
      <c r="T382" s="29">
        <v>0.76388888888888884</v>
      </c>
      <c r="V382" s="13" t="s">
        <v>86</v>
      </c>
      <c r="X382" s="13">
        <f t="shared" si="32"/>
        <v>8</v>
      </c>
      <c r="Z382" s="13" t="s">
        <v>164</v>
      </c>
      <c r="AA382" s="13">
        <f t="shared" si="38"/>
        <v>2</v>
      </c>
      <c r="AB382" s="13" t="str">
        <f t="shared" si="33"/>
        <v>Adult</v>
      </c>
      <c r="AC382" s="13">
        <v>1</v>
      </c>
      <c r="AD382" s="13">
        <v>1</v>
      </c>
      <c r="AE382" s="13" t="str">
        <f t="shared" si="34"/>
        <v>Morphological</v>
      </c>
      <c r="AF382" s="2">
        <v>4</v>
      </c>
    </row>
    <row r="383" spans="1:32" x14ac:dyDescent="0.25">
      <c r="A383" s="13">
        <v>379</v>
      </c>
      <c r="B383" s="23" t="s">
        <v>56</v>
      </c>
      <c r="C383" s="23" t="s">
        <v>57</v>
      </c>
      <c r="D383" s="23" t="s">
        <v>58</v>
      </c>
      <c r="E383" s="23" t="s">
        <v>58</v>
      </c>
      <c r="F383" s="35" cm="1">
        <f t="array" ref="F383">_xlfn.IFS($G383=$G$5,F$5,$G383=$G$7,F$7,$G383=$G$10,F$10,$G383=$G$13,F$13,$G383=$G$14,F$14,$G383=$G$16,F$16,$G383=$G$17,F$17,$G383=$G$19,F$19,$G383=$G$20,F$20,$G383=$G$22,F$22,$G383=$G$23,F$23,$G383=$G$26,F$26,$G383=$G$29,F$29,$G383=$G$31,F$31,$G383=$G$34,F$34,$G383=$G$37,F$37,$G383=$G$107,F$107,$G383=$G$110,F$110,$G383=$G$140,F$140,$G383=$G$142,F$142,$G383=$G$408,F$408)</f>
        <v>8019</v>
      </c>
      <c r="G383" s="13" t="s">
        <v>64</v>
      </c>
      <c r="H383" s="51" cm="1">
        <f t="array" ref="H383">_xlfn.IFS($G383=$G$5,H$5,$G383=$G$7,H$7,$G383=$G$10,H$10,$G383=$G$13,H$13,$G383=$G$14,H$14,$G383=$G$16,H$16,$G383=$G$17,H$17,$G383=$G$19,H$19,$G383=$G$20,H$20,$G383=$G$22,H$22,$G383=$G$23,H$23,$G383=$G$26,H$26,$G383=$G$29,H$29,$G383=$G$31,H$31,$G383=$G$34,H$34,$G383=$G$37,H$37,$G383=$G$107,H$107,$G383=$G$110,H$110,$G383=$G$140,H$140,$G383=$G$142,H$142,$G383=$G$408,H$408)</f>
        <v>41.410684000000003</v>
      </c>
      <c r="I383" s="51" cm="1">
        <f t="array" ref="I383">_xlfn.IFS($G383=$G$5,I$5,$G383=$G$7,I$7,$G383=$G$10,I$10,$G383=$G$13,I$13,$G383=$G$14,I$14,$G383=$G$16,I$16,$G383=$G$17,I$17,$G383=$G$19,I$19,$G383=$G$20,I$20,$G383=$G$22,I$22,$G383=$G$23,I$23,$G383=$G$26,I$26,$G383=$G$29,I$29,$G383=$G$31,I$31,$G383=$G$34,I$34,$G383=$G$37,I$37,$G383=$G$107,I$107,$G383=$G$110,I$110,$G383=$G$140,I$140,$G383=$G$142,I$142,$G383=$G$408,I$408)</f>
        <v>2.2208019999999999</v>
      </c>
      <c r="J383" s="51" cm="1">
        <f t="array" ref="J383">_xlfn.IFS($G383=$G$5,J$5,$G383=$G$7,J$7,$G383=$G$10,J$10,$G383=$G$13,J$13,$G383=$G$14,J$14,$G383=$G$16,J$16,$G383=$G$17,J$17,$G383=$G$19,J$19,$G383=$G$20,J$20,$G383=$G$22,J$22,$G383=$G$23,J$23,$G383=$G$26,J$26,$G383=$G$29,J$29,$G383=$G$31,J$31,$G383=$G$34,J$34,$G383=$G$37,J$37,$G383=$G$107,J$107,$G383=$G$110,J$110,$G383=$G$140,J$140,$G383=$G$142,J$142,$G383=$G$408,J$408)</f>
        <v>18</v>
      </c>
      <c r="K383" s="13" t="str" cm="1">
        <f t="array" ref="K383">_xlfn.IFS($G383=$G$5,K$5,$G383=$G$7,K$7,$G383=$G$10,K$10,$G383=$G$13,K$13,$G383=$G$14,K$14,$G383=$G$16,K$16,$G383=$G$17,K$17,$G383=$G$19,K$19,$G383=$G$20,K$20,$G383=$G$22,K$22,$G383=$G$23,K$23,$G383=$G$26,K$26,$G383=$G$29,K$29,$G383=$G$31,K$31,$G383=$G$34,K$34,$G383=$G$37,K$37,$G383=$G$107,K$107,$G383=$G$110,K$110,$G383=$G$140,K$140,$G383=$G$142,K$142,$G383=$G$408,K$408)</f>
        <v>BG sentinel + BG lure7</v>
      </c>
      <c r="O383" s="13" t="str">
        <f t="shared" si="39"/>
        <v>A_SP_BCN_5_220913</v>
      </c>
      <c r="P383" s="27">
        <v>44817</v>
      </c>
      <c r="Q383" s="29">
        <v>0.80555555555555547</v>
      </c>
      <c r="R383" s="33"/>
      <c r="S383" s="31">
        <v>44825</v>
      </c>
      <c r="T383" s="29">
        <v>0.78819444444444453</v>
      </c>
      <c r="V383" s="13" t="s">
        <v>86</v>
      </c>
      <c r="X383" s="13">
        <f t="shared" si="32"/>
        <v>8</v>
      </c>
      <c r="Z383" s="13" t="s">
        <v>60</v>
      </c>
      <c r="AA383" s="13">
        <f t="shared" si="38"/>
        <v>1</v>
      </c>
      <c r="AB383" s="13" t="str">
        <f t="shared" si="33"/>
        <v>Adult</v>
      </c>
      <c r="AC383" s="13">
        <v>1</v>
      </c>
      <c r="AD383" s="13">
        <v>0</v>
      </c>
      <c r="AE383" s="13" t="str">
        <f t="shared" si="34"/>
        <v>Morphological</v>
      </c>
      <c r="AF383" s="2">
        <v>4</v>
      </c>
    </row>
    <row r="384" spans="1:32" x14ac:dyDescent="0.25">
      <c r="A384" s="13">
        <v>380</v>
      </c>
      <c r="B384" s="23" t="s">
        <v>56</v>
      </c>
      <c r="C384" s="23" t="s">
        <v>57</v>
      </c>
      <c r="D384" s="23" t="s">
        <v>58</v>
      </c>
      <c r="E384" s="23" t="s">
        <v>58</v>
      </c>
      <c r="F384" s="35" cm="1">
        <f t="array" ref="F384">_xlfn.IFS($G384=$G$5,F$5,$G384=$G$7,F$7,$G384=$G$10,F$10,$G384=$G$13,F$13,$G384=$G$14,F$14,$G384=$G$16,F$16,$G384=$G$17,F$17,$G384=$G$19,F$19,$G384=$G$20,F$20,$G384=$G$22,F$22,$G384=$G$23,F$23,$G384=$G$26,F$26,$G384=$G$29,F$29,$G384=$G$31,F$31,$G384=$G$34,F$34,$G384=$G$37,F$37,$G384=$G$107,F$107,$G384=$G$110,F$110,$G384=$G$140,F$140,$G384=$G$142,F$142,$G384=$G$408,F$408)</f>
        <v>8019</v>
      </c>
      <c r="G384" s="13" t="s">
        <v>64</v>
      </c>
      <c r="H384" s="51" cm="1">
        <f t="array" ref="H384">_xlfn.IFS($G384=$G$5,H$5,$G384=$G$7,H$7,$G384=$G$10,H$10,$G384=$G$13,H$13,$G384=$G$14,H$14,$G384=$G$16,H$16,$G384=$G$17,H$17,$G384=$G$19,H$19,$G384=$G$20,H$20,$G384=$G$22,H$22,$G384=$G$23,H$23,$G384=$G$26,H$26,$G384=$G$29,H$29,$G384=$G$31,H$31,$G384=$G$34,H$34,$G384=$G$37,H$37,$G384=$G$107,H$107,$G384=$G$110,H$110,$G384=$G$140,H$140,$G384=$G$142,H$142,$G384=$G$408,H$408)</f>
        <v>41.410684000000003</v>
      </c>
      <c r="I384" s="51" cm="1">
        <f t="array" ref="I384">_xlfn.IFS($G384=$G$5,I$5,$G384=$G$7,I$7,$G384=$G$10,I$10,$G384=$G$13,I$13,$G384=$G$14,I$14,$G384=$G$16,I$16,$G384=$G$17,I$17,$G384=$G$19,I$19,$G384=$G$20,I$20,$G384=$G$22,I$22,$G384=$G$23,I$23,$G384=$G$26,I$26,$G384=$G$29,I$29,$G384=$G$31,I$31,$G384=$G$34,I$34,$G384=$G$37,I$37,$G384=$G$107,I$107,$G384=$G$110,I$110,$G384=$G$140,I$140,$G384=$G$142,I$142,$G384=$G$408,I$408)</f>
        <v>2.2208019999999999</v>
      </c>
      <c r="J384" s="51" cm="1">
        <f t="array" ref="J384">_xlfn.IFS($G384=$G$5,J$5,$G384=$G$7,J$7,$G384=$G$10,J$10,$G384=$G$13,J$13,$G384=$G$14,J$14,$G384=$G$16,J$16,$G384=$G$17,J$17,$G384=$G$19,J$19,$G384=$G$20,J$20,$G384=$G$22,J$22,$G384=$G$23,J$23,$G384=$G$26,J$26,$G384=$G$29,J$29,$G384=$G$31,J$31,$G384=$G$34,J$34,$G384=$G$37,J$37,$G384=$G$107,J$107,$G384=$G$110,J$110,$G384=$G$140,J$140,$G384=$G$142,J$142,$G384=$G$408,J$408)</f>
        <v>18</v>
      </c>
      <c r="K384" s="13" t="str" cm="1">
        <f t="array" ref="K384">_xlfn.IFS($G384=$G$5,K$5,$G384=$G$7,K$7,$G384=$G$10,K$10,$G384=$G$13,K$13,$G384=$G$14,K$14,$G384=$G$16,K$16,$G384=$G$17,K$17,$G384=$G$19,K$19,$G384=$G$20,K$20,$G384=$G$22,K$22,$G384=$G$23,K$23,$G384=$G$26,K$26,$G384=$G$29,K$29,$G384=$G$31,K$31,$G384=$G$34,K$34,$G384=$G$37,K$37,$G384=$G$107,K$107,$G384=$G$110,K$110,$G384=$G$140,K$140,$G384=$G$142,K$142,$G384=$G$408,K$408)</f>
        <v>BG sentinel + BG lure7</v>
      </c>
      <c r="O384" s="13" t="str">
        <f t="shared" si="39"/>
        <v>A_SP_BCN_5_220913</v>
      </c>
      <c r="P384" s="27">
        <v>44817</v>
      </c>
      <c r="Q384" s="29">
        <v>0.80555555555555547</v>
      </c>
      <c r="R384" s="33"/>
      <c r="S384" s="31">
        <v>44825</v>
      </c>
      <c r="T384" s="29">
        <v>0.78819444444444453</v>
      </c>
      <c r="V384" s="13" t="s">
        <v>86</v>
      </c>
      <c r="X384" s="13">
        <f t="shared" si="32"/>
        <v>8</v>
      </c>
      <c r="Z384" s="13" t="s">
        <v>164</v>
      </c>
      <c r="AA384" s="13">
        <f t="shared" si="38"/>
        <v>1</v>
      </c>
      <c r="AB384" s="13" t="str">
        <f t="shared" si="33"/>
        <v>Adult</v>
      </c>
      <c r="AC384" s="13">
        <v>1</v>
      </c>
      <c r="AD384" s="13">
        <v>0</v>
      </c>
      <c r="AE384" s="13" t="str">
        <f t="shared" si="34"/>
        <v>Morphological</v>
      </c>
      <c r="AF384" s="2">
        <v>4</v>
      </c>
    </row>
    <row r="385" spans="1:32" x14ac:dyDescent="0.25">
      <c r="A385" s="13">
        <v>381</v>
      </c>
      <c r="B385" s="23" t="s">
        <v>56</v>
      </c>
      <c r="C385" s="23" t="s">
        <v>57</v>
      </c>
      <c r="D385" s="23" t="s">
        <v>58</v>
      </c>
      <c r="E385" s="23" t="s">
        <v>58</v>
      </c>
      <c r="F385" s="35" cm="1">
        <f t="array" ref="F385">_xlfn.IFS($G385=$G$5,F$5,$G385=$G$7,F$7,$G385=$G$10,F$10,$G385=$G$13,F$13,$G385=$G$14,F$14,$G385=$G$16,F$16,$G385=$G$17,F$17,$G385=$G$19,F$19,$G385=$G$20,F$20,$G385=$G$22,F$22,$G385=$G$23,F$23,$G385=$G$26,F$26,$G385=$G$29,F$29,$G385=$G$31,F$31,$G385=$G$34,F$34,$G385=$G$37,F$37,$G385=$G$107,F$107,$G385=$G$110,F$110,$G385=$G$140,F$140,$G385=$G$142,F$142,$G385=$G$408,F$408)</f>
        <v>8002</v>
      </c>
      <c r="G385" s="13" t="s">
        <v>65</v>
      </c>
      <c r="H385" s="51" cm="1">
        <f t="array" ref="H385">_xlfn.IFS($G385=$G$5,H$5,$G385=$G$7,H$7,$G385=$G$10,H$10,$G385=$G$13,H$13,$G385=$G$14,H$14,$G385=$G$16,H$16,$G385=$G$17,H$17,$G385=$G$19,H$19,$G385=$G$20,H$20,$G385=$G$22,H$22,$G385=$G$23,H$23,$G385=$G$26,H$26,$G385=$G$29,H$29,$G385=$G$31,H$31,$G385=$G$34,H$34,$G385=$G$37,H$37,$G385=$G$107,H$107,$G385=$G$110,H$110,$G385=$G$140,H$140,$G385=$G$142,H$142,$G385=$G$408,H$408)</f>
        <v>41.382339999999999</v>
      </c>
      <c r="I385" s="51" cm="1">
        <f t="array" ref="I385">_xlfn.IFS($G385=$G$5,I$5,$G385=$G$7,I$7,$G385=$G$10,I$10,$G385=$G$13,I$13,$G385=$G$14,I$14,$G385=$G$16,I$16,$G385=$G$17,I$17,$G385=$G$19,I$19,$G385=$G$20,I$20,$G385=$G$22,I$22,$G385=$G$23,I$23,$G385=$G$26,I$26,$G385=$G$29,I$29,$G385=$G$31,I$31,$G385=$G$34,I$34,$G385=$G$37,I$37,$G385=$G$107,I$107,$G385=$G$110,I$110,$G385=$G$140,I$140,$G385=$G$142,I$142,$G385=$G$408,I$408)</f>
        <v>2.1714790000000002</v>
      </c>
      <c r="J385" s="51" cm="1">
        <f t="array" ref="J385">_xlfn.IFS($G385=$G$5,J$5,$G385=$G$7,J$7,$G385=$G$10,J$10,$G385=$G$13,J$13,$G385=$G$14,J$14,$G385=$G$16,J$16,$G385=$G$17,J$17,$G385=$G$19,J$19,$G385=$G$20,J$20,$G385=$G$22,J$22,$G385=$G$23,J$23,$G385=$G$26,J$26,$G385=$G$29,J$29,$G385=$G$31,J$31,$G385=$G$34,J$34,$G385=$G$37,J$37,$G385=$G$107,J$107,$G385=$G$110,J$110,$G385=$G$140,J$140,$G385=$G$142,J$142,$G385=$G$408,J$408)</f>
        <v>19</v>
      </c>
      <c r="K385" s="13" t="str" cm="1">
        <f t="array" ref="K385">_xlfn.IFS($G385=$G$5,K$5,$G385=$G$7,K$7,$G385=$G$10,K$10,$G385=$G$13,K$13,$G385=$G$14,K$14,$G385=$G$16,K$16,$G385=$G$17,K$17,$G385=$G$19,K$19,$G385=$G$20,K$20,$G385=$G$22,K$22,$G385=$G$23,K$23,$G385=$G$26,K$26,$G385=$G$29,K$29,$G385=$G$31,K$31,$G385=$G$34,K$34,$G385=$G$37,K$37,$G385=$G$107,K$107,$G385=$G$110,K$110,$G385=$G$140,K$140,$G385=$G$142,K$142,$G385=$G$408,K$408)</f>
        <v>BG sentinel + BG lure7</v>
      </c>
      <c r="O385" s="13" t="str">
        <f t="shared" si="39"/>
        <v>A_SP_BCN_6_220913</v>
      </c>
      <c r="P385" s="27">
        <v>44817</v>
      </c>
      <c r="Q385" s="29">
        <v>0.84375</v>
      </c>
      <c r="R385" s="33"/>
      <c r="S385" s="31">
        <v>44825</v>
      </c>
      <c r="T385" s="29">
        <v>0.82986111111111116</v>
      </c>
      <c r="V385" s="13" t="s">
        <v>86</v>
      </c>
      <c r="X385" s="13">
        <f t="shared" si="32"/>
        <v>8</v>
      </c>
      <c r="Z385" s="13" t="s">
        <v>60</v>
      </c>
      <c r="AA385" s="13">
        <f t="shared" si="38"/>
        <v>1</v>
      </c>
      <c r="AB385" s="13" t="str">
        <f t="shared" si="33"/>
        <v>Adult</v>
      </c>
      <c r="AC385" s="13">
        <v>1</v>
      </c>
      <c r="AD385" s="13">
        <v>0</v>
      </c>
      <c r="AE385" s="13" t="str">
        <f t="shared" si="34"/>
        <v>Morphological</v>
      </c>
      <c r="AF385" s="2">
        <v>4</v>
      </c>
    </row>
    <row r="386" spans="1:32" x14ac:dyDescent="0.25">
      <c r="A386" s="13">
        <v>382</v>
      </c>
      <c r="B386" s="23" t="s">
        <v>56</v>
      </c>
      <c r="C386" s="23" t="s">
        <v>57</v>
      </c>
      <c r="D386" s="23" t="s">
        <v>58</v>
      </c>
      <c r="E386" s="23" t="s">
        <v>58</v>
      </c>
      <c r="F386" s="35" cm="1">
        <f t="array" ref="F386">_xlfn.IFS($G386=$G$5,F$5,$G386=$G$7,F$7,$G386=$G$10,F$10,$G386=$G$13,F$13,$G386=$G$14,F$14,$G386=$G$16,F$16,$G386=$G$17,F$17,$G386=$G$19,F$19,$G386=$G$20,F$20,$G386=$G$22,F$22,$G386=$G$23,F$23,$G386=$G$26,F$26,$G386=$G$29,F$29,$G386=$G$31,F$31,$G386=$G$34,F$34,$G386=$G$37,F$37,$G386=$G$107,F$107,$G386=$G$110,F$110,$G386=$G$140,F$140,$G386=$G$142,F$142,$G386=$G$408,F$408)</f>
        <v>8040</v>
      </c>
      <c r="G386" s="13" t="s">
        <v>68</v>
      </c>
      <c r="H386" s="51" cm="1">
        <f t="array" ref="H386">_xlfn.IFS($G386=$G$5,H$5,$G386=$G$7,H$7,$G386=$G$10,H$10,$G386=$G$13,H$13,$G386=$G$14,H$14,$G386=$G$16,H$16,$G386=$G$17,H$17,$G386=$G$19,H$19,$G386=$G$20,H$20,$G386=$G$22,H$22,$G386=$G$23,H$23,$G386=$G$26,H$26,$G386=$G$29,H$29,$G386=$G$31,H$31,$G386=$G$34,H$34,$G386=$G$37,H$37,$G386=$G$107,H$107,$G386=$G$110,H$110,$G386=$G$140,H$140,$G386=$G$142,H$142,$G386=$G$408,H$408)</f>
        <v>41.343685000000001</v>
      </c>
      <c r="I386" s="51" cm="1">
        <f t="array" ref="I386">_xlfn.IFS($G386=$G$5,I$5,$G386=$G$7,I$7,$G386=$G$10,I$10,$G386=$G$13,I$13,$G386=$G$14,I$14,$G386=$G$16,I$16,$G386=$G$17,I$17,$G386=$G$19,I$19,$G386=$G$20,I$20,$G386=$G$22,I$22,$G386=$G$23,I$23,$G386=$G$26,I$26,$G386=$G$29,I$29,$G386=$G$31,I$31,$G386=$G$34,I$34,$G386=$G$37,I$37,$G386=$G$107,I$107,$G386=$G$110,I$110,$G386=$G$140,I$140,$G386=$G$142,I$142,$G386=$G$408,I$408)</f>
        <v>2.1441490000000001</v>
      </c>
      <c r="J386" s="51" cm="1">
        <f t="array" ref="J386">_xlfn.IFS($G386=$G$5,J$5,$G386=$G$7,J$7,$G386=$G$10,J$10,$G386=$G$13,J$13,$G386=$G$14,J$14,$G386=$G$16,J$16,$G386=$G$17,J$17,$G386=$G$19,J$19,$G386=$G$20,J$20,$G386=$G$22,J$22,$G386=$G$23,J$23,$G386=$G$26,J$26,$G386=$G$29,J$29,$G386=$G$31,J$31,$G386=$G$34,J$34,$G386=$G$37,J$37,$G386=$G$107,J$107,$G386=$G$110,J$110,$G386=$G$140,J$140,$G386=$G$142,J$142,$G386=$G$408,J$408)</f>
        <v>4</v>
      </c>
      <c r="K386" s="13" t="str" cm="1">
        <f t="array" ref="K386">_xlfn.IFS($G386=$G$5,K$5,$G386=$G$7,K$7,$G386=$G$10,K$10,$G386=$G$13,K$13,$G386=$G$14,K$14,$G386=$G$16,K$16,$G386=$G$17,K$17,$G386=$G$19,K$19,$G386=$G$20,K$20,$G386=$G$22,K$22,$G386=$G$23,K$23,$G386=$G$26,K$26,$G386=$G$29,K$29,$G386=$G$31,K$31,$G386=$G$34,K$34,$G386=$G$37,K$37,$G386=$G$107,K$107,$G386=$G$110,K$110,$G386=$G$140,K$140,$G386=$G$142,K$142,$G386=$G$408,K$408)</f>
        <v>BG sentinel + BG lure7</v>
      </c>
      <c r="O386" s="13" t="str">
        <f t="shared" si="39"/>
        <v>A_SP_BCN_10_220913</v>
      </c>
      <c r="P386" s="27">
        <v>44817</v>
      </c>
      <c r="Q386" s="29">
        <v>0.57291666666666663</v>
      </c>
      <c r="R386" s="33"/>
      <c r="S386" s="31">
        <v>44825</v>
      </c>
      <c r="T386" s="29">
        <v>0.50694444444444442</v>
      </c>
      <c r="V386" s="13" t="s">
        <v>86</v>
      </c>
      <c r="X386" s="13">
        <f t="shared" si="32"/>
        <v>8</v>
      </c>
      <c r="Z386" s="13" t="s">
        <v>60</v>
      </c>
      <c r="AA386" s="13">
        <f t="shared" si="38"/>
        <v>43</v>
      </c>
      <c r="AB386" s="13" t="str">
        <f t="shared" si="33"/>
        <v>Adult</v>
      </c>
      <c r="AC386" s="13">
        <v>21</v>
      </c>
      <c r="AD386" s="13">
        <v>22</v>
      </c>
      <c r="AE386" s="13" t="str">
        <f t="shared" si="34"/>
        <v>Morphological</v>
      </c>
      <c r="AF386" s="2">
        <v>4</v>
      </c>
    </row>
    <row r="387" spans="1:32" x14ac:dyDescent="0.25">
      <c r="A387" s="13">
        <v>383</v>
      </c>
      <c r="B387" s="23" t="s">
        <v>56</v>
      </c>
      <c r="C387" s="23" t="s">
        <v>57</v>
      </c>
      <c r="D387" s="23" t="s">
        <v>58</v>
      </c>
      <c r="E387" s="23" t="s">
        <v>58</v>
      </c>
      <c r="F387" s="35" cm="1">
        <f t="array" ref="F387">_xlfn.IFS($G387=$G$5,F$5,$G387=$G$7,F$7,$G387=$G$10,F$10,$G387=$G$13,F$13,$G387=$G$14,F$14,$G387=$G$16,F$16,$G387=$G$17,F$17,$G387=$G$19,F$19,$G387=$G$20,F$20,$G387=$G$22,F$22,$G387=$G$23,F$23,$G387=$G$26,F$26,$G387=$G$29,F$29,$G387=$G$31,F$31,$G387=$G$34,F$34,$G387=$G$37,F$37,$G387=$G$107,F$107,$G387=$G$110,F$110,$G387=$G$140,F$140,$G387=$G$142,F$142,$G387=$G$408,F$408)</f>
        <v>8040</v>
      </c>
      <c r="G387" s="13" t="s">
        <v>68</v>
      </c>
      <c r="H387" s="51" cm="1">
        <f t="array" ref="H387">_xlfn.IFS($G387=$G$5,H$5,$G387=$G$7,H$7,$G387=$G$10,H$10,$G387=$G$13,H$13,$G387=$G$14,H$14,$G387=$G$16,H$16,$G387=$G$17,H$17,$G387=$G$19,H$19,$G387=$G$20,H$20,$G387=$G$22,H$22,$G387=$G$23,H$23,$G387=$G$26,H$26,$G387=$G$29,H$29,$G387=$G$31,H$31,$G387=$G$34,H$34,$G387=$G$37,H$37,$G387=$G$107,H$107,$G387=$G$110,H$110,$G387=$G$140,H$140,$G387=$G$142,H$142,$G387=$G$408,H$408)</f>
        <v>41.343685000000001</v>
      </c>
      <c r="I387" s="51" cm="1">
        <f t="array" ref="I387">_xlfn.IFS($G387=$G$5,I$5,$G387=$G$7,I$7,$G387=$G$10,I$10,$G387=$G$13,I$13,$G387=$G$14,I$14,$G387=$G$16,I$16,$G387=$G$17,I$17,$G387=$G$19,I$19,$G387=$G$20,I$20,$G387=$G$22,I$22,$G387=$G$23,I$23,$G387=$G$26,I$26,$G387=$G$29,I$29,$G387=$G$31,I$31,$G387=$G$34,I$34,$G387=$G$37,I$37,$G387=$G$107,I$107,$G387=$G$110,I$110,$G387=$G$140,I$140,$G387=$G$142,I$142,$G387=$G$408,I$408)</f>
        <v>2.1441490000000001</v>
      </c>
      <c r="J387" s="51" cm="1">
        <f t="array" ref="J387">_xlfn.IFS($G387=$G$5,J$5,$G387=$G$7,J$7,$G387=$G$10,J$10,$G387=$G$13,J$13,$G387=$G$14,J$14,$G387=$G$16,J$16,$G387=$G$17,J$17,$G387=$G$19,J$19,$G387=$G$20,J$20,$G387=$G$22,J$22,$G387=$G$23,J$23,$G387=$G$26,J$26,$G387=$G$29,J$29,$G387=$G$31,J$31,$G387=$G$34,J$34,$G387=$G$37,J$37,$G387=$G$107,J$107,$G387=$G$110,J$110,$G387=$G$140,J$140,$G387=$G$142,J$142,$G387=$G$408,J$408)</f>
        <v>4</v>
      </c>
      <c r="K387" s="13" t="str" cm="1">
        <f t="array" ref="K387">_xlfn.IFS($G387=$G$5,K$5,$G387=$G$7,K$7,$G387=$G$10,K$10,$G387=$G$13,K$13,$G387=$G$14,K$14,$G387=$G$16,K$16,$G387=$G$17,K$17,$G387=$G$19,K$19,$G387=$G$20,K$20,$G387=$G$22,K$22,$G387=$G$23,K$23,$G387=$G$26,K$26,$G387=$G$29,K$29,$G387=$G$31,K$31,$G387=$G$34,K$34,$G387=$G$37,K$37,$G387=$G$107,K$107,$G387=$G$110,K$110,$G387=$G$140,K$140,$G387=$G$142,K$142,$G387=$G$408,K$408)</f>
        <v>BG sentinel + BG lure7</v>
      </c>
      <c r="O387" s="13" t="str">
        <f t="shared" si="39"/>
        <v>A_SP_BCN_10_220913</v>
      </c>
      <c r="P387" s="27">
        <v>44817</v>
      </c>
      <c r="Q387" s="29">
        <v>0.57291666666666663</v>
      </c>
      <c r="R387" s="33"/>
      <c r="S387" s="31">
        <v>44825</v>
      </c>
      <c r="T387" s="29">
        <v>0.50694444444444442</v>
      </c>
      <c r="V387" s="13" t="s">
        <v>86</v>
      </c>
      <c r="X387" s="13">
        <f t="shared" si="32"/>
        <v>8</v>
      </c>
      <c r="Z387" s="13" t="s">
        <v>164</v>
      </c>
      <c r="AA387" s="13">
        <f t="shared" si="38"/>
        <v>10</v>
      </c>
      <c r="AB387" s="13" t="str">
        <f t="shared" si="33"/>
        <v>Adult</v>
      </c>
      <c r="AC387" s="13">
        <v>10</v>
      </c>
      <c r="AD387" s="13">
        <v>0</v>
      </c>
      <c r="AE387" s="13" t="str">
        <f t="shared" si="34"/>
        <v>Morphological</v>
      </c>
      <c r="AF387" s="2">
        <v>4</v>
      </c>
    </row>
    <row r="388" spans="1:32" x14ac:dyDescent="0.25">
      <c r="A388" s="13">
        <v>384</v>
      </c>
      <c r="B388" s="23" t="s">
        <v>56</v>
      </c>
      <c r="C388" s="23" t="s">
        <v>57</v>
      </c>
      <c r="D388" s="23" t="s">
        <v>58</v>
      </c>
      <c r="E388" s="23" t="s">
        <v>58</v>
      </c>
      <c r="F388" s="35" cm="1">
        <f t="array" ref="F388">_xlfn.IFS($G388=$G$5,F$5,$G388=$G$7,F$7,$G388=$G$10,F$10,$G388=$G$13,F$13,$G388=$G$14,F$14,$G388=$G$16,F$16,$G388=$G$17,F$17,$G388=$G$19,F$19,$G388=$G$20,F$20,$G388=$G$22,F$22,$G388=$G$23,F$23,$G388=$G$26,F$26,$G388=$G$29,F$29,$G388=$G$31,F$31,$G388=$G$34,F$34,$G388=$G$37,F$37,$G388=$G$107,F$107,$G388=$G$110,F$110,$G388=$G$140,F$140,$G388=$G$142,F$142,$G388=$G$408,F$408)</f>
        <v>8038</v>
      </c>
      <c r="G388" s="13" t="s">
        <v>69</v>
      </c>
      <c r="H388" s="51" cm="1">
        <f t="array" ref="H388">_xlfn.IFS($G388=$G$5,H$5,$G388=$G$7,H$7,$G388=$G$10,H$10,$G388=$G$13,H$13,$G388=$G$14,H$14,$G388=$G$16,H$16,$G388=$G$17,H$17,$G388=$G$19,H$19,$G388=$G$20,H$20,$G388=$G$22,H$22,$G388=$G$23,H$23,$G388=$G$26,H$26,$G388=$G$29,H$29,$G388=$G$31,H$31,$G388=$G$34,H$34,$G388=$G$37,H$37,$G388=$G$107,H$107,$G388=$G$110,H$110,$G388=$G$140,H$140,$G388=$G$142,H$142,$G388=$G$408,H$408)</f>
        <v>41.363377999999997</v>
      </c>
      <c r="I388" s="51" cm="1">
        <f t="array" ref="I388">_xlfn.IFS($G388=$G$5,I$5,$G388=$G$7,I$7,$G388=$G$10,I$10,$G388=$G$13,I$13,$G388=$G$14,I$14,$G388=$G$16,I$16,$G388=$G$17,I$17,$G388=$G$19,I$19,$G388=$G$20,I$20,$G388=$G$22,I$22,$G388=$G$23,I$23,$G388=$G$26,I$26,$G388=$G$29,I$29,$G388=$G$31,I$31,$G388=$G$34,I$34,$G388=$G$37,I$37,$G388=$G$107,I$107,$G388=$G$110,I$110,$G388=$G$140,I$140,$G388=$G$142,I$142,$G388=$G$408,I$408)</f>
        <v>2.164879</v>
      </c>
      <c r="J388" s="51" cm="1">
        <f t="array" ref="J388">_xlfn.IFS($G388=$G$5,J$5,$G388=$G$7,J$7,$G388=$G$10,J$10,$G388=$G$13,J$13,$G388=$G$14,J$14,$G388=$G$16,J$16,$G388=$G$17,J$17,$G388=$G$19,J$19,$G388=$G$20,J$20,$G388=$G$22,J$22,$G388=$G$23,J$23,$G388=$G$26,J$26,$G388=$G$29,J$29,$G388=$G$31,J$31,$G388=$G$34,J$34,$G388=$G$37,J$37,$G388=$G$107,J$107,$G388=$G$110,J$110,$G388=$G$140,J$140,$G388=$G$142,J$142,$G388=$G$408,J$408)</f>
        <v>185</v>
      </c>
      <c r="K388" s="13" t="str" cm="1">
        <f t="array" ref="K388">_xlfn.IFS($G388=$G$5,K$5,$G388=$G$7,K$7,$G388=$G$10,K$10,$G388=$G$13,K$13,$G388=$G$14,K$14,$G388=$G$16,K$16,$G388=$G$17,K$17,$G388=$G$19,K$19,$G388=$G$20,K$20,$G388=$G$22,K$22,$G388=$G$23,K$23,$G388=$G$26,K$26,$G388=$G$29,K$29,$G388=$G$31,K$31,$G388=$G$34,K$34,$G388=$G$37,K$37,$G388=$G$107,K$107,$G388=$G$110,K$110,$G388=$G$140,K$140,$G388=$G$142,K$142,$G388=$G$408,K$408)</f>
        <v>BG sentinel + BG lure7</v>
      </c>
      <c r="O388" s="13" t="str">
        <f t="shared" si="39"/>
        <v>A_SP_BCN_12_220913</v>
      </c>
      <c r="P388" s="27">
        <v>44817</v>
      </c>
      <c r="Q388" s="29">
        <v>0.61458333333333337</v>
      </c>
      <c r="R388" s="33"/>
      <c r="S388" s="31">
        <v>44825</v>
      </c>
      <c r="T388" s="29">
        <v>0.56597222222222221</v>
      </c>
      <c r="V388" s="13" t="s">
        <v>86</v>
      </c>
      <c r="W388" s="15" t="s">
        <v>106</v>
      </c>
      <c r="X388" s="13">
        <f t="shared" si="32"/>
        <v>8</v>
      </c>
      <c r="Z388" s="13" t="s">
        <v>60</v>
      </c>
      <c r="AA388" s="13">
        <f t="shared" si="38"/>
        <v>28</v>
      </c>
      <c r="AB388" s="13" t="str">
        <f t="shared" si="33"/>
        <v>Adult</v>
      </c>
      <c r="AC388" s="13">
        <v>21</v>
      </c>
      <c r="AD388" s="13">
        <v>7</v>
      </c>
      <c r="AE388" s="13" t="str">
        <f t="shared" si="34"/>
        <v>Morphological</v>
      </c>
      <c r="AF388" s="2">
        <v>3</v>
      </c>
    </row>
    <row r="389" spans="1:32" x14ac:dyDescent="0.25">
      <c r="A389" s="13">
        <v>385</v>
      </c>
      <c r="B389" s="23" t="s">
        <v>56</v>
      </c>
      <c r="C389" s="23" t="s">
        <v>57</v>
      </c>
      <c r="D389" s="23" t="s">
        <v>58</v>
      </c>
      <c r="E389" s="23" t="s">
        <v>58</v>
      </c>
      <c r="F389" s="35" cm="1">
        <f t="array" ref="F389">_xlfn.IFS($G389=$G$5,F$5,$G389=$G$7,F$7,$G389=$G$10,F$10,$G389=$G$13,F$13,$G389=$G$14,F$14,$G389=$G$16,F$16,$G389=$G$17,F$17,$G389=$G$19,F$19,$G389=$G$20,F$20,$G389=$G$22,F$22,$G389=$G$23,F$23,$G389=$G$26,F$26,$G389=$G$29,F$29,$G389=$G$31,F$31,$G389=$G$34,F$34,$G389=$G$37,F$37,$G389=$G$107,F$107,$G389=$G$110,F$110,$G389=$G$140,F$140,$G389=$G$142,F$142,$G389=$G$408,F$408)</f>
        <v>8038</v>
      </c>
      <c r="G389" s="13" t="s">
        <v>69</v>
      </c>
      <c r="H389" s="51" cm="1">
        <f t="array" ref="H389">_xlfn.IFS($G389=$G$5,H$5,$G389=$G$7,H$7,$G389=$G$10,H$10,$G389=$G$13,H$13,$G389=$G$14,H$14,$G389=$G$16,H$16,$G389=$G$17,H$17,$G389=$G$19,H$19,$G389=$G$20,H$20,$G389=$G$22,H$22,$G389=$G$23,H$23,$G389=$G$26,H$26,$G389=$G$29,H$29,$G389=$G$31,H$31,$G389=$G$34,H$34,$G389=$G$37,H$37,$G389=$G$107,H$107,$G389=$G$110,H$110,$G389=$G$140,H$140,$G389=$G$142,H$142,$G389=$G$408,H$408)</f>
        <v>41.363377999999997</v>
      </c>
      <c r="I389" s="51" cm="1">
        <f t="array" ref="I389">_xlfn.IFS($G389=$G$5,I$5,$G389=$G$7,I$7,$G389=$G$10,I$10,$G389=$G$13,I$13,$G389=$G$14,I$14,$G389=$G$16,I$16,$G389=$G$17,I$17,$G389=$G$19,I$19,$G389=$G$20,I$20,$G389=$G$22,I$22,$G389=$G$23,I$23,$G389=$G$26,I$26,$G389=$G$29,I$29,$G389=$G$31,I$31,$G389=$G$34,I$34,$G389=$G$37,I$37,$G389=$G$107,I$107,$G389=$G$110,I$110,$G389=$G$140,I$140,$G389=$G$142,I$142,$G389=$G$408,I$408)</f>
        <v>2.164879</v>
      </c>
      <c r="J389" s="51" cm="1">
        <f t="array" ref="J389">_xlfn.IFS($G389=$G$5,J$5,$G389=$G$7,J$7,$G389=$G$10,J$10,$G389=$G$13,J$13,$G389=$G$14,J$14,$G389=$G$16,J$16,$G389=$G$17,J$17,$G389=$G$19,J$19,$G389=$G$20,J$20,$G389=$G$22,J$22,$G389=$G$23,J$23,$G389=$G$26,J$26,$G389=$G$29,J$29,$G389=$G$31,J$31,$G389=$G$34,J$34,$G389=$G$37,J$37,$G389=$G$107,J$107,$G389=$G$110,J$110,$G389=$G$140,J$140,$G389=$G$142,J$142,$G389=$G$408,J$408)</f>
        <v>185</v>
      </c>
      <c r="K389" s="13" t="str" cm="1">
        <f t="array" ref="K389">_xlfn.IFS($G389=$G$5,K$5,$G389=$G$7,K$7,$G389=$G$10,K$10,$G389=$G$13,K$13,$G389=$G$14,K$14,$G389=$G$16,K$16,$G389=$G$17,K$17,$G389=$G$19,K$19,$G389=$G$20,K$20,$G389=$G$22,K$22,$G389=$G$23,K$23,$G389=$G$26,K$26,$G389=$G$29,K$29,$G389=$G$31,K$31,$G389=$G$34,K$34,$G389=$G$37,K$37,$G389=$G$107,K$107,$G389=$G$110,K$110,$G389=$G$140,K$140,$G389=$G$142,K$142,$G389=$G$408,K$408)</f>
        <v>BG sentinel + BG lure7</v>
      </c>
      <c r="O389" s="13" t="str">
        <f t="shared" si="39"/>
        <v>A_SP_BCN_12_220913</v>
      </c>
      <c r="P389" s="27">
        <v>44817</v>
      </c>
      <c r="Q389" s="29">
        <v>0.61458333333333337</v>
      </c>
      <c r="R389" s="33"/>
      <c r="S389" s="31">
        <v>44825</v>
      </c>
      <c r="T389" s="29">
        <v>0.56597222222222221</v>
      </c>
      <c r="V389" s="13" t="s">
        <v>86</v>
      </c>
      <c r="W389" s="15" t="s">
        <v>106</v>
      </c>
      <c r="X389" s="13">
        <f t="shared" si="32"/>
        <v>8</v>
      </c>
      <c r="Z389" s="13" t="s">
        <v>164</v>
      </c>
      <c r="AA389" s="13">
        <f t="shared" si="38"/>
        <v>36</v>
      </c>
      <c r="AB389" s="13" t="str">
        <f t="shared" si="33"/>
        <v>Adult</v>
      </c>
      <c r="AC389" s="13">
        <v>33</v>
      </c>
      <c r="AD389" s="13">
        <v>3</v>
      </c>
      <c r="AE389" s="13" t="str">
        <f t="shared" si="34"/>
        <v>Morphological</v>
      </c>
      <c r="AF389" s="2">
        <v>3</v>
      </c>
    </row>
    <row r="390" spans="1:32" x14ac:dyDescent="0.25">
      <c r="A390" s="13">
        <v>386</v>
      </c>
      <c r="B390" s="23" t="s">
        <v>56</v>
      </c>
      <c r="C390" s="23" t="s">
        <v>57</v>
      </c>
      <c r="D390" s="23" t="s">
        <v>58</v>
      </c>
      <c r="E390" s="23" t="s">
        <v>58</v>
      </c>
      <c r="F390" s="35" cm="1">
        <f t="array" ref="F390">_xlfn.IFS($G390=$G$5,F$5,$G390=$G$7,F$7,$G390=$G$10,F$10,$G390=$G$13,F$13,$G390=$G$14,F$14,$G390=$G$16,F$16,$G390=$G$17,F$17,$G390=$G$19,F$19,$G390=$G$20,F$20,$G390=$G$22,F$22,$G390=$G$23,F$23,$G390=$G$26,F$26,$G390=$G$29,F$29,$G390=$G$31,F$31,$G390=$G$34,F$34,$G390=$G$37,F$37,$G390=$G$107,F$107,$G390=$G$110,F$110,$G390=$G$140,F$140,$G390=$G$142,F$142,$G390=$G$408,F$408)</f>
        <v>8038</v>
      </c>
      <c r="G390" s="13" t="s">
        <v>69</v>
      </c>
      <c r="H390" s="51" cm="1">
        <f t="array" ref="H390">_xlfn.IFS($G390=$G$5,H$5,$G390=$G$7,H$7,$G390=$G$10,H$10,$G390=$G$13,H$13,$G390=$G$14,H$14,$G390=$G$16,H$16,$G390=$G$17,H$17,$G390=$G$19,H$19,$G390=$G$20,H$20,$G390=$G$22,H$22,$G390=$G$23,H$23,$G390=$G$26,H$26,$G390=$G$29,H$29,$G390=$G$31,H$31,$G390=$G$34,H$34,$G390=$G$37,H$37,$G390=$G$107,H$107,$G390=$G$110,H$110,$G390=$G$140,H$140,$G390=$G$142,H$142,$G390=$G$408,H$408)</f>
        <v>41.363377999999997</v>
      </c>
      <c r="I390" s="51" cm="1">
        <f t="array" ref="I390">_xlfn.IFS($G390=$G$5,I$5,$G390=$G$7,I$7,$G390=$G$10,I$10,$G390=$G$13,I$13,$G390=$G$14,I$14,$G390=$G$16,I$16,$G390=$G$17,I$17,$G390=$G$19,I$19,$G390=$G$20,I$20,$G390=$G$22,I$22,$G390=$G$23,I$23,$G390=$G$26,I$26,$G390=$G$29,I$29,$G390=$G$31,I$31,$G390=$G$34,I$34,$G390=$G$37,I$37,$G390=$G$107,I$107,$G390=$G$110,I$110,$G390=$G$140,I$140,$G390=$G$142,I$142,$G390=$G$408,I$408)</f>
        <v>2.164879</v>
      </c>
      <c r="J390" s="51" cm="1">
        <f t="array" ref="J390">_xlfn.IFS($G390=$G$5,J$5,$G390=$G$7,J$7,$G390=$G$10,J$10,$G390=$G$13,J$13,$G390=$G$14,J$14,$G390=$G$16,J$16,$G390=$G$17,J$17,$G390=$G$19,J$19,$G390=$G$20,J$20,$G390=$G$22,J$22,$G390=$G$23,J$23,$G390=$G$26,J$26,$G390=$G$29,J$29,$G390=$G$31,J$31,$G390=$G$34,J$34,$G390=$G$37,J$37,$G390=$G$107,J$107,$G390=$G$110,J$110,$G390=$G$140,J$140,$G390=$G$142,J$142,$G390=$G$408,J$408)</f>
        <v>185</v>
      </c>
      <c r="K390" s="13" t="str" cm="1">
        <f t="array" ref="K390">_xlfn.IFS($G390=$G$5,K$5,$G390=$G$7,K$7,$G390=$G$10,K$10,$G390=$G$13,K$13,$G390=$G$14,K$14,$G390=$G$16,K$16,$G390=$G$17,K$17,$G390=$G$19,K$19,$G390=$G$20,K$20,$G390=$G$22,K$22,$G390=$G$23,K$23,$G390=$G$26,K$26,$G390=$G$29,K$29,$G390=$G$31,K$31,$G390=$G$34,K$34,$G390=$G$37,K$37,$G390=$G$107,K$107,$G390=$G$110,K$110,$G390=$G$140,K$140,$G390=$G$142,K$142,$G390=$G$408,K$408)</f>
        <v>BG sentinel + BG lure7</v>
      </c>
      <c r="O390" s="13" t="str">
        <f t="shared" si="39"/>
        <v>A_SP_BCN_12_220913</v>
      </c>
      <c r="P390" s="27">
        <v>44817</v>
      </c>
      <c r="Q390" s="29">
        <v>0.61458333333333337</v>
      </c>
      <c r="R390" s="33"/>
      <c r="S390" s="31">
        <v>44825</v>
      </c>
      <c r="T390" s="29">
        <v>0.56597222222222221</v>
      </c>
      <c r="V390" s="13" t="s">
        <v>86</v>
      </c>
      <c r="W390" s="15" t="s">
        <v>106</v>
      </c>
      <c r="X390" s="13">
        <f t="shared" ref="X390:X453" si="40">S390-P390</f>
        <v>8</v>
      </c>
      <c r="Z390" s="32" t="s">
        <v>163</v>
      </c>
      <c r="AA390" s="13">
        <f t="shared" si="38"/>
        <v>2</v>
      </c>
      <c r="AB390" s="13" t="str">
        <f t="shared" ref="AB390:AB453" si="41">IF(AA390=0,"",IF(AA390="","",IF(AA390&gt;0,"Adult")))</f>
        <v>Adult</v>
      </c>
      <c r="AC390" s="13">
        <v>2</v>
      </c>
      <c r="AD390" s="13">
        <v>0</v>
      </c>
      <c r="AE390" s="13" t="str">
        <f t="shared" ref="AE390:AE453" si="42">IF(AA390=0,"",IF(AA390="","",IF(AA390&gt;0,"Morphological")))</f>
        <v>Morphological</v>
      </c>
      <c r="AF390" s="2">
        <v>3</v>
      </c>
    </row>
    <row r="391" spans="1:32" x14ac:dyDescent="0.25">
      <c r="A391" s="13">
        <v>387</v>
      </c>
      <c r="B391" s="23" t="s">
        <v>56</v>
      </c>
      <c r="C391" s="23" t="s">
        <v>57</v>
      </c>
      <c r="D391" s="23" t="s">
        <v>58</v>
      </c>
      <c r="E391" s="23" t="s">
        <v>58</v>
      </c>
      <c r="F391" s="35" cm="1">
        <f t="array" ref="F391">_xlfn.IFS($G391=$G$5,F$5,$G391=$G$7,F$7,$G391=$G$10,F$10,$G391=$G$13,F$13,$G391=$G$14,F$14,$G391=$G$16,F$16,$G391=$G$17,F$17,$G391=$G$19,F$19,$G391=$G$20,F$20,$G391=$G$22,F$22,$G391=$G$23,F$23,$G391=$G$26,F$26,$G391=$G$29,F$29,$G391=$G$31,F$31,$G391=$G$34,F$34,$G391=$G$37,F$37,$G391=$G$107,F$107,$G391=$G$110,F$110,$G391=$G$140,F$140,$G391=$G$142,F$142,$G391=$G$408,F$408)</f>
        <v>8035</v>
      </c>
      <c r="G391" s="13" t="s">
        <v>70</v>
      </c>
      <c r="H391" s="51" cm="1">
        <f t="array" ref="H391">_xlfn.IFS($G391=$G$5,H$5,$G391=$G$7,H$7,$G391=$G$10,H$10,$G391=$G$13,H$13,$G391=$G$14,H$14,$G391=$G$16,H$16,$G391=$G$17,H$17,$G391=$G$19,H$19,$G391=$G$20,H$20,$G391=$G$22,H$22,$G391=$G$23,H$23,$G391=$G$26,H$26,$G391=$G$29,H$29,$G391=$G$31,H$31,$G391=$G$34,H$34,$G391=$G$37,H$37,$G391=$G$107,H$107,$G391=$G$110,H$110,$G391=$G$140,H$140,$G391=$G$142,H$142,$G391=$G$408,H$408)</f>
        <v>41.434472</v>
      </c>
      <c r="I391" s="51" cm="1">
        <f t="array" ref="I391">_xlfn.IFS($G391=$G$5,I$5,$G391=$G$7,I$7,$G391=$G$10,I$10,$G391=$G$13,I$13,$G391=$G$14,I$14,$G391=$G$16,I$16,$G391=$G$17,I$17,$G391=$G$19,I$19,$G391=$G$20,I$20,$G391=$G$22,I$22,$G391=$G$23,I$23,$G391=$G$26,I$26,$G391=$G$29,I$29,$G391=$G$31,I$31,$G391=$G$34,I$34,$G391=$G$37,I$37,$G391=$G$107,I$107,$G391=$G$110,I$110,$G391=$G$140,I$140,$G391=$G$142,I$142,$G391=$G$408,I$408)</f>
        <v>2.1315789999999999</v>
      </c>
      <c r="J391" s="51" cm="1">
        <f t="array" ref="J391">_xlfn.IFS($G391=$G$5,J$5,$G391=$G$7,J$7,$G391=$G$10,J$10,$G391=$G$13,J$13,$G391=$G$14,J$14,$G391=$G$16,J$16,$G391=$G$17,J$17,$G391=$G$19,J$19,$G391=$G$20,J$20,$G391=$G$22,J$22,$G391=$G$23,J$23,$G391=$G$26,J$26,$G391=$G$29,J$29,$G391=$G$31,J$31,$G391=$G$34,J$34,$G391=$G$37,J$37,$G391=$G$107,J$107,$G391=$G$110,J$110,$G391=$G$140,J$140,$G391=$G$142,J$142,$G391=$G$408,J$408)</f>
        <v>365</v>
      </c>
      <c r="K391" s="13" t="str" cm="1">
        <f t="array" ref="K391">_xlfn.IFS($G391=$G$5,K$5,$G391=$G$7,K$7,$G391=$G$10,K$10,$G391=$G$13,K$13,$G391=$G$14,K$14,$G391=$G$16,K$16,$G391=$G$17,K$17,$G391=$G$19,K$19,$G391=$G$20,K$20,$G391=$G$22,K$22,$G391=$G$23,K$23,$G391=$G$26,K$26,$G391=$G$29,K$29,$G391=$G$31,K$31,$G391=$G$34,K$34,$G391=$G$37,K$37,$G391=$G$107,K$107,$G391=$G$110,K$110,$G391=$G$140,K$140,$G391=$G$142,K$142,$G391=$G$408,K$408)</f>
        <v>BG sentinel + BG lure7</v>
      </c>
      <c r="O391" s="13" t="str">
        <f t="shared" si="39"/>
        <v>A_SP_BCN_13_220913</v>
      </c>
      <c r="P391" s="27">
        <v>44817</v>
      </c>
      <c r="Q391" s="29">
        <v>0.68055555555555547</v>
      </c>
      <c r="R391" s="33"/>
      <c r="S391" s="31">
        <v>44825</v>
      </c>
      <c r="T391" s="29">
        <v>0.64930555555555558</v>
      </c>
      <c r="V391" s="13" t="s">
        <v>86</v>
      </c>
      <c r="X391" s="13">
        <f t="shared" si="40"/>
        <v>8</v>
      </c>
      <c r="Z391" s="13" t="s">
        <v>60</v>
      </c>
      <c r="AA391" s="13">
        <f t="shared" si="38"/>
        <v>3</v>
      </c>
      <c r="AB391" s="13" t="str">
        <f t="shared" si="41"/>
        <v>Adult</v>
      </c>
      <c r="AC391" s="13">
        <v>3</v>
      </c>
      <c r="AD391" s="13">
        <v>0</v>
      </c>
      <c r="AE391" s="13" t="str">
        <f t="shared" si="42"/>
        <v>Morphological</v>
      </c>
      <c r="AF391" s="2">
        <v>4</v>
      </c>
    </row>
    <row r="392" spans="1:32" x14ac:dyDescent="0.25">
      <c r="A392" s="13">
        <v>388</v>
      </c>
      <c r="B392" s="23" t="s">
        <v>56</v>
      </c>
      <c r="C392" s="23" t="s">
        <v>57</v>
      </c>
      <c r="D392" s="23" t="s">
        <v>58</v>
      </c>
      <c r="E392" s="23" t="s">
        <v>58</v>
      </c>
      <c r="F392" s="35" cm="1">
        <f t="array" ref="F392">_xlfn.IFS($G392=$G$5,F$5,$G392=$G$7,F$7,$G392=$G$10,F$10,$G392=$G$13,F$13,$G392=$G$14,F$14,$G392=$G$16,F$16,$G392=$G$17,F$17,$G392=$G$19,F$19,$G392=$G$20,F$20,$G392=$G$22,F$22,$G392=$G$23,F$23,$G392=$G$26,F$26,$G392=$G$29,F$29,$G392=$G$31,F$31,$G392=$G$34,F$34,$G392=$G$37,F$37,$G392=$G$107,F$107,$G392=$G$110,F$110,$G392=$G$140,F$140,$G392=$G$142,F$142,$G392=$G$408,F$408)</f>
        <v>8017</v>
      </c>
      <c r="G392" s="13" t="s">
        <v>71</v>
      </c>
      <c r="H392" s="51" cm="1">
        <f t="array" ref="H392">_xlfn.IFS($G392=$G$5,H$5,$G392=$G$7,H$7,$G392=$G$10,H$10,$G392=$G$13,H$13,$G392=$G$14,H$14,$G392=$G$16,H$16,$G392=$G$17,H$17,$G392=$G$19,H$19,$G392=$G$20,H$20,$G392=$G$22,H$22,$G392=$G$23,H$23,$G392=$G$26,H$26,$G392=$G$29,H$29,$G392=$G$31,H$31,$G392=$G$34,H$34,$G392=$G$37,H$37,$G392=$G$107,H$107,$G392=$G$110,H$110,$G392=$G$140,H$140,$G392=$G$142,H$142,$G392=$G$408,H$408)</f>
        <v>41.428533999999999</v>
      </c>
      <c r="I392" s="51" cm="1">
        <f t="array" ref="I392">_xlfn.IFS($G392=$G$5,I$5,$G392=$G$7,I$7,$G392=$G$10,I$10,$G392=$G$13,I$13,$G392=$G$14,I$14,$G392=$G$16,I$16,$G392=$G$17,I$17,$G392=$G$19,I$19,$G392=$G$20,I$20,$G392=$G$22,I$22,$G392=$G$23,I$23,$G392=$G$26,I$26,$G392=$G$29,I$29,$G392=$G$31,I$31,$G392=$G$34,I$34,$G392=$G$37,I$37,$G392=$G$107,I$107,$G392=$G$110,I$110,$G392=$G$140,I$140,$G392=$G$142,I$142,$G392=$G$408,I$408)</f>
        <v>2.090954</v>
      </c>
      <c r="J392" s="51" cm="1">
        <f t="array" ref="J392">_xlfn.IFS($G392=$G$5,J$5,$G392=$G$7,J$7,$G392=$G$10,J$10,$G392=$G$13,J$13,$G392=$G$14,J$14,$G392=$G$16,J$16,$G392=$G$17,J$17,$G392=$G$19,J$19,$G392=$G$20,J$20,$G392=$G$22,J$22,$G392=$G$23,J$23,$G392=$G$26,J$26,$G392=$G$29,J$29,$G392=$G$31,J$31,$G392=$G$34,J$34,$G392=$G$37,J$37,$G392=$G$107,J$107,$G392=$G$110,J$110,$G392=$G$140,J$140,$G392=$G$142,J$142,$G392=$G$408,J$408)</f>
        <v>215</v>
      </c>
      <c r="K392" s="13" t="str" cm="1">
        <f t="array" ref="K392">_xlfn.IFS($G392=$G$5,K$5,$G392=$G$7,K$7,$G392=$G$10,K$10,$G392=$G$13,K$13,$G392=$G$14,K$14,$G392=$G$16,K$16,$G392=$G$17,K$17,$G392=$G$19,K$19,$G392=$G$20,K$20,$G392=$G$22,K$22,$G392=$G$23,K$23,$G392=$G$26,K$26,$G392=$G$29,K$29,$G392=$G$31,K$31,$G392=$G$34,K$34,$G392=$G$37,K$37,$G392=$G$107,K$107,$G392=$G$110,K$110,$G392=$G$140,K$140,$G392=$G$142,K$142,$G392=$G$408,K$408)</f>
        <v>BG sentinel + BG lure7</v>
      </c>
      <c r="O392" s="13" t="str">
        <f t="shared" si="39"/>
        <v>A_SP_BCN_14_220913</v>
      </c>
      <c r="P392" s="27">
        <v>44817</v>
      </c>
      <c r="Q392" s="29">
        <v>0.72916666666666663</v>
      </c>
      <c r="R392" s="33"/>
      <c r="S392" s="31">
        <v>44825</v>
      </c>
      <c r="T392" s="29">
        <v>0.6875</v>
      </c>
      <c r="V392" s="13" t="s">
        <v>86</v>
      </c>
      <c r="W392" s="15" t="s">
        <v>189</v>
      </c>
      <c r="X392" s="13">
        <f t="shared" si="40"/>
        <v>8</v>
      </c>
      <c r="Z392" s="13" t="s">
        <v>60</v>
      </c>
      <c r="AA392" s="13">
        <f t="shared" si="38"/>
        <v>28</v>
      </c>
      <c r="AB392" s="13" t="str">
        <f t="shared" si="41"/>
        <v>Adult</v>
      </c>
      <c r="AC392" s="13">
        <v>21</v>
      </c>
      <c r="AD392" s="13">
        <v>7</v>
      </c>
      <c r="AE392" s="13" t="str">
        <f t="shared" si="42"/>
        <v>Morphological</v>
      </c>
      <c r="AF392" s="2">
        <v>4</v>
      </c>
    </row>
    <row r="393" spans="1:32" x14ac:dyDescent="0.25">
      <c r="A393" s="13">
        <v>389</v>
      </c>
      <c r="B393" s="23" t="s">
        <v>56</v>
      </c>
      <c r="C393" s="23" t="s">
        <v>57</v>
      </c>
      <c r="D393" s="23" t="s">
        <v>58</v>
      </c>
      <c r="E393" s="23" t="s">
        <v>58</v>
      </c>
      <c r="F393" s="35" cm="1">
        <f t="array" ref="F393">_xlfn.IFS($G393=$G$5,F$5,$G393=$G$7,F$7,$G393=$G$10,F$10,$G393=$G$13,F$13,$G393=$G$14,F$14,$G393=$G$16,F$16,$G393=$G$17,F$17,$G393=$G$19,F$19,$G393=$G$20,F$20,$G393=$G$22,F$22,$G393=$G$23,F$23,$G393=$G$26,F$26,$G393=$G$29,F$29,$G393=$G$31,F$31,$G393=$G$34,F$34,$G393=$G$37,F$37,$G393=$G$107,F$107,$G393=$G$110,F$110,$G393=$G$140,F$140,$G393=$G$142,F$142,$G393=$G$408,F$408)</f>
        <v>8017</v>
      </c>
      <c r="G393" s="13" t="s">
        <v>72</v>
      </c>
      <c r="H393" s="51" cm="1">
        <f t="array" ref="H393">_xlfn.IFS($G393=$G$5,H$5,$G393=$G$7,H$7,$G393=$G$10,H$10,$G393=$G$13,H$13,$G393=$G$14,H$14,$G393=$G$16,H$16,$G393=$G$17,H$17,$G393=$G$19,H$19,$G393=$G$20,H$20,$G393=$G$22,H$22,$G393=$G$23,H$23,$G393=$G$26,H$26,$G393=$G$29,H$29,$G393=$G$31,H$31,$G393=$G$34,H$34,$G393=$G$37,H$37,$G393=$G$107,H$107,$G393=$G$110,H$110,$G393=$G$140,H$140,$G393=$G$142,H$142,$G393=$G$408,H$408)</f>
        <v>41.419471000000001</v>
      </c>
      <c r="I393" s="51" cm="1">
        <f t="array" ref="I393">_xlfn.IFS($G393=$G$5,I$5,$G393=$G$7,I$7,$G393=$G$10,I$10,$G393=$G$13,I$13,$G393=$G$14,I$14,$G393=$G$16,I$16,$G393=$G$17,I$17,$G393=$G$19,I$19,$G393=$G$20,I$20,$G393=$G$22,I$22,$G393=$G$23,I$23,$G393=$G$26,I$26,$G393=$G$29,I$29,$G393=$G$31,I$31,$G393=$G$34,I$34,$G393=$G$37,I$37,$G393=$G$107,I$107,$G393=$G$110,I$110,$G393=$G$140,I$140,$G393=$G$142,I$142,$G393=$G$408,I$408)</f>
        <v>2.1010149999999999</v>
      </c>
      <c r="J393" s="51" cm="1">
        <f t="array" ref="J393">_xlfn.IFS($G393=$G$5,J$5,$G393=$G$7,J$7,$G393=$G$10,J$10,$G393=$G$13,J$13,$G393=$G$14,J$14,$G393=$G$16,J$16,$G393=$G$17,J$17,$G393=$G$19,J$19,$G393=$G$20,J$20,$G393=$G$22,J$22,$G393=$G$23,J$23,$G393=$G$26,J$26,$G393=$G$29,J$29,$G393=$G$31,J$31,$G393=$G$34,J$34,$G393=$G$37,J$37,$G393=$G$107,J$107,$G393=$G$110,J$110,$G393=$G$140,J$140,$G393=$G$142,J$142,$G393=$G$408,J$408)</f>
        <v>284</v>
      </c>
      <c r="K393" s="13" t="str" cm="1">
        <f t="array" ref="K393">_xlfn.IFS($G393=$G$5,K$5,$G393=$G$7,K$7,$G393=$G$10,K$10,$G393=$G$13,K$13,$G393=$G$14,K$14,$G393=$G$16,K$16,$G393=$G$17,K$17,$G393=$G$19,K$19,$G393=$G$20,K$20,$G393=$G$22,K$22,$G393=$G$23,K$23,$G393=$G$26,K$26,$G393=$G$29,K$29,$G393=$G$31,K$31,$G393=$G$34,K$34,$G393=$G$37,K$37,$G393=$G$107,K$107,$G393=$G$110,K$110,$G393=$G$140,K$140,$G393=$G$142,K$142,$G393=$G$408,K$408)</f>
        <v>BG sentinel + BG lure7</v>
      </c>
      <c r="O393" s="13" t="str">
        <f t="shared" si="39"/>
        <v>A_SP_BCN_15_220913</v>
      </c>
      <c r="P393" s="27">
        <v>44817</v>
      </c>
      <c r="Q393" s="29">
        <v>0.69791666666666663</v>
      </c>
      <c r="R393" s="33"/>
      <c r="S393" s="31">
        <v>44825</v>
      </c>
      <c r="T393" s="29">
        <v>0.66319444444444442</v>
      </c>
      <c r="V393" s="13" t="s">
        <v>86</v>
      </c>
      <c r="X393" s="13">
        <f t="shared" si="40"/>
        <v>8</v>
      </c>
      <c r="Z393" s="13" t="s">
        <v>60</v>
      </c>
      <c r="AA393" s="13">
        <f t="shared" si="38"/>
        <v>23</v>
      </c>
      <c r="AB393" s="13" t="str">
        <f t="shared" si="41"/>
        <v>Adult</v>
      </c>
      <c r="AC393" s="13">
        <v>22</v>
      </c>
      <c r="AD393" s="13">
        <v>1</v>
      </c>
      <c r="AE393" s="13" t="str">
        <f t="shared" si="42"/>
        <v>Morphological</v>
      </c>
      <c r="AF393" s="2">
        <v>4</v>
      </c>
    </row>
    <row r="394" spans="1:32" x14ac:dyDescent="0.25">
      <c r="A394" s="13">
        <v>390</v>
      </c>
      <c r="B394" s="23" t="s">
        <v>56</v>
      </c>
      <c r="C394" s="23" t="s">
        <v>57</v>
      </c>
      <c r="D394" s="23" t="s">
        <v>58</v>
      </c>
      <c r="E394" s="23" t="s">
        <v>58</v>
      </c>
      <c r="F394" s="35" cm="1">
        <f t="array" ref="F394">_xlfn.IFS($G394=$G$5,F$5,$G394=$G$7,F$7,$G394=$G$10,F$10,$G394=$G$13,F$13,$G394=$G$14,F$14,$G394=$G$16,F$16,$G394=$G$17,F$17,$G394=$G$19,F$19,$G394=$G$20,F$20,$G394=$G$22,F$22,$G394=$G$23,F$23,$G394=$G$26,F$26,$G394=$G$29,F$29,$G394=$G$31,F$31,$G394=$G$34,F$34,$G394=$G$37,F$37,$G394=$G$107,F$107,$G394=$G$110,F$110,$G394=$G$140,F$140,$G394=$G$142,F$142,$G394=$G$408,F$408)</f>
        <v>8017</v>
      </c>
      <c r="G394" s="13" t="s">
        <v>73</v>
      </c>
      <c r="H394" s="51" cm="1">
        <f t="array" ref="H394">_xlfn.IFS($G394=$G$5,H$5,$G394=$G$7,H$7,$G394=$G$10,H$10,$G394=$G$13,H$13,$G394=$G$14,H$14,$G394=$G$16,H$16,$G394=$G$17,H$17,$G394=$G$19,H$19,$G394=$G$20,H$20,$G394=$G$22,H$22,$G394=$G$23,H$23,$G394=$G$26,H$26,$G394=$G$29,H$29,$G394=$G$31,H$31,$G394=$G$34,H$34,$G394=$G$37,H$37,$G394=$G$107,H$107,$G394=$G$110,H$110,$G394=$G$140,H$140,$G394=$G$142,H$142,$G394=$G$408,H$408)</f>
        <v>41.398387</v>
      </c>
      <c r="I394" s="51" cm="1">
        <f t="array" ref="I394">_xlfn.IFS($G394=$G$5,I$5,$G394=$G$7,I$7,$G394=$G$10,I$10,$G394=$G$13,I$13,$G394=$G$14,I$14,$G394=$G$16,I$16,$G394=$G$17,I$17,$G394=$G$19,I$19,$G394=$G$20,I$20,$G394=$G$22,I$22,$G394=$G$23,I$23,$G394=$G$26,I$26,$G394=$G$29,I$29,$G394=$G$31,I$31,$G394=$G$34,I$34,$G394=$G$37,I$37,$G394=$G$107,I$107,$G394=$G$110,I$110,$G394=$G$140,I$140,$G394=$G$142,I$142,$G394=$G$408,I$408)</f>
        <v>2.1244429999999999</v>
      </c>
      <c r="J394" s="51" cm="1">
        <f t="array" ref="J394">_xlfn.IFS($G394=$G$5,J$5,$G394=$G$7,J$7,$G394=$G$10,J$10,$G394=$G$13,J$13,$G394=$G$14,J$14,$G394=$G$16,J$16,$G394=$G$17,J$17,$G394=$G$19,J$19,$G394=$G$20,J$20,$G394=$G$22,J$22,$G394=$G$23,J$23,$G394=$G$26,J$26,$G394=$G$29,J$29,$G394=$G$31,J$31,$G394=$G$34,J$34,$G394=$G$37,J$37,$G394=$G$107,J$107,$G394=$G$110,J$110,$G394=$G$140,J$140,$G394=$G$142,J$142,$G394=$G$408,J$408)</f>
        <v>106</v>
      </c>
      <c r="K394" s="13" t="str" cm="1">
        <f t="array" ref="K394">_xlfn.IFS($G394=$G$5,K$5,$G394=$G$7,K$7,$G394=$G$10,K$10,$G394=$G$13,K$13,$G394=$G$14,K$14,$G394=$G$16,K$16,$G394=$G$17,K$17,$G394=$G$19,K$19,$G394=$G$20,K$20,$G394=$G$22,K$22,$G394=$G$23,K$23,$G394=$G$26,K$26,$G394=$G$29,K$29,$G394=$G$31,K$31,$G394=$G$34,K$34,$G394=$G$37,K$37,$G394=$G$107,K$107,$G394=$G$110,K$110,$G394=$G$140,K$140,$G394=$G$142,K$142,$G394=$G$408,K$408)</f>
        <v>BG sentinel + BG lure7</v>
      </c>
      <c r="O394" s="13" t="str">
        <f t="shared" si="39"/>
        <v>A_SP_BCN_16_220913</v>
      </c>
      <c r="P394" s="27">
        <v>44817</v>
      </c>
      <c r="Q394" s="29">
        <v>0.74652777777777779</v>
      </c>
      <c r="R394" s="33"/>
      <c r="S394" s="31">
        <v>44825</v>
      </c>
      <c r="T394" s="29">
        <v>0.72916666666666663</v>
      </c>
      <c r="V394" s="13" t="s">
        <v>86</v>
      </c>
      <c r="W394" s="15" t="s">
        <v>153</v>
      </c>
      <c r="X394" s="13">
        <f t="shared" si="40"/>
        <v>8</v>
      </c>
      <c r="Z394" s="13" t="s">
        <v>60</v>
      </c>
      <c r="AA394" s="13">
        <f t="shared" si="38"/>
        <v>351</v>
      </c>
      <c r="AB394" s="13" t="str">
        <f t="shared" si="41"/>
        <v>Adult</v>
      </c>
      <c r="AC394" s="13">
        <v>158</v>
      </c>
      <c r="AD394" s="13">
        <v>193</v>
      </c>
      <c r="AE394" s="13" t="str">
        <f t="shared" si="42"/>
        <v>Morphological</v>
      </c>
      <c r="AF394" s="2">
        <v>3</v>
      </c>
    </row>
    <row r="395" spans="1:32" x14ac:dyDescent="0.25">
      <c r="A395" s="13">
        <v>391</v>
      </c>
      <c r="B395" s="23" t="s">
        <v>56</v>
      </c>
      <c r="C395" s="23" t="s">
        <v>57</v>
      </c>
      <c r="D395" s="23" t="s">
        <v>58</v>
      </c>
      <c r="E395" s="23" t="s">
        <v>58</v>
      </c>
      <c r="F395" s="35" cm="1">
        <f t="array" ref="F395">_xlfn.IFS($G395=$G$5,F$5,$G395=$G$7,F$7,$G395=$G$10,F$10,$G395=$G$13,F$13,$G395=$G$14,F$14,$G395=$G$16,F$16,$G395=$G$17,F$17,$G395=$G$19,F$19,$G395=$G$20,F$20,$G395=$G$22,F$22,$G395=$G$23,F$23,$G395=$G$26,F$26,$G395=$G$29,F$29,$G395=$G$31,F$31,$G395=$G$34,F$34,$G395=$G$37,F$37,$G395=$G$107,F$107,$G395=$G$110,F$110,$G395=$G$140,F$140,$G395=$G$142,F$142,$G395=$G$408,F$408)</f>
        <v>8017</v>
      </c>
      <c r="G395" s="13" t="s">
        <v>73</v>
      </c>
      <c r="H395" s="51" cm="1">
        <f t="array" ref="H395">_xlfn.IFS($G395=$G$5,H$5,$G395=$G$7,H$7,$G395=$G$10,H$10,$G395=$G$13,H$13,$G395=$G$14,H$14,$G395=$G$16,H$16,$G395=$G$17,H$17,$G395=$G$19,H$19,$G395=$G$20,H$20,$G395=$G$22,H$22,$G395=$G$23,H$23,$G395=$G$26,H$26,$G395=$G$29,H$29,$G395=$G$31,H$31,$G395=$G$34,H$34,$G395=$G$37,H$37,$G395=$G$107,H$107,$G395=$G$110,H$110,$G395=$G$140,H$140,$G395=$G$142,H$142,$G395=$G$408,H$408)</f>
        <v>41.398387</v>
      </c>
      <c r="I395" s="51" cm="1">
        <f t="array" ref="I395">_xlfn.IFS($G395=$G$5,I$5,$G395=$G$7,I$7,$G395=$G$10,I$10,$G395=$G$13,I$13,$G395=$G$14,I$14,$G395=$G$16,I$16,$G395=$G$17,I$17,$G395=$G$19,I$19,$G395=$G$20,I$20,$G395=$G$22,I$22,$G395=$G$23,I$23,$G395=$G$26,I$26,$G395=$G$29,I$29,$G395=$G$31,I$31,$G395=$G$34,I$34,$G395=$G$37,I$37,$G395=$G$107,I$107,$G395=$G$110,I$110,$G395=$G$140,I$140,$G395=$G$142,I$142,$G395=$G$408,I$408)</f>
        <v>2.1244429999999999</v>
      </c>
      <c r="J395" s="51" cm="1">
        <f t="array" ref="J395">_xlfn.IFS($G395=$G$5,J$5,$G395=$G$7,J$7,$G395=$G$10,J$10,$G395=$G$13,J$13,$G395=$G$14,J$14,$G395=$G$16,J$16,$G395=$G$17,J$17,$G395=$G$19,J$19,$G395=$G$20,J$20,$G395=$G$22,J$22,$G395=$G$23,J$23,$G395=$G$26,J$26,$G395=$G$29,J$29,$G395=$G$31,J$31,$G395=$G$34,J$34,$G395=$G$37,J$37,$G395=$G$107,J$107,$G395=$G$110,J$110,$G395=$G$140,J$140,$G395=$G$142,J$142,$G395=$G$408,J$408)</f>
        <v>106</v>
      </c>
      <c r="K395" s="13" t="str" cm="1">
        <f t="array" ref="K395">_xlfn.IFS($G395=$G$5,K$5,$G395=$G$7,K$7,$G395=$G$10,K$10,$G395=$G$13,K$13,$G395=$G$14,K$14,$G395=$G$16,K$16,$G395=$G$17,K$17,$G395=$G$19,K$19,$G395=$G$20,K$20,$G395=$G$22,K$22,$G395=$G$23,K$23,$G395=$G$26,K$26,$G395=$G$29,K$29,$G395=$G$31,K$31,$G395=$G$34,K$34,$G395=$G$37,K$37,$G395=$G$107,K$107,$G395=$G$110,K$110,$G395=$G$140,K$140,$G395=$G$142,K$142,$G395=$G$408,K$408)</f>
        <v>BG sentinel + BG lure7</v>
      </c>
      <c r="O395" s="13" t="str">
        <f t="shared" si="39"/>
        <v>A_SP_BCN_16_220913</v>
      </c>
      <c r="P395" s="27">
        <v>44817</v>
      </c>
      <c r="Q395" s="29">
        <v>0.74652777777777779</v>
      </c>
      <c r="R395" s="33"/>
      <c r="S395" s="31">
        <v>44825</v>
      </c>
      <c r="T395" s="29">
        <v>0.72916666666666663</v>
      </c>
      <c r="V395" s="13" t="s">
        <v>86</v>
      </c>
      <c r="W395" s="15" t="s">
        <v>153</v>
      </c>
      <c r="X395" s="13">
        <f t="shared" si="40"/>
        <v>8</v>
      </c>
      <c r="Z395" s="13" t="s">
        <v>164</v>
      </c>
      <c r="AA395" s="13">
        <f t="shared" si="38"/>
        <v>10</v>
      </c>
      <c r="AB395" s="13" t="str">
        <f t="shared" si="41"/>
        <v>Adult</v>
      </c>
      <c r="AC395" s="13">
        <v>2</v>
      </c>
      <c r="AD395" s="13">
        <v>8</v>
      </c>
      <c r="AE395" s="13" t="str">
        <f t="shared" si="42"/>
        <v>Morphological</v>
      </c>
      <c r="AF395" s="2">
        <v>3</v>
      </c>
    </row>
    <row r="396" spans="1:32" x14ac:dyDescent="0.25">
      <c r="A396" s="13">
        <v>392</v>
      </c>
      <c r="B396" s="23" t="s">
        <v>56</v>
      </c>
      <c r="C396" s="23" t="s">
        <v>57</v>
      </c>
      <c r="D396" s="23" t="s">
        <v>58</v>
      </c>
      <c r="E396" s="23" t="s">
        <v>58</v>
      </c>
      <c r="F396" s="35" cm="1">
        <f t="array" ref="F396">_xlfn.IFS($G396=$G$5,F$5,$G396=$G$7,F$7,$G396=$G$10,F$10,$G396=$G$13,F$13,$G396=$G$14,F$14,$G396=$G$16,F$16,$G396=$G$17,F$17,$G396=$G$19,F$19,$G396=$G$20,F$20,$G396=$G$22,F$22,$G396=$G$23,F$23,$G396=$G$26,F$26,$G396=$G$29,F$29,$G396=$G$31,F$31,$G396=$G$34,F$34,$G396=$G$37,F$37,$G396=$G$107,F$107,$G396=$G$110,F$110,$G396=$G$140,F$140,$G396=$G$142,F$142,$G396=$G$408,F$408)</f>
        <v>8017</v>
      </c>
      <c r="G396" s="13" t="s">
        <v>73</v>
      </c>
      <c r="H396" s="51" cm="1">
        <f t="array" ref="H396">_xlfn.IFS($G396=$G$5,H$5,$G396=$G$7,H$7,$G396=$G$10,H$10,$G396=$G$13,H$13,$G396=$G$14,H$14,$G396=$G$16,H$16,$G396=$G$17,H$17,$G396=$G$19,H$19,$G396=$G$20,H$20,$G396=$G$22,H$22,$G396=$G$23,H$23,$G396=$G$26,H$26,$G396=$G$29,H$29,$G396=$G$31,H$31,$G396=$G$34,H$34,$G396=$G$37,H$37,$G396=$G$107,H$107,$G396=$G$110,H$110,$G396=$G$140,H$140,$G396=$G$142,H$142,$G396=$G$408,H$408)</f>
        <v>41.398387</v>
      </c>
      <c r="I396" s="51" cm="1">
        <f t="array" ref="I396">_xlfn.IFS($G396=$G$5,I$5,$G396=$G$7,I$7,$G396=$G$10,I$10,$G396=$G$13,I$13,$G396=$G$14,I$14,$G396=$G$16,I$16,$G396=$G$17,I$17,$G396=$G$19,I$19,$G396=$G$20,I$20,$G396=$G$22,I$22,$G396=$G$23,I$23,$G396=$G$26,I$26,$G396=$G$29,I$29,$G396=$G$31,I$31,$G396=$G$34,I$34,$G396=$G$37,I$37,$G396=$G$107,I$107,$G396=$G$110,I$110,$G396=$G$140,I$140,$G396=$G$142,I$142,$G396=$G$408,I$408)</f>
        <v>2.1244429999999999</v>
      </c>
      <c r="J396" s="51" cm="1">
        <f t="array" ref="J396">_xlfn.IFS($G396=$G$5,J$5,$G396=$G$7,J$7,$G396=$G$10,J$10,$G396=$G$13,J$13,$G396=$G$14,J$14,$G396=$G$16,J$16,$G396=$G$17,J$17,$G396=$G$19,J$19,$G396=$G$20,J$20,$G396=$G$22,J$22,$G396=$G$23,J$23,$G396=$G$26,J$26,$G396=$G$29,J$29,$G396=$G$31,J$31,$G396=$G$34,J$34,$G396=$G$37,J$37,$G396=$G$107,J$107,$G396=$G$110,J$110,$G396=$G$140,J$140,$G396=$G$142,J$142,$G396=$G$408,J$408)</f>
        <v>106</v>
      </c>
      <c r="K396" s="13" t="str" cm="1">
        <f t="array" ref="K396">_xlfn.IFS($G396=$G$5,K$5,$G396=$G$7,K$7,$G396=$G$10,K$10,$G396=$G$13,K$13,$G396=$G$14,K$14,$G396=$G$16,K$16,$G396=$G$17,K$17,$G396=$G$19,K$19,$G396=$G$20,K$20,$G396=$G$22,K$22,$G396=$G$23,K$23,$G396=$G$26,K$26,$G396=$G$29,K$29,$G396=$G$31,K$31,$G396=$G$34,K$34,$G396=$G$37,K$37,$G396=$G$107,K$107,$G396=$G$110,K$110,$G396=$G$140,K$140,$G396=$G$142,K$142,$G396=$G$408,K$408)</f>
        <v>BG sentinel + BG lure7</v>
      </c>
      <c r="O396" s="13" t="str">
        <f t="shared" si="39"/>
        <v>A_SP_BCN_16_220913</v>
      </c>
      <c r="P396" s="27">
        <v>44817</v>
      </c>
      <c r="Q396" s="29">
        <v>0.74652777777777779</v>
      </c>
      <c r="R396" s="33"/>
      <c r="S396" s="31">
        <v>44825</v>
      </c>
      <c r="T396" s="29">
        <v>0.72916666666666663</v>
      </c>
      <c r="V396" s="13" t="s">
        <v>86</v>
      </c>
      <c r="W396" s="15" t="s">
        <v>153</v>
      </c>
      <c r="X396" s="13">
        <f t="shared" si="40"/>
        <v>8</v>
      </c>
      <c r="Z396" s="32" t="s">
        <v>163</v>
      </c>
      <c r="AA396" s="13">
        <f t="shared" si="38"/>
        <v>1</v>
      </c>
      <c r="AB396" s="13" t="str">
        <f t="shared" si="41"/>
        <v>Adult</v>
      </c>
      <c r="AC396" s="13">
        <v>0</v>
      </c>
      <c r="AD396" s="13">
        <v>1</v>
      </c>
      <c r="AE396" s="13" t="str">
        <f t="shared" si="42"/>
        <v>Morphological</v>
      </c>
      <c r="AF396" s="2">
        <v>3</v>
      </c>
    </row>
    <row r="397" spans="1:32" x14ac:dyDescent="0.25">
      <c r="A397" s="13">
        <v>393</v>
      </c>
      <c r="B397" s="23" t="s">
        <v>56</v>
      </c>
      <c r="C397" s="23" t="s">
        <v>57</v>
      </c>
      <c r="D397" s="23" t="s">
        <v>58</v>
      </c>
      <c r="E397" s="23" t="s">
        <v>58</v>
      </c>
      <c r="F397" s="35" cm="1">
        <f t="array" ref="F397">_xlfn.IFS($G397=$G$5,F$5,$G397=$G$7,F$7,$G397=$G$10,F$10,$G397=$G$13,F$13,$G397=$G$14,F$14,$G397=$G$16,F$16,$G397=$G$17,F$17,$G397=$G$19,F$19,$G397=$G$20,F$20,$G397=$G$22,F$22,$G397=$G$23,F$23,$G397=$G$26,F$26,$G397=$G$29,F$29,$G397=$G$31,F$31,$G397=$G$34,F$34,$G397=$G$37,F$37,$G397=$G$107,F$107,$G397=$G$110,F$110,$G397=$G$140,F$140,$G397=$G$142,F$142,$G397=$G$408,F$408)</f>
        <v>8023</v>
      </c>
      <c r="G397" s="13" t="s">
        <v>74</v>
      </c>
      <c r="H397" s="51" cm="1">
        <f t="array" ref="H397">_xlfn.IFS($G397=$G$5,H$5,$G397=$G$7,H$7,$G397=$G$10,H$10,$G397=$G$13,H$13,$G397=$G$14,H$14,$G397=$G$16,H$16,$G397=$G$17,H$17,$G397=$G$19,H$19,$G397=$G$20,H$20,$G397=$G$22,H$22,$G397=$G$23,H$23,$G397=$G$26,H$26,$G397=$G$29,H$29,$G397=$G$31,H$31,$G397=$G$34,H$34,$G397=$G$37,H$37,$G397=$G$107,H$107,$G397=$G$110,H$110,$G397=$G$140,H$140,$G397=$G$142,H$142,$G397=$G$408,H$408)</f>
        <v>41.417256000000002</v>
      </c>
      <c r="I397" s="51" cm="1">
        <f t="array" ref="I397">_xlfn.IFS($G397=$G$5,I$5,$G397=$G$7,I$7,$G397=$G$10,I$10,$G397=$G$13,I$13,$G397=$G$14,I$14,$G397=$G$16,I$16,$G397=$G$17,I$17,$G397=$G$19,I$19,$G397=$G$20,I$20,$G397=$G$22,I$22,$G397=$G$23,I$23,$G397=$G$26,I$26,$G397=$G$29,I$29,$G397=$G$31,I$31,$G397=$G$34,I$34,$G397=$G$37,I$37,$G397=$G$107,I$107,$G397=$G$110,I$110,$G397=$G$140,I$140,$G397=$G$142,I$142,$G397=$G$408,I$408)</f>
        <v>2.1455709999999999</v>
      </c>
      <c r="J397" s="51" cm="1">
        <f t="array" ref="J397">_xlfn.IFS($G397=$G$5,J$5,$G397=$G$7,J$7,$G397=$G$10,J$10,$G397=$G$13,J$13,$G397=$G$14,J$14,$G397=$G$16,J$16,$G397=$G$17,J$17,$G397=$G$19,J$19,$G397=$G$20,J$20,$G397=$G$22,J$22,$G397=$G$23,J$23,$G397=$G$26,J$26,$G397=$G$29,J$29,$G397=$G$31,J$31,$G397=$G$34,J$34,$G397=$G$37,J$37,$G397=$G$107,J$107,$G397=$G$110,J$110,$G397=$G$140,J$140,$G397=$G$142,J$142,$G397=$G$408,J$408)</f>
        <v>186</v>
      </c>
      <c r="K397" s="13" t="str" cm="1">
        <f t="array" ref="K397">_xlfn.IFS($G397=$G$5,K$5,$G397=$G$7,K$7,$G397=$G$10,K$10,$G397=$G$13,K$13,$G397=$G$14,K$14,$G397=$G$16,K$16,$G397=$G$17,K$17,$G397=$G$19,K$19,$G397=$G$20,K$20,$G397=$G$22,K$22,$G397=$G$23,K$23,$G397=$G$26,K$26,$G397=$G$29,K$29,$G397=$G$31,K$31,$G397=$G$34,K$34,$G397=$G$37,K$37,$G397=$G$107,K$107,$G397=$G$110,K$110,$G397=$G$140,K$140,$G397=$G$142,K$142,$G397=$G$408,K$408)</f>
        <v>BG sentinel + BG lure7</v>
      </c>
      <c r="O397" s="13" t="str">
        <f t="shared" si="39"/>
        <v>A_SP_BCN_17_220913</v>
      </c>
      <c r="P397" s="27">
        <v>44817</v>
      </c>
      <c r="Q397" s="29">
        <v>0.63888888888888895</v>
      </c>
      <c r="R397" s="33"/>
      <c r="S397" s="31">
        <v>44825</v>
      </c>
      <c r="T397" s="29">
        <v>0.63194444444444442</v>
      </c>
      <c r="V397" s="13" t="s">
        <v>86</v>
      </c>
      <c r="X397" s="13">
        <f t="shared" si="40"/>
        <v>8</v>
      </c>
      <c r="Z397" s="13" t="s">
        <v>60</v>
      </c>
      <c r="AA397" s="13">
        <f t="shared" si="38"/>
        <v>38</v>
      </c>
      <c r="AB397" s="13" t="str">
        <f t="shared" si="41"/>
        <v>Adult</v>
      </c>
      <c r="AC397" s="13">
        <v>19</v>
      </c>
      <c r="AD397" s="13">
        <v>19</v>
      </c>
      <c r="AE397" s="13" t="str">
        <f t="shared" si="42"/>
        <v>Morphological</v>
      </c>
      <c r="AF397" s="2">
        <v>4</v>
      </c>
    </row>
    <row r="398" spans="1:32" x14ac:dyDescent="0.25">
      <c r="A398" s="13">
        <v>394</v>
      </c>
      <c r="B398" s="23" t="s">
        <v>56</v>
      </c>
      <c r="C398" s="23" t="s">
        <v>57</v>
      </c>
      <c r="D398" s="23" t="s">
        <v>58</v>
      </c>
      <c r="E398" s="23" t="s">
        <v>58</v>
      </c>
      <c r="F398" s="35" cm="1">
        <f t="array" ref="F398">_xlfn.IFS($G398=$G$5,F$5,$G398=$G$7,F$7,$G398=$G$10,F$10,$G398=$G$13,F$13,$G398=$G$14,F$14,$G398=$G$16,F$16,$G398=$G$17,F$17,$G398=$G$19,F$19,$G398=$G$20,F$20,$G398=$G$22,F$22,$G398=$G$23,F$23,$G398=$G$26,F$26,$G398=$G$29,F$29,$G398=$G$31,F$31,$G398=$G$34,F$34,$G398=$G$37,F$37,$G398=$G$107,F$107,$G398=$G$110,F$110,$G398=$G$140,F$140,$G398=$G$142,F$142,$G398=$G$408,F$408)</f>
        <v>8023</v>
      </c>
      <c r="G398" s="13" t="s">
        <v>74</v>
      </c>
      <c r="H398" s="51" cm="1">
        <f t="array" ref="H398">_xlfn.IFS($G398=$G$5,H$5,$G398=$G$7,H$7,$G398=$G$10,H$10,$G398=$G$13,H$13,$G398=$G$14,H$14,$G398=$G$16,H$16,$G398=$G$17,H$17,$G398=$G$19,H$19,$G398=$G$20,H$20,$G398=$G$22,H$22,$G398=$G$23,H$23,$G398=$G$26,H$26,$G398=$G$29,H$29,$G398=$G$31,H$31,$G398=$G$34,H$34,$G398=$G$37,H$37,$G398=$G$107,H$107,$G398=$G$110,H$110,$G398=$G$140,H$140,$G398=$G$142,H$142,$G398=$G$408,H$408)</f>
        <v>41.417256000000002</v>
      </c>
      <c r="I398" s="51" cm="1">
        <f t="array" ref="I398">_xlfn.IFS($G398=$G$5,I$5,$G398=$G$7,I$7,$G398=$G$10,I$10,$G398=$G$13,I$13,$G398=$G$14,I$14,$G398=$G$16,I$16,$G398=$G$17,I$17,$G398=$G$19,I$19,$G398=$G$20,I$20,$G398=$G$22,I$22,$G398=$G$23,I$23,$G398=$G$26,I$26,$G398=$G$29,I$29,$G398=$G$31,I$31,$G398=$G$34,I$34,$G398=$G$37,I$37,$G398=$G$107,I$107,$G398=$G$110,I$110,$G398=$G$140,I$140,$G398=$G$142,I$142,$G398=$G$408,I$408)</f>
        <v>2.1455709999999999</v>
      </c>
      <c r="J398" s="51" cm="1">
        <f t="array" ref="J398">_xlfn.IFS($G398=$G$5,J$5,$G398=$G$7,J$7,$G398=$G$10,J$10,$G398=$G$13,J$13,$G398=$G$14,J$14,$G398=$G$16,J$16,$G398=$G$17,J$17,$G398=$G$19,J$19,$G398=$G$20,J$20,$G398=$G$22,J$22,$G398=$G$23,J$23,$G398=$G$26,J$26,$G398=$G$29,J$29,$G398=$G$31,J$31,$G398=$G$34,J$34,$G398=$G$37,J$37,$G398=$G$107,J$107,$G398=$G$110,J$110,$G398=$G$140,J$140,$G398=$G$142,J$142,$G398=$G$408,J$408)</f>
        <v>186</v>
      </c>
      <c r="K398" s="13" t="str" cm="1">
        <f t="array" ref="K398">_xlfn.IFS($G398=$G$5,K$5,$G398=$G$7,K$7,$G398=$G$10,K$10,$G398=$G$13,K$13,$G398=$G$14,K$14,$G398=$G$16,K$16,$G398=$G$17,K$17,$G398=$G$19,K$19,$G398=$G$20,K$20,$G398=$G$22,K$22,$G398=$G$23,K$23,$G398=$G$26,K$26,$G398=$G$29,K$29,$G398=$G$31,K$31,$G398=$G$34,K$34,$G398=$G$37,K$37,$G398=$G$107,K$107,$G398=$G$110,K$110,$G398=$G$140,K$140,$G398=$G$142,K$142,$G398=$G$408,K$408)</f>
        <v>BG sentinel + BG lure7</v>
      </c>
      <c r="O398" s="13" t="str">
        <f t="shared" si="39"/>
        <v>A_SP_BCN_17_220913</v>
      </c>
      <c r="P398" s="27">
        <v>44817</v>
      </c>
      <c r="Q398" s="29">
        <v>0.63888888888888895</v>
      </c>
      <c r="R398" s="33"/>
      <c r="S398" s="31">
        <v>44825</v>
      </c>
      <c r="T398" s="29">
        <v>0.63194444444444442</v>
      </c>
      <c r="V398" s="13" t="s">
        <v>86</v>
      </c>
      <c r="X398" s="13">
        <f t="shared" si="40"/>
        <v>8</v>
      </c>
      <c r="Z398" s="13" t="s">
        <v>164</v>
      </c>
      <c r="AA398" s="13">
        <f t="shared" si="38"/>
        <v>1</v>
      </c>
      <c r="AB398" s="13" t="str">
        <f t="shared" si="41"/>
        <v>Adult</v>
      </c>
      <c r="AC398" s="13">
        <v>0</v>
      </c>
      <c r="AD398" s="13">
        <v>1</v>
      </c>
      <c r="AE398" s="13" t="str">
        <f t="shared" si="42"/>
        <v>Morphological</v>
      </c>
      <c r="AF398" s="2">
        <v>4</v>
      </c>
    </row>
    <row r="399" spans="1:32" x14ac:dyDescent="0.25">
      <c r="A399" s="13">
        <v>395</v>
      </c>
      <c r="B399" s="23" t="s">
        <v>56</v>
      </c>
      <c r="C399" s="23" t="s">
        <v>57</v>
      </c>
      <c r="D399" s="23" t="s">
        <v>58</v>
      </c>
      <c r="E399" s="23" t="s">
        <v>58</v>
      </c>
      <c r="F399" s="35" cm="1">
        <f t="array" ref="F399">_xlfn.IFS($G399=$G$5,F$5,$G399=$G$7,F$7,$G399=$G$10,F$10,$G399=$G$13,F$13,$G399=$G$14,F$14,$G399=$G$16,F$16,$G399=$G$17,F$17,$G399=$G$19,F$19,$G399=$G$20,F$20,$G399=$G$22,F$22,$G399=$G$23,F$23,$G399=$G$26,F$26,$G399=$G$29,F$29,$G399=$G$31,F$31,$G399=$G$34,F$34,$G399=$G$37,F$37,$G399=$G$107,F$107,$G399=$G$110,F$110,$G399=$G$140,F$140,$G399=$G$142,F$142,$G399=$G$408,F$408)</f>
        <v>8031</v>
      </c>
      <c r="G399" s="13" t="s">
        <v>75</v>
      </c>
      <c r="H399" s="51" cm="1">
        <f t="array" ref="H399">_xlfn.IFS($G399=$G$5,H$5,$G399=$G$7,H$7,$G399=$G$10,H$10,$G399=$G$13,H$13,$G399=$G$14,H$14,$G399=$G$16,H$16,$G399=$G$17,H$17,$G399=$G$19,H$19,$G399=$G$20,H$20,$G399=$G$22,H$22,$G399=$G$23,H$23,$G399=$G$26,H$26,$G399=$G$29,H$29,$G399=$G$31,H$31,$G399=$G$34,H$34,$G399=$G$37,H$37,$G399=$G$107,H$107,$G399=$G$110,H$110,$G399=$G$140,H$140,$G399=$G$142,H$142,$G399=$G$408,H$408)</f>
        <v>41.433618000000003</v>
      </c>
      <c r="I399" s="51" cm="1">
        <f t="array" ref="I399">_xlfn.IFS($G399=$G$5,I$5,$G399=$G$7,I$7,$G399=$G$10,I$10,$G399=$G$13,I$13,$G399=$G$14,I$14,$G399=$G$16,I$16,$G399=$G$17,I$17,$G399=$G$19,I$19,$G399=$G$20,I$20,$G399=$G$22,I$22,$G399=$G$23,I$23,$G399=$G$26,I$26,$G399=$G$29,I$29,$G399=$G$31,I$31,$G399=$G$34,I$34,$G399=$G$37,I$37,$G399=$G$107,I$107,$G399=$G$110,I$110,$G399=$G$140,I$140,$G399=$G$142,I$142,$G399=$G$408,I$408)</f>
        <v>2.1677469999999999</v>
      </c>
      <c r="J399" s="51" cm="1">
        <f t="array" ref="J399">_xlfn.IFS($G399=$G$5,J$5,$G399=$G$7,J$7,$G399=$G$10,J$10,$G399=$G$13,J$13,$G399=$G$14,J$14,$G399=$G$16,J$16,$G399=$G$17,J$17,$G399=$G$19,J$19,$G399=$G$20,J$20,$G399=$G$22,J$22,$G399=$G$23,J$23,$G399=$G$26,J$26,$G399=$G$29,J$29,$G399=$G$31,J$31,$G399=$G$34,J$34,$G399=$G$37,J$37,$G399=$G$107,J$107,$G399=$G$110,J$110,$G399=$G$140,J$140,$G399=$G$142,J$142,$G399=$G$408,J$408)</f>
        <v>96.85</v>
      </c>
      <c r="K399" s="13" t="str" cm="1">
        <f t="array" ref="K399">_xlfn.IFS($G399=$G$5,K$5,$G399=$G$7,K$7,$G399=$G$10,K$10,$G399=$G$13,K$13,$G399=$G$14,K$14,$G399=$G$16,K$16,$G399=$G$17,K$17,$G399=$G$19,K$19,$G399=$G$20,K$20,$G399=$G$22,K$22,$G399=$G$23,K$23,$G399=$G$26,K$26,$G399=$G$29,K$29,$G399=$G$31,K$31,$G399=$G$34,K$34,$G399=$G$37,K$37,$G399=$G$107,K$107,$G399=$G$110,K$110,$G399=$G$140,K$140,$G399=$G$142,K$142,$G399=$G$408,K$408)</f>
        <v>BG sentinel + BG lure7</v>
      </c>
      <c r="O399" s="13" t="str">
        <f t="shared" si="39"/>
        <v>A_SP_BCN_18_220913</v>
      </c>
      <c r="P399" s="27">
        <v>44817</v>
      </c>
      <c r="Q399" s="36">
        <v>0.76041666666666663</v>
      </c>
      <c r="R399" s="33"/>
      <c r="S399" s="31">
        <v>44825</v>
      </c>
      <c r="T399" s="29">
        <v>0.67708333333333337</v>
      </c>
      <c r="V399" s="13" t="s">
        <v>86</v>
      </c>
      <c r="X399" s="13">
        <f t="shared" si="40"/>
        <v>8</v>
      </c>
      <c r="Z399" s="13" t="s">
        <v>60</v>
      </c>
      <c r="AA399" s="13">
        <f t="shared" si="38"/>
        <v>15</v>
      </c>
      <c r="AB399" s="13" t="str">
        <f t="shared" si="41"/>
        <v>Adult</v>
      </c>
      <c r="AC399" s="13">
        <v>15</v>
      </c>
      <c r="AD399" s="13">
        <v>0</v>
      </c>
      <c r="AE399" s="13" t="str">
        <f t="shared" si="42"/>
        <v>Morphological</v>
      </c>
      <c r="AF399" s="2">
        <v>4</v>
      </c>
    </row>
    <row r="400" spans="1:32" x14ac:dyDescent="0.25">
      <c r="A400" s="13">
        <v>396</v>
      </c>
      <c r="B400" s="23" t="s">
        <v>56</v>
      </c>
      <c r="C400" s="23" t="s">
        <v>57</v>
      </c>
      <c r="D400" s="23" t="s">
        <v>58</v>
      </c>
      <c r="E400" s="23" t="s">
        <v>58</v>
      </c>
      <c r="F400" s="35" cm="1">
        <f t="array" ref="F400">_xlfn.IFS($G400=$G$5,F$5,$G400=$G$7,F$7,$G400=$G$10,F$10,$G400=$G$13,F$13,$G400=$G$14,F$14,$G400=$G$16,F$16,$G400=$G$17,F$17,$G400=$G$19,F$19,$G400=$G$20,F$20,$G400=$G$22,F$22,$G400=$G$23,F$23,$G400=$G$26,F$26,$G400=$G$29,F$29,$G400=$G$31,F$31,$G400=$G$34,F$34,$G400=$G$37,F$37,$G400=$G$107,F$107,$G400=$G$110,F$110,$G400=$G$140,F$140,$G400=$G$142,F$142,$G400=$G$408,F$408)</f>
        <v>8038</v>
      </c>
      <c r="G400" s="13" t="s">
        <v>76</v>
      </c>
      <c r="H400" s="51" cm="1">
        <f t="array" ref="H400">_xlfn.IFS($G400=$G$5,H$5,$G400=$G$7,H$7,$G400=$G$10,H$10,$G400=$G$13,H$13,$G400=$G$14,H$14,$G400=$G$16,H$16,$G400=$G$17,H$17,$G400=$G$19,H$19,$G400=$G$20,H$20,$G400=$G$22,H$22,$G400=$G$23,H$23,$G400=$G$26,H$26,$G400=$G$29,H$29,$G400=$G$31,H$31,$G400=$G$34,H$34,$G400=$G$37,H$37,$G400=$G$107,H$107,$G400=$G$110,H$110,$G400=$G$140,H$140,$G400=$G$142,H$142,$G400=$G$408,H$408)</f>
        <v>41.359864999999999</v>
      </c>
      <c r="I400" s="51" cm="1">
        <f t="array" ref="I400">_xlfn.IFS($G400=$G$5,I$5,$G400=$G$7,I$7,$G400=$G$10,I$10,$G400=$G$13,I$13,$G400=$G$14,I$14,$G400=$G$16,I$16,$G400=$G$17,I$17,$G400=$G$19,I$19,$G400=$G$20,I$20,$G400=$G$22,I$22,$G400=$G$23,I$23,$G400=$G$26,I$26,$G400=$G$29,I$29,$G400=$G$31,I$31,$G400=$G$34,I$34,$G400=$G$37,I$37,$G400=$G$107,I$107,$G400=$G$110,I$110,$G400=$G$140,I$140,$G400=$G$142,I$142,$G400=$G$408,I$408)</f>
        <v>2.1445430000000001</v>
      </c>
      <c r="J400" s="51" cm="1">
        <f t="array" ref="J400">_xlfn.IFS($G400=$G$5,J$5,$G400=$G$7,J$7,$G400=$G$10,J$10,$G400=$G$13,J$13,$G400=$G$14,J$14,$G400=$G$16,J$16,$G400=$G$17,J$17,$G400=$G$19,J$19,$G400=$G$20,J$20,$G400=$G$22,J$22,$G400=$G$23,J$23,$G400=$G$26,J$26,$G400=$G$29,J$29,$G400=$G$31,J$31,$G400=$G$34,J$34,$G400=$G$37,J$37,$G400=$G$107,J$107,$G400=$G$110,J$110,$G400=$G$140,J$140,$G400=$G$142,J$142,$G400=$G$408,J$408)</f>
        <v>11.4</v>
      </c>
      <c r="K400" s="13" t="str" cm="1">
        <f t="array" ref="K400">_xlfn.IFS($G400=$G$5,K$5,$G400=$G$7,K$7,$G400=$G$10,K$10,$G400=$G$13,K$13,$G400=$G$14,K$14,$G400=$G$16,K$16,$G400=$G$17,K$17,$G400=$G$19,K$19,$G400=$G$20,K$20,$G400=$G$22,K$22,$G400=$G$23,K$23,$G400=$G$26,K$26,$G400=$G$29,K$29,$G400=$G$31,K$31,$G400=$G$34,K$34,$G400=$G$37,K$37,$G400=$G$107,K$107,$G400=$G$110,K$110,$G400=$G$140,K$140,$G400=$G$142,K$142,$G400=$G$408,K$408)</f>
        <v>BG sentinel + BG lure7</v>
      </c>
      <c r="O400" s="13" t="str">
        <f t="shared" si="39"/>
        <v>A_SP_BCN_19_220913</v>
      </c>
      <c r="P400" s="27">
        <v>44817</v>
      </c>
      <c r="Q400" s="29">
        <v>0.58680555555555558</v>
      </c>
      <c r="R400" s="33"/>
      <c r="S400" s="31">
        <v>44825</v>
      </c>
      <c r="T400" s="29">
        <v>0.52083333333333337</v>
      </c>
      <c r="V400" s="13" t="s">
        <v>139</v>
      </c>
      <c r="W400" t="s">
        <v>190</v>
      </c>
      <c r="X400" s="13">
        <f t="shared" si="40"/>
        <v>8</v>
      </c>
      <c r="AB400" s="13" t="str">
        <f t="shared" si="41"/>
        <v/>
      </c>
      <c r="AE400" s="13" t="str">
        <f t="shared" si="42"/>
        <v/>
      </c>
      <c r="AF400" s="2">
        <v>1</v>
      </c>
    </row>
    <row r="401" spans="1:32" x14ac:dyDescent="0.25">
      <c r="A401" s="13">
        <v>397</v>
      </c>
      <c r="B401" s="23" t="s">
        <v>56</v>
      </c>
      <c r="C401" s="23" t="s">
        <v>57</v>
      </c>
      <c r="D401" s="23" t="s">
        <v>58</v>
      </c>
      <c r="E401" s="23" t="s">
        <v>58</v>
      </c>
      <c r="F401" s="35" cm="1">
        <f t="array" ref="F401">_xlfn.IFS($G401=$G$5,F$5,$G401=$G$7,F$7,$G401=$G$10,F$10,$G401=$G$13,F$13,$G401=$G$14,F$14,$G401=$G$16,F$16,$G401=$G$17,F$17,$G401=$G$19,F$19,$G401=$G$20,F$20,$G401=$G$22,F$22,$G401=$G$23,F$23,$G401=$G$26,F$26,$G401=$G$29,F$29,$G401=$G$31,F$31,$G401=$G$34,F$34,$G401=$G$37,F$37,$G401=$G$107,F$107,$G401=$G$110,F$110,$G401=$G$140,F$140,$G401=$G$142,F$142,$G401=$G$408,F$408)</f>
        <v>8017</v>
      </c>
      <c r="G401" s="13" t="s">
        <v>77</v>
      </c>
      <c r="H401" s="51" cm="1">
        <f t="array" ref="H401">_xlfn.IFS($G401=$G$5,H$5,$G401=$G$7,H$7,$G401=$G$10,H$10,$G401=$G$13,H$13,$G401=$G$14,H$14,$G401=$G$16,H$16,$G401=$G$17,H$17,$G401=$G$19,H$19,$G401=$G$20,H$20,$G401=$G$22,H$22,$G401=$G$23,H$23,$G401=$G$26,H$26,$G401=$G$29,H$29,$G401=$G$31,H$31,$G401=$G$34,H$34,$G401=$G$37,H$37,$G401=$G$107,H$107,$G401=$G$110,H$110,$G401=$G$140,H$140,$G401=$G$142,H$142,$G401=$G$408,H$408)</f>
        <v>41.430315999999998</v>
      </c>
      <c r="I401" s="51" cm="1">
        <f t="array" ref="I401">_xlfn.IFS($G401=$G$5,I$5,$G401=$G$7,I$7,$G401=$G$10,I$10,$G401=$G$13,I$13,$G401=$G$14,I$14,$G401=$G$16,I$16,$G401=$G$17,I$17,$G401=$G$19,I$19,$G401=$G$20,I$20,$G401=$G$22,I$22,$G401=$G$23,I$23,$G401=$G$26,I$26,$G401=$G$29,I$29,$G401=$G$31,I$31,$G401=$G$34,I$34,$G401=$G$37,I$37,$G401=$G$107,I$107,$G401=$G$110,I$110,$G401=$G$140,I$140,$G401=$G$142,I$142,$G401=$G$408,I$408)</f>
        <v>2.077556</v>
      </c>
      <c r="J401" s="51" cm="1">
        <f t="array" ref="J401">_xlfn.IFS($G401=$G$5,J$5,$G401=$G$7,J$7,$G401=$G$10,J$10,$G401=$G$13,J$13,$G401=$G$14,J$14,$G401=$G$16,J$16,$G401=$G$17,J$17,$G401=$G$19,J$19,$G401=$G$20,J$20,$G401=$G$22,J$22,$G401=$G$23,J$23,$G401=$G$26,J$26,$G401=$G$29,J$29,$G401=$G$31,J$31,$G401=$G$34,J$34,$G401=$G$37,J$37,$G401=$G$107,J$107,$G401=$G$110,J$110,$G401=$G$140,J$140,$G401=$G$142,J$142,$G401=$G$408,J$408)</f>
        <v>243.3</v>
      </c>
      <c r="K401" s="13" t="str" cm="1">
        <f t="array" ref="K401">_xlfn.IFS($G401=$G$5,K$5,$G401=$G$7,K$7,$G401=$G$10,K$10,$G401=$G$13,K$13,$G401=$G$14,K$14,$G401=$G$16,K$16,$G401=$G$17,K$17,$G401=$G$19,K$19,$G401=$G$20,K$20,$G401=$G$22,K$22,$G401=$G$23,K$23,$G401=$G$26,K$26,$G401=$G$29,K$29,$G401=$G$31,K$31,$G401=$G$34,K$34,$G401=$G$37,K$37,$G401=$G$107,K$107,$G401=$G$110,K$110,$G401=$G$140,K$140,$G401=$G$142,K$142,$G401=$G$408,K$408)</f>
        <v>BG sentinel + BG lure7</v>
      </c>
      <c r="O401" s="13" t="str">
        <f t="shared" si="39"/>
        <v>A_SP_BCN_22_220913</v>
      </c>
      <c r="P401" s="27">
        <v>44817</v>
      </c>
      <c r="Q401" s="29">
        <v>0.71180555555555547</v>
      </c>
      <c r="R401" s="33"/>
      <c r="S401" s="31">
        <v>44825</v>
      </c>
      <c r="T401" s="29">
        <v>0.67361111111111116</v>
      </c>
      <c r="V401" s="13" t="s">
        <v>86</v>
      </c>
      <c r="X401" s="13">
        <f t="shared" si="40"/>
        <v>8</v>
      </c>
      <c r="Z401" s="13" t="s">
        <v>60</v>
      </c>
      <c r="AA401" s="13">
        <f t="shared" ref="AA401:AA464" si="43">SUM(AC401:AD401)</f>
        <v>60</v>
      </c>
      <c r="AB401" s="13" t="str">
        <f t="shared" si="41"/>
        <v>Adult</v>
      </c>
      <c r="AC401" s="13">
        <v>53</v>
      </c>
      <c r="AD401" s="13">
        <v>7</v>
      </c>
      <c r="AE401" s="13" t="str">
        <f t="shared" si="42"/>
        <v>Morphological</v>
      </c>
      <c r="AF401" s="2">
        <v>4</v>
      </c>
    </row>
    <row r="402" spans="1:32" x14ac:dyDescent="0.25">
      <c r="A402" s="13">
        <v>398</v>
      </c>
      <c r="B402" s="23" t="s">
        <v>56</v>
      </c>
      <c r="C402" s="23" t="s">
        <v>57</v>
      </c>
      <c r="D402" s="23" t="s">
        <v>58</v>
      </c>
      <c r="E402" s="23" t="s">
        <v>58</v>
      </c>
      <c r="F402" s="35" cm="1">
        <f t="array" ref="F402">_xlfn.IFS($G402=$G$5,F$5,$G402=$G$7,F$7,$G402=$G$10,F$10,$G402=$G$13,F$13,$G402=$G$14,F$14,$G402=$G$16,F$16,$G402=$G$17,F$17,$G402=$G$19,F$19,$G402=$G$20,F$20,$G402=$G$22,F$22,$G402=$G$23,F$23,$G402=$G$26,F$26,$G402=$G$29,F$29,$G402=$G$31,F$31,$G402=$G$34,F$34,$G402=$G$37,F$37,$G402=$G$107,F$107,$G402=$G$110,F$110,$G402=$G$140,F$140,$G402=$G$142,F$142,$G402=$G$408,F$408)</f>
        <v>8017</v>
      </c>
      <c r="G402" s="13" t="s">
        <v>77</v>
      </c>
      <c r="H402" s="51" cm="1">
        <f t="array" ref="H402">_xlfn.IFS($G402=$G$5,H$5,$G402=$G$7,H$7,$G402=$G$10,H$10,$G402=$G$13,H$13,$G402=$G$14,H$14,$G402=$G$16,H$16,$G402=$G$17,H$17,$G402=$G$19,H$19,$G402=$G$20,H$20,$G402=$G$22,H$22,$G402=$G$23,H$23,$G402=$G$26,H$26,$G402=$G$29,H$29,$G402=$G$31,H$31,$G402=$G$34,H$34,$G402=$G$37,H$37,$G402=$G$107,H$107,$G402=$G$110,H$110,$G402=$G$140,H$140,$G402=$G$142,H$142,$G402=$G$408,H$408)</f>
        <v>41.430315999999998</v>
      </c>
      <c r="I402" s="51" cm="1">
        <f t="array" ref="I402">_xlfn.IFS($G402=$G$5,I$5,$G402=$G$7,I$7,$G402=$G$10,I$10,$G402=$G$13,I$13,$G402=$G$14,I$14,$G402=$G$16,I$16,$G402=$G$17,I$17,$G402=$G$19,I$19,$G402=$G$20,I$20,$G402=$G$22,I$22,$G402=$G$23,I$23,$G402=$G$26,I$26,$G402=$G$29,I$29,$G402=$G$31,I$31,$G402=$G$34,I$34,$G402=$G$37,I$37,$G402=$G$107,I$107,$G402=$G$110,I$110,$G402=$G$140,I$140,$G402=$G$142,I$142,$G402=$G$408,I$408)</f>
        <v>2.077556</v>
      </c>
      <c r="J402" s="51" cm="1">
        <f t="array" ref="J402">_xlfn.IFS($G402=$G$5,J$5,$G402=$G$7,J$7,$G402=$G$10,J$10,$G402=$G$13,J$13,$G402=$G$14,J$14,$G402=$G$16,J$16,$G402=$G$17,J$17,$G402=$G$19,J$19,$G402=$G$20,J$20,$G402=$G$22,J$22,$G402=$G$23,J$23,$G402=$G$26,J$26,$G402=$G$29,J$29,$G402=$G$31,J$31,$G402=$G$34,J$34,$G402=$G$37,J$37,$G402=$G$107,J$107,$G402=$G$110,J$110,$G402=$G$140,J$140,$G402=$G$142,J$142,$G402=$G$408,J$408)</f>
        <v>243.3</v>
      </c>
      <c r="K402" s="13" t="str" cm="1">
        <f t="array" ref="K402">_xlfn.IFS($G402=$G$5,K$5,$G402=$G$7,K$7,$G402=$G$10,K$10,$G402=$G$13,K$13,$G402=$G$14,K$14,$G402=$G$16,K$16,$G402=$G$17,K$17,$G402=$G$19,K$19,$G402=$G$20,K$20,$G402=$G$22,K$22,$G402=$G$23,K$23,$G402=$G$26,K$26,$G402=$G$29,K$29,$G402=$G$31,K$31,$G402=$G$34,K$34,$G402=$G$37,K$37,$G402=$G$107,K$107,$G402=$G$110,K$110,$G402=$G$140,K$140,$G402=$G$142,K$142,$G402=$G$408,K$408)</f>
        <v>BG sentinel + BG lure7</v>
      </c>
      <c r="O402" s="13" t="str">
        <f t="shared" si="39"/>
        <v>A_SP_BCN_22_220913</v>
      </c>
      <c r="P402" s="27">
        <v>44817</v>
      </c>
      <c r="Q402" s="29">
        <v>0.71180555555555547</v>
      </c>
      <c r="R402" s="33"/>
      <c r="S402" s="31">
        <v>44825</v>
      </c>
      <c r="T402" s="29">
        <v>0.67361111111111116</v>
      </c>
      <c r="V402" s="13" t="s">
        <v>86</v>
      </c>
      <c r="X402" s="13">
        <f t="shared" si="40"/>
        <v>8</v>
      </c>
      <c r="Z402" s="13" t="s">
        <v>164</v>
      </c>
      <c r="AA402" s="13">
        <f t="shared" si="43"/>
        <v>9</v>
      </c>
      <c r="AB402" s="13" t="str">
        <f t="shared" si="41"/>
        <v>Adult</v>
      </c>
      <c r="AC402" s="13">
        <v>7</v>
      </c>
      <c r="AD402" s="13">
        <v>2</v>
      </c>
      <c r="AE402" s="13" t="str">
        <f t="shared" si="42"/>
        <v>Morphological</v>
      </c>
      <c r="AF402" s="2">
        <v>4</v>
      </c>
    </row>
    <row r="403" spans="1:32" x14ac:dyDescent="0.25">
      <c r="A403" s="13">
        <v>399</v>
      </c>
      <c r="B403" s="23" t="s">
        <v>56</v>
      </c>
      <c r="C403" s="23" t="s">
        <v>57</v>
      </c>
      <c r="D403" s="23" t="s">
        <v>58</v>
      </c>
      <c r="E403" s="23" t="s">
        <v>58</v>
      </c>
      <c r="F403" s="35" cm="1">
        <f t="array" ref="F403">_xlfn.IFS($G403=$G$5,F$5,$G403=$G$7,F$7,$G403=$G$10,F$10,$G403=$G$13,F$13,$G403=$G$14,F$14,$G403=$G$16,F$16,$G403=$G$17,F$17,$G403=$G$19,F$19,$G403=$G$20,F$20,$G403=$G$22,F$22,$G403=$G$23,F$23,$G403=$G$26,F$26,$G403=$G$29,F$29,$G403=$G$31,F$31,$G403=$G$34,F$34,$G403=$G$37,F$37,$G403=$G$107,F$107,$G403=$G$110,F$110,$G403=$G$140,F$140,$G403=$G$142,F$142,$G403=$G$408,F$408)</f>
        <v>8038</v>
      </c>
      <c r="G403" s="13" t="s">
        <v>79</v>
      </c>
      <c r="H403" s="51" cm="1">
        <f t="array" ref="H403">_xlfn.IFS($G403=$G$5,H$5,$G403=$G$7,H$7,$G403=$G$10,H$10,$G403=$G$13,H$13,$G403=$G$14,H$14,$G403=$G$16,H$16,$G403=$G$17,H$17,$G403=$G$19,H$19,$G403=$G$20,H$20,$G403=$G$22,H$22,$G403=$G$23,H$23,$G403=$G$26,H$26,$G403=$G$29,H$29,$G403=$G$31,H$31,$G403=$G$34,H$34,$G403=$G$37,H$37,$G403=$G$107,H$107,$G403=$G$110,H$110,$G403=$G$140,H$140,$G403=$G$142,H$142,$G403=$G$408,H$408)</f>
        <v>41.367100000000001</v>
      </c>
      <c r="I403" s="51" cm="1">
        <f t="array" ref="I403">_xlfn.IFS($G403=$G$5,I$5,$G403=$G$7,I$7,$G403=$G$10,I$10,$G403=$G$13,I$13,$G403=$G$14,I$14,$G403=$G$16,I$16,$G403=$G$17,I$17,$G403=$G$19,I$19,$G403=$G$20,I$20,$G403=$G$22,I$22,$G403=$G$23,I$23,$G403=$G$26,I$26,$G403=$G$29,I$29,$G403=$G$31,I$31,$G403=$G$34,I$34,$G403=$G$37,I$37,$G403=$G$107,I$107,$G403=$G$110,I$110,$G403=$G$140,I$140,$G403=$G$142,I$142,$G403=$G$408,I$408)</f>
        <v>2.1539079999999999</v>
      </c>
      <c r="J403" s="51" cm="1">
        <f t="array" ref="J403">_xlfn.IFS($G403=$G$5,J$5,$G403=$G$7,J$7,$G403=$G$10,J$10,$G403=$G$13,J$13,$G403=$G$14,J$14,$G403=$G$16,J$16,$G403=$G$17,J$17,$G403=$G$19,J$19,$G403=$G$20,J$20,$G403=$G$22,J$22,$G403=$G$23,J$23,$G403=$G$26,J$26,$G403=$G$29,J$29,$G403=$G$31,J$31,$G403=$G$34,J$34,$G403=$G$37,J$37,$G403=$G$107,J$107,$G403=$G$110,J$110,$G403=$G$140,J$140,$G403=$G$142,J$142,$G403=$G$408,J$408)</f>
        <v>68</v>
      </c>
      <c r="K403" s="13" t="str" cm="1">
        <f t="array" ref="K403">_xlfn.IFS($G403=$G$5,K$5,$G403=$G$7,K$7,$G403=$G$10,K$10,$G403=$G$13,K$13,$G403=$G$14,K$14,$G403=$G$16,K$16,$G403=$G$17,K$17,$G403=$G$19,K$19,$G403=$G$20,K$20,$G403=$G$22,K$22,$G403=$G$23,K$23,$G403=$G$26,K$26,$G403=$G$29,K$29,$G403=$G$31,K$31,$G403=$G$34,K$34,$G403=$G$37,K$37,$G403=$G$107,K$107,$G403=$G$110,K$110,$G403=$G$140,K$140,$G403=$G$142,K$142,$G403=$G$408,K$408)</f>
        <v>BG sentinel + BG lure7</v>
      </c>
      <c r="O403" s="13" t="str">
        <f t="shared" si="39"/>
        <v>A_SP_BCN_23_220913</v>
      </c>
      <c r="P403" s="27">
        <v>44817</v>
      </c>
      <c r="Q403" s="29">
        <v>0.59722222222222221</v>
      </c>
      <c r="R403" s="33"/>
      <c r="S403" s="31">
        <v>44825</v>
      </c>
      <c r="T403" s="29">
        <v>0.55208333333333337</v>
      </c>
      <c r="V403" s="13" t="s">
        <v>86</v>
      </c>
      <c r="W403" t="s">
        <v>191</v>
      </c>
      <c r="X403" s="13">
        <f t="shared" si="40"/>
        <v>8</v>
      </c>
      <c r="Z403" s="13" t="s">
        <v>60</v>
      </c>
      <c r="AA403" s="13">
        <f t="shared" si="43"/>
        <v>44</v>
      </c>
      <c r="AB403" s="13" t="str">
        <f t="shared" si="41"/>
        <v>Adult</v>
      </c>
      <c r="AC403" s="13">
        <v>33</v>
      </c>
      <c r="AD403" s="13">
        <v>11</v>
      </c>
      <c r="AE403" s="13" t="str">
        <f t="shared" si="42"/>
        <v>Morphological</v>
      </c>
      <c r="AF403" s="2">
        <v>3</v>
      </c>
    </row>
    <row r="404" spans="1:32" x14ac:dyDescent="0.25">
      <c r="A404" s="13">
        <v>400</v>
      </c>
      <c r="B404" s="23" t="s">
        <v>56</v>
      </c>
      <c r="C404" s="23" t="s">
        <v>57</v>
      </c>
      <c r="D404" s="23" t="s">
        <v>58</v>
      </c>
      <c r="E404" s="23" t="s">
        <v>58</v>
      </c>
      <c r="F404" s="35" cm="1">
        <f t="array" ref="F404">_xlfn.IFS($G404=$G$5,F$5,$G404=$G$7,F$7,$G404=$G$10,F$10,$G404=$G$13,F$13,$G404=$G$14,F$14,$G404=$G$16,F$16,$G404=$G$17,F$17,$G404=$G$19,F$19,$G404=$G$20,F$20,$G404=$G$22,F$22,$G404=$G$23,F$23,$G404=$G$26,F$26,$G404=$G$29,F$29,$G404=$G$31,F$31,$G404=$G$34,F$34,$G404=$G$37,F$37,$G404=$G$107,F$107,$G404=$G$110,F$110,$G404=$G$140,F$140,$G404=$G$142,F$142,$G404=$G$408,F$408)</f>
        <v>8038</v>
      </c>
      <c r="G404" s="13" t="s">
        <v>79</v>
      </c>
      <c r="H404" s="51" cm="1">
        <f t="array" ref="H404">_xlfn.IFS($G404=$G$5,H$5,$G404=$G$7,H$7,$G404=$G$10,H$10,$G404=$G$13,H$13,$G404=$G$14,H$14,$G404=$G$16,H$16,$G404=$G$17,H$17,$G404=$G$19,H$19,$G404=$G$20,H$20,$G404=$G$22,H$22,$G404=$G$23,H$23,$G404=$G$26,H$26,$G404=$G$29,H$29,$G404=$G$31,H$31,$G404=$G$34,H$34,$G404=$G$37,H$37,$G404=$G$107,H$107,$G404=$G$110,H$110,$G404=$G$140,H$140,$G404=$G$142,H$142,$G404=$G$408,H$408)</f>
        <v>41.367100000000001</v>
      </c>
      <c r="I404" s="51" cm="1">
        <f t="array" ref="I404">_xlfn.IFS($G404=$G$5,I$5,$G404=$G$7,I$7,$G404=$G$10,I$10,$G404=$G$13,I$13,$G404=$G$14,I$14,$G404=$G$16,I$16,$G404=$G$17,I$17,$G404=$G$19,I$19,$G404=$G$20,I$20,$G404=$G$22,I$22,$G404=$G$23,I$23,$G404=$G$26,I$26,$G404=$G$29,I$29,$G404=$G$31,I$31,$G404=$G$34,I$34,$G404=$G$37,I$37,$G404=$G$107,I$107,$G404=$G$110,I$110,$G404=$G$140,I$140,$G404=$G$142,I$142,$G404=$G$408,I$408)</f>
        <v>2.1539079999999999</v>
      </c>
      <c r="J404" s="51" cm="1">
        <f t="array" ref="J404">_xlfn.IFS($G404=$G$5,J$5,$G404=$G$7,J$7,$G404=$G$10,J$10,$G404=$G$13,J$13,$G404=$G$14,J$14,$G404=$G$16,J$16,$G404=$G$17,J$17,$G404=$G$19,J$19,$G404=$G$20,J$20,$G404=$G$22,J$22,$G404=$G$23,J$23,$G404=$G$26,J$26,$G404=$G$29,J$29,$G404=$G$31,J$31,$G404=$G$34,J$34,$G404=$G$37,J$37,$G404=$G$107,J$107,$G404=$G$110,J$110,$G404=$G$140,J$140,$G404=$G$142,J$142,$G404=$G$408,J$408)</f>
        <v>68</v>
      </c>
      <c r="K404" s="13" t="str" cm="1">
        <f t="array" ref="K404">_xlfn.IFS($G404=$G$5,K$5,$G404=$G$7,K$7,$G404=$G$10,K$10,$G404=$G$13,K$13,$G404=$G$14,K$14,$G404=$G$16,K$16,$G404=$G$17,K$17,$G404=$G$19,K$19,$G404=$G$20,K$20,$G404=$G$22,K$22,$G404=$G$23,K$23,$G404=$G$26,K$26,$G404=$G$29,K$29,$G404=$G$31,K$31,$G404=$G$34,K$34,$G404=$G$37,K$37,$G404=$G$107,K$107,$G404=$G$110,K$110,$G404=$G$140,K$140,$G404=$G$142,K$142,$G404=$G$408,K$408)</f>
        <v>BG sentinel + BG lure7</v>
      </c>
      <c r="O404" s="13" t="str">
        <f t="shared" si="39"/>
        <v>A_SP_BCN_23_220913</v>
      </c>
      <c r="P404" s="27">
        <v>44817</v>
      </c>
      <c r="Q404" s="29">
        <v>0.59722222222222221</v>
      </c>
      <c r="R404" s="33"/>
      <c r="S404" s="31">
        <v>44825</v>
      </c>
      <c r="T404" s="29">
        <v>0.55208333333333337</v>
      </c>
      <c r="V404" s="13" t="s">
        <v>86</v>
      </c>
      <c r="W404" t="s">
        <v>191</v>
      </c>
      <c r="X404" s="13">
        <f t="shared" si="40"/>
        <v>8</v>
      </c>
      <c r="Z404" s="13" t="s">
        <v>164</v>
      </c>
      <c r="AA404" s="13">
        <f t="shared" si="43"/>
        <v>10</v>
      </c>
      <c r="AB404" s="13" t="str">
        <f t="shared" si="41"/>
        <v>Adult</v>
      </c>
      <c r="AC404" s="13">
        <v>4</v>
      </c>
      <c r="AD404" s="13">
        <v>6</v>
      </c>
      <c r="AE404" s="13" t="str">
        <f t="shared" si="42"/>
        <v>Morphological</v>
      </c>
      <c r="AF404" s="2">
        <v>3</v>
      </c>
    </row>
    <row r="405" spans="1:32" x14ac:dyDescent="0.25">
      <c r="A405" s="13">
        <v>401</v>
      </c>
      <c r="B405" s="23" t="s">
        <v>56</v>
      </c>
      <c r="C405" s="23" t="s">
        <v>57</v>
      </c>
      <c r="D405" s="23" t="s">
        <v>58</v>
      </c>
      <c r="E405" s="23" t="s">
        <v>58</v>
      </c>
      <c r="F405" s="35" cm="1">
        <f t="array" ref="F405">_xlfn.IFS($G405=$G$5,F$5,$G405=$G$7,F$7,$G405=$G$10,F$10,$G405=$G$13,F$13,$G405=$G$14,F$14,$G405=$G$16,F$16,$G405=$G$17,F$17,$G405=$G$19,F$19,$G405=$G$20,F$20,$G405=$G$22,F$22,$G405=$G$23,F$23,$G405=$G$26,F$26,$G405=$G$29,F$29,$G405=$G$31,F$31,$G405=$G$34,F$34,$G405=$G$37,F$37,$G405=$G$107,F$107,$G405=$G$110,F$110,$G405=$G$140,F$140,$G405=$G$142,F$142,$G405=$G$408,F$408)</f>
        <v>8015</v>
      </c>
      <c r="G405" s="13" t="s">
        <v>78</v>
      </c>
      <c r="H405" s="51" cm="1">
        <f t="array" ref="H405">_xlfn.IFS($G405=$G$5,H$5,$G405=$G$7,H$7,$G405=$G$10,H$10,$G405=$G$13,H$13,$G405=$G$14,H$14,$G405=$G$16,H$16,$G405=$G$17,H$17,$G405=$G$19,H$19,$G405=$G$20,H$20,$G405=$G$22,H$22,$G405=$G$23,H$23,$G405=$G$26,H$26,$G405=$G$29,H$29,$G405=$G$31,H$31,$G405=$G$34,H$34,$G405=$G$37,H$37,$G405=$G$107,H$107,$G405=$G$110,H$110,$G405=$G$140,H$140,$G405=$G$142,H$142,$G405=$G$408,H$408)</f>
        <v>41.381725000000003</v>
      </c>
      <c r="I405" s="51" cm="1">
        <f t="array" ref="I405">_xlfn.IFS($G405=$G$5,I$5,$G405=$G$7,I$7,$G405=$G$10,I$10,$G405=$G$13,I$13,$G405=$G$14,I$14,$G405=$G$16,I$16,$G405=$G$17,I$17,$G405=$G$19,I$19,$G405=$G$20,I$20,$G405=$G$22,I$22,$G405=$G$23,I$23,$G405=$G$26,I$26,$G405=$G$29,I$29,$G405=$G$31,I$31,$G405=$G$34,I$34,$G405=$G$37,I$37,$G405=$G$107,I$107,$G405=$G$110,I$110,$G405=$G$140,I$140,$G405=$G$142,I$142,$G405=$G$408,I$408)</f>
        <v>2.1543679999999998</v>
      </c>
      <c r="J405" s="51" cm="1">
        <f t="array" ref="J405">_xlfn.IFS($G405=$G$5,J$5,$G405=$G$7,J$7,$G405=$G$10,J$10,$G405=$G$13,J$13,$G405=$G$14,J$14,$G405=$G$16,J$16,$G405=$G$17,J$17,$G405=$G$19,J$19,$G405=$G$20,J$20,$G405=$G$22,J$22,$G405=$G$23,J$23,$G405=$G$26,J$26,$G405=$G$29,J$29,$G405=$G$31,J$31,$G405=$G$34,J$34,$G405=$G$37,J$37,$G405=$G$107,J$107,$G405=$G$110,J$110,$G405=$G$140,J$140,$G405=$G$142,J$142,$G405=$G$408,J$408)</f>
        <v>20.7</v>
      </c>
      <c r="K405" s="13" t="str" cm="1">
        <f t="array" ref="K405">_xlfn.IFS($G405=$G$5,K$5,$G405=$G$7,K$7,$G405=$G$10,K$10,$G405=$G$13,K$13,$G405=$G$14,K$14,$G405=$G$16,K$16,$G405=$G$17,K$17,$G405=$G$19,K$19,$G405=$G$20,K$20,$G405=$G$22,K$22,$G405=$G$23,K$23,$G405=$G$26,K$26,$G405=$G$29,K$29,$G405=$G$31,K$31,$G405=$G$34,K$34,$G405=$G$37,K$37,$G405=$G$107,K$107,$G405=$G$110,K$110,$G405=$G$140,K$140,$G405=$G$142,K$142,$G405=$G$408,K$408)</f>
        <v>BG sentinel + BG lure7</v>
      </c>
      <c r="O405" s="13" t="str">
        <f t="shared" si="39"/>
        <v>A_SP_BCN_24_220913</v>
      </c>
      <c r="P405" s="27">
        <v>44817</v>
      </c>
      <c r="Q405" s="29">
        <v>0.86458333333333337</v>
      </c>
      <c r="R405" s="33"/>
      <c r="S405" s="31">
        <v>44825</v>
      </c>
      <c r="T405" s="29">
        <v>0.86458333333333337</v>
      </c>
      <c r="V405" s="13" t="s">
        <v>86</v>
      </c>
      <c r="X405" s="13">
        <f t="shared" si="40"/>
        <v>8</v>
      </c>
      <c r="Z405" s="13" t="s">
        <v>60</v>
      </c>
      <c r="AA405" s="13">
        <f t="shared" si="43"/>
        <v>136</v>
      </c>
      <c r="AB405" s="13" t="str">
        <f t="shared" si="41"/>
        <v>Adult</v>
      </c>
      <c r="AC405" s="13">
        <v>57</v>
      </c>
      <c r="AD405" s="13">
        <v>79</v>
      </c>
      <c r="AE405" s="13" t="str">
        <f t="shared" si="42"/>
        <v>Morphological</v>
      </c>
      <c r="AF405" s="2">
        <v>4</v>
      </c>
    </row>
    <row r="406" spans="1:32" x14ac:dyDescent="0.25">
      <c r="A406" s="13">
        <v>402</v>
      </c>
      <c r="B406" s="23" t="s">
        <v>56</v>
      </c>
      <c r="C406" s="23" t="s">
        <v>57</v>
      </c>
      <c r="D406" s="23" t="s">
        <v>58</v>
      </c>
      <c r="E406" s="23" t="s">
        <v>58</v>
      </c>
      <c r="F406" s="35" cm="1">
        <f t="array" ref="F406">_xlfn.IFS($G406=$G$5,F$5,$G406=$G$7,F$7,$G406=$G$10,F$10,$G406=$G$13,F$13,$G406=$G$14,F$14,$G406=$G$16,F$16,$G406=$G$17,F$17,$G406=$G$19,F$19,$G406=$G$20,F$20,$G406=$G$22,F$22,$G406=$G$23,F$23,$G406=$G$26,F$26,$G406=$G$29,F$29,$G406=$G$31,F$31,$G406=$G$34,F$34,$G406=$G$37,F$37,$G406=$G$107,F$107,$G406=$G$110,F$110,$G406=$G$140,F$140,$G406=$G$142,F$142,$G406=$G$408,F$408)</f>
        <v>8025</v>
      </c>
      <c r="G406" s="13" t="s">
        <v>122</v>
      </c>
      <c r="H406" s="51" cm="1">
        <f t="array" ref="H406">_xlfn.IFS($G406=$G$5,H$5,$G406=$G$7,H$7,$G406=$G$10,H$10,$G406=$G$13,H$13,$G406=$G$14,H$14,$G406=$G$16,H$16,$G406=$G$17,H$17,$G406=$G$19,H$19,$G406=$G$20,H$20,$G406=$G$22,H$22,$G406=$G$23,H$23,$G406=$G$26,H$26,$G406=$G$29,H$29,$G406=$G$31,H$31,$G406=$G$34,H$34,$G406=$G$37,H$37,$G406=$G$107,H$107,$G406=$G$110,H$110,$G406=$G$140,H$140,$G406=$G$142,H$142,$G406=$G$408,H$408)</f>
        <v>41.407992</v>
      </c>
      <c r="I406" s="51" cm="1">
        <f t="array" ref="I406">_xlfn.IFS($G406=$G$5,I$5,$G406=$G$7,I$7,$G406=$G$10,I$10,$G406=$G$13,I$13,$G406=$G$14,I$14,$G406=$G$16,I$16,$G406=$G$17,I$17,$G406=$G$19,I$19,$G406=$G$20,I$20,$G406=$G$22,I$22,$G406=$G$23,I$23,$G406=$G$26,I$26,$G406=$G$29,I$29,$G406=$G$31,I$31,$G406=$G$34,I$34,$G406=$G$37,I$37,$G406=$G$107,I$107,$G406=$G$110,I$110,$G406=$G$140,I$140,$G406=$G$142,I$142,$G406=$G$408,I$408)</f>
        <v>2.1679379999999999</v>
      </c>
      <c r="J406" s="51" cm="1">
        <f t="array" ref="J406">_xlfn.IFS($G406=$G$5,J$5,$G406=$G$7,J$7,$G406=$G$10,J$10,$G406=$G$13,J$13,$G406=$G$14,J$14,$G406=$G$16,J$16,$G406=$G$17,J$17,$G406=$G$19,J$19,$G406=$G$20,J$20,$G406=$G$22,J$22,$G406=$G$23,J$23,$G406=$G$26,J$26,$G406=$G$29,J$29,$G406=$G$31,J$31,$G406=$G$34,J$34,$G406=$G$37,J$37,$G406=$G$107,J$107,$G406=$G$110,J$110,$G406=$G$140,J$140,$G406=$G$142,J$142,$G406=$G$408,J$408)</f>
        <v>61</v>
      </c>
      <c r="K406" s="13" t="str" cm="1">
        <f t="array" ref="K406">_xlfn.IFS($G406=$G$5,K$5,$G406=$G$7,K$7,$G406=$G$10,K$10,$G406=$G$13,K$13,$G406=$G$14,K$14,$G406=$G$16,K$16,$G406=$G$17,K$17,$G406=$G$19,K$19,$G406=$G$20,K$20,$G406=$G$22,K$22,$G406=$G$23,K$23,$G406=$G$26,K$26,$G406=$G$29,K$29,$G406=$G$31,K$31,$G406=$G$34,K$34,$G406=$G$37,K$37,$G406=$G$107,K$107,$G406=$G$110,K$110,$G406=$G$140,K$140,$G406=$G$142,K$142,$G406=$G$408,K$408)</f>
        <v>BG sentinel</v>
      </c>
      <c r="O406" s="13" t="str">
        <f t="shared" si="39"/>
        <v>A_SP_BCN_25_220914</v>
      </c>
      <c r="P406" s="31">
        <v>44818</v>
      </c>
      <c r="Q406" s="29">
        <v>0.72916666666666663</v>
      </c>
      <c r="R406" s="33"/>
      <c r="S406" s="31">
        <v>44825</v>
      </c>
      <c r="T406" s="29">
        <v>0.60416666666666663</v>
      </c>
      <c r="V406" s="13" t="s">
        <v>86</v>
      </c>
      <c r="W406" t="s">
        <v>192</v>
      </c>
      <c r="X406" s="13">
        <f t="shared" si="40"/>
        <v>7</v>
      </c>
      <c r="Z406" s="13" t="s">
        <v>60</v>
      </c>
      <c r="AA406" s="13">
        <f t="shared" si="43"/>
        <v>20</v>
      </c>
      <c r="AB406" s="13" t="str">
        <f t="shared" si="41"/>
        <v>Adult</v>
      </c>
      <c r="AC406" s="13">
        <v>11</v>
      </c>
      <c r="AD406" s="13">
        <v>9</v>
      </c>
      <c r="AE406" s="13" t="str">
        <f t="shared" si="42"/>
        <v>Morphological</v>
      </c>
      <c r="AF406" s="2">
        <v>3</v>
      </c>
    </row>
    <row r="407" spans="1:32" x14ac:dyDescent="0.25">
      <c r="A407" s="13">
        <v>403</v>
      </c>
      <c r="B407" s="23" t="s">
        <v>56</v>
      </c>
      <c r="C407" s="23" t="s">
        <v>57</v>
      </c>
      <c r="D407" s="23" t="s">
        <v>58</v>
      </c>
      <c r="E407" s="23" t="s">
        <v>58</v>
      </c>
      <c r="F407" s="35" cm="1">
        <f t="array" ref="F407">_xlfn.IFS($G407=$G$5,F$5,$G407=$G$7,F$7,$G407=$G$10,F$10,$G407=$G$13,F$13,$G407=$G$14,F$14,$G407=$G$16,F$16,$G407=$G$17,F$17,$G407=$G$19,F$19,$G407=$G$20,F$20,$G407=$G$22,F$22,$G407=$G$23,F$23,$G407=$G$26,F$26,$G407=$G$29,F$29,$G407=$G$31,F$31,$G407=$G$34,F$34,$G407=$G$37,F$37,$G407=$G$107,F$107,$G407=$G$110,F$110,$G407=$G$140,F$140,$G407=$G$142,F$142,$G407=$G$408,F$408)</f>
        <v>8025</v>
      </c>
      <c r="G407" s="13" t="s">
        <v>122</v>
      </c>
      <c r="H407" s="51" cm="1">
        <f t="array" ref="H407">_xlfn.IFS($G407=$G$5,H$5,$G407=$G$7,H$7,$G407=$G$10,H$10,$G407=$G$13,H$13,$G407=$G$14,H$14,$G407=$G$16,H$16,$G407=$G$17,H$17,$G407=$G$19,H$19,$G407=$G$20,H$20,$G407=$G$22,H$22,$G407=$G$23,H$23,$G407=$G$26,H$26,$G407=$G$29,H$29,$G407=$G$31,H$31,$G407=$G$34,H$34,$G407=$G$37,H$37,$G407=$G$107,H$107,$G407=$G$110,H$110,$G407=$G$140,H$140,$G407=$G$142,H$142,$G407=$G$408,H$408)</f>
        <v>41.407992</v>
      </c>
      <c r="I407" s="51" cm="1">
        <f t="array" ref="I407">_xlfn.IFS($G407=$G$5,I$5,$G407=$G$7,I$7,$G407=$G$10,I$10,$G407=$G$13,I$13,$G407=$G$14,I$14,$G407=$G$16,I$16,$G407=$G$17,I$17,$G407=$G$19,I$19,$G407=$G$20,I$20,$G407=$G$22,I$22,$G407=$G$23,I$23,$G407=$G$26,I$26,$G407=$G$29,I$29,$G407=$G$31,I$31,$G407=$G$34,I$34,$G407=$G$37,I$37,$G407=$G$107,I$107,$G407=$G$110,I$110,$G407=$G$140,I$140,$G407=$G$142,I$142,$G407=$G$408,I$408)</f>
        <v>2.1679379999999999</v>
      </c>
      <c r="J407" s="51" cm="1">
        <f t="array" ref="J407">_xlfn.IFS($G407=$G$5,J$5,$G407=$G$7,J$7,$G407=$G$10,J$10,$G407=$G$13,J$13,$G407=$G$14,J$14,$G407=$G$16,J$16,$G407=$G$17,J$17,$G407=$G$19,J$19,$G407=$G$20,J$20,$G407=$G$22,J$22,$G407=$G$23,J$23,$G407=$G$26,J$26,$G407=$G$29,J$29,$G407=$G$31,J$31,$G407=$G$34,J$34,$G407=$G$37,J$37,$G407=$G$107,J$107,$G407=$G$110,J$110,$G407=$G$140,J$140,$G407=$G$142,J$142,$G407=$G$408,J$408)</f>
        <v>61</v>
      </c>
      <c r="K407" s="13" t="str" cm="1">
        <f t="array" ref="K407">_xlfn.IFS($G407=$G$5,K$5,$G407=$G$7,K$7,$G407=$G$10,K$10,$G407=$G$13,K$13,$G407=$G$14,K$14,$G407=$G$16,K$16,$G407=$G$17,K$17,$G407=$G$19,K$19,$G407=$G$20,K$20,$G407=$G$22,K$22,$G407=$G$23,K$23,$G407=$G$26,K$26,$G407=$G$29,K$29,$G407=$G$31,K$31,$G407=$G$34,K$34,$G407=$G$37,K$37,$G407=$G$107,K$107,$G407=$G$110,K$110,$G407=$G$140,K$140,$G407=$G$142,K$142,$G407=$G$408,K$408)</f>
        <v>BG sentinel</v>
      </c>
      <c r="O407" s="13" t="str">
        <f t="shared" si="39"/>
        <v>A_SP_BCN_25_220914</v>
      </c>
      <c r="P407" s="31">
        <v>44818</v>
      </c>
      <c r="Q407" s="29">
        <v>0.72916666666666663</v>
      </c>
      <c r="R407" s="33"/>
      <c r="S407" s="31">
        <v>44825</v>
      </c>
      <c r="T407" s="29">
        <v>0.60416666666666663</v>
      </c>
      <c r="V407" s="13" t="s">
        <v>86</v>
      </c>
      <c r="W407" t="s">
        <v>192</v>
      </c>
      <c r="X407" s="13">
        <f t="shared" si="40"/>
        <v>7</v>
      </c>
      <c r="Z407" s="32" t="s">
        <v>163</v>
      </c>
      <c r="AA407" s="13">
        <f t="shared" si="43"/>
        <v>1</v>
      </c>
      <c r="AB407" s="13" t="str">
        <f t="shared" si="41"/>
        <v>Adult</v>
      </c>
      <c r="AC407" s="13">
        <v>1</v>
      </c>
      <c r="AD407" s="13">
        <v>0</v>
      </c>
      <c r="AE407" s="13" t="str">
        <f t="shared" si="42"/>
        <v>Morphological</v>
      </c>
      <c r="AF407" s="2">
        <v>3</v>
      </c>
    </row>
    <row r="408" spans="1:32" x14ac:dyDescent="0.25">
      <c r="A408" s="13">
        <v>404</v>
      </c>
      <c r="B408" s="23" t="s">
        <v>56</v>
      </c>
      <c r="C408" s="23" t="s">
        <v>57</v>
      </c>
      <c r="D408" s="23" t="s">
        <v>58</v>
      </c>
      <c r="E408" s="23" t="s">
        <v>58</v>
      </c>
      <c r="F408" s="37">
        <v>8025</v>
      </c>
      <c r="G408" s="38" t="s">
        <v>104</v>
      </c>
      <c r="H408" s="52">
        <v>41.408046826557602</v>
      </c>
      <c r="I408" s="52">
        <v>2.1678084611616502</v>
      </c>
      <c r="J408" s="54">
        <v>61</v>
      </c>
      <c r="K408" s="13" t="s">
        <v>143</v>
      </c>
      <c r="O408" s="13" t="str">
        <f t="shared" si="39"/>
        <v>A_SP_BCN_26_220914</v>
      </c>
      <c r="P408" s="31">
        <v>44818</v>
      </c>
      <c r="Q408" s="29">
        <v>0.72916666666666663</v>
      </c>
      <c r="R408" s="33"/>
      <c r="S408" s="31">
        <v>44825</v>
      </c>
      <c r="T408" s="29">
        <v>0.60416666666666663</v>
      </c>
      <c r="V408" s="13" t="s">
        <v>86</v>
      </c>
      <c r="X408" s="13">
        <f t="shared" si="40"/>
        <v>7</v>
      </c>
      <c r="Z408" s="13" t="s">
        <v>60</v>
      </c>
      <c r="AA408" s="13">
        <f t="shared" si="43"/>
        <v>77</v>
      </c>
      <c r="AB408" s="13" t="str">
        <f t="shared" si="41"/>
        <v>Adult</v>
      </c>
      <c r="AC408" s="13">
        <v>54</v>
      </c>
      <c r="AD408" s="13">
        <v>23</v>
      </c>
      <c r="AE408" s="13" t="str">
        <f t="shared" si="42"/>
        <v>Morphological</v>
      </c>
      <c r="AF408" s="2">
        <v>4</v>
      </c>
    </row>
    <row r="409" spans="1:32" x14ac:dyDescent="0.25">
      <c r="A409" s="13">
        <v>405</v>
      </c>
      <c r="B409" s="23" t="s">
        <v>56</v>
      </c>
      <c r="C409" s="23" t="s">
        <v>57</v>
      </c>
      <c r="D409" s="23" t="s">
        <v>58</v>
      </c>
      <c r="E409" s="23" t="s">
        <v>58</v>
      </c>
      <c r="F409" s="24">
        <v>8025</v>
      </c>
      <c r="G409" s="13" t="s">
        <v>104</v>
      </c>
      <c r="H409" s="53">
        <v>41.408046826557602</v>
      </c>
      <c r="I409" s="53">
        <v>2.1678084611616502</v>
      </c>
      <c r="J409" s="34">
        <v>61</v>
      </c>
      <c r="K409" s="13" t="s">
        <v>143</v>
      </c>
      <c r="O409" s="13" t="str">
        <f t="shared" si="39"/>
        <v>A_SP_BCN_26_220914</v>
      </c>
      <c r="P409" s="31">
        <v>44818</v>
      </c>
      <c r="Q409" s="29">
        <v>0.72916666666666663</v>
      </c>
      <c r="R409" s="33"/>
      <c r="S409" s="31">
        <v>44825</v>
      </c>
      <c r="T409" s="29">
        <v>0.60416666666666663</v>
      </c>
      <c r="V409" s="13" t="s">
        <v>86</v>
      </c>
      <c r="X409" s="13">
        <f t="shared" si="40"/>
        <v>7</v>
      </c>
      <c r="Z409" s="13" t="s">
        <v>164</v>
      </c>
      <c r="AA409" s="13">
        <f t="shared" si="43"/>
        <v>1</v>
      </c>
      <c r="AB409" s="13" t="str">
        <f t="shared" si="41"/>
        <v>Adult</v>
      </c>
      <c r="AC409" s="13">
        <v>1</v>
      </c>
      <c r="AD409" s="13">
        <v>0</v>
      </c>
      <c r="AE409" s="13" t="str">
        <f t="shared" si="42"/>
        <v>Morphological</v>
      </c>
      <c r="AF409" s="2">
        <v>4</v>
      </c>
    </row>
    <row r="410" spans="1:32" x14ac:dyDescent="0.25">
      <c r="A410" s="13">
        <v>406</v>
      </c>
      <c r="B410" s="23" t="s">
        <v>56</v>
      </c>
      <c r="C410" s="23" t="s">
        <v>57</v>
      </c>
      <c r="D410" s="23" t="s">
        <v>58</v>
      </c>
      <c r="E410" s="23" t="s">
        <v>58</v>
      </c>
      <c r="F410" s="24">
        <v>8025</v>
      </c>
      <c r="G410" s="13" t="s">
        <v>104</v>
      </c>
      <c r="H410" s="53">
        <v>41.408046826557602</v>
      </c>
      <c r="I410" s="53">
        <v>2.1678084611616502</v>
      </c>
      <c r="J410" s="34">
        <v>61</v>
      </c>
      <c r="K410" s="13" t="s">
        <v>143</v>
      </c>
      <c r="O410" s="13" t="str">
        <f t="shared" si="39"/>
        <v>A_SP_BCN_26_220914</v>
      </c>
      <c r="P410" s="31">
        <v>44818</v>
      </c>
      <c r="Q410" s="29">
        <v>0.72916666666666663</v>
      </c>
      <c r="R410" s="33"/>
      <c r="S410" s="31">
        <v>44825</v>
      </c>
      <c r="T410" s="29">
        <v>0.60416666666666663</v>
      </c>
      <c r="V410" s="13" t="s">
        <v>86</v>
      </c>
      <c r="X410" s="13">
        <f t="shared" si="40"/>
        <v>7</v>
      </c>
      <c r="Z410" s="32" t="s">
        <v>163</v>
      </c>
      <c r="AA410" s="13">
        <f t="shared" si="43"/>
        <v>1</v>
      </c>
      <c r="AB410" s="13" t="str">
        <f t="shared" si="41"/>
        <v>Adult</v>
      </c>
      <c r="AC410" s="13">
        <v>0</v>
      </c>
      <c r="AD410" s="13">
        <v>1</v>
      </c>
      <c r="AE410" s="13" t="str">
        <f t="shared" si="42"/>
        <v>Morphological</v>
      </c>
      <c r="AF410" s="2">
        <v>4</v>
      </c>
    </row>
    <row r="411" spans="1:32" x14ac:dyDescent="0.25">
      <c r="A411" s="13">
        <v>407</v>
      </c>
      <c r="B411" s="23" t="s">
        <v>56</v>
      </c>
      <c r="C411" s="23" t="s">
        <v>57</v>
      </c>
      <c r="D411" s="23" t="s">
        <v>58</v>
      </c>
      <c r="E411" s="23" t="s">
        <v>58</v>
      </c>
      <c r="F411" s="35" cm="1">
        <f t="array" ref="F411">_xlfn.IFS($G411=$G$5,F$5,$G411=$G$7,F$7,$G411=$G$10,F$10,$G411=$G$13,F$13,$G411=$G$14,F$14,$G411=$G$16,F$16,$G411=$G$17,F$17,$G411=$G$19,F$19,$G411=$G$20,F$20,$G411=$G$22,F$22,$G411=$G$23,F$23,$G411=$G$26,F$26,$G411=$G$29,F$29,$G411=$G$31,F$31,$G411=$G$34,F$34,$G411=$G$37,F$37,$G411=$G$107,F$107,$G411=$G$110,F$110,$G411=$G$140,F$140,$G411=$G$142,F$142,$G411=$G$408,F$408)</f>
        <v>8017</v>
      </c>
      <c r="G411" s="13" t="s">
        <v>97</v>
      </c>
      <c r="H411" s="51" cm="1">
        <f t="array" ref="H411">_xlfn.IFS($G411=$G$5,H$5,$G411=$G$7,H$7,$G411=$G$10,H$10,$G411=$G$13,H$13,$G411=$G$14,H$14,$G411=$G$16,H$16,$G411=$G$17,H$17,$G411=$G$19,H$19,$G411=$G$20,H$20,$G411=$G$22,H$22,$G411=$G$23,H$23,$G411=$G$26,H$26,$G411=$G$29,H$29,$G411=$G$31,H$31,$G411=$G$34,H$34,$G411=$G$37,H$37,$G411=$G$107,H$107,$G411=$G$110,H$110,$G411=$G$140,H$140,$G411=$G$142,H$142,$G411=$G$408,H$408)</f>
        <v>41.430372407595499</v>
      </c>
      <c r="I411" s="51" cm="1">
        <f t="array" ref="I411">_xlfn.IFS($G411=$G$5,I$5,$G411=$G$7,I$7,$G411=$G$10,I$10,$G411=$G$13,I$13,$G411=$G$14,I$14,$G411=$G$16,I$16,$G411=$G$17,I$17,$G411=$G$19,I$19,$G411=$G$20,I$20,$G411=$G$22,I$22,$G411=$G$23,I$23,$G411=$G$26,I$26,$G411=$G$29,I$29,$G411=$G$31,I$31,$G411=$G$34,I$34,$G411=$G$37,I$37,$G411=$G$107,I$107,$G411=$G$110,I$110,$G411=$G$140,I$140,$G411=$G$142,I$142,$G411=$G$408,I$408)</f>
        <v>2.0778358219819002</v>
      </c>
      <c r="J411" s="51" cm="1">
        <f t="array" ref="J411">_xlfn.IFS($G411=$G$5,J$5,$G411=$G$7,J$7,$G411=$G$10,J$10,$G411=$G$13,J$13,$G411=$G$14,J$14,$G411=$G$16,J$16,$G411=$G$17,J$17,$G411=$G$19,J$19,$G411=$G$20,J$20,$G411=$G$22,J$22,$G411=$G$23,J$23,$G411=$G$26,J$26,$G411=$G$29,J$29,$G411=$G$31,J$31,$G411=$G$34,J$34,$G411=$G$37,J$37,$G411=$G$107,J$107,$G411=$G$110,J$110,$G411=$G$140,J$140,$G411=$G$142,J$142,$G411=$G$408,J$408)</f>
        <v>242</v>
      </c>
      <c r="K411" s="13" t="str" cm="1">
        <f t="array" ref="K411">_xlfn.IFS($G411=$G$5,K$5,$G411=$G$7,K$7,$G411=$G$10,K$10,$G411=$G$13,K$13,$G411=$G$14,K$14,$G411=$G$16,K$16,$G411=$G$17,K$17,$G411=$G$19,K$19,$G411=$G$20,K$20,$G411=$G$22,K$22,$G411=$G$23,K$23,$G411=$G$26,K$26,$G411=$G$29,K$29,$G411=$G$31,K$31,$G411=$G$34,K$34,$G411=$G$37,K$37,$G411=$G$107,K$107,$G411=$G$110,K$110,$G411=$G$140,K$140,$G411=$G$142,K$142,$G411=$G$408,K$408)</f>
        <v>Mtego</v>
      </c>
      <c r="O411" s="13" t="str">
        <f t="shared" si="39"/>
        <v>Premal_1_220913</v>
      </c>
      <c r="P411" s="27">
        <v>44817</v>
      </c>
      <c r="Q411" s="29">
        <v>0.71180555555555547</v>
      </c>
      <c r="R411" s="33"/>
      <c r="S411" s="31">
        <v>44825</v>
      </c>
      <c r="T411" s="29">
        <v>0.67361111111111116</v>
      </c>
      <c r="V411" s="13" t="s">
        <v>86</v>
      </c>
      <c r="X411" s="13">
        <f t="shared" si="40"/>
        <v>8</v>
      </c>
      <c r="Z411" s="13" t="s">
        <v>60</v>
      </c>
      <c r="AA411" s="13">
        <f t="shared" si="43"/>
        <v>26</v>
      </c>
      <c r="AB411" s="13" t="str">
        <f t="shared" si="41"/>
        <v>Adult</v>
      </c>
      <c r="AC411" s="13">
        <v>21</v>
      </c>
      <c r="AD411" s="13">
        <v>5</v>
      </c>
      <c r="AE411" s="13" t="str">
        <f t="shared" si="42"/>
        <v>Morphological</v>
      </c>
      <c r="AF411" s="2">
        <v>4</v>
      </c>
    </row>
    <row r="412" spans="1:32" x14ac:dyDescent="0.25">
      <c r="A412" s="13">
        <v>408</v>
      </c>
      <c r="B412" s="23" t="s">
        <v>56</v>
      </c>
      <c r="C412" s="23" t="s">
        <v>57</v>
      </c>
      <c r="D412" s="23" t="s">
        <v>58</v>
      </c>
      <c r="E412" s="23" t="s">
        <v>58</v>
      </c>
      <c r="F412" s="35" cm="1">
        <f t="array" ref="F412">_xlfn.IFS($G412=$G$5,F$5,$G412=$G$7,F$7,$G412=$G$10,F$10,$G412=$G$13,F$13,$G412=$G$14,F$14,$G412=$G$16,F$16,$G412=$G$17,F$17,$G412=$G$19,F$19,$G412=$G$20,F$20,$G412=$G$22,F$22,$G412=$G$23,F$23,$G412=$G$26,F$26,$G412=$G$29,F$29,$G412=$G$31,F$31,$G412=$G$34,F$34,$G412=$G$37,F$37,$G412=$G$107,F$107,$G412=$G$110,F$110,$G412=$G$140,F$140,$G412=$G$142,F$142,$G412=$G$408,F$408)</f>
        <v>8017</v>
      </c>
      <c r="G412" s="13" t="s">
        <v>97</v>
      </c>
      <c r="H412" s="51" cm="1">
        <f t="array" ref="H412">_xlfn.IFS($G412=$G$5,H$5,$G412=$G$7,H$7,$G412=$G$10,H$10,$G412=$G$13,H$13,$G412=$G$14,H$14,$G412=$G$16,H$16,$G412=$G$17,H$17,$G412=$G$19,H$19,$G412=$G$20,H$20,$G412=$G$22,H$22,$G412=$G$23,H$23,$G412=$G$26,H$26,$G412=$G$29,H$29,$G412=$G$31,H$31,$G412=$G$34,H$34,$G412=$G$37,H$37,$G412=$G$107,H$107,$G412=$G$110,H$110,$G412=$G$140,H$140,$G412=$G$142,H$142,$G412=$G$408,H$408)</f>
        <v>41.430372407595499</v>
      </c>
      <c r="I412" s="51" cm="1">
        <f t="array" ref="I412">_xlfn.IFS($G412=$G$5,I$5,$G412=$G$7,I$7,$G412=$G$10,I$10,$G412=$G$13,I$13,$G412=$G$14,I$14,$G412=$G$16,I$16,$G412=$G$17,I$17,$G412=$G$19,I$19,$G412=$G$20,I$20,$G412=$G$22,I$22,$G412=$G$23,I$23,$G412=$G$26,I$26,$G412=$G$29,I$29,$G412=$G$31,I$31,$G412=$G$34,I$34,$G412=$G$37,I$37,$G412=$G$107,I$107,$G412=$G$110,I$110,$G412=$G$140,I$140,$G412=$G$142,I$142,$G412=$G$408,I$408)</f>
        <v>2.0778358219819002</v>
      </c>
      <c r="J412" s="51" cm="1">
        <f t="array" ref="J412">_xlfn.IFS($G412=$G$5,J$5,$G412=$G$7,J$7,$G412=$G$10,J$10,$G412=$G$13,J$13,$G412=$G$14,J$14,$G412=$G$16,J$16,$G412=$G$17,J$17,$G412=$G$19,J$19,$G412=$G$20,J$20,$G412=$G$22,J$22,$G412=$G$23,J$23,$G412=$G$26,J$26,$G412=$G$29,J$29,$G412=$G$31,J$31,$G412=$G$34,J$34,$G412=$G$37,J$37,$G412=$G$107,J$107,$G412=$G$110,J$110,$G412=$G$140,J$140,$G412=$G$142,J$142,$G412=$G$408,J$408)</f>
        <v>242</v>
      </c>
      <c r="K412" s="13" t="str" cm="1">
        <f t="array" ref="K412">_xlfn.IFS($G412=$G$5,K$5,$G412=$G$7,K$7,$G412=$G$10,K$10,$G412=$G$13,K$13,$G412=$G$14,K$14,$G412=$G$16,K$16,$G412=$G$17,K$17,$G412=$G$19,K$19,$G412=$G$20,K$20,$G412=$G$22,K$22,$G412=$G$23,K$23,$G412=$G$26,K$26,$G412=$G$29,K$29,$G412=$G$31,K$31,$G412=$G$34,K$34,$G412=$G$37,K$37,$G412=$G$107,K$107,$G412=$G$110,K$110,$G412=$G$140,K$140,$G412=$G$142,K$142,$G412=$G$408,K$408)</f>
        <v>Mtego</v>
      </c>
      <c r="O412" s="13" t="str">
        <f t="shared" si="39"/>
        <v>Premal_1_220913</v>
      </c>
      <c r="P412" s="27">
        <v>44817</v>
      </c>
      <c r="Q412" s="29">
        <v>0.71180555555555547</v>
      </c>
      <c r="R412" s="33"/>
      <c r="S412" s="31">
        <v>44825</v>
      </c>
      <c r="T412" s="29">
        <v>0.67361111111111116</v>
      </c>
      <c r="V412" s="13" t="s">
        <v>86</v>
      </c>
      <c r="X412" s="13">
        <f t="shared" si="40"/>
        <v>8</v>
      </c>
      <c r="Z412" s="13" t="s">
        <v>164</v>
      </c>
      <c r="AA412" s="13">
        <f t="shared" si="43"/>
        <v>1</v>
      </c>
      <c r="AB412" s="13" t="str">
        <f t="shared" si="41"/>
        <v>Adult</v>
      </c>
      <c r="AC412" s="13">
        <v>1</v>
      </c>
      <c r="AD412" s="13">
        <v>0</v>
      </c>
      <c r="AE412" s="13" t="str">
        <f t="shared" si="42"/>
        <v>Morphological</v>
      </c>
      <c r="AF412" s="2">
        <v>4</v>
      </c>
    </row>
    <row r="413" spans="1:32" x14ac:dyDescent="0.25">
      <c r="A413" s="13">
        <v>409</v>
      </c>
      <c r="B413" s="23" t="s">
        <v>56</v>
      </c>
      <c r="C413" s="23" t="s">
        <v>57</v>
      </c>
      <c r="D413" s="23" t="s">
        <v>58</v>
      </c>
      <c r="E413" s="23" t="s">
        <v>58</v>
      </c>
      <c r="F413" s="35" cm="1">
        <f t="array" ref="F413">_xlfn.IFS($G413=$G$5,F$5,$G413=$G$7,F$7,$G413=$G$10,F$10,$G413=$G$13,F$13,$G413=$G$14,F$14,$G413=$G$16,F$16,$G413=$G$17,F$17,$G413=$G$19,F$19,$G413=$G$20,F$20,$G413=$G$22,F$22,$G413=$G$23,F$23,$G413=$G$26,F$26,$G413=$G$29,F$29,$G413=$G$31,F$31,$G413=$G$34,F$34,$G413=$G$37,F$37,$G413=$G$107,F$107,$G413=$G$110,F$110,$G413=$G$140,F$140,$G413=$G$142,F$142,$G413=$G$408,F$408)</f>
        <v>8017</v>
      </c>
      <c r="G413" s="13" t="s">
        <v>97</v>
      </c>
      <c r="H413" s="51" cm="1">
        <f t="array" ref="H413">_xlfn.IFS($G413=$G$5,H$5,$G413=$G$7,H$7,$G413=$G$10,H$10,$G413=$G$13,H$13,$G413=$G$14,H$14,$G413=$G$16,H$16,$G413=$G$17,H$17,$G413=$G$19,H$19,$G413=$G$20,H$20,$G413=$G$22,H$22,$G413=$G$23,H$23,$G413=$G$26,H$26,$G413=$G$29,H$29,$G413=$G$31,H$31,$G413=$G$34,H$34,$G413=$G$37,H$37,$G413=$G$107,H$107,$G413=$G$110,H$110,$G413=$G$140,H$140,$G413=$G$142,H$142,$G413=$G$408,H$408)</f>
        <v>41.430372407595499</v>
      </c>
      <c r="I413" s="51" cm="1">
        <f t="array" ref="I413">_xlfn.IFS($G413=$G$5,I$5,$G413=$G$7,I$7,$G413=$G$10,I$10,$G413=$G$13,I$13,$G413=$G$14,I$14,$G413=$G$16,I$16,$G413=$G$17,I$17,$G413=$G$19,I$19,$G413=$G$20,I$20,$G413=$G$22,I$22,$G413=$G$23,I$23,$G413=$G$26,I$26,$G413=$G$29,I$29,$G413=$G$31,I$31,$G413=$G$34,I$34,$G413=$G$37,I$37,$G413=$G$107,I$107,$G413=$G$110,I$110,$G413=$G$140,I$140,$G413=$G$142,I$142,$G413=$G$408,I$408)</f>
        <v>2.0778358219819002</v>
      </c>
      <c r="J413" s="51" cm="1">
        <f t="array" ref="J413">_xlfn.IFS($G413=$G$5,J$5,$G413=$G$7,J$7,$G413=$G$10,J$10,$G413=$G$13,J$13,$G413=$G$14,J$14,$G413=$G$16,J$16,$G413=$G$17,J$17,$G413=$G$19,J$19,$G413=$G$20,J$20,$G413=$G$22,J$22,$G413=$G$23,J$23,$G413=$G$26,J$26,$G413=$G$29,J$29,$G413=$G$31,J$31,$G413=$G$34,J$34,$G413=$G$37,J$37,$G413=$G$107,J$107,$G413=$G$110,J$110,$G413=$G$140,J$140,$G413=$G$142,J$142,$G413=$G$408,J$408)</f>
        <v>242</v>
      </c>
      <c r="K413" s="13" t="str" cm="1">
        <f t="array" ref="K413">_xlfn.IFS($G413=$G$5,K$5,$G413=$G$7,K$7,$G413=$G$10,K$10,$G413=$G$13,K$13,$G413=$G$14,K$14,$G413=$G$16,K$16,$G413=$G$17,K$17,$G413=$G$19,K$19,$G413=$G$20,K$20,$G413=$G$22,K$22,$G413=$G$23,K$23,$G413=$G$26,K$26,$G413=$G$29,K$29,$G413=$G$31,K$31,$G413=$G$34,K$34,$G413=$G$37,K$37,$G413=$G$107,K$107,$G413=$G$110,K$110,$G413=$G$140,K$140,$G413=$G$142,K$142,$G413=$G$408,K$408)</f>
        <v>Mtego</v>
      </c>
      <c r="O413" s="13" t="str">
        <f t="shared" si="39"/>
        <v>Premal_1_220913</v>
      </c>
      <c r="P413" s="27">
        <v>44817</v>
      </c>
      <c r="Q413" s="29">
        <v>0.71180555555555547</v>
      </c>
      <c r="R413" s="33"/>
      <c r="S413" s="31">
        <v>44825</v>
      </c>
      <c r="T413" s="29">
        <v>0.67361111111111116</v>
      </c>
      <c r="V413" s="13" t="s">
        <v>86</v>
      </c>
      <c r="X413" s="13">
        <f t="shared" si="40"/>
        <v>8</v>
      </c>
      <c r="Z413" s="32" t="s">
        <v>163</v>
      </c>
      <c r="AA413" s="13">
        <f t="shared" si="43"/>
        <v>2</v>
      </c>
      <c r="AB413" s="13" t="str">
        <f t="shared" si="41"/>
        <v>Adult</v>
      </c>
      <c r="AC413" s="13">
        <v>2</v>
      </c>
      <c r="AD413" s="13">
        <v>0</v>
      </c>
      <c r="AE413" s="13" t="str">
        <f t="shared" si="42"/>
        <v>Morphological</v>
      </c>
      <c r="AF413" s="2">
        <v>4</v>
      </c>
    </row>
    <row r="414" spans="1:32" x14ac:dyDescent="0.25">
      <c r="A414" s="13">
        <v>410</v>
      </c>
      <c r="B414" s="23" t="s">
        <v>56</v>
      </c>
      <c r="C414" s="23" t="s">
        <v>57</v>
      </c>
      <c r="D414" s="23" t="s">
        <v>58</v>
      </c>
      <c r="E414" s="23" t="s">
        <v>58</v>
      </c>
      <c r="F414" s="35" cm="1">
        <f t="array" ref="F414">_xlfn.IFS($G414=$G$5,F$5,$G414=$G$7,F$7,$G414=$G$10,F$10,$G414=$G$13,F$13,$G414=$G$14,F$14,$G414=$G$16,F$16,$G414=$G$17,F$17,$G414=$G$19,F$19,$G414=$G$20,F$20,$G414=$G$22,F$22,$G414=$G$23,F$23,$G414=$G$26,F$26,$G414=$G$29,F$29,$G414=$G$31,F$31,$G414=$G$34,F$34,$G414=$G$37,F$37,$G414=$G$107,F$107,$G414=$G$110,F$110,$G414=$G$140,F$140,$G414=$G$142,F$142,$G414=$G$408,F$408)</f>
        <v>8035</v>
      </c>
      <c r="G414" s="13" t="s">
        <v>61</v>
      </c>
      <c r="H414" s="51" cm="1">
        <f t="array" ref="H414">_xlfn.IFS($G414=$G$5,H$5,$G414=$G$7,H$7,$G414=$G$10,H$10,$G414=$G$13,H$13,$G414=$G$14,H$14,$G414=$G$16,H$16,$G414=$G$17,H$17,$G414=$G$19,H$19,$G414=$G$20,H$20,$G414=$G$22,H$22,$G414=$G$23,H$23,$G414=$G$26,H$26,$G414=$G$29,H$29,$G414=$G$31,H$31,$G414=$G$34,H$34,$G414=$G$37,H$37,$G414=$G$107,H$107,$G414=$G$110,H$110,$G414=$G$140,H$140,$G414=$G$142,H$142,$G414=$G$408,H$408)</f>
        <v>41.424387000000003</v>
      </c>
      <c r="I414" s="51" cm="1">
        <f t="array" ref="I414">_xlfn.IFS($G414=$G$5,I$5,$G414=$G$7,I$7,$G414=$G$10,I$10,$G414=$G$13,I$13,$G414=$G$14,I$14,$G414=$G$16,I$16,$G414=$G$17,I$17,$G414=$G$19,I$19,$G414=$G$20,I$20,$G414=$G$22,I$22,$G414=$G$23,I$23,$G414=$G$26,I$26,$G414=$G$29,I$29,$G414=$G$31,I$31,$G414=$G$34,I$34,$G414=$G$37,I$37,$G414=$G$107,I$107,$G414=$G$110,I$110,$G414=$G$140,I$140,$G414=$G$142,I$142,$G414=$G$408,I$408)</f>
        <v>2.1431439999999999</v>
      </c>
      <c r="J414" s="51" cm="1">
        <f t="array" ref="J414">_xlfn.IFS($G414=$G$5,J$5,$G414=$G$7,J$7,$G414=$G$10,J$10,$G414=$G$13,J$13,$G414=$G$14,J$14,$G414=$G$16,J$16,$G414=$G$17,J$17,$G414=$G$19,J$19,$G414=$G$20,J$20,$G414=$G$22,J$22,$G414=$G$23,J$23,$G414=$G$26,J$26,$G414=$G$29,J$29,$G414=$G$31,J$31,$G414=$G$34,J$34,$G414=$G$37,J$37,$G414=$G$107,J$107,$G414=$G$110,J$110,$G414=$G$140,J$140,$G414=$G$142,J$142,$G414=$G$408,J$408)</f>
        <v>160</v>
      </c>
      <c r="K414" s="13" t="str" cm="1">
        <f t="array" ref="K414">_xlfn.IFS($G414=$G$5,K$5,$G414=$G$7,K$7,$G414=$G$10,K$10,$G414=$G$13,K$13,$G414=$G$14,K$14,$G414=$G$16,K$16,$G414=$G$17,K$17,$G414=$G$19,K$19,$G414=$G$20,K$20,$G414=$G$22,K$22,$G414=$G$23,K$23,$G414=$G$26,K$26,$G414=$G$29,K$29,$G414=$G$31,K$31,$G414=$G$34,K$34,$G414=$G$37,K$37,$G414=$G$107,K$107,$G414=$G$110,K$110,$G414=$G$140,K$140,$G414=$G$142,K$142,$G414=$G$408,K$408)</f>
        <v>BG sentinel + BG lure7</v>
      </c>
      <c r="O414" s="13" t="str">
        <f t="shared" si="39"/>
        <v>A_SP_BCN_2_220921</v>
      </c>
      <c r="P414" s="31">
        <v>44825</v>
      </c>
      <c r="Q414" s="29">
        <v>0.59722222222222221</v>
      </c>
      <c r="R414" s="33"/>
      <c r="S414" s="27">
        <v>44831</v>
      </c>
      <c r="T414" s="29">
        <v>0.64930555555555558</v>
      </c>
      <c r="V414" s="13" t="s">
        <v>86</v>
      </c>
      <c r="X414" s="13">
        <f t="shared" si="40"/>
        <v>6</v>
      </c>
      <c r="Z414" s="13" t="s">
        <v>60</v>
      </c>
      <c r="AA414" s="13">
        <f t="shared" si="43"/>
        <v>16</v>
      </c>
      <c r="AB414" s="13" t="str">
        <f t="shared" si="41"/>
        <v>Adult</v>
      </c>
      <c r="AC414" s="13">
        <v>11</v>
      </c>
      <c r="AD414" s="13">
        <v>5</v>
      </c>
      <c r="AE414" s="13" t="str">
        <f t="shared" si="42"/>
        <v>Morphological</v>
      </c>
      <c r="AF414" s="2">
        <v>4</v>
      </c>
    </row>
    <row r="415" spans="1:32" x14ac:dyDescent="0.25">
      <c r="A415" s="13">
        <v>411</v>
      </c>
      <c r="B415" s="23" t="s">
        <v>56</v>
      </c>
      <c r="C415" s="23" t="s">
        <v>57</v>
      </c>
      <c r="D415" s="23" t="s">
        <v>58</v>
      </c>
      <c r="E415" s="23" t="s">
        <v>58</v>
      </c>
      <c r="F415" s="35" cm="1">
        <f t="array" ref="F415">_xlfn.IFS($G415=$G$5,F$5,$G415=$G$7,F$7,$G415=$G$10,F$10,$G415=$G$13,F$13,$G415=$G$14,F$14,$G415=$G$16,F$16,$G415=$G$17,F$17,$G415=$G$19,F$19,$G415=$G$20,F$20,$G415=$G$22,F$22,$G415=$G$23,F$23,$G415=$G$26,F$26,$G415=$G$29,F$29,$G415=$G$31,F$31,$G415=$G$34,F$34,$G415=$G$37,F$37,$G415=$G$107,F$107,$G415=$G$110,F$110,$G415=$G$140,F$140,$G415=$G$142,F$142,$G415=$G$408,F$408)</f>
        <v>8035</v>
      </c>
      <c r="G415" s="13" t="s">
        <v>61</v>
      </c>
      <c r="H415" s="51" cm="1">
        <f t="array" ref="H415">_xlfn.IFS($G415=$G$5,H$5,$G415=$G$7,H$7,$G415=$G$10,H$10,$G415=$G$13,H$13,$G415=$G$14,H$14,$G415=$G$16,H$16,$G415=$G$17,H$17,$G415=$G$19,H$19,$G415=$G$20,H$20,$G415=$G$22,H$22,$G415=$G$23,H$23,$G415=$G$26,H$26,$G415=$G$29,H$29,$G415=$G$31,H$31,$G415=$G$34,H$34,$G415=$G$37,H$37,$G415=$G$107,H$107,$G415=$G$110,H$110,$G415=$G$140,H$140,$G415=$G$142,H$142,$G415=$G$408,H$408)</f>
        <v>41.424387000000003</v>
      </c>
      <c r="I415" s="51" cm="1">
        <f t="array" ref="I415">_xlfn.IFS($G415=$G$5,I$5,$G415=$G$7,I$7,$G415=$G$10,I$10,$G415=$G$13,I$13,$G415=$G$14,I$14,$G415=$G$16,I$16,$G415=$G$17,I$17,$G415=$G$19,I$19,$G415=$G$20,I$20,$G415=$G$22,I$22,$G415=$G$23,I$23,$G415=$G$26,I$26,$G415=$G$29,I$29,$G415=$G$31,I$31,$G415=$G$34,I$34,$G415=$G$37,I$37,$G415=$G$107,I$107,$G415=$G$110,I$110,$G415=$G$140,I$140,$G415=$G$142,I$142,$G415=$G$408,I$408)</f>
        <v>2.1431439999999999</v>
      </c>
      <c r="J415" s="51" cm="1">
        <f t="array" ref="J415">_xlfn.IFS($G415=$G$5,J$5,$G415=$G$7,J$7,$G415=$G$10,J$10,$G415=$G$13,J$13,$G415=$G$14,J$14,$G415=$G$16,J$16,$G415=$G$17,J$17,$G415=$G$19,J$19,$G415=$G$20,J$20,$G415=$G$22,J$22,$G415=$G$23,J$23,$G415=$G$26,J$26,$G415=$G$29,J$29,$G415=$G$31,J$31,$G415=$G$34,J$34,$G415=$G$37,J$37,$G415=$G$107,J$107,$G415=$G$110,J$110,$G415=$G$140,J$140,$G415=$G$142,J$142,$G415=$G$408,J$408)</f>
        <v>160</v>
      </c>
      <c r="K415" s="13" t="str" cm="1">
        <f t="array" ref="K415">_xlfn.IFS($G415=$G$5,K$5,$G415=$G$7,K$7,$G415=$G$10,K$10,$G415=$G$13,K$13,$G415=$G$14,K$14,$G415=$G$16,K$16,$G415=$G$17,K$17,$G415=$G$19,K$19,$G415=$G$20,K$20,$G415=$G$22,K$22,$G415=$G$23,K$23,$G415=$G$26,K$26,$G415=$G$29,K$29,$G415=$G$31,K$31,$G415=$G$34,K$34,$G415=$G$37,K$37,$G415=$G$107,K$107,$G415=$G$110,K$110,$G415=$G$140,K$140,$G415=$G$142,K$142,$G415=$G$408,K$408)</f>
        <v>BG sentinel + BG lure7</v>
      </c>
      <c r="O415" s="13" t="str">
        <f t="shared" si="39"/>
        <v>A_SP_BCN_2_220921</v>
      </c>
      <c r="P415" s="31">
        <v>44825</v>
      </c>
      <c r="Q415" s="29">
        <v>0.59722222222222221</v>
      </c>
      <c r="R415" s="33"/>
      <c r="S415" s="27">
        <v>44831</v>
      </c>
      <c r="T415" s="29">
        <v>0.64930555555555558</v>
      </c>
      <c r="V415" s="13" t="s">
        <v>86</v>
      </c>
      <c r="X415" s="13">
        <f t="shared" si="40"/>
        <v>6</v>
      </c>
      <c r="Z415" s="13" t="s">
        <v>164</v>
      </c>
      <c r="AA415" s="13">
        <f t="shared" si="43"/>
        <v>2</v>
      </c>
      <c r="AB415" s="13" t="str">
        <f t="shared" si="41"/>
        <v>Adult</v>
      </c>
      <c r="AC415" s="13">
        <v>2</v>
      </c>
      <c r="AD415" s="13">
        <v>0</v>
      </c>
      <c r="AE415" s="13" t="str">
        <f t="shared" si="42"/>
        <v>Morphological</v>
      </c>
      <c r="AF415" s="2">
        <v>4</v>
      </c>
    </row>
    <row r="416" spans="1:32" x14ac:dyDescent="0.25">
      <c r="A416" s="13">
        <v>412</v>
      </c>
      <c r="B416" s="23" t="s">
        <v>56</v>
      </c>
      <c r="C416" s="23" t="s">
        <v>57</v>
      </c>
      <c r="D416" s="23" t="s">
        <v>58</v>
      </c>
      <c r="E416" s="23" t="s">
        <v>58</v>
      </c>
      <c r="F416" s="35" cm="1">
        <f t="array" ref="F416">_xlfn.IFS($G416=$G$5,F$5,$G416=$G$7,F$7,$G416=$G$10,F$10,$G416=$G$13,F$13,$G416=$G$14,F$14,$G416=$G$16,F$16,$G416=$G$17,F$17,$G416=$G$19,F$19,$G416=$G$20,F$20,$G416=$G$22,F$22,$G416=$G$23,F$23,$G416=$G$26,F$26,$G416=$G$29,F$29,$G416=$G$31,F$31,$G416=$G$34,F$34,$G416=$G$37,F$37,$G416=$G$107,F$107,$G416=$G$110,F$110,$G416=$G$140,F$140,$G416=$G$142,F$142,$G416=$G$408,F$408)</f>
        <v>8016</v>
      </c>
      <c r="G416" s="13" t="s">
        <v>62</v>
      </c>
      <c r="H416" s="51" cm="1">
        <f t="array" ref="H416">_xlfn.IFS($G416=$G$5,H$5,$G416=$G$7,H$7,$G416=$G$10,H$10,$G416=$G$13,H$13,$G416=$G$14,H$14,$G416=$G$16,H$16,$G416=$G$17,H$17,$G416=$G$19,H$19,$G416=$G$20,H$20,$G416=$G$22,H$22,$G416=$G$23,H$23,$G416=$G$26,H$26,$G416=$G$29,H$29,$G416=$G$31,H$31,$G416=$G$34,H$34,$G416=$G$37,H$37,$G416=$G$107,H$107,$G416=$G$110,H$110,$G416=$G$140,H$140,$G416=$G$142,H$142,$G416=$G$408,H$408)</f>
        <v>41.437435000000001</v>
      </c>
      <c r="I416" s="51" cm="1">
        <f t="array" ref="I416">_xlfn.IFS($G416=$G$5,I$5,$G416=$G$7,I$7,$G416=$G$10,I$10,$G416=$G$13,I$13,$G416=$G$14,I$14,$G416=$G$16,I$16,$G416=$G$17,I$17,$G416=$G$19,I$19,$G416=$G$20,I$20,$G416=$G$22,I$22,$G416=$G$23,I$23,$G416=$G$26,I$26,$G416=$G$29,I$29,$G416=$G$31,I$31,$G416=$G$34,I$34,$G416=$G$37,I$37,$G416=$G$107,I$107,$G416=$G$110,I$110,$G416=$G$140,I$140,$G416=$G$142,I$142,$G416=$G$408,I$408)</f>
        <v>2.1812779999999998</v>
      </c>
      <c r="J416" s="51" cm="1">
        <f t="array" ref="J416">_xlfn.IFS($G416=$G$5,J$5,$G416=$G$7,J$7,$G416=$G$10,J$10,$G416=$G$13,J$13,$G416=$G$14,J$14,$G416=$G$16,J$16,$G416=$G$17,J$17,$G416=$G$19,J$19,$G416=$G$20,J$20,$G416=$G$22,J$22,$G416=$G$23,J$23,$G416=$G$26,J$26,$G416=$G$29,J$29,$G416=$G$31,J$31,$G416=$G$34,J$34,$G416=$G$37,J$37,$G416=$G$107,J$107,$G416=$G$110,J$110,$G416=$G$140,J$140,$G416=$G$142,J$142,$G416=$G$408,J$408)</f>
        <v>47</v>
      </c>
      <c r="K416" s="13" t="str" cm="1">
        <f t="array" ref="K416">_xlfn.IFS($G416=$G$5,K$5,$G416=$G$7,K$7,$G416=$G$10,K$10,$G416=$G$13,K$13,$G416=$G$14,K$14,$G416=$G$16,K$16,$G416=$G$17,K$17,$G416=$G$19,K$19,$G416=$G$20,K$20,$G416=$G$22,K$22,$G416=$G$23,K$23,$G416=$G$26,K$26,$G416=$G$29,K$29,$G416=$G$31,K$31,$G416=$G$34,K$34,$G416=$G$37,K$37,$G416=$G$107,K$107,$G416=$G$110,K$110,$G416=$G$140,K$140,$G416=$G$142,K$142,$G416=$G$408,K$408)</f>
        <v>BG sentinel + BG lure7</v>
      </c>
      <c r="O416" s="13" t="str">
        <f t="shared" si="39"/>
        <v>A_SP_BCN_3_220921</v>
      </c>
      <c r="P416" s="31">
        <v>44825</v>
      </c>
      <c r="Q416" s="29">
        <v>0.77083333333333337</v>
      </c>
      <c r="R416" s="33"/>
      <c r="S416" s="27">
        <v>44831</v>
      </c>
      <c r="T416" s="29">
        <v>0.78125</v>
      </c>
      <c r="V416" s="13" t="s">
        <v>86</v>
      </c>
      <c r="X416" s="13">
        <f t="shared" si="40"/>
        <v>6</v>
      </c>
      <c r="Z416" s="13" t="s">
        <v>60</v>
      </c>
      <c r="AA416" s="13">
        <f t="shared" si="43"/>
        <v>17</v>
      </c>
      <c r="AB416" s="13" t="str">
        <f t="shared" si="41"/>
        <v>Adult</v>
      </c>
      <c r="AC416" s="13">
        <v>13</v>
      </c>
      <c r="AD416" s="13">
        <v>4</v>
      </c>
      <c r="AE416" s="13" t="str">
        <f t="shared" si="42"/>
        <v>Morphological</v>
      </c>
      <c r="AF416" s="2">
        <v>4</v>
      </c>
    </row>
    <row r="417" spans="1:32" x14ac:dyDescent="0.25">
      <c r="A417" s="13">
        <v>413</v>
      </c>
      <c r="B417" s="23" t="s">
        <v>56</v>
      </c>
      <c r="C417" s="23" t="s">
        <v>57</v>
      </c>
      <c r="D417" s="23" t="s">
        <v>58</v>
      </c>
      <c r="E417" s="23" t="s">
        <v>58</v>
      </c>
      <c r="F417" s="35" cm="1">
        <f t="array" ref="F417">_xlfn.IFS($G417=$G$5,F$5,$G417=$G$7,F$7,$G417=$G$10,F$10,$G417=$G$13,F$13,$G417=$G$14,F$14,$G417=$G$16,F$16,$G417=$G$17,F$17,$G417=$G$19,F$19,$G417=$G$20,F$20,$G417=$G$22,F$22,$G417=$G$23,F$23,$G417=$G$26,F$26,$G417=$G$29,F$29,$G417=$G$31,F$31,$G417=$G$34,F$34,$G417=$G$37,F$37,$G417=$G$107,F$107,$G417=$G$110,F$110,$G417=$G$140,F$140,$G417=$G$142,F$142,$G417=$G$408,F$408)</f>
        <v>8016</v>
      </c>
      <c r="G417" s="13" t="s">
        <v>62</v>
      </c>
      <c r="H417" s="51" cm="1">
        <f t="array" ref="H417">_xlfn.IFS($G417=$G$5,H$5,$G417=$G$7,H$7,$G417=$G$10,H$10,$G417=$G$13,H$13,$G417=$G$14,H$14,$G417=$G$16,H$16,$G417=$G$17,H$17,$G417=$G$19,H$19,$G417=$G$20,H$20,$G417=$G$22,H$22,$G417=$G$23,H$23,$G417=$G$26,H$26,$G417=$G$29,H$29,$G417=$G$31,H$31,$G417=$G$34,H$34,$G417=$G$37,H$37,$G417=$G$107,H$107,$G417=$G$110,H$110,$G417=$G$140,H$140,$G417=$G$142,H$142,$G417=$G$408,H$408)</f>
        <v>41.437435000000001</v>
      </c>
      <c r="I417" s="51" cm="1">
        <f t="array" ref="I417">_xlfn.IFS($G417=$G$5,I$5,$G417=$G$7,I$7,$G417=$G$10,I$10,$G417=$G$13,I$13,$G417=$G$14,I$14,$G417=$G$16,I$16,$G417=$G$17,I$17,$G417=$G$19,I$19,$G417=$G$20,I$20,$G417=$G$22,I$22,$G417=$G$23,I$23,$G417=$G$26,I$26,$G417=$G$29,I$29,$G417=$G$31,I$31,$G417=$G$34,I$34,$G417=$G$37,I$37,$G417=$G$107,I$107,$G417=$G$110,I$110,$G417=$G$140,I$140,$G417=$G$142,I$142,$G417=$G$408,I$408)</f>
        <v>2.1812779999999998</v>
      </c>
      <c r="J417" s="51" cm="1">
        <f t="array" ref="J417">_xlfn.IFS($G417=$G$5,J$5,$G417=$G$7,J$7,$G417=$G$10,J$10,$G417=$G$13,J$13,$G417=$G$14,J$14,$G417=$G$16,J$16,$G417=$G$17,J$17,$G417=$G$19,J$19,$G417=$G$20,J$20,$G417=$G$22,J$22,$G417=$G$23,J$23,$G417=$G$26,J$26,$G417=$G$29,J$29,$G417=$G$31,J$31,$G417=$G$34,J$34,$G417=$G$37,J$37,$G417=$G$107,J$107,$G417=$G$110,J$110,$G417=$G$140,J$140,$G417=$G$142,J$142,$G417=$G$408,J$408)</f>
        <v>47</v>
      </c>
      <c r="K417" s="13" t="str" cm="1">
        <f t="array" ref="K417">_xlfn.IFS($G417=$G$5,K$5,$G417=$G$7,K$7,$G417=$G$10,K$10,$G417=$G$13,K$13,$G417=$G$14,K$14,$G417=$G$16,K$16,$G417=$G$17,K$17,$G417=$G$19,K$19,$G417=$G$20,K$20,$G417=$G$22,K$22,$G417=$G$23,K$23,$G417=$G$26,K$26,$G417=$G$29,K$29,$G417=$G$31,K$31,$G417=$G$34,K$34,$G417=$G$37,K$37,$G417=$G$107,K$107,$G417=$G$110,K$110,$G417=$G$140,K$140,$G417=$G$142,K$142,$G417=$G$408,K$408)</f>
        <v>BG sentinel + BG lure7</v>
      </c>
      <c r="O417" s="13" t="str">
        <f t="shared" si="39"/>
        <v>A_SP_BCN_3_220921</v>
      </c>
      <c r="P417" s="31">
        <v>44825</v>
      </c>
      <c r="Q417" s="29">
        <v>0.77083333333333337</v>
      </c>
      <c r="R417" s="33"/>
      <c r="S417" s="27">
        <v>44831</v>
      </c>
      <c r="T417" s="29">
        <v>0.78125</v>
      </c>
      <c r="V417" s="13" t="s">
        <v>86</v>
      </c>
      <c r="X417" s="13">
        <f t="shared" si="40"/>
        <v>6</v>
      </c>
      <c r="Z417" s="13" t="s">
        <v>164</v>
      </c>
      <c r="AA417" s="13">
        <f t="shared" si="43"/>
        <v>1</v>
      </c>
      <c r="AB417" s="13" t="str">
        <f t="shared" si="41"/>
        <v>Adult</v>
      </c>
      <c r="AC417" s="13">
        <v>1</v>
      </c>
      <c r="AD417" s="13">
        <v>0</v>
      </c>
      <c r="AE417" s="13" t="str">
        <f t="shared" si="42"/>
        <v>Morphological</v>
      </c>
      <c r="AF417" s="2">
        <v>4</v>
      </c>
    </row>
    <row r="418" spans="1:32" x14ac:dyDescent="0.25">
      <c r="A418" s="13">
        <v>414</v>
      </c>
      <c r="B418" s="23" t="s">
        <v>56</v>
      </c>
      <c r="C418" s="23" t="s">
        <v>57</v>
      </c>
      <c r="D418" s="23" t="s">
        <v>58</v>
      </c>
      <c r="E418" s="23" t="s">
        <v>58</v>
      </c>
      <c r="F418" s="35" cm="1">
        <f t="array" ref="F418">_xlfn.IFS($G418=$G$5,F$5,$G418=$G$7,F$7,$G418=$G$10,F$10,$G418=$G$13,F$13,$G418=$G$14,F$14,$G418=$G$16,F$16,$G418=$G$17,F$17,$G418=$G$19,F$19,$G418=$G$20,F$20,$G418=$G$22,F$22,$G418=$G$23,F$23,$G418=$G$26,F$26,$G418=$G$29,F$29,$G418=$G$31,F$31,$G418=$G$34,F$34,$G418=$G$37,F$37,$G418=$G$107,F$107,$G418=$G$110,F$110,$G418=$G$140,F$140,$G418=$G$142,F$142,$G418=$G$408,F$408)</f>
        <v>8018</v>
      </c>
      <c r="G418" s="13" t="s">
        <v>63</v>
      </c>
      <c r="H418" s="51" cm="1">
        <f t="array" ref="H418">_xlfn.IFS($G418=$G$5,H$5,$G418=$G$7,H$7,$G418=$G$10,H$10,$G418=$G$13,H$13,$G418=$G$14,H$14,$G418=$G$16,H$16,$G418=$G$17,H$17,$G418=$G$19,H$19,$G418=$G$20,H$20,$G418=$G$22,H$22,$G418=$G$23,H$23,$G418=$G$26,H$26,$G418=$G$29,H$29,$G418=$G$31,H$31,$G418=$G$34,H$34,$G418=$G$37,H$37,$G418=$G$107,H$107,$G418=$G$110,H$110,$G418=$G$140,H$140,$G418=$G$142,H$142,$G418=$G$408,H$408)</f>
        <v>41.404924999999999</v>
      </c>
      <c r="I418" s="51" cm="1">
        <f t="array" ref="I418">_xlfn.IFS($G418=$G$5,I$5,$G418=$G$7,I$7,$G418=$G$10,I$10,$G418=$G$13,I$13,$G418=$G$14,I$14,$G418=$G$16,I$16,$G418=$G$17,I$17,$G418=$G$19,I$19,$G418=$G$20,I$20,$G418=$G$22,I$22,$G418=$G$23,I$23,$G418=$G$26,I$26,$G418=$G$29,I$29,$G418=$G$31,I$31,$G418=$G$34,I$34,$G418=$G$37,I$37,$G418=$G$107,I$107,$G418=$G$110,I$110,$G418=$G$140,I$140,$G418=$G$142,I$142,$G418=$G$408,I$408)</f>
        <v>2.1987909999999999</v>
      </c>
      <c r="J418" s="51" cm="1">
        <f t="array" ref="J418">_xlfn.IFS($G418=$G$5,J$5,$G418=$G$7,J$7,$G418=$G$10,J$10,$G418=$G$13,J$13,$G418=$G$14,J$14,$G418=$G$16,J$16,$G418=$G$17,J$17,$G418=$G$19,J$19,$G418=$G$20,J$20,$G418=$G$22,J$22,$G418=$G$23,J$23,$G418=$G$26,J$26,$G418=$G$29,J$29,$G418=$G$31,J$31,$G418=$G$34,J$34,$G418=$G$37,J$37,$G418=$G$107,J$107,$G418=$G$110,J$110,$G418=$G$140,J$140,$G418=$G$142,J$142,$G418=$G$408,J$408)</f>
        <v>4</v>
      </c>
      <c r="K418" s="13" t="str" cm="1">
        <f t="array" ref="K418">_xlfn.IFS($G418=$G$5,K$5,$G418=$G$7,K$7,$G418=$G$10,K$10,$G418=$G$13,K$13,$G418=$G$14,K$14,$G418=$G$16,K$16,$G418=$G$17,K$17,$G418=$G$19,K$19,$G418=$G$20,K$20,$G418=$G$22,K$22,$G418=$G$23,K$23,$G418=$G$26,K$26,$G418=$G$29,K$29,$G418=$G$31,K$31,$G418=$G$34,K$34,$G418=$G$37,K$37,$G418=$G$107,K$107,$G418=$G$110,K$110,$G418=$G$140,K$140,$G418=$G$142,K$142,$G418=$G$408,K$408)</f>
        <v>BG sentinel + BG lure7</v>
      </c>
      <c r="O418" s="13" t="str">
        <f t="shared" si="39"/>
        <v>A_SP_BCN_4_220921</v>
      </c>
      <c r="P418" s="31">
        <v>44825</v>
      </c>
      <c r="Q418" s="29">
        <v>0.76388888888888884</v>
      </c>
      <c r="R418" s="33"/>
      <c r="S418" s="27">
        <v>44831</v>
      </c>
      <c r="T418" s="29">
        <v>0.81944444444444453</v>
      </c>
      <c r="V418" s="13" t="s">
        <v>86</v>
      </c>
      <c r="W418" s="15" t="s">
        <v>92</v>
      </c>
      <c r="X418" s="13">
        <f t="shared" si="40"/>
        <v>6</v>
      </c>
      <c r="Z418" s="13" t="s">
        <v>60</v>
      </c>
      <c r="AA418" s="13">
        <f t="shared" si="43"/>
        <v>17</v>
      </c>
      <c r="AB418" s="13" t="str">
        <f t="shared" si="41"/>
        <v>Adult</v>
      </c>
      <c r="AC418" s="13">
        <v>12</v>
      </c>
      <c r="AD418" s="13">
        <v>5</v>
      </c>
      <c r="AE418" s="13" t="str">
        <f t="shared" si="42"/>
        <v>Morphological</v>
      </c>
      <c r="AF418" s="2">
        <v>3</v>
      </c>
    </row>
    <row r="419" spans="1:32" x14ac:dyDescent="0.25">
      <c r="A419" s="13">
        <v>415</v>
      </c>
      <c r="B419" s="23" t="s">
        <v>56</v>
      </c>
      <c r="C419" s="23" t="s">
        <v>57</v>
      </c>
      <c r="D419" s="23" t="s">
        <v>58</v>
      </c>
      <c r="E419" s="23" t="s">
        <v>58</v>
      </c>
      <c r="F419" s="35" cm="1">
        <f t="array" ref="F419">_xlfn.IFS($G419=$G$5,F$5,$G419=$G$7,F$7,$G419=$G$10,F$10,$G419=$G$13,F$13,$G419=$G$14,F$14,$G419=$G$16,F$16,$G419=$G$17,F$17,$G419=$G$19,F$19,$G419=$G$20,F$20,$G419=$G$22,F$22,$G419=$G$23,F$23,$G419=$G$26,F$26,$G419=$G$29,F$29,$G419=$G$31,F$31,$G419=$G$34,F$34,$G419=$G$37,F$37,$G419=$G$107,F$107,$G419=$G$110,F$110,$G419=$G$140,F$140,$G419=$G$142,F$142,$G419=$G$408,F$408)</f>
        <v>8018</v>
      </c>
      <c r="G419" s="13" t="s">
        <v>63</v>
      </c>
      <c r="H419" s="51" cm="1">
        <f t="array" ref="H419">_xlfn.IFS($G419=$G$5,H$5,$G419=$G$7,H$7,$G419=$G$10,H$10,$G419=$G$13,H$13,$G419=$G$14,H$14,$G419=$G$16,H$16,$G419=$G$17,H$17,$G419=$G$19,H$19,$G419=$G$20,H$20,$G419=$G$22,H$22,$G419=$G$23,H$23,$G419=$G$26,H$26,$G419=$G$29,H$29,$G419=$G$31,H$31,$G419=$G$34,H$34,$G419=$G$37,H$37,$G419=$G$107,H$107,$G419=$G$110,H$110,$G419=$G$140,H$140,$G419=$G$142,H$142,$G419=$G$408,H$408)</f>
        <v>41.404924999999999</v>
      </c>
      <c r="I419" s="51" cm="1">
        <f t="array" ref="I419">_xlfn.IFS($G419=$G$5,I$5,$G419=$G$7,I$7,$G419=$G$10,I$10,$G419=$G$13,I$13,$G419=$G$14,I$14,$G419=$G$16,I$16,$G419=$G$17,I$17,$G419=$G$19,I$19,$G419=$G$20,I$20,$G419=$G$22,I$22,$G419=$G$23,I$23,$G419=$G$26,I$26,$G419=$G$29,I$29,$G419=$G$31,I$31,$G419=$G$34,I$34,$G419=$G$37,I$37,$G419=$G$107,I$107,$G419=$G$110,I$110,$G419=$G$140,I$140,$G419=$G$142,I$142,$G419=$G$408,I$408)</f>
        <v>2.1987909999999999</v>
      </c>
      <c r="J419" s="51" cm="1">
        <f t="array" ref="J419">_xlfn.IFS($G419=$G$5,J$5,$G419=$G$7,J$7,$G419=$G$10,J$10,$G419=$G$13,J$13,$G419=$G$14,J$14,$G419=$G$16,J$16,$G419=$G$17,J$17,$G419=$G$19,J$19,$G419=$G$20,J$20,$G419=$G$22,J$22,$G419=$G$23,J$23,$G419=$G$26,J$26,$G419=$G$29,J$29,$G419=$G$31,J$31,$G419=$G$34,J$34,$G419=$G$37,J$37,$G419=$G$107,J$107,$G419=$G$110,J$110,$G419=$G$140,J$140,$G419=$G$142,J$142,$G419=$G$408,J$408)</f>
        <v>4</v>
      </c>
      <c r="K419" s="13" t="str" cm="1">
        <f t="array" ref="K419">_xlfn.IFS($G419=$G$5,K$5,$G419=$G$7,K$7,$G419=$G$10,K$10,$G419=$G$13,K$13,$G419=$G$14,K$14,$G419=$G$16,K$16,$G419=$G$17,K$17,$G419=$G$19,K$19,$G419=$G$20,K$20,$G419=$G$22,K$22,$G419=$G$23,K$23,$G419=$G$26,K$26,$G419=$G$29,K$29,$G419=$G$31,K$31,$G419=$G$34,K$34,$G419=$G$37,K$37,$G419=$G$107,K$107,$G419=$G$110,K$110,$G419=$G$140,K$140,$G419=$G$142,K$142,$G419=$G$408,K$408)</f>
        <v>BG sentinel + BG lure7</v>
      </c>
      <c r="O419" s="13" t="str">
        <f t="shared" si="39"/>
        <v>A_SP_BCN_4_220921</v>
      </c>
      <c r="P419" s="31">
        <v>44825</v>
      </c>
      <c r="Q419" s="29">
        <v>0.76388888888888884</v>
      </c>
      <c r="R419" s="33"/>
      <c r="S419" s="27">
        <v>44831</v>
      </c>
      <c r="T419" s="29">
        <v>0.81944444444444453</v>
      </c>
      <c r="V419" s="13" t="s">
        <v>86</v>
      </c>
      <c r="W419" s="15" t="s">
        <v>92</v>
      </c>
      <c r="X419" s="13">
        <f t="shared" si="40"/>
        <v>6</v>
      </c>
      <c r="Z419" s="13" t="s">
        <v>164</v>
      </c>
      <c r="AA419" s="13">
        <f t="shared" si="43"/>
        <v>1</v>
      </c>
      <c r="AB419" s="13" t="str">
        <f t="shared" si="41"/>
        <v>Adult</v>
      </c>
      <c r="AC419" s="13">
        <v>0</v>
      </c>
      <c r="AD419" s="13">
        <v>1</v>
      </c>
      <c r="AE419" s="13" t="str">
        <f t="shared" si="42"/>
        <v>Morphological</v>
      </c>
      <c r="AF419" s="2">
        <v>3</v>
      </c>
    </row>
    <row r="420" spans="1:32" x14ac:dyDescent="0.25">
      <c r="A420" s="13">
        <v>416</v>
      </c>
      <c r="B420" s="23" t="s">
        <v>56</v>
      </c>
      <c r="C420" s="23" t="s">
        <v>57</v>
      </c>
      <c r="D420" s="23" t="s">
        <v>58</v>
      </c>
      <c r="E420" s="23" t="s">
        <v>58</v>
      </c>
      <c r="F420" s="35" cm="1">
        <f t="array" ref="F420">_xlfn.IFS($G420=$G$5,F$5,$G420=$G$7,F$7,$G420=$G$10,F$10,$G420=$G$13,F$13,$G420=$G$14,F$14,$G420=$G$16,F$16,$G420=$G$17,F$17,$G420=$G$19,F$19,$G420=$G$20,F$20,$G420=$G$22,F$22,$G420=$G$23,F$23,$G420=$G$26,F$26,$G420=$G$29,F$29,$G420=$G$31,F$31,$G420=$G$34,F$34,$G420=$G$37,F$37,$G420=$G$107,F$107,$G420=$G$110,F$110,$G420=$G$140,F$140,$G420=$G$142,F$142,$G420=$G$408,F$408)</f>
        <v>8019</v>
      </c>
      <c r="G420" s="13" t="s">
        <v>64</v>
      </c>
      <c r="H420" s="51" cm="1">
        <f t="array" ref="H420">_xlfn.IFS($G420=$G$5,H$5,$G420=$G$7,H$7,$G420=$G$10,H$10,$G420=$G$13,H$13,$G420=$G$14,H$14,$G420=$G$16,H$16,$G420=$G$17,H$17,$G420=$G$19,H$19,$G420=$G$20,H$20,$G420=$G$22,H$22,$G420=$G$23,H$23,$G420=$G$26,H$26,$G420=$G$29,H$29,$G420=$G$31,H$31,$G420=$G$34,H$34,$G420=$G$37,H$37,$G420=$G$107,H$107,$G420=$G$110,H$110,$G420=$G$140,H$140,$G420=$G$142,H$142,$G420=$G$408,H$408)</f>
        <v>41.410684000000003</v>
      </c>
      <c r="I420" s="51" cm="1">
        <f t="array" ref="I420">_xlfn.IFS($G420=$G$5,I$5,$G420=$G$7,I$7,$G420=$G$10,I$10,$G420=$G$13,I$13,$G420=$G$14,I$14,$G420=$G$16,I$16,$G420=$G$17,I$17,$G420=$G$19,I$19,$G420=$G$20,I$20,$G420=$G$22,I$22,$G420=$G$23,I$23,$G420=$G$26,I$26,$G420=$G$29,I$29,$G420=$G$31,I$31,$G420=$G$34,I$34,$G420=$G$37,I$37,$G420=$G$107,I$107,$G420=$G$110,I$110,$G420=$G$140,I$140,$G420=$G$142,I$142,$G420=$G$408,I$408)</f>
        <v>2.2208019999999999</v>
      </c>
      <c r="J420" s="51" cm="1">
        <f t="array" ref="J420">_xlfn.IFS($G420=$G$5,J$5,$G420=$G$7,J$7,$G420=$G$10,J$10,$G420=$G$13,J$13,$G420=$G$14,J$14,$G420=$G$16,J$16,$G420=$G$17,J$17,$G420=$G$19,J$19,$G420=$G$20,J$20,$G420=$G$22,J$22,$G420=$G$23,J$23,$G420=$G$26,J$26,$G420=$G$29,J$29,$G420=$G$31,J$31,$G420=$G$34,J$34,$G420=$G$37,J$37,$G420=$G$107,J$107,$G420=$G$110,J$110,$G420=$G$140,J$140,$G420=$G$142,J$142,$G420=$G$408,J$408)</f>
        <v>18</v>
      </c>
      <c r="K420" s="13" t="str" cm="1">
        <f t="array" ref="K420">_xlfn.IFS($G420=$G$5,K$5,$G420=$G$7,K$7,$G420=$G$10,K$10,$G420=$G$13,K$13,$G420=$G$14,K$14,$G420=$G$16,K$16,$G420=$G$17,K$17,$G420=$G$19,K$19,$G420=$G$20,K$20,$G420=$G$22,K$22,$G420=$G$23,K$23,$G420=$G$26,K$26,$G420=$G$29,K$29,$G420=$G$31,K$31,$G420=$G$34,K$34,$G420=$G$37,K$37,$G420=$G$107,K$107,$G420=$G$110,K$110,$G420=$G$140,K$140,$G420=$G$142,K$142,$G420=$G$408,K$408)</f>
        <v>BG sentinel + BG lure7</v>
      </c>
      <c r="O420" s="13" t="str">
        <f t="shared" si="39"/>
        <v>A_SP_BCN_5_220921</v>
      </c>
      <c r="P420" s="31">
        <v>44825</v>
      </c>
      <c r="Q420" s="29">
        <v>0.78819444444444453</v>
      </c>
      <c r="R420" s="33"/>
      <c r="S420" s="27">
        <v>44831</v>
      </c>
      <c r="T420" s="29">
        <v>0.80555555555555547</v>
      </c>
      <c r="V420" s="13" t="s">
        <v>86</v>
      </c>
      <c r="X420" s="13">
        <f t="shared" si="40"/>
        <v>6</v>
      </c>
      <c r="Z420" s="13" t="s">
        <v>60</v>
      </c>
      <c r="AA420" s="13">
        <f t="shared" si="43"/>
        <v>1</v>
      </c>
      <c r="AB420" s="13" t="str">
        <f t="shared" si="41"/>
        <v>Adult</v>
      </c>
      <c r="AC420" s="13">
        <v>0</v>
      </c>
      <c r="AD420" s="13">
        <v>1</v>
      </c>
      <c r="AE420" s="13" t="str">
        <f t="shared" si="42"/>
        <v>Morphological</v>
      </c>
      <c r="AF420" s="2">
        <v>4</v>
      </c>
    </row>
    <row r="421" spans="1:32" x14ac:dyDescent="0.25">
      <c r="A421" s="13">
        <v>417</v>
      </c>
      <c r="B421" s="23" t="s">
        <v>56</v>
      </c>
      <c r="C421" s="23" t="s">
        <v>57</v>
      </c>
      <c r="D421" s="23" t="s">
        <v>58</v>
      </c>
      <c r="E421" s="23" t="s">
        <v>58</v>
      </c>
      <c r="F421" s="35" cm="1">
        <f t="array" ref="F421">_xlfn.IFS($G421=$G$5,F$5,$G421=$G$7,F$7,$G421=$G$10,F$10,$G421=$G$13,F$13,$G421=$G$14,F$14,$G421=$G$16,F$16,$G421=$G$17,F$17,$G421=$G$19,F$19,$G421=$G$20,F$20,$G421=$G$22,F$22,$G421=$G$23,F$23,$G421=$G$26,F$26,$G421=$G$29,F$29,$G421=$G$31,F$31,$G421=$G$34,F$34,$G421=$G$37,F$37,$G421=$G$107,F$107,$G421=$G$110,F$110,$G421=$G$140,F$140,$G421=$G$142,F$142,$G421=$G$408,F$408)</f>
        <v>8002</v>
      </c>
      <c r="G421" s="13" t="s">
        <v>65</v>
      </c>
      <c r="H421" s="51" cm="1">
        <f t="array" ref="H421">_xlfn.IFS($G421=$G$5,H$5,$G421=$G$7,H$7,$G421=$G$10,H$10,$G421=$G$13,H$13,$G421=$G$14,H$14,$G421=$G$16,H$16,$G421=$G$17,H$17,$G421=$G$19,H$19,$G421=$G$20,H$20,$G421=$G$22,H$22,$G421=$G$23,H$23,$G421=$G$26,H$26,$G421=$G$29,H$29,$G421=$G$31,H$31,$G421=$G$34,H$34,$G421=$G$37,H$37,$G421=$G$107,H$107,$G421=$G$110,H$110,$G421=$G$140,H$140,$G421=$G$142,H$142,$G421=$G$408,H$408)</f>
        <v>41.382339999999999</v>
      </c>
      <c r="I421" s="51" cm="1">
        <f t="array" ref="I421">_xlfn.IFS($G421=$G$5,I$5,$G421=$G$7,I$7,$G421=$G$10,I$10,$G421=$G$13,I$13,$G421=$G$14,I$14,$G421=$G$16,I$16,$G421=$G$17,I$17,$G421=$G$19,I$19,$G421=$G$20,I$20,$G421=$G$22,I$22,$G421=$G$23,I$23,$G421=$G$26,I$26,$G421=$G$29,I$29,$G421=$G$31,I$31,$G421=$G$34,I$34,$G421=$G$37,I$37,$G421=$G$107,I$107,$G421=$G$110,I$110,$G421=$G$140,I$140,$G421=$G$142,I$142,$G421=$G$408,I$408)</f>
        <v>2.1714790000000002</v>
      </c>
      <c r="J421" s="51" cm="1">
        <f t="array" ref="J421">_xlfn.IFS($G421=$G$5,J$5,$G421=$G$7,J$7,$G421=$G$10,J$10,$G421=$G$13,J$13,$G421=$G$14,J$14,$G421=$G$16,J$16,$G421=$G$17,J$17,$G421=$G$19,J$19,$G421=$G$20,J$20,$G421=$G$22,J$22,$G421=$G$23,J$23,$G421=$G$26,J$26,$G421=$G$29,J$29,$G421=$G$31,J$31,$G421=$G$34,J$34,$G421=$G$37,J$37,$G421=$G$107,J$107,$G421=$G$110,J$110,$G421=$G$140,J$140,$G421=$G$142,J$142,$G421=$G$408,J$408)</f>
        <v>19</v>
      </c>
      <c r="K421" s="13" t="str" cm="1">
        <f t="array" ref="K421">_xlfn.IFS($G421=$G$5,K$5,$G421=$G$7,K$7,$G421=$G$10,K$10,$G421=$G$13,K$13,$G421=$G$14,K$14,$G421=$G$16,K$16,$G421=$G$17,K$17,$G421=$G$19,K$19,$G421=$G$20,K$20,$G421=$G$22,K$22,$G421=$G$23,K$23,$G421=$G$26,K$26,$G421=$G$29,K$29,$G421=$G$31,K$31,$G421=$G$34,K$34,$G421=$G$37,K$37,$G421=$G$107,K$107,$G421=$G$110,K$110,$G421=$G$140,K$140,$G421=$G$142,K$142,$G421=$G$408,K$408)</f>
        <v>BG sentinel + BG lure7</v>
      </c>
      <c r="O421" s="13" t="str">
        <f t="shared" si="39"/>
        <v>A_SP_BCN_6_220921</v>
      </c>
      <c r="P421" s="31">
        <v>44825</v>
      </c>
      <c r="Q421" s="29">
        <v>0.82986111111111116</v>
      </c>
      <c r="R421" s="33"/>
      <c r="S421" s="27">
        <v>44831</v>
      </c>
      <c r="T421" s="29">
        <v>0.84722222222222221</v>
      </c>
      <c r="V421" s="13" t="s">
        <v>86</v>
      </c>
      <c r="X421" s="13">
        <f t="shared" si="40"/>
        <v>6</v>
      </c>
      <c r="Z421" s="13" t="s">
        <v>164</v>
      </c>
      <c r="AA421" s="13">
        <f t="shared" si="43"/>
        <v>4</v>
      </c>
      <c r="AB421" s="13" t="str">
        <f t="shared" si="41"/>
        <v>Adult</v>
      </c>
      <c r="AC421" s="13">
        <v>4</v>
      </c>
      <c r="AD421" s="13">
        <v>0</v>
      </c>
      <c r="AE421" s="13" t="str">
        <f t="shared" si="42"/>
        <v>Morphological</v>
      </c>
      <c r="AF421" s="2">
        <v>4</v>
      </c>
    </row>
    <row r="422" spans="1:32" x14ac:dyDescent="0.25">
      <c r="A422" s="13">
        <v>418</v>
      </c>
      <c r="B422" s="23" t="s">
        <v>56</v>
      </c>
      <c r="C422" s="23" t="s">
        <v>57</v>
      </c>
      <c r="D422" s="23" t="s">
        <v>58</v>
      </c>
      <c r="E422" s="23" t="s">
        <v>58</v>
      </c>
      <c r="F422" s="35" cm="1">
        <f t="array" ref="F422">_xlfn.IFS($G422=$G$5,F$5,$G422=$G$7,F$7,$G422=$G$10,F$10,$G422=$G$13,F$13,$G422=$G$14,F$14,$G422=$G$16,F$16,$G422=$G$17,F$17,$G422=$G$19,F$19,$G422=$G$20,F$20,$G422=$G$22,F$22,$G422=$G$23,F$23,$G422=$G$26,F$26,$G422=$G$29,F$29,$G422=$G$31,F$31,$G422=$G$34,F$34,$G422=$G$37,F$37,$G422=$G$107,F$107,$G422=$G$110,F$110,$G422=$G$140,F$140,$G422=$G$142,F$142,$G422=$G$408,F$408)</f>
        <v>8040</v>
      </c>
      <c r="G422" s="13" t="s">
        <v>68</v>
      </c>
      <c r="H422" s="51" cm="1">
        <f t="array" ref="H422">_xlfn.IFS($G422=$G$5,H$5,$G422=$G$7,H$7,$G422=$G$10,H$10,$G422=$G$13,H$13,$G422=$G$14,H$14,$G422=$G$16,H$16,$G422=$G$17,H$17,$G422=$G$19,H$19,$G422=$G$20,H$20,$G422=$G$22,H$22,$G422=$G$23,H$23,$G422=$G$26,H$26,$G422=$G$29,H$29,$G422=$G$31,H$31,$G422=$G$34,H$34,$G422=$G$37,H$37,$G422=$G$107,H$107,$G422=$G$110,H$110,$G422=$G$140,H$140,$G422=$G$142,H$142,$G422=$G$408,H$408)</f>
        <v>41.343685000000001</v>
      </c>
      <c r="I422" s="51" cm="1">
        <f t="array" ref="I422">_xlfn.IFS($G422=$G$5,I$5,$G422=$G$7,I$7,$G422=$G$10,I$10,$G422=$G$13,I$13,$G422=$G$14,I$14,$G422=$G$16,I$16,$G422=$G$17,I$17,$G422=$G$19,I$19,$G422=$G$20,I$20,$G422=$G$22,I$22,$G422=$G$23,I$23,$G422=$G$26,I$26,$G422=$G$29,I$29,$G422=$G$31,I$31,$G422=$G$34,I$34,$G422=$G$37,I$37,$G422=$G$107,I$107,$G422=$G$110,I$110,$G422=$G$140,I$140,$G422=$G$142,I$142,$G422=$G$408,I$408)</f>
        <v>2.1441490000000001</v>
      </c>
      <c r="J422" s="51" cm="1">
        <f t="array" ref="J422">_xlfn.IFS($G422=$G$5,J$5,$G422=$G$7,J$7,$G422=$G$10,J$10,$G422=$G$13,J$13,$G422=$G$14,J$14,$G422=$G$16,J$16,$G422=$G$17,J$17,$G422=$G$19,J$19,$G422=$G$20,J$20,$G422=$G$22,J$22,$G422=$G$23,J$23,$G422=$G$26,J$26,$G422=$G$29,J$29,$G422=$G$31,J$31,$G422=$G$34,J$34,$G422=$G$37,J$37,$G422=$G$107,J$107,$G422=$G$110,J$110,$G422=$G$140,J$140,$G422=$G$142,J$142,$G422=$G$408,J$408)</f>
        <v>4</v>
      </c>
      <c r="K422" s="13" t="str" cm="1">
        <f t="array" ref="K422">_xlfn.IFS($G422=$G$5,K$5,$G422=$G$7,K$7,$G422=$G$10,K$10,$G422=$G$13,K$13,$G422=$G$14,K$14,$G422=$G$16,K$16,$G422=$G$17,K$17,$G422=$G$19,K$19,$G422=$G$20,K$20,$G422=$G$22,K$22,$G422=$G$23,K$23,$G422=$G$26,K$26,$G422=$G$29,K$29,$G422=$G$31,K$31,$G422=$G$34,K$34,$G422=$G$37,K$37,$G422=$G$107,K$107,$G422=$G$110,K$110,$G422=$G$140,K$140,$G422=$G$142,K$142,$G422=$G$408,K$408)</f>
        <v>BG sentinel + BG lure7</v>
      </c>
      <c r="O422" s="13" t="str">
        <f t="shared" si="39"/>
        <v>A_SP_BCN_10_220921</v>
      </c>
      <c r="P422" s="31">
        <v>44825</v>
      </c>
      <c r="Q422" s="29">
        <v>0.50694444444444442</v>
      </c>
      <c r="R422" s="33"/>
      <c r="S422" s="27">
        <v>44831</v>
      </c>
      <c r="T422" s="29">
        <v>0.54861111111111105</v>
      </c>
      <c r="V422" s="13" t="s">
        <v>86</v>
      </c>
      <c r="X422" s="13">
        <f t="shared" si="40"/>
        <v>6</v>
      </c>
      <c r="Z422" s="13" t="s">
        <v>60</v>
      </c>
      <c r="AA422" s="13">
        <f t="shared" si="43"/>
        <v>20</v>
      </c>
      <c r="AB422" s="13" t="str">
        <f t="shared" si="41"/>
        <v>Adult</v>
      </c>
      <c r="AC422" s="13">
        <v>10</v>
      </c>
      <c r="AD422" s="13">
        <v>10</v>
      </c>
      <c r="AE422" s="13" t="str">
        <f t="shared" si="42"/>
        <v>Morphological</v>
      </c>
      <c r="AF422" s="2">
        <v>4</v>
      </c>
    </row>
    <row r="423" spans="1:32" x14ac:dyDescent="0.25">
      <c r="A423" s="13">
        <v>419</v>
      </c>
      <c r="B423" s="23" t="s">
        <v>56</v>
      </c>
      <c r="C423" s="23" t="s">
        <v>57</v>
      </c>
      <c r="D423" s="23" t="s">
        <v>58</v>
      </c>
      <c r="E423" s="23" t="s">
        <v>58</v>
      </c>
      <c r="F423" s="35" cm="1">
        <f t="array" ref="F423">_xlfn.IFS($G423=$G$5,F$5,$G423=$G$7,F$7,$G423=$G$10,F$10,$G423=$G$13,F$13,$G423=$G$14,F$14,$G423=$G$16,F$16,$G423=$G$17,F$17,$G423=$G$19,F$19,$G423=$G$20,F$20,$G423=$G$22,F$22,$G423=$G$23,F$23,$G423=$G$26,F$26,$G423=$G$29,F$29,$G423=$G$31,F$31,$G423=$G$34,F$34,$G423=$G$37,F$37,$G423=$G$107,F$107,$G423=$G$110,F$110,$G423=$G$140,F$140,$G423=$G$142,F$142,$G423=$G$408,F$408)</f>
        <v>8040</v>
      </c>
      <c r="G423" s="13" t="s">
        <v>68</v>
      </c>
      <c r="H423" s="51" cm="1">
        <f t="array" ref="H423">_xlfn.IFS($G423=$G$5,H$5,$G423=$G$7,H$7,$G423=$G$10,H$10,$G423=$G$13,H$13,$G423=$G$14,H$14,$G423=$G$16,H$16,$G423=$G$17,H$17,$G423=$G$19,H$19,$G423=$G$20,H$20,$G423=$G$22,H$22,$G423=$G$23,H$23,$G423=$G$26,H$26,$G423=$G$29,H$29,$G423=$G$31,H$31,$G423=$G$34,H$34,$G423=$G$37,H$37,$G423=$G$107,H$107,$G423=$G$110,H$110,$G423=$G$140,H$140,$G423=$G$142,H$142,$G423=$G$408,H$408)</f>
        <v>41.343685000000001</v>
      </c>
      <c r="I423" s="51" cm="1">
        <f t="array" ref="I423">_xlfn.IFS($G423=$G$5,I$5,$G423=$G$7,I$7,$G423=$G$10,I$10,$G423=$G$13,I$13,$G423=$G$14,I$14,$G423=$G$16,I$16,$G423=$G$17,I$17,$G423=$G$19,I$19,$G423=$G$20,I$20,$G423=$G$22,I$22,$G423=$G$23,I$23,$G423=$G$26,I$26,$G423=$G$29,I$29,$G423=$G$31,I$31,$G423=$G$34,I$34,$G423=$G$37,I$37,$G423=$G$107,I$107,$G423=$G$110,I$110,$G423=$G$140,I$140,$G423=$G$142,I$142,$G423=$G$408,I$408)</f>
        <v>2.1441490000000001</v>
      </c>
      <c r="J423" s="51" cm="1">
        <f t="array" ref="J423">_xlfn.IFS($G423=$G$5,J$5,$G423=$G$7,J$7,$G423=$G$10,J$10,$G423=$G$13,J$13,$G423=$G$14,J$14,$G423=$G$16,J$16,$G423=$G$17,J$17,$G423=$G$19,J$19,$G423=$G$20,J$20,$G423=$G$22,J$22,$G423=$G$23,J$23,$G423=$G$26,J$26,$G423=$G$29,J$29,$G423=$G$31,J$31,$G423=$G$34,J$34,$G423=$G$37,J$37,$G423=$G$107,J$107,$G423=$G$110,J$110,$G423=$G$140,J$140,$G423=$G$142,J$142,$G423=$G$408,J$408)</f>
        <v>4</v>
      </c>
      <c r="K423" s="13" t="str" cm="1">
        <f t="array" ref="K423">_xlfn.IFS($G423=$G$5,K$5,$G423=$G$7,K$7,$G423=$G$10,K$10,$G423=$G$13,K$13,$G423=$G$14,K$14,$G423=$G$16,K$16,$G423=$G$17,K$17,$G423=$G$19,K$19,$G423=$G$20,K$20,$G423=$G$22,K$22,$G423=$G$23,K$23,$G423=$G$26,K$26,$G423=$G$29,K$29,$G423=$G$31,K$31,$G423=$G$34,K$34,$G423=$G$37,K$37,$G423=$G$107,K$107,$G423=$G$110,K$110,$G423=$G$140,K$140,$G423=$G$142,K$142,$G423=$G$408,K$408)</f>
        <v>BG sentinel + BG lure7</v>
      </c>
      <c r="O423" s="13" t="str">
        <f t="shared" si="39"/>
        <v>A_SP_BCN_10_220921</v>
      </c>
      <c r="P423" s="31">
        <v>44825</v>
      </c>
      <c r="Q423" s="29">
        <v>0.50694444444444442</v>
      </c>
      <c r="R423" s="33"/>
      <c r="S423" s="27">
        <v>44831</v>
      </c>
      <c r="T423" s="29">
        <v>0.54861111111111105</v>
      </c>
      <c r="V423" s="13" t="s">
        <v>86</v>
      </c>
      <c r="X423" s="13">
        <f t="shared" si="40"/>
        <v>6</v>
      </c>
      <c r="Z423" s="13" t="s">
        <v>164</v>
      </c>
      <c r="AA423" s="13">
        <f t="shared" si="43"/>
        <v>12</v>
      </c>
      <c r="AB423" s="13" t="str">
        <f t="shared" si="41"/>
        <v>Adult</v>
      </c>
      <c r="AC423" s="13">
        <v>11</v>
      </c>
      <c r="AD423" s="13">
        <v>1</v>
      </c>
      <c r="AE423" s="13" t="str">
        <f t="shared" si="42"/>
        <v>Morphological</v>
      </c>
      <c r="AF423" s="2">
        <v>4</v>
      </c>
    </row>
    <row r="424" spans="1:32" x14ac:dyDescent="0.25">
      <c r="A424" s="13">
        <v>420</v>
      </c>
      <c r="B424" s="23" t="s">
        <v>56</v>
      </c>
      <c r="C424" s="23" t="s">
        <v>57</v>
      </c>
      <c r="D424" s="23" t="s">
        <v>58</v>
      </c>
      <c r="E424" s="23" t="s">
        <v>58</v>
      </c>
      <c r="F424" s="35" cm="1">
        <f t="array" ref="F424">_xlfn.IFS($G424=$G$5,F$5,$G424=$G$7,F$7,$G424=$G$10,F$10,$G424=$G$13,F$13,$G424=$G$14,F$14,$G424=$G$16,F$16,$G424=$G$17,F$17,$G424=$G$19,F$19,$G424=$G$20,F$20,$G424=$G$22,F$22,$G424=$G$23,F$23,$G424=$G$26,F$26,$G424=$G$29,F$29,$G424=$G$31,F$31,$G424=$G$34,F$34,$G424=$G$37,F$37,$G424=$G$107,F$107,$G424=$G$110,F$110,$G424=$G$140,F$140,$G424=$G$142,F$142,$G424=$G$408,F$408)</f>
        <v>8038</v>
      </c>
      <c r="G424" s="13" t="s">
        <v>69</v>
      </c>
      <c r="H424" s="51" cm="1">
        <f t="array" ref="H424">_xlfn.IFS($G424=$G$5,H$5,$G424=$G$7,H$7,$G424=$G$10,H$10,$G424=$G$13,H$13,$G424=$G$14,H$14,$G424=$G$16,H$16,$G424=$G$17,H$17,$G424=$G$19,H$19,$G424=$G$20,H$20,$G424=$G$22,H$22,$G424=$G$23,H$23,$G424=$G$26,H$26,$G424=$G$29,H$29,$G424=$G$31,H$31,$G424=$G$34,H$34,$G424=$G$37,H$37,$G424=$G$107,H$107,$G424=$G$110,H$110,$G424=$G$140,H$140,$G424=$G$142,H$142,$G424=$G$408,H$408)</f>
        <v>41.363377999999997</v>
      </c>
      <c r="I424" s="51" cm="1">
        <f t="array" ref="I424">_xlfn.IFS($G424=$G$5,I$5,$G424=$G$7,I$7,$G424=$G$10,I$10,$G424=$G$13,I$13,$G424=$G$14,I$14,$G424=$G$16,I$16,$G424=$G$17,I$17,$G424=$G$19,I$19,$G424=$G$20,I$20,$G424=$G$22,I$22,$G424=$G$23,I$23,$G424=$G$26,I$26,$G424=$G$29,I$29,$G424=$G$31,I$31,$G424=$G$34,I$34,$G424=$G$37,I$37,$G424=$G$107,I$107,$G424=$G$110,I$110,$G424=$G$140,I$140,$G424=$G$142,I$142,$G424=$G$408,I$408)</f>
        <v>2.164879</v>
      </c>
      <c r="J424" s="51" cm="1">
        <f t="array" ref="J424">_xlfn.IFS($G424=$G$5,J$5,$G424=$G$7,J$7,$G424=$G$10,J$10,$G424=$G$13,J$13,$G424=$G$14,J$14,$G424=$G$16,J$16,$G424=$G$17,J$17,$G424=$G$19,J$19,$G424=$G$20,J$20,$G424=$G$22,J$22,$G424=$G$23,J$23,$G424=$G$26,J$26,$G424=$G$29,J$29,$G424=$G$31,J$31,$G424=$G$34,J$34,$G424=$G$37,J$37,$G424=$G$107,J$107,$G424=$G$110,J$110,$G424=$G$140,J$140,$G424=$G$142,J$142,$G424=$G$408,J$408)</f>
        <v>185</v>
      </c>
      <c r="K424" s="13" t="str" cm="1">
        <f t="array" ref="K424">_xlfn.IFS($G424=$G$5,K$5,$G424=$G$7,K$7,$G424=$G$10,K$10,$G424=$G$13,K$13,$G424=$G$14,K$14,$G424=$G$16,K$16,$G424=$G$17,K$17,$G424=$G$19,K$19,$G424=$G$20,K$20,$G424=$G$22,K$22,$G424=$G$23,K$23,$G424=$G$26,K$26,$G424=$G$29,K$29,$G424=$G$31,K$31,$G424=$G$34,K$34,$G424=$G$37,K$37,$G424=$G$107,K$107,$G424=$G$110,K$110,$G424=$G$140,K$140,$G424=$G$142,K$142,$G424=$G$408,K$408)</f>
        <v>BG sentinel + BG lure7</v>
      </c>
      <c r="O424" s="13" t="str">
        <f t="shared" si="39"/>
        <v>A_SP_BCN_12_220921</v>
      </c>
      <c r="P424" s="31">
        <v>44825</v>
      </c>
      <c r="Q424" s="29">
        <v>0.56597222222222221</v>
      </c>
      <c r="R424" s="33"/>
      <c r="S424" s="27">
        <v>44831</v>
      </c>
      <c r="T424" s="29">
        <v>0.58333333333333337</v>
      </c>
      <c r="V424" s="13" t="s">
        <v>86</v>
      </c>
      <c r="X424" s="13">
        <f t="shared" si="40"/>
        <v>6</v>
      </c>
      <c r="Z424" s="13" t="s">
        <v>60</v>
      </c>
      <c r="AA424" s="13">
        <f t="shared" si="43"/>
        <v>12</v>
      </c>
      <c r="AB424" s="13" t="str">
        <f t="shared" si="41"/>
        <v>Adult</v>
      </c>
      <c r="AC424" s="13">
        <v>12</v>
      </c>
      <c r="AD424" s="13">
        <v>0</v>
      </c>
      <c r="AE424" s="13" t="str">
        <f t="shared" si="42"/>
        <v>Morphological</v>
      </c>
      <c r="AF424" s="2">
        <v>4</v>
      </c>
    </row>
    <row r="425" spans="1:32" x14ac:dyDescent="0.25">
      <c r="A425" s="13">
        <v>421</v>
      </c>
      <c r="B425" s="23" t="s">
        <v>56</v>
      </c>
      <c r="C425" s="23" t="s">
        <v>57</v>
      </c>
      <c r="D425" s="23" t="s">
        <v>58</v>
      </c>
      <c r="E425" s="23" t="s">
        <v>58</v>
      </c>
      <c r="F425" s="35" cm="1">
        <f t="array" ref="F425">_xlfn.IFS($G425=$G$5,F$5,$G425=$G$7,F$7,$G425=$G$10,F$10,$G425=$G$13,F$13,$G425=$G$14,F$14,$G425=$G$16,F$16,$G425=$G$17,F$17,$G425=$G$19,F$19,$G425=$G$20,F$20,$G425=$G$22,F$22,$G425=$G$23,F$23,$G425=$G$26,F$26,$G425=$G$29,F$29,$G425=$G$31,F$31,$G425=$G$34,F$34,$G425=$G$37,F$37,$G425=$G$107,F$107,$G425=$G$110,F$110,$G425=$G$140,F$140,$G425=$G$142,F$142,$G425=$G$408,F$408)</f>
        <v>8038</v>
      </c>
      <c r="G425" s="13" t="s">
        <v>69</v>
      </c>
      <c r="H425" s="51" cm="1">
        <f t="array" ref="H425">_xlfn.IFS($G425=$G$5,H$5,$G425=$G$7,H$7,$G425=$G$10,H$10,$G425=$G$13,H$13,$G425=$G$14,H$14,$G425=$G$16,H$16,$G425=$G$17,H$17,$G425=$G$19,H$19,$G425=$G$20,H$20,$G425=$G$22,H$22,$G425=$G$23,H$23,$G425=$G$26,H$26,$G425=$G$29,H$29,$G425=$G$31,H$31,$G425=$G$34,H$34,$G425=$G$37,H$37,$G425=$G$107,H$107,$G425=$G$110,H$110,$G425=$G$140,H$140,$G425=$G$142,H$142,$G425=$G$408,H$408)</f>
        <v>41.363377999999997</v>
      </c>
      <c r="I425" s="51" cm="1">
        <f t="array" ref="I425">_xlfn.IFS($G425=$G$5,I$5,$G425=$G$7,I$7,$G425=$G$10,I$10,$G425=$G$13,I$13,$G425=$G$14,I$14,$G425=$G$16,I$16,$G425=$G$17,I$17,$G425=$G$19,I$19,$G425=$G$20,I$20,$G425=$G$22,I$22,$G425=$G$23,I$23,$G425=$G$26,I$26,$G425=$G$29,I$29,$G425=$G$31,I$31,$G425=$G$34,I$34,$G425=$G$37,I$37,$G425=$G$107,I$107,$G425=$G$110,I$110,$G425=$G$140,I$140,$G425=$G$142,I$142,$G425=$G$408,I$408)</f>
        <v>2.164879</v>
      </c>
      <c r="J425" s="51" cm="1">
        <f t="array" ref="J425">_xlfn.IFS($G425=$G$5,J$5,$G425=$G$7,J$7,$G425=$G$10,J$10,$G425=$G$13,J$13,$G425=$G$14,J$14,$G425=$G$16,J$16,$G425=$G$17,J$17,$G425=$G$19,J$19,$G425=$G$20,J$20,$G425=$G$22,J$22,$G425=$G$23,J$23,$G425=$G$26,J$26,$G425=$G$29,J$29,$G425=$G$31,J$31,$G425=$G$34,J$34,$G425=$G$37,J$37,$G425=$G$107,J$107,$G425=$G$110,J$110,$G425=$G$140,J$140,$G425=$G$142,J$142,$G425=$G$408,J$408)</f>
        <v>185</v>
      </c>
      <c r="K425" s="13" t="str" cm="1">
        <f t="array" ref="K425">_xlfn.IFS($G425=$G$5,K$5,$G425=$G$7,K$7,$G425=$G$10,K$10,$G425=$G$13,K$13,$G425=$G$14,K$14,$G425=$G$16,K$16,$G425=$G$17,K$17,$G425=$G$19,K$19,$G425=$G$20,K$20,$G425=$G$22,K$22,$G425=$G$23,K$23,$G425=$G$26,K$26,$G425=$G$29,K$29,$G425=$G$31,K$31,$G425=$G$34,K$34,$G425=$G$37,K$37,$G425=$G$107,K$107,$G425=$G$110,K$110,$G425=$G$140,K$140,$G425=$G$142,K$142,$G425=$G$408,K$408)</f>
        <v>BG sentinel + BG lure7</v>
      </c>
      <c r="O425" s="13" t="str">
        <f t="shared" si="39"/>
        <v>A_SP_BCN_12_220921</v>
      </c>
      <c r="P425" s="31">
        <v>44825</v>
      </c>
      <c r="Q425" s="29">
        <v>0.56597222222222221</v>
      </c>
      <c r="R425" s="33"/>
      <c r="S425" s="27">
        <v>44831</v>
      </c>
      <c r="T425" s="29">
        <v>0.58333333333333337</v>
      </c>
      <c r="V425" s="13" t="s">
        <v>86</v>
      </c>
      <c r="X425" s="13">
        <f t="shared" si="40"/>
        <v>6</v>
      </c>
      <c r="Z425" s="13" t="s">
        <v>164</v>
      </c>
      <c r="AA425" s="13">
        <f t="shared" si="43"/>
        <v>23</v>
      </c>
      <c r="AB425" s="13" t="str">
        <f t="shared" si="41"/>
        <v>Adult</v>
      </c>
      <c r="AC425" s="13">
        <v>21</v>
      </c>
      <c r="AD425" s="13">
        <v>2</v>
      </c>
      <c r="AE425" s="13" t="str">
        <f t="shared" si="42"/>
        <v>Morphological</v>
      </c>
      <c r="AF425" s="2">
        <v>4</v>
      </c>
    </row>
    <row r="426" spans="1:32" x14ac:dyDescent="0.25">
      <c r="A426" s="13">
        <v>422</v>
      </c>
      <c r="B426" s="23" t="s">
        <v>56</v>
      </c>
      <c r="C426" s="23" t="s">
        <v>57</v>
      </c>
      <c r="D426" s="23" t="s">
        <v>58</v>
      </c>
      <c r="E426" s="23" t="s">
        <v>58</v>
      </c>
      <c r="F426" s="35" cm="1">
        <f t="array" ref="F426">_xlfn.IFS($G426=$G$5,F$5,$G426=$G$7,F$7,$G426=$G$10,F$10,$G426=$G$13,F$13,$G426=$G$14,F$14,$G426=$G$16,F$16,$G426=$G$17,F$17,$G426=$G$19,F$19,$G426=$G$20,F$20,$G426=$G$22,F$22,$G426=$G$23,F$23,$G426=$G$26,F$26,$G426=$G$29,F$29,$G426=$G$31,F$31,$G426=$G$34,F$34,$G426=$G$37,F$37,$G426=$G$107,F$107,$G426=$G$110,F$110,$G426=$G$140,F$140,$G426=$G$142,F$142,$G426=$G$408,F$408)</f>
        <v>8038</v>
      </c>
      <c r="G426" s="13" t="s">
        <v>69</v>
      </c>
      <c r="H426" s="51" cm="1">
        <f t="array" ref="H426">_xlfn.IFS($G426=$G$5,H$5,$G426=$G$7,H$7,$G426=$G$10,H$10,$G426=$G$13,H$13,$G426=$G$14,H$14,$G426=$G$16,H$16,$G426=$G$17,H$17,$G426=$G$19,H$19,$G426=$G$20,H$20,$G426=$G$22,H$22,$G426=$G$23,H$23,$G426=$G$26,H$26,$G426=$G$29,H$29,$G426=$G$31,H$31,$G426=$G$34,H$34,$G426=$G$37,H$37,$G426=$G$107,H$107,$G426=$G$110,H$110,$G426=$G$140,H$140,$G426=$G$142,H$142,$G426=$G$408,H$408)</f>
        <v>41.363377999999997</v>
      </c>
      <c r="I426" s="51" cm="1">
        <f t="array" ref="I426">_xlfn.IFS($G426=$G$5,I$5,$G426=$G$7,I$7,$G426=$G$10,I$10,$G426=$G$13,I$13,$G426=$G$14,I$14,$G426=$G$16,I$16,$G426=$G$17,I$17,$G426=$G$19,I$19,$G426=$G$20,I$20,$G426=$G$22,I$22,$G426=$G$23,I$23,$G426=$G$26,I$26,$G426=$G$29,I$29,$G426=$G$31,I$31,$G426=$G$34,I$34,$G426=$G$37,I$37,$G426=$G$107,I$107,$G426=$G$110,I$110,$G426=$G$140,I$140,$G426=$G$142,I$142,$G426=$G$408,I$408)</f>
        <v>2.164879</v>
      </c>
      <c r="J426" s="51" cm="1">
        <f t="array" ref="J426">_xlfn.IFS($G426=$G$5,J$5,$G426=$G$7,J$7,$G426=$G$10,J$10,$G426=$G$13,J$13,$G426=$G$14,J$14,$G426=$G$16,J$16,$G426=$G$17,J$17,$G426=$G$19,J$19,$G426=$G$20,J$20,$G426=$G$22,J$22,$G426=$G$23,J$23,$G426=$G$26,J$26,$G426=$G$29,J$29,$G426=$G$31,J$31,$G426=$G$34,J$34,$G426=$G$37,J$37,$G426=$G$107,J$107,$G426=$G$110,J$110,$G426=$G$140,J$140,$G426=$G$142,J$142,$G426=$G$408,J$408)</f>
        <v>185</v>
      </c>
      <c r="K426" s="13" t="str" cm="1">
        <f t="array" ref="K426">_xlfn.IFS($G426=$G$5,K$5,$G426=$G$7,K$7,$G426=$G$10,K$10,$G426=$G$13,K$13,$G426=$G$14,K$14,$G426=$G$16,K$16,$G426=$G$17,K$17,$G426=$G$19,K$19,$G426=$G$20,K$20,$G426=$G$22,K$22,$G426=$G$23,K$23,$G426=$G$26,K$26,$G426=$G$29,K$29,$G426=$G$31,K$31,$G426=$G$34,K$34,$G426=$G$37,K$37,$G426=$G$107,K$107,$G426=$G$110,K$110,$G426=$G$140,K$140,$G426=$G$142,K$142,$G426=$G$408,K$408)</f>
        <v>BG sentinel + BG lure7</v>
      </c>
      <c r="O426" s="13" t="str">
        <f t="shared" si="39"/>
        <v>A_SP_BCN_12_220921</v>
      </c>
      <c r="P426" s="31">
        <v>44825</v>
      </c>
      <c r="Q426" s="29">
        <v>0.56597222222222221</v>
      </c>
      <c r="R426" s="33"/>
      <c r="S426" s="27">
        <v>44831</v>
      </c>
      <c r="T426" s="29">
        <v>0.58333333333333337</v>
      </c>
      <c r="V426" s="13" t="s">
        <v>86</v>
      </c>
      <c r="X426" s="13">
        <f t="shared" si="40"/>
        <v>6</v>
      </c>
      <c r="Z426" s="32" t="s">
        <v>163</v>
      </c>
      <c r="AA426" s="13">
        <f t="shared" si="43"/>
        <v>2</v>
      </c>
      <c r="AB426" s="13" t="str">
        <f t="shared" si="41"/>
        <v>Adult</v>
      </c>
      <c r="AC426" s="13">
        <v>1</v>
      </c>
      <c r="AD426" s="13">
        <v>1</v>
      </c>
      <c r="AE426" s="13" t="str">
        <f t="shared" si="42"/>
        <v>Morphological</v>
      </c>
      <c r="AF426" s="2">
        <v>4</v>
      </c>
    </row>
    <row r="427" spans="1:32" x14ac:dyDescent="0.25">
      <c r="A427" s="13">
        <v>423</v>
      </c>
      <c r="B427" s="23" t="s">
        <v>56</v>
      </c>
      <c r="C427" s="23" t="s">
        <v>57</v>
      </c>
      <c r="D427" s="23" t="s">
        <v>58</v>
      </c>
      <c r="E427" s="23" t="s">
        <v>58</v>
      </c>
      <c r="F427" s="35" cm="1">
        <f t="array" ref="F427">_xlfn.IFS($G427=$G$5,F$5,$G427=$G$7,F$7,$G427=$G$10,F$10,$G427=$G$13,F$13,$G427=$G$14,F$14,$G427=$G$16,F$16,$G427=$G$17,F$17,$G427=$G$19,F$19,$G427=$G$20,F$20,$G427=$G$22,F$22,$G427=$G$23,F$23,$G427=$G$26,F$26,$G427=$G$29,F$29,$G427=$G$31,F$31,$G427=$G$34,F$34,$G427=$G$37,F$37,$G427=$G$107,F$107,$G427=$G$110,F$110,$G427=$G$140,F$140,$G427=$G$142,F$142,$G427=$G$408,F$408)</f>
        <v>8035</v>
      </c>
      <c r="G427" s="13" t="s">
        <v>70</v>
      </c>
      <c r="H427" s="51" cm="1">
        <f t="array" ref="H427">_xlfn.IFS($G427=$G$5,H$5,$G427=$G$7,H$7,$G427=$G$10,H$10,$G427=$G$13,H$13,$G427=$G$14,H$14,$G427=$G$16,H$16,$G427=$G$17,H$17,$G427=$G$19,H$19,$G427=$G$20,H$20,$G427=$G$22,H$22,$G427=$G$23,H$23,$G427=$G$26,H$26,$G427=$G$29,H$29,$G427=$G$31,H$31,$G427=$G$34,H$34,$G427=$G$37,H$37,$G427=$G$107,H$107,$G427=$G$110,H$110,$G427=$G$140,H$140,$G427=$G$142,H$142,$G427=$G$408,H$408)</f>
        <v>41.434472</v>
      </c>
      <c r="I427" s="51" cm="1">
        <f t="array" ref="I427">_xlfn.IFS($G427=$G$5,I$5,$G427=$G$7,I$7,$G427=$G$10,I$10,$G427=$G$13,I$13,$G427=$G$14,I$14,$G427=$G$16,I$16,$G427=$G$17,I$17,$G427=$G$19,I$19,$G427=$G$20,I$20,$G427=$G$22,I$22,$G427=$G$23,I$23,$G427=$G$26,I$26,$G427=$G$29,I$29,$G427=$G$31,I$31,$G427=$G$34,I$34,$G427=$G$37,I$37,$G427=$G$107,I$107,$G427=$G$110,I$110,$G427=$G$140,I$140,$G427=$G$142,I$142,$G427=$G$408,I$408)</f>
        <v>2.1315789999999999</v>
      </c>
      <c r="J427" s="51" cm="1">
        <f t="array" ref="J427">_xlfn.IFS($G427=$G$5,J$5,$G427=$G$7,J$7,$G427=$G$10,J$10,$G427=$G$13,J$13,$G427=$G$14,J$14,$G427=$G$16,J$16,$G427=$G$17,J$17,$G427=$G$19,J$19,$G427=$G$20,J$20,$G427=$G$22,J$22,$G427=$G$23,J$23,$G427=$G$26,J$26,$G427=$G$29,J$29,$G427=$G$31,J$31,$G427=$G$34,J$34,$G427=$G$37,J$37,$G427=$G$107,J$107,$G427=$G$110,J$110,$G427=$G$140,J$140,$G427=$G$142,J$142,$G427=$G$408,J$408)</f>
        <v>365</v>
      </c>
      <c r="K427" s="13" t="str" cm="1">
        <f t="array" ref="K427">_xlfn.IFS($G427=$G$5,K$5,$G427=$G$7,K$7,$G427=$G$10,K$10,$G427=$G$13,K$13,$G427=$G$14,K$14,$G427=$G$16,K$16,$G427=$G$17,K$17,$G427=$G$19,K$19,$G427=$G$20,K$20,$G427=$G$22,K$22,$G427=$G$23,K$23,$G427=$G$26,K$26,$G427=$G$29,K$29,$G427=$G$31,K$31,$G427=$G$34,K$34,$G427=$G$37,K$37,$G427=$G$107,K$107,$G427=$G$110,K$110,$G427=$G$140,K$140,$G427=$G$142,K$142,$G427=$G$408,K$408)</f>
        <v>BG sentinel + BG lure7</v>
      </c>
      <c r="O427" s="13" t="str">
        <f t="shared" si="39"/>
        <v>A_SP_BCN_13_220921</v>
      </c>
      <c r="P427" s="31">
        <v>44825</v>
      </c>
      <c r="Q427" s="29">
        <v>0.64930555555555558</v>
      </c>
      <c r="R427" s="33"/>
      <c r="S427" s="27">
        <v>44831</v>
      </c>
      <c r="T427" s="29">
        <v>0.67708333333333337</v>
      </c>
      <c r="V427" s="13" t="s">
        <v>86</v>
      </c>
      <c r="X427" s="13">
        <f t="shared" si="40"/>
        <v>6</v>
      </c>
      <c r="Z427" s="13" t="s">
        <v>60</v>
      </c>
      <c r="AA427" s="13">
        <f t="shared" si="43"/>
        <v>3</v>
      </c>
      <c r="AB427" s="13" t="str">
        <f t="shared" si="41"/>
        <v>Adult</v>
      </c>
      <c r="AC427" s="13">
        <v>3</v>
      </c>
      <c r="AD427" s="13">
        <v>0</v>
      </c>
      <c r="AE427" s="13" t="str">
        <f t="shared" si="42"/>
        <v>Morphological</v>
      </c>
      <c r="AF427" s="2">
        <v>4</v>
      </c>
    </row>
    <row r="428" spans="1:32" x14ac:dyDescent="0.25">
      <c r="A428" s="13">
        <v>424</v>
      </c>
      <c r="B428" s="23" t="s">
        <v>56</v>
      </c>
      <c r="C428" s="23" t="s">
        <v>57</v>
      </c>
      <c r="D428" s="23" t="s">
        <v>58</v>
      </c>
      <c r="E428" s="23" t="s">
        <v>58</v>
      </c>
      <c r="F428" s="35" cm="1">
        <f t="array" ref="F428">_xlfn.IFS($G428=$G$5,F$5,$G428=$G$7,F$7,$G428=$G$10,F$10,$G428=$G$13,F$13,$G428=$G$14,F$14,$G428=$G$16,F$16,$G428=$G$17,F$17,$G428=$G$19,F$19,$G428=$G$20,F$20,$G428=$G$22,F$22,$G428=$G$23,F$23,$G428=$G$26,F$26,$G428=$G$29,F$29,$G428=$G$31,F$31,$G428=$G$34,F$34,$G428=$G$37,F$37,$G428=$G$107,F$107,$G428=$G$110,F$110,$G428=$G$140,F$140,$G428=$G$142,F$142,$G428=$G$408,F$408)</f>
        <v>8035</v>
      </c>
      <c r="G428" s="13" t="s">
        <v>70</v>
      </c>
      <c r="H428" s="51" cm="1">
        <f t="array" ref="H428">_xlfn.IFS($G428=$G$5,H$5,$G428=$G$7,H$7,$G428=$G$10,H$10,$G428=$G$13,H$13,$G428=$G$14,H$14,$G428=$G$16,H$16,$G428=$G$17,H$17,$G428=$G$19,H$19,$G428=$G$20,H$20,$G428=$G$22,H$22,$G428=$G$23,H$23,$G428=$G$26,H$26,$G428=$G$29,H$29,$G428=$G$31,H$31,$G428=$G$34,H$34,$G428=$G$37,H$37,$G428=$G$107,H$107,$G428=$G$110,H$110,$G428=$G$140,H$140,$G428=$G$142,H$142,$G428=$G$408,H$408)</f>
        <v>41.434472</v>
      </c>
      <c r="I428" s="51" cm="1">
        <f t="array" ref="I428">_xlfn.IFS($G428=$G$5,I$5,$G428=$G$7,I$7,$G428=$G$10,I$10,$G428=$G$13,I$13,$G428=$G$14,I$14,$G428=$G$16,I$16,$G428=$G$17,I$17,$G428=$G$19,I$19,$G428=$G$20,I$20,$G428=$G$22,I$22,$G428=$G$23,I$23,$G428=$G$26,I$26,$G428=$G$29,I$29,$G428=$G$31,I$31,$G428=$G$34,I$34,$G428=$G$37,I$37,$G428=$G$107,I$107,$G428=$G$110,I$110,$G428=$G$140,I$140,$G428=$G$142,I$142,$G428=$G$408,I$408)</f>
        <v>2.1315789999999999</v>
      </c>
      <c r="J428" s="51" cm="1">
        <f t="array" ref="J428">_xlfn.IFS($G428=$G$5,J$5,$G428=$G$7,J$7,$G428=$G$10,J$10,$G428=$G$13,J$13,$G428=$G$14,J$14,$G428=$G$16,J$16,$G428=$G$17,J$17,$G428=$G$19,J$19,$G428=$G$20,J$20,$G428=$G$22,J$22,$G428=$G$23,J$23,$G428=$G$26,J$26,$G428=$G$29,J$29,$G428=$G$31,J$31,$G428=$G$34,J$34,$G428=$G$37,J$37,$G428=$G$107,J$107,$G428=$G$110,J$110,$G428=$G$140,J$140,$G428=$G$142,J$142,$G428=$G$408,J$408)</f>
        <v>365</v>
      </c>
      <c r="K428" s="13" t="str" cm="1">
        <f t="array" ref="K428">_xlfn.IFS($G428=$G$5,K$5,$G428=$G$7,K$7,$G428=$G$10,K$10,$G428=$G$13,K$13,$G428=$G$14,K$14,$G428=$G$16,K$16,$G428=$G$17,K$17,$G428=$G$19,K$19,$G428=$G$20,K$20,$G428=$G$22,K$22,$G428=$G$23,K$23,$G428=$G$26,K$26,$G428=$G$29,K$29,$G428=$G$31,K$31,$G428=$G$34,K$34,$G428=$G$37,K$37,$G428=$G$107,K$107,$G428=$G$110,K$110,$G428=$G$140,K$140,$G428=$G$142,K$142,$G428=$G$408,K$408)</f>
        <v>BG sentinel + BG lure7</v>
      </c>
      <c r="O428" s="13" t="str">
        <f t="shared" si="39"/>
        <v>A_SP_BCN_13_220921</v>
      </c>
      <c r="P428" s="31">
        <v>44825</v>
      </c>
      <c r="Q428" s="29">
        <v>0.64930555555555558</v>
      </c>
      <c r="R428" s="33"/>
      <c r="S428" s="27">
        <v>44831</v>
      </c>
      <c r="T428" s="29">
        <v>0.67708333333333337</v>
      </c>
      <c r="V428" s="13" t="s">
        <v>86</v>
      </c>
      <c r="X428" s="13">
        <f t="shared" si="40"/>
        <v>6</v>
      </c>
      <c r="Z428" s="13" t="s">
        <v>164</v>
      </c>
      <c r="AA428" s="13">
        <f t="shared" si="43"/>
        <v>1</v>
      </c>
      <c r="AB428" s="13" t="str">
        <f t="shared" si="41"/>
        <v>Adult</v>
      </c>
      <c r="AC428" s="13">
        <v>1</v>
      </c>
      <c r="AD428" s="13">
        <v>0</v>
      </c>
      <c r="AE428" s="13" t="str">
        <f t="shared" si="42"/>
        <v>Morphological</v>
      </c>
      <c r="AF428" s="2">
        <v>4</v>
      </c>
    </row>
    <row r="429" spans="1:32" x14ac:dyDescent="0.25">
      <c r="A429" s="13">
        <v>425</v>
      </c>
      <c r="B429" s="23" t="s">
        <v>56</v>
      </c>
      <c r="C429" s="23" t="s">
        <v>57</v>
      </c>
      <c r="D429" s="23" t="s">
        <v>58</v>
      </c>
      <c r="E429" s="23" t="s">
        <v>58</v>
      </c>
      <c r="F429" s="35" cm="1">
        <f t="array" ref="F429">_xlfn.IFS($G429=$G$5,F$5,$G429=$G$7,F$7,$G429=$G$10,F$10,$G429=$G$13,F$13,$G429=$G$14,F$14,$G429=$G$16,F$16,$G429=$G$17,F$17,$G429=$G$19,F$19,$G429=$G$20,F$20,$G429=$G$22,F$22,$G429=$G$23,F$23,$G429=$G$26,F$26,$G429=$G$29,F$29,$G429=$G$31,F$31,$G429=$G$34,F$34,$G429=$G$37,F$37,$G429=$G$107,F$107,$G429=$G$110,F$110,$G429=$G$140,F$140,$G429=$G$142,F$142,$G429=$G$408,F$408)</f>
        <v>8035</v>
      </c>
      <c r="G429" s="13" t="s">
        <v>70</v>
      </c>
      <c r="H429" s="51" cm="1">
        <f t="array" ref="H429">_xlfn.IFS($G429=$G$5,H$5,$G429=$G$7,H$7,$G429=$G$10,H$10,$G429=$G$13,H$13,$G429=$G$14,H$14,$G429=$G$16,H$16,$G429=$G$17,H$17,$G429=$G$19,H$19,$G429=$G$20,H$20,$G429=$G$22,H$22,$G429=$G$23,H$23,$G429=$G$26,H$26,$G429=$G$29,H$29,$G429=$G$31,H$31,$G429=$G$34,H$34,$G429=$G$37,H$37,$G429=$G$107,H$107,$G429=$G$110,H$110,$G429=$G$140,H$140,$G429=$G$142,H$142,$G429=$G$408,H$408)</f>
        <v>41.434472</v>
      </c>
      <c r="I429" s="51" cm="1">
        <f t="array" ref="I429">_xlfn.IFS($G429=$G$5,I$5,$G429=$G$7,I$7,$G429=$G$10,I$10,$G429=$G$13,I$13,$G429=$G$14,I$14,$G429=$G$16,I$16,$G429=$G$17,I$17,$G429=$G$19,I$19,$G429=$G$20,I$20,$G429=$G$22,I$22,$G429=$G$23,I$23,$G429=$G$26,I$26,$G429=$G$29,I$29,$G429=$G$31,I$31,$G429=$G$34,I$34,$G429=$G$37,I$37,$G429=$G$107,I$107,$G429=$G$110,I$110,$G429=$G$140,I$140,$G429=$G$142,I$142,$G429=$G$408,I$408)</f>
        <v>2.1315789999999999</v>
      </c>
      <c r="J429" s="51" cm="1">
        <f t="array" ref="J429">_xlfn.IFS($G429=$G$5,J$5,$G429=$G$7,J$7,$G429=$G$10,J$10,$G429=$G$13,J$13,$G429=$G$14,J$14,$G429=$G$16,J$16,$G429=$G$17,J$17,$G429=$G$19,J$19,$G429=$G$20,J$20,$G429=$G$22,J$22,$G429=$G$23,J$23,$G429=$G$26,J$26,$G429=$G$29,J$29,$G429=$G$31,J$31,$G429=$G$34,J$34,$G429=$G$37,J$37,$G429=$G$107,J$107,$G429=$G$110,J$110,$G429=$G$140,J$140,$G429=$G$142,J$142,$G429=$G$408,J$408)</f>
        <v>365</v>
      </c>
      <c r="K429" s="13" t="str" cm="1">
        <f t="array" ref="K429">_xlfn.IFS($G429=$G$5,K$5,$G429=$G$7,K$7,$G429=$G$10,K$10,$G429=$G$13,K$13,$G429=$G$14,K$14,$G429=$G$16,K$16,$G429=$G$17,K$17,$G429=$G$19,K$19,$G429=$G$20,K$20,$G429=$G$22,K$22,$G429=$G$23,K$23,$G429=$G$26,K$26,$G429=$G$29,K$29,$G429=$G$31,K$31,$G429=$G$34,K$34,$G429=$G$37,K$37,$G429=$G$107,K$107,$G429=$G$110,K$110,$G429=$G$140,K$140,$G429=$G$142,K$142,$G429=$G$408,K$408)</f>
        <v>BG sentinel + BG lure7</v>
      </c>
      <c r="O429" s="13" t="str">
        <f t="shared" si="39"/>
        <v>A_SP_BCN_13_220921</v>
      </c>
      <c r="P429" s="31">
        <v>44825</v>
      </c>
      <c r="Q429" s="29">
        <v>0.64930555555555558</v>
      </c>
      <c r="R429" s="33"/>
      <c r="S429" s="27">
        <v>44831</v>
      </c>
      <c r="T429" s="29">
        <v>0.67708333333333337</v>
      </c>
      <c r="V429" s="13" t="s">
        <v>86</v>
      </c>
      <c r="X429" s="13">
        <f t="shared" si="40"/>
        <v>6</v>
      </c>
      <c r="Z429" s="32" t="s">
        <v>163</v>
      </c>
      <c r="AA429" s="13">
        <f t="shared" si="43"/>
        <v>1</v>
      </c>
      <c r="AB429" s="13" t="str">
        <f t="shared" si="41"/>
        <v>Adult</v>
      </c>
      <c r="AC429" s="13">
        <v>1</v>
      </c>
      <c r="AD429" s="13">
        <v>0</v>
      </c>
      <c r="AE429" s="13" t="str">
        <f t="shared" si="42"/>
        <v>Morphological</v>
      </c>
      <c r="AF429" s="2">
        <v>4</v>
      </c>
    </row>
    <row r="430" spans="1:32" x14ac:dyDescent="0.25">
      <c r="A430" s="13">
        <v>426</v>
      </c>
      <c r="B430" s="23" t="s">
        <v>56</v>
      </c>
      <c r="C430" s="23" t="s">
        <v>57</v>
      </c>
      <c r="D430" s="23" t="s">
        <v>58</v>
      </c>
      <c r="E430" s="23" t="s">
        <v>58</v>
      </c>
      <c r="F430" s="35" cm="1">
        <f t="array" ref="F430">_xlfn.IFS($G430=$G$5,F$5,$G430=$G$7,F$7,$G430=$G$10,F$10,$G430=$G$13,F$13,$G430=$G$14,F$14,$G430=$G$16,F$16,$G430=$G$17,F$17,$G430=$G$19,F$19,$G430=$G$20,F$20,$G430=$G$22,F$22,$G430=$G$23,F$23,$G430=$G$26,F$26,$G430=$G$29,F$29,$G430=$G$31,F$31,$G430=$G$34,F$34,$G430=$G$37,F$37,$G430=$G$107,F$107,$G430=$G$110,F$110,$G430=$G$140,F$140,$G430=$G$142,F$142,$G430=$G$408,F$408)</f>
        <v>8017</v>
      </c>
      <c r="G430" s="13" t="s">
        <v>71</v>
      </c>
      <c r="H430" s="51" cm="1">
        <f t="array" ref="H430">_xlfn.IFS($G430=$G$5,H$5,$G430=$G$7,H$7,$G430=$G$10,H$10,$G430=$G$13,H$13,$G430=$G$14,H$14,$G430=$G$16,H$16,$G430=$G$17,H$17,$G430=$G$19,H$19,$G430=$G$20,H$20,$G430=$G$22,H$22,$G430=$G$23,H$23,$G430=$G$26,H$26,$G430=$G$29,H$29,$G430=$G$31,H$31,$G430=$G$34,H$34,$G430=$G$37,H$37,$G430=$G$107,H$107,$G430=$G$110,H$110,$G430=$G$140,H$140,$G430=$G$142,H$142,$G430=$G$408,H$408)</f>
        <v>41.428533999999999</v>
      </c>
      <c r="I430" s="51" cm="1">
        <f t="array" ref="I430">_xlfn.IFS($G430=$G$5,I$5,$G430=$G$7,I$7,$G430=$G$10,I$10,$G430=$G$13,I$13,$G430=$G$14,I$14,$G430=$G$16,I$16,$G430=$G$17,I$17,$G430=$G$19,I$19,$G430=$G$20,I$20,$G430=$G$22,I$22,$G430=$G$23,I$23,$G430=$G$26,I$26,$G430=$G$29,I$29,$G430=$G$31,I$31,$G430=$G$34,I$34,$G430=$G$37,I$37,$G430=$G$107,I$107,$G430=$G$110,I$110,$G430=$G$140,I$140,$G430=$G$142,I$142,$G430=$G$408,I$408)</f>
        <v>2.090954</v>
      </c>
      <c r="J430" s="51" cm="1">
        <f t="array" ref="J430">_xlfn.IFS($G430=$G$5,J$5,$G430=$G$7,J$7,$G430=$G$10,J$10,$G430=$G$13,J$13,$G430=$G$14,J$14,$G430=$G$16,J$16,$G430=$G$17,J$17,$G430=$G$19,J$19,$G430=$G$20,J$20,$G430=$G$22,J$22,$G430=$G$23,J$23,$G430=$G$26,J$26,$G430=$G$29,J$29,$G430=$G$31,J$31,$G430=$G$34,J$34,$G430=$G$37,J$37,$G430=$G$107,J$107,$G430=$G$110,J$110,$G430=$G$140,J$140,$G430=$G$142,J$142,$G430=$G$408,J$408)</f>
        <v>215</v>
      </c>
      <c r="K430" s="13" t="str" cm="1">
        <f t="array" ref="K430">_xlfn.IFS($G430=$G$5,K$5,$G430=$G$7,K$7,$G430=$G$10,K$10,$G430=$G$13,K$13,$G430=$G$14,K$14,$G430=$G$16,K$16,$G430=$G$17,K$17,$G430=$G$19,K$19,$G430=$G$20,K$20,$G430=$G$22,K$22,$G430=$G$23,K$23,$G430=$G$26,K$26,$G430=$G$29,K$29,$G430=$G$31,K$31,$G430=$G$34,K$34,$G430=$G$37,K$37,$G430=$G$107,K$107,$G430=$G$110,K$110,$G430=$G$140,K$140,$G430=$G$142,K$142,$G430=$G$408,K$408)</f>
        <v>BG sentinel + BG lure7</v>
      </c>
      <c r="O430" s="13" t="str">
        <f t="shared" si="39"/>
        <v>A_SP_BCN_14_220921</v>
      </c>
      <c r="P430" s="31">
        <v>44825</v>
      </c>
      <c r="Q430" s="29">
        <v>0.6875</v>
      </c>
      <c r="R430" s="33"/>
      <c r="S430" s="27">
        <v>44831</v>
      </c>
      <c r="T430" s="29">
        <v>0.71875</v>
      </c>
      <c r="V430" s="13" t="s">
        <v>86</v>
      </c>
      <c r="X430" s="13">
        <f t="shared" si="40"/>
        <v>6</v>
      </c>
      <c r="Z430" s="13" t="s">
        <v>60</v>
      </c>
      <c r="AA430" s="13">
        <f t="shared" si="43"/>
        <v>2</v>
      </c>
      <c r="AB430" s="13" t="str">
        <f t="shared" si="41"/>
        <v>Adult</v>
      </c>
      <c r="AC430" s="13">
        <v>2</v>
      </c>
      <c r="AD430" s="13">
        <v>0</v>
      </c>
      <c r="AE430" s="13" t="str">
        <f t="shared" si="42"/>
        <v>Morphological</v>
      </c>
      <c r="AF430" s="2">
        <v>4</v>
      </c>
    </row>
    <row r="431" spans="1:32" x14ac:dyDescent="0.25">
      <c r="A431" s="13">
        <v>427</v>
      </c>
      <c r="B431" s="23" t="s">
        <v>56</v>
      </c>
      <c r="C431" s="23" t="s">
        <v>57</v>
      </c>
      <c r="D431" s="23" t="s">
        <v>58</v>
      </c>
      <c r="E431" s="23" t="s">
        <v>58</v>
      </c>
      <c r="F431" s="35" cm="1">
        <f t="array" ref="F431">_xlfn.IFS($G431=$G$5,F$5,$G431=$G$7,F$7,$G431=$G$10,F$10,$G431=$G$13,F$13,$G431=$G$14,F$14,$G431=$G$16,F$16,$G431=$G$17,F$17,$G431=$G$19,F$19,$G431=$G$20,F$20,$G431=$G$22,F$22,$G431=$G$23,F$23,$G431=$G$26,F$26,$G431=$G$29,F$29,$G431=$G$31,F$31,$G431=$G$34,F$34,$G431=$G$37,F$37,$G431=$G$107,F$107,$G431=$G$110,F$110,$G431=$G$140,F$140,$G431=$G$142,F$142,$G431=$G$408,F$408)</f>
        <v>8017</v>
      </c>
      <c r="G431" s="13" t="s">
        <v>72</v>
      </c>
      <c r="H431" s="51" cm="1">
        <f t="array" ref="H431">_xlfn.IFS($G431=$G$5,H$5,$G431=$G$7,H$7,$G431=$G$10,H$10,$G431=$G$13,H$13,$G431=$G$14,H$14,$G431=$G$16,H$16,$G431=$G$17,H$17,$G431=$G$19,H$19,$G431=$G$20,H$20,$G431=$G$22,H$22,$G431=$G$23,H$23,$G431=$G$26,H$26,$G431=$G$29,H$29,$G431=$G$31,H$31,$G431=$G$34,H$34,$G431=$G$37,H$37,$G431=$G$107,H$107,$G431=$G$110,H$110,$G431=$G$140,H$140,$G431=$G$142,H$142,$G431=$G$408,H$408)</f>
        <v>41.419471000000001</v>
      </c>
      <c r="I431" s="51" cm="1">
        <f t="array" ref="I431">_xlfn.IFS($G431=$G$5,I$5,$G431=$G$7,I$7,$G431=$G$10,I$10,$G431=$G$13,I$13,$G431=$G$14,I$14,$G431=$G$16,I$16,$G431=$G$17,I$17,$G431=$G$19,I$19,$G431=$G$20,I$20,$G431=$G$22,I$22,$G431=$G$23,I$23,$G431=$G$26,I$26,$G431=$G$29,I$29,$G431=$G$31,I$31,$G431=$G$34,I$34,$G431=$G$37,I$37,$G431=$G$107,I$107,$G431=$G$110,I$110,$G431=$G$140,I$140,$G431=$G$142,I$142,$G431=$G$408,I$408)</f>
        <v>2.1010149999999999</v>
      </c>
      <c r="J431" s="51" cm="1">
        <f t="array" ref="J431">_xlfn.IFS($G431=$G$5,J$5,$G431=$G$7,J$7,$G431=$G$10,J$10,$G431=$G$13,J$13,$G431=$G$14,J$14,$G431=$G$16,J$16,$G431=$G$17,J$17,$G431=$G$19,J$19,$G431=$G$20,J$20,$G431=$G$22,J$22,$G431=$G$23,J$23,$G431=$G$26,J$26,$G431=$G$29,J$29,$G431=$G$31,J$31,$G431=$G$34,J$34,$G431=$G$37,J$37,$G431=$G$107,J$107,$G431=$G$110,J$110,$G431=$G$140,J$140,$G431=$G$142,J$142,$G431=$G$408,J$408)</f>
        <v>284</v>
      </c>
      <c r="K431" s="13" t="str" cm="1">
        <f t="array" ref="K431">_xlfn.IFS($G431=$G$5,K$5,$G431=$G$7,K$7,$G431=$G$10,K$10,$G431=$G$13,K$13,$G431=$G$14,K$14,$G431=$G$16,K$16,$G431=$G$17,K$17,$G431=$G$19,K$19,$G431=$G$20,K$20,$G431=$G$22,K$22,$G431=$G$23,K$23,$G431=$G$26,K$26,$G431=$G$29,K$29,$G431=$G$31,K$31,$G431=$G$34,K$34,$G431=$G$37,K$37,$G431=$G$107,K$107,$G431=$G$110,K$110,$G431=$G$140,K$140,$G431=$G$142,K$142,$G431=$G$408,K$408)</f>
        <v>BG sentinel + BG lure7</v>
      </c>
      <c r="O431" s="13" t="str">
        <f t="shared" si="39"/>
        <v>A_SP_BCN_15_220921</v>
      </c>
      <c r="P431" s="31">
        <v>44825</v>
      </c>
      <c r="Q431" s="29">
        <v>0.66319444444444442</v>
      </c>
      <c r="R431" s="33"/>
      <c r="S431" s="27">
        <v>44831</v>
      </c>
      <c r="T431" s="29">
        <v>0.69444444444444453</v>
      </c>
      <c r="V431" s="13" t="s">
        <v>86</v>
      </c>
      <c r="W431" s="15" t="s">
        <v>129</v>
      </c>
      <c r="X431" s="13">
        <f t="shared" si="40"/>
        <v>6</v>
      </c>
      <c r="Z431" s="13" t="s">
        <v>60</v>
      </c>
      <c r="AA431" s="13">
        <f t="shared" si="43"/>
        <v>14</v>
      </c>
      <c r="AB431" s="13" t="str">
        <f t="shared" si="41"/>
        <v>Adult</v>
      </c>
      <c r="AC431" s="13">
        <v>14</v>
      </c>
      <c r="AD431" s="13">
        <v>0</v>
      </c>
      <c r="AE431" s="13" t="str">
        <f t="shared" si="42"/>
        <v>Morphological</v>
      </c>
      <c r="AF431" s="2">
        <v>3</v>
      </c>
    </row>
    <row r="432" spans="1:32" x14ac:dyDescent="0.25">
      <c r="A432" s="13">
        <v>428</v>
      </c>
      <c r="B432" s="23" t="s">
        <v>56</v>
      </c>
      <c r="C432" s="23" t="s">
        <v>57</v>
      </c>
      <c r="D432" s="23" t="s">
        <v>58</v>
      </c>
      <c r="E432" s="23" t="s">
        <v>58</v>
      </c>
      <c r="F432" s="35" cm="1">
        <f t="array" ref="F432">_xlfn.IFS($G432=$G$5,F$5,$G432=$G$7,F$7,$G432=$G$10,F$10,$G432=$G$13,F$13,$G432=$G$14,F$14,$G432=$G$16,F$16,$G432=$G$17,F$17,$G432=$G$19,F$19,$G432=$G$20,F$20,$G432=$G$22,F$22,$G432=$G$23,F$23,$G432=$G$26,F$26,$G432=$G$29,F$29,$G432=$G$31,F$31,$G432=$G$34,F$34,$G432=$G$37,F$37,$G432=$G$107,F$107,$G432=$G$110,F$110,$G432=$G$140,F$140,$G432=$G$142,F$142,$G432=$G$408,F$408)</f>
        <v>8017</v>
      </c>
      <c r="G432" s="13" t="s">
        <v>73</v>
      </c>
      <c r="H432" s="51" cm="1">
        <f t="array" ref="H432">_xlfn.IFS($G432=$G$5,H$5,$G432=$G$7,H$7,$G432=$G$10,H$10,$G432=$G$13,H$13,$G432=$G$14,H$14,$G432=$G$16,H$16,$G432=$G$17,H$17,$G432=$G$19,H$19,$G432=$G$20,H$20,$G432=$G$22,H$22,$G432=$G$23,H$23,$G432=$G$26,H$26,$G432=$G$29,H$29,$G432=$G$31,H$31,$G432=$G$34,H$34,$G432=$G$37,H$37,$G432=$G$107,H$107,$G432=$G$110,H$110,$G432=$G$140,H$140,$G432=$G$142,H$142,$G432=$G$408,H$408)</f>
        <v>41.398387</v>
      </c>
      <c r="I432" s="51" cm="1">
        <f t="array" ref="I432">_xlfn.IFS($G432=$G$5,I$5,$G432=$G$7,I$7,$G432=$G$10,I$10,$G432=$G$13,I$13,$G432=$G$14,I$14,$G432=$G$16,I$16,$G432=$G$17,I$17,$G432=$G$19,I$19,$G432=$G$20,I$20,$G432=$G$22,I$22,$G432=$G$23,I$23,$G432=$G$26,I$26,$G432=$G$29,I$29,$G432=$G$31,I$31,$G432=$G$34,I$34,$G432=$G$37,I$37,$G432=$G$107,I$107,$G432=$G$110,I$110,$G432=$G$140,I$140,$G432=$G$142,I$142,$G432=$G$408,I$408)</f>
        <v>2.1244429999999999</v>
      </c>
      <c r="J432" s="51" cm="1">
        <f t="array" ref="J432">_xlfn.IFS($G432=$G$5,J$5,$G432=$G$7,J$7,$G432=$G$10,J$10,$G432=$G$13,J$13,$G432=$G$14,J$14,$G432=$G$16,J$16,$G432=$G$17,J$17,$G432=$G$19,J$19,$G432=$G$20,J$20,$G432=$G$22,J$22,$G432=$G$23,J$23,$G432=$G$26,J$26,$G432=$G$29,J$29,$G432=$G$31,J$31,$G432=$G$34,J$34,$G432=$G$37,J$37,$G432=$G$107,J$107,$G432=$G$110,J$110,$G432=$G$140,J$140,$G432=$G$142,J$142,$G432=$G$408,J$408)</f>
        <v>106</v>
      </c>
      <c r="K432" s="13" t="str" cm="1">
        <f t="array" ref="K432">_xlfn.IFS($G432=$G$5,K$5,$G432=$G$7,K$7,$G432=$G$10,K$10,$G432=$G$13,K$13,$G432=$G$14,K$14,$G432=$G$16,K$16,$G432=$G$17,K$17,$G432=$G$19,K$19,$G432=$G$20,K$20,$G432=$G$22,K$22,$G432=$G$23,K$23,$G432=$G$26,K$26,$G432=$G$29,K$29,$G432=$G$31,K$31,$G432=$G$34,K$34,$G432=$G$37,K$37,$G432=$G$107,K$107,$G432=$G$110,K$110,$G432=$G$140,K$140,$G432=$G$142,K$142,$G432=$G$408,K$408)</f>
        <v>BG sentinel + BG lure7</v>
      </c>
      <c r="O432" s="13" t="str">
        <f t="shared" si="39"/>
        <v>A_SP_BCN_16_220921</v>
      </c>
      <c r="P432" s="31">
        <v>44825</v>
      </c>
      <c r="Q432" s="29">
        <v>0.72916666666666663</v>
      </c>
      <c r="R432" s="33"/>
      <c r="S432" s="27">
        <v>44831</v>
      </c>
      <c r="T432" s="29">
        <v>0.73958333333333337</v>
      </c>
      <c r="V432" s="13" t="s">
        <v>86</v>
      </c>
      <c r="X432" s="13">
        <f t="shared" si="40"/>
        <v>6</v>
      </c>
      <c r="Z432" s="13" t="s">
        <v>60</v>
      </c>
      <c r="AA432" s="13">
        <f t="shared" si="43"/>
        <v>125</v>
      </c>
      <c r="AB432" s="13" t="str">
        <f t="shared" si="41"/>
        <v>Adult</v>
      </c>
      <c r="AC432" s="13">
        <v>64</v>
      </c>
      <c r="AD432" s="13">
        <v>61</v>
      </c>
      <c r="AE432" s="13" t="str">
        <f t="shared" si="42"/>
        <v>Morphological</v>
      </c>
      <c r="AF432" s="2">
        <v>4</v>
      </c>
    </row>
    <row r="433" spans="1:32" x14ac:dyDescent="0.25">
      <c r="A433" s="13">
        <v>429</v>
      </c>
      <c r="B433" s="23" t="s">
        <v>56</v>
      </c>
      <c r="C433" s="23" t="s">
        <v>57</v>
      </c>
      <c r="D433" s="23" t="s">
        <v>58</v>
      </c>
      <c r="E433" s="23" t="s">
        <v>58</v>
      </c>
      <c r="F433" s="35" cm="1">
        <f t="array" ref="F433">_xlfn.IFS($G433=$G$5,F$5,$G433=$G$7,F$7,$G433=$G$10,F$10,$G433=$G$13,F$13,$G433=$G$14,F$14,$G433=$G$16,F$16,$G433=$G$17,F$17,$G433=$G$19,F$19,$G433=$G$20,F$20,$G433=$G$22,F$22,$G433=$G$23,F$23,$G433=$G$26,F$26,$G433=$G$29,F$29,$G433=$G$31,F$31,$G433=$G$34,F$34,$G433=$G$37,F$37,$G433=$G$107,F$107,$G433=$G$110,F$110,$G433=$G$140,F$140,$G433=$G$142,F$142,$G433=$G$408,F$408)</f>
        <v>8017</v>
      </c>
      <c r="G433" s="13" t="s">
        <v>73</v>
      </c>
      <c r="H433" s="51" cm="1">
        <f t="array" ref="H433">_xlfn.IFS($G433=$G$5,H$5,$G433=$G$7,H$7,$G433=$G$10,H$10,$G433=$G$13,H$13,$G433=$G$14,H$14,$G433=$G$16,H$16,$G433=$G$17,H$17,$G433=$G$19,H$19,$G433=$G$20,H$20,$G433=$G$22,H$22,$G433=$G$23,H$23,$G433=$G$26,H$26,$G433=$G$29,H$29,$G433=$G$31,H$31,$G433=$G$34,H$34,$G433=$G$37,H$37,$G433=$G$107,H$107,$G433=$G$110,H$110,$G433=$G$140,H$140,$G433=$G$142,H$142,$G433=$G$408,H$408)</f>
        <v>41.398387</v>
      </c>
      <c r="I433" s="51" cm="1">
        <f t="array" ref="I433">_xlfn.IFS($G433=$G$5,I$5,$G433=$G$7,I$7,$G433=$G$10,I$10,$G433=$G$13,I$13,$G433=$G$14,I$14,$G433=$G$16,I$16,$G433=$G$17,I$17,$G433=$G$19,I$19,$G433=$G$20,I$20,$G433=$G$22,I$22,$G433=$G$23,I$23,$G433=$G$26,I$26,$G433=$G$29,I$29,$G433=$G$31,I$31,$G433=$G$34,I$34,$G433=$G$37,I$37,$G433=$G$107,I$107,$G433=$G$110,I$110,$G433=$G$140,I$140,$G433=$G$142,I$142,$G433=$G$408,I$408)</f>
        <v>2.1244429999999999</v>
      </c>
      <c r="J433" s="51" cm="1">
        <f t="array" ref="J433">_xlfn.IFS($G433=$G$5,J$5,$G433=$G$7,J$7,$G433=$G$10,J$10,$G433=$G$13,J$13,$G433=$G$14,J$14,$G433=$G$16,J$16,$G433=$G$17,J$17,$G433=$G$19,J$19,$G433=$G$20,J$20,$G433=$G$22,J$22,$G433=$G$23,J$23,$G433=$G$26,J$26,$G433=$G$29,J$29,$G433=$G$31,J$31,$G433=$G$34,J$34,$G433=$G$37,J$37,$G433=$G$107,J$107,$G433=$G$110,J$110,$G433=$G$140,J$140,$G433=$G$142,J$142,$G433=$G$408,J$408)</f>
        <v>106</v>
      </c>
      <c r="K433" s="13" t="str" cm="1">
        <f t="array" ref="K433">_xlfn.IFS($G433=$G$5,K$5,$G433=$G$7,K$7,$G433=$G$10,K$10,$G433=$G$13,K$13,$G433=$G$14,K$14,$G433=$G$16,K$16,$G433=$G$17,K$17,$G433=$G$19,K$19,$G433=$G$20,K$20,$G433=$G$22,K$22,$G433=$G$23,K$23,$G433=$G$26,K$26,$G433=$G$29,K$29,$G433=$G$31,K$31,$G433=$G$34,K$34,$G433=$G$37,K$37,$G433=$G$107,K$107,$G433=$G$110,K$110,$G433=$G$140,K$140,$G433=$G$142,K$142,$G433=$G$408,K$408)</f>
        <v>BG sentinel + BG lure7</v>
      </c>
      <c r="O433" s="13" t="str">
        <f t="shared" si="39"/>
        <v>A_SP_BCN_16_220921</v>
      </c>
      <c r="P433" s="31">
        <v>44825</v>
      </c>
      <c r="Q433" s="29">
        <v>0.72916666666666663</v>
      </c>
      <c r="R433" s="33"/>
      <c r="S433" s="27">
        <v>44831</v>
      </c>
      <c r="T433" s="29">
        <v>0.73958333333333337</v>
      </c>
      <c r="V433" s="13" t="s">
        <v>86</v>
      </c>
      <c r="X433" s="13">
        <f t="shared" si="40"/>
        <v>6</v>
      </c>
      <c r="Z433" s="13" t="s">
        <v>164</v>
      </c>
      <c r="AA433" s="13">
        <f t="shared" si="43"/>
        <v>2</v>
      </c>
      <c r="AB433" s="13" t="str">
        <f t="shared" si="41"/>
        <v>Adult</v>
      </c>
      <c r="AC433" s="13">
        <v>1</v>
      </c>
      <c r="AD433" s="13">
        <v>1</v>
      </c>
      <c r="AE433" s="13" t="str">
        <f t="shared" si="42"/>
        <v>Morphological</v>
      </c>
      <c r="AF433" s="2">
        <v>4</v>
      </c>
    </row>
    <row r="434" spans="1:32" x14ac:dyDescent="0.25">
      <c r="A434" s="13">
        <v>430</v>
      </c>
      <c r="B434" s="23" t="s">
        <v>56</v>
      </c>
      <c r="C434" s="23" t="s">
        <v>57</v>
      </c>
      <c r="D434" s="23" t="s">
        <v>58</v>
      </c>
      <c r="E434" s="23" t="s">
        <v>58</v>
      </c>
      <c r="F434" s="35" cm="1">
        <f t="array" ref="F434">_xlfn.IFS($G434=$G$5,F$5,$G434=$G$7,F$7,$G434=$G$10,F$10,$G434=$G$13,F$13,$G434=$G$14,F$14,$G434=$G$16,F$16,$G434=$G$17,F$17,$G434=$G$19,F$19,$G434=$G$20,F$20,$G434=$G$22,F$22,$G434=$G$23,F$23,$G434=$G$26,F$26,$G434=$G$29,F$29,$G434=$G$31,F$31,$G434=$G$34,F$34,$G434=$G$37,F$37,$G434=$G$107,F$107,$G434=$G$110,F$110,$G434=$G$140,F$140,$G434=$G$142,F$142,$G434=$G$408,F$408)</f>
        <v>8017</v>
      </c>
      <c r="G434" s="13" t="s">
        <v>73</v>
      </c>
      <c r="H434" s="51" cm="1">
        <f t="array" ref="H434">_xlfn.IFS($G434=$G$5,H$5,$G434=$G$7,H$7,$G434=$G$10,H$10,$G434=$G$13,H$13,$G434=$G$14,H$14,$G434=$G$16,H$16,$G434=$G$17,H$17,$G434=$G$19,H$19,$G434=$G$20,H$20,$G434=$G$22,H$22,$G434=$G$23,H$23,$G434=$G$26,H$26,$G434=$G$29,H$29,$G434=$G$31,H$31,$G434=$G$34,H$34,$G434=$G$37,H$37,$G434=$G$107,H$107,$G434=$G$110,H$110,$G434=$G$140,H$140,$G434=$G$142,H$142,$G434=$G$408,H$408)</f>
        <v>41.398387</v>
      </c>
      <c r="I434" s="51" cm="1">
        <f t="array" ref="I434">_xlfn.IFS($G434=$G$5,I$5,$G434=$G$7,I$7,$G434=$G$10,I$10,$G434=$G$13,I$13,$G434=$G$14,I$14,$G434=$G$16,I$16,$G434=$G$17,I$17,$G434=$G$19,I$19,$G434=$G$20,I$20,$G434=$G$22,I$22,$G434=$G$23,I$23,$G434=$G$26,I$26,$G434=$G$29,I$29,$G434=$G$31,I$31,$G434=$G$34,I$34,$G434=$G$37,I$37,$G434=$G$107,I$107,$G434=$G$110,I$110,$G434=$G$140,I$140,$G434=$G$142,I$142,$G434=$G$408,I$408)</f>
        <v>2.1244429999999999</v>
      </c>
      <c r="J434" s="51" cm="1">
        <f t="array" ref="J434">_xlfn.IFS($G434=$G$5,J$5,$G434=$G$7,J$7,$G434=$G$10,J$10,$G434=$G$13,J$13,$G434=$G$14,J$14,$G434=$G$16,J$16,$G434=$G$17,J$17,$G434=$G$19,J$19,$G434=$G$20,J$20,$G434=$G$22,J$22,$G434=$G$23,J$23,$G434=$G$26,J$26,$G434=$G$29,J$29,$G434=$G$31,J$31,$G434=$G$34,J$34,$G434=$G$37,J$37,$G434=$G$107,J$107,$G434=$G$110,J$110,$G434=$G$140,J$140,$G434=$G$142,J$142,$G434=$G$408,J$408)</f>
        <v>106</v>
      </c>
      <c r="K434" s="13" t="str" cm="1">
        <f t="array" ref="K434">_xlfn.IFS($G434=$G$5,K$5,$G434=$G$7,K$7,$G434=$G$10,K$10,$G434=$G$13,K$13,$G434=$G$14,K$14,$G434=$G$16,K$16,$G434=$G$17,K$17,$G434=$G$19,K$19,$G434=$G$20,K$20,$G434=$G$22,K$22,$G434=$G$23,K$23,$G434=$G$26,K$26,$G434=$G$29,K$29,$G434=$G$31,K$31,$G434=$G$34,K$34,$G434=$G$37,K$37,$G434=$G$107,K$107,$G434=$G$110,K$110,$G434=$G$140,K$140,$G434=$G$142,K$142,$G434=$G$408,K$408)</f>
        <v>BG sentinel + BG lure7</v>
      </c>
      <c r="O434" s="13" t="str">
        <f t="shared" si="39"/>
        <v>A_SP_BCN_16_220921</v>
      </c>
      <c r="P434" s="31">
        <v>44825</v>
      </c>
      <c r="Q434" s="29">
        <v>0.72916666666666663</v>
      </c>
      <c r="R434" s="33"/>
      <c r="S434" s="27">
        <v>44831</v>
      </c>
      <c r="T434" s="29">
        <v>0.73958333333333337</v>
      </c>
      <c r="V434" s="13" t="s">
        <v>86</v>
      </c>
      <c r="X434" s="13">
        <f t="shared" si="40"/>
        <v>6</v>
      </c>
      <c r="Z434" s="32" t="s">
        <v>163</v>
      </c>
      <c r="AA434" s="13">
        <f t="shared" si="43"/>
        <v>1</v>
      </c>
      <c r="AB434" s="13" t="str">
        <f t="shared" si="41"/>
        <v>Adult</v>
      </c>
      <c r="AC434" s="13">
        <v>1</v>
      </c>
      <c r="AD434" s="13">
        <v>0</v>
      </c>
      <c r="AE434" s="13" t="str">
        <f t="shared" si="42"/>
        <v>Morphological</v>
      </c>
      <c r="AF434" s="2">
        <v>4</v>
      </c>
    </row>
    <row r="435" spans="1:32" x14ac:dyDescent="0.25">
      <c r="A435" s="13">
        <v>431</v>
      </c>
      <c r="B435" s="23" t="s">
        <v>56</v>
      </c>
      <c r="C435" s="23" t="s">
        <v>57</v>
      </c>
      <c r="D435" s="23" t="s">
        <v>58</v>
      </c>
      <c r="E435" s="23" t="s">
        <v>58</v>
      </c>
      <c r="F435" s="35" cm="1">
        <f t="array" ref="F435">_xlfn.IFS($G435=$G$5,F$5,$G435=$G$7,F$7,$G435=$G$10,F$10,$G435=$G$13,F$13,$G435=$G$14,F$14,$G435=$G$16,F$16,$G435=$G$17,F$17,$G435=$G$19,F$19,$G435=$G$20,F$20,$G435=$G$22,F$22,$G435=$G$23,F$23,$G435=$G$26,F$26,$G435=$G$29,F$29,$G435=$G$31,F$31,$G435=$G$34,F$34,$G435=$G$37,F$37,$G435=$G$107,F$107,$G435=$G$110,F$110,$G435=$G$140,F$140,$G435=$G$142,F$142,$G435=$G$408,F$408)</f>
        <v>8023</v>
      </c>
      <c r="G435" s="13" t="s">
        <v>74</v>
      </c>
      <c r="H435" s="51" cm="1">
        <f t="array" ref="H435">_xlfn.IFS($G435=$G$5,H$5,$G435=$G$7,H$7,$G435=$G$10,H$10,$G435=$G$13,H$13,$G435=$G$14,H$14,$G435=$G$16,H$16,$G435=$G$17,H$17,$G435=$G$19,H$19,$G435=$G$20,H$20,$G435=$G$22,H$22,$G435=$G$23,H$23,$G435=$G$26,H$26,$G435=$G$29,H$29,$G435=$G$31,H$31,$G435=$G$34,H$34,$G435=$G$37,H$37,$G435=$G$107,H$107,$G435=$G$110,H$110,$G435=$G$140,H$140,$G435=$G$142,H$142,$G435=$G$408,H$408)</f>
        <v>41.417256000000002</v>
      </c>
      <c r="I435" s="51" cm="1">
        <f t="array" ref="I435">_xlfn.IFS($G435=$G$5,I$5,$G435=$G$7,I$7,$G435=$G$10,I$10,$G435=$G$13,I$13,$G435=$G$14,I$14,$G435=$G$16,I$16,$G435=$G$17,I$17,$G435=$G$19,I$19,$G435=$G$20,I$20,$G435=$G$22,I$22,$G435=$G$23,I$23,$G435=$G$26,I$26,$G435=$G$29,I$29,$G435=$G$31,I$31,$G435=$G$34,I$34,$G435=$G$37,I$37,$G435=$G$107,I$107,$G435=$G$110,I$110,$G435=$G$140,I$140,$G435=$G$142,I$142,$G435=$G$408,I$408)</f>
        <v>2.1455709999999999</v>
      </c>
      <c r="J435" s="51" cm="1">
        <f t="array" ref="J435">_xlfn.IFS($G435=$G$5,J$5,$G435=$G$7,J$7,$G435=$G$10,J$10,$G435=$G$13,J$13,$G435=$G$14,J$14,$G435=$G$16,J$16,$G435=$G$17,J$17,$G435=$G$19,J$19,$G435=$G$20,J$20,$G435=$G$22,J$22,$G435=$G$23,J$23,$G435=$G$26,J$26,$G435=$G$29,J$29,$G435=$G$31,J$31,$G435=$G$34,J$34,$G435=$G$37,J$37,$G435=$G$107,J$107,$G435=$G$110,J$110,$G435=$G$140,J$140,$G435=$G$142,J$142,$G435=$G$408,J$408)</f>
        <v>186</v>
      </c>
      <c r="K435" s="13" t="str" cm="1">
        <f t="array" ref="K435">_xlfn.IFS($G435=$G$5,K$5,$G435=$G$7,K$7,$G435=$G$10,K$10,$G435=$G$13,K$13,$G435=$G$14,K$14,$G435=$G$16,K$16,$G435=$G$17,K$17,$G435=$G$19,K$19,$G435=$G$20,K$20,$G435=$G$22,K$22,$G435=$G$23,K$23,$G435=$G$26,K$26,$G435=$G$29,K$29,$G435=$G$31,K$31,$G435=$G$34,K$34,$G435=$G$37,K$37,$G435=$G$107,K$107,$G435=$G$110,K$110,$G435=$G$140,K$140,$G435=$G$142,K$142,$G435=$G$408,K$408)</f>
        <v>BG sentinel + BG lure7</v>
      </c>
      <c r="O435" s="13" t="str">
        <f t="shared" si="39"/>
        <v>A_SP_BCN_17_220921</v>
      </c>
      <c r="P435" s="31">
        <v>44825</v>
      </c>
      <c r="Q435" s="29">
        <v>0.63194444444444442</v>
      </c>
      <c r="R435" s="33"/>
      <c r="S435" s="27">
        <v>44831</v>
      </c>
      <c r="T435" s="29">
        <v>0.64236111111111105</v>
      </c>
      <c r="V435" s="13" t="s">
        <v>86</v>
      </c>
      <c r="W435" s="15" t="s">
        <v>124</v>
      </c>
      <c r="X435" s="13">
        <f t="shared" si="40"/>
        <v>6</v>
      </c>
      <c r="Z435" s="13" t="s">
        <v>60</v>
      </c>
      <c r="AA435" s="13">
        <f t="shared" si="43"/>
        <v>31</v>
      </c>
      <c r="AB435" s="13" t="str">
        <f t="shared" si="41"/>
        <v>Adult</v>
      </c>
      <c r="AC435" s="13">
        <v>18</v>
      </c>
      <c r="AD435" s="13">
        <v>13</v>
      </c>
      <c r="AE435" s="13" t="str">
        <f t="shared" si="42"/>
        <v>Morphological</v>
      </c>
      <c r="AF435" s="2">
        <v>3</v>
      </c>
    </row>
    <row r="436" spans="1:32" x14ac:dyDescent="0.25">
      <c r="A436" s="13">
        <v>432</v>
      </c>
      <c r="B436" s="23" t="s">
        <v>56</v>
      </c>
      <c r="C436" s="23" t="s">
        <v>57</v>
      </c>
      <c r="D436" s="23" t="s">
        <v>58</v>
      </c>
      <c r="E436" s="23" t="s">
        <v>58</v>
      </c>
      <c r="F436" s="35" cm="1">
        <f t="array" ref="F436">_xlfn.IFS($G436=$G$5,F$5,$G436=$G$7,F$7,$G436=$G$10,F$10,$G436=$G$13,F$13,$G436=$G$14,F$14,$G436=$G$16,F$16,$G436=$G$17,F$17,$G436=$G$19,F$19,$G436=$G$20,F$20,$G436=$G$22,F$22,$G436=$G$23,F$23,$G436=$G$26,F$26,$G436=$G$29,F$29,$G436=$G$31,F$31,$G436=$G$34,F$34,$G436=$G$37,F$37,$G436=$G$107,F$107,$G436=$G$110,F$110,$G436=$G$140,F$140,$G436=$G$142,F$142,$G436=$G$408,F$408)</f>
        <v>8023</v>
      </c>
      <c r="G436" s="13" t="s">
        <v>74</v>
      </c>
      <c r="H436" s="51" cm="1">
        <f t="array" ref="H436">_xlfn.IFS($G436=$G$5,H$5,$G436=$G$7,H$7,$G436=$G$10,H$10,$G436=$G$13,H$13,$G436=$G$14,H$14,$G436=$G$16,H$16,$G436=$G$17,H$17,$G436=$G$19,H$19,$G436=$G$20,H$20,$G436=$G$22,H$22,$G436=$G$23,H$23,$G436=$G$26,H$26,$G436=$G$29,H$29,$G436=$G$31,H$31,$G436=$G$34,H$34,$G436=$G$37,H$37,$G436=$G$107,H$107,$G436=$G$110,H$110,$G436=$G$140,H$140,$G436=$G$142,H$142,$G436=$G$408,H$408)</f>
        <v>41.417256000000002</v>
      </c>
      <c r="I436" s="51" cm="1">
        <f t="array" ref="I436">_xlfn.IFS($G436=$G$5,I$5,$G436=$G$7,I$7,$G436=$G$10,I$10,$G436=$G$13,I$13,$G436=$G$14,I$14,$G436=$G$16,I$16,$G436=$G$17,I$17,$G436=$G$19,I$19,$G436=$G$20,I$20,$G436=$G$22,I$22,$G436=$G$23,I$23,$G436=$G$26,I$26,$G436=$G$29,I$29,$G436=$G$31,I$31,$G436=$G$34,I$34,$G436=$G$37,I$37,$G436=$G$107,I$107,$G436=$G$110,I$110,$G436=$G$140,I$140,$G436=$G$142,I$142,$G436=$G$408,I$408)</f>
        <v>2.1455709999999999</v>
      </c>
      <c r="J436" s="51" cm="1">
        <f t="array" ref="J436">_xlfn.IFS($G436=$G$5,J$5,$G436=$G$7,J$7,$G436=$G$10,J$10,$G436=$G$13,J$13,$G436=$G$14,J$14,$G436=$G$16,J$16,$G436=$G$17,J$17,$G436=$G$19,J$19,$G436=$G$20,J$20,$G436=$G$22,J$22,$G436=$G$23,J$23,$G436=$G$26,J$26,$G436=$G$29,J$29,$G436=$G$31,J$31,$G436=$G$34,J$34,$G436=$G$37,J$37,$G436=$G$107,J$107,$G436=$G$110,J$110,$G436=$G$140,J$140,$G436=$G$142,J$142,$G436=$G$408,J$408)</f>
        <v>186</v>
      </c>
      <c r="K436" s="13" t="str" cm="1">
        <f t="array" ref="K436">_xlfn.IFS($G436=$G$5,K$5,$G436=$G$7,K$7,$G436=$G$10,K$10,$G436=$G$13,K$13,$G436=$G$14,K$14,$G436=$G$16,K$16,$G436=$G$17,K$17,$G436=$G$19,K$19,$G436=$G$20,K$20,$G436=$G$22,K$22,$G436=$G$23,K$23,$G436=$G$26,K$26,$G436=$G$29,K$29,$G436=$G$31,K$31,$G436=$G$34,K$34,$G436=$G$37,K$37,$G436=$G$107,K$107,$G436=$G$110,K$110,$G436=$G$140,K$140,$G436=$G$142,K$142,$G436=$G$408,K$408)</f>
        <v>BG sentinel + BG lure7</v>
      </c>
      <c r="O436" s="13" t="str">
        <f t="shared" si="39"/>
        <v>A_SP_BCN_17_220921</v>
      </c>
      <c r="P436" s="31">
        <v>44825</v>
      </c>
      <c r="Q436" s="29">
        <v>0.63194444444444442</v>
      </c>
      <c r="R436" s="33"/>
      <c r="S436" s="27">
        <v>44831</v>
      </c>
      <c r="T436" s="29">
        <v>0.64236111111111105</v>
      </c>
      <c r="V436" s="13" t="s">
        <v>86</v>
      </c>
      <c r="W436" s="15" t="s">
        <v>124</v>
      </c>
      <c r="X436" s="13">
        <f t="shared" si="40"/>
        <v>6</v>
      </c>
      <c r="Z436" s="32" t="s">
        <v>163</v>
      </c>
      <c r="AA436" s="13">
        <f t="shared" si="43"/>
        <v>1</v>
      </c>
      <c r="AB436" s="13" t="str">
        <f t="shared" si="41"/>
        <v>Adult</v>
      </c>
      <c r="AC436" s="13">
        <v>0</v>
      </c>
      <c r="AD436" s="13">
        <v>1</v>
      </c>
      <c r="AE436" s="13" t="str">
        <f t="shared" si="42"/>
        <v>Morphological</v>
      </c>
      <c r="AF436" s="2">
        <v>3</v>
      </c>
    </row>
    <row r="437" spans="1:32" x14ac:dyDescent="0.25">
      <c r="A437" s="13">
        <v>433</v>
      </c>
      <c r="B437" s="23" t="s">
        <v>56</v>
      </c>
      <c r="C437" s="23" t="s">
        <v>57</v>
      </c>
      <c r="D437" s="23" t="s">
        <v>58</v>
      </c>
      <c r="E437" s="23" t="s">
        <v>58</v>
      </c>
      <c r="F437" s="35" cm="1">
        <f t="array" ref="F437">_xlfn.IFS($G437=$G$5,F$5,$G437=$G$7,F$7,$G437=$G$10,F$10,$G437=$G$13,F$13,$G437=$G$14,F$14,$G437=$G$16,F$16,$G437=$G$17,F$17,$G437=$G$19,F$19,$G437=$G$20,F$20,$G437=$G$22,F$22,$G437=$G$23,F$23,$G437=$G$26,F$26,$G437=$G$29,F$29,$G437=$G$31,F$31,$G437=$G$34,F$34,$G437=$G$37,F$37,$G437=$G$107,F$107,$G437=$G$110,F$110,$G437=$G$140,F$140,$G437=$G$142,F$142,$G437=$G$408,F$408)</f>
        <v>8031</v>
      </c>
      <c r="G437" s="13" t="s">
        <v>75</v>
      </c>
      <c r="H437" s="51" cm="1">
        <f t="array" ref="H437">_xlfn.IFS($G437=$G$5,H$5,$G437=$G$7,H$7,$G437=$G$10,H$10,$G437=$G$13,H$13,$G437=$G$14,H$14,$G437=$G$16,H$16,$G437=$G$17,H$17,$G437=$G$19,H$19,$G437=$G$20,H$20,$G437=$G$22,H$22,$G437=$G$23,H$23,$G437=$G$26,H$26,$G437=$G$29,H$29,$G437=$G$31,H$31,$G437=$G$34,H$34,$G437=$G$37,H$37,$G437=$G$107,H$107,$G437=$G$110,H$110,$G437=$G$140,H$140,$G437=$G$142,H$142,$G437=$G$408,H$408)</f>
        <v>41.433618000000003</v>
      </c>
      <c r="I437" s="51" cm="1">
        <f t="array" ref="I437">_xlfn.IFS($G437=$G$5,I$5,$G437=$G$7,I$7,$G437=$G$10,I$10,$G437=$G$13,I$13,$G437=$G$14,I$14,$G437=$G$16,I$16,$G437=$G$17,I$17,$G437=$G$19,I$19,$G437=$G$20,I$20,$G437=$G$22,I$22,$G437=$G$23,I$23,$G437=$G$26,I$26,$G437=$G$29,I$29,$G437=$G$31,I$31,$G437=$G$34,I$34,$G437=$G$37,I$37,$G437=$G$107,I$107,$G437=$G$110,I$110,$G437=$G$140,I$140,$G437=$G$142,I$142,$G437=$G$408,I$408)</f>
        <v>2.1677469999999999</v>
      </c>
      <c r="J437" s="51" cm="1">
        <f t="array" ref="J437">_xlfn.IFS($G437=$G$5,J$5,$G437=$G$7,J$7,$G437=$G$10,J$10,$G437=$G$13,J$13,$G437=$G$14,J$14,$G437=$G$16,J$16,$G437=$G$17,J$17,$G437=$G$19,J$19,$G437=$G$20,J$20,$G437=$G$22,J$22,$G437=$G$23,J$23,$G437=$G$26,J$26,$G437=$G$29,J$29,$G437=$G$31,J$31,$G437=$G$34,J$34,$G437=$G$37,J$37,$G437=$G$107,J$107,$G437=$G$110,J$110,$G437=$G$140,J$140,$G437=$G$142,J$142,$G437=$G$408,J$408)</f>
        <v>96.85</v>
      </c>
      <c r="K437" s="13" t="str" cm="1">
        <f t="array" ref="K437">_xlfn.IFS($G437=$G$5,K$5,$G437=$G$7,K$7,$G437=$G$10,K$10,$G437=$G$13,K$13,$G437=$G$14,K$14,$G437=$G$16,K$16,$G437=$G$17,K$17,$G437=$G$19,K$19,$G437=$G$20,K$20,$G437=$G$22,K$22,$G437=$G$23,K$23,$G437=$G$26,K$26,$G437=$G$29,K$29,$G437=$G$31,K$31,$G437=$G$34,K$34,$G437=$G$37,K$37,$G437=$G$107,K$107,$G437=$G$110,K$110,$G437=$G$140,K$140,$G437=$G$142,K$142,$G437=$G$408,K$408)</f>
        <v>BG sentinel + BG lure7</v>
      </c>
      <c r="O437" s="13" t="str">
        <f t="shared" si="39"/>
        <v>A_SP_BCN_18_220921</v>
      </c>
      <c r="P437" s="31">
        <v>44825</v>
      </c>
      <c r="Q437" s="29">
        <v>0.67708333333333337</v>
      </c>
      <c r="R437" s="33"/>
      <c r="S437" s="27">
        <v>44831</v>
      </c>
      <c r="T437" s="29">
        <v>0.77083333333333337</v>
      </c>
      <c r="V437" s="13" t="s">
        <v>86</v>
      </c>
      <c r="X437" s="13">
        <f t="shared" si="40"/>
        <v>6</v>
      </c>
      <c r="Z437" s="13" t="s">
        <v>60</v>
      </c>
      <c r="AA437" s="13">
        <f t="shared" si="43"/>
        <v>9</v>
      </c>
      <c r="AB437" s="13" t="str">
        <f t="shared" si="41"/>
        <v>Adult</v>
      </c>
      <c r="AC437" s="13">
        <v>8</v>
      </c>
      <c r="AD437" s="13">
        <v>1</v>
      </c>
      <c r="AE437" s="13" t="str">
        <f t="shared" si="42"/>
        <v>Morphological</v>
      </c>
      <c r="AF437" s="2">
        <v>4</v>
      </c>
    </row>
    <row r="438" spans="1:32" x14ac:dyDescent="0.25">
      <c r="A438" s="13">
        <v>434</v>
      </c>
      <c r="B438" s="23" t="s">
        <v>56</v>
      </c>
      <c r="C438" s="23" t="s">
        <v>57</v>
      </c>
      <c r="D438" s="23" t="s">
        <v>58</v>
      </c>
      <c r="E438" s="23" t="s">
        <v>58</v>
      </c>
      <c r="F438" s="35" cm="1">
        <f t="array" ref="F438">_xlfn.IFS($G438=$G$5,F$5,$G438=$G$7,F$7,$G438=$G$10,F$10,$G438=$G$13,F$13,$G438=$G$14,F$14,$G438=$G$16,F$16,$G438=$G$17,F$17,$G438=$G$19,F$19,$G438=$G$20,F$20,$G438=$G$22,F$22,$G438=$G$23,F$23,$G438=$G$26,F$26,$G438=$G$29,F$29,$G438=$G$31,F$31,$G438=$G$34,F$34,$G438=$G$37,F$37,$G438=$G$107,F$107,$G438=$G$110,F$110,$G438=$G$140,F$140,$G438=$G$142,F$142,$G438=$G$408,F$408)</f>
        <v>8031</v>
      </c>
      <c r="G438" s="13" t="s">
        <v>75</v>
      </c>
      <c r="H438" s="51" cm="1">
        <f t="array" ref="H438">_xlfn.IFS($G438=$G$5,H$5,$G438=$G$7,H$7,$G438=$G$10,H$10,$G438=$G$13,H$13,$G438=$G$14,H$14,$G438=$G$16,H$16,$G438=$G$17,H$17,$G438=$G$19,H$19,$G438=$G$20,H$20,$G438=$G$22,H$22,$G438=$G$23,H$23,$G438=$G$26,H$26,$G438=$G$29,H$29,$G438=$G$31,H$31,$G438=$G$34,H$34,$G438=$G$37,H$37,$G438=$G$107,H$107,$G438=$G$110,H$110,$G438=$G$140,H$140,$G438=$G$142,H$142,$G438=$G$408,H$408)</f>
        <v>41.433618000000003</v>
      </c>
      <c r="I438" s="51" cm="1">
        <f t="array" ref="I438">_xlfn.IFS($G438=$G$5,I$5,$G438=$G$7,I$7,$G438=$G$10,I$10,$G438=$G$13,I$13,$G438=$G$14,I$14,$G438=$G$16,I$16,$G438=$G$17,I$17,$G438=$G$19,I$19,$G438=$G$20,I$20,$G438=$G$22,I$22,$G438=$G$23,I$23,$G438=$G$26,I$26,$G438=$G$29,I$29,$G438=$G$31,I$31,$G438=$G$34,I$34,$G438=$G$37,I$37,$G438=$G$107,I$107,$G438=$G$110,I$110,$G438=$G$140,I$140,$G438=$G$142,I$142,$G438=$G$408,I$408)</f>
        <v>2.1677469999999999</v>
      </c>
      <c r="J438" s="51" cm="1">
        <f t="array" ref="J438">_xlfn.IFS($G438=$G$5,J$5,$G438=$G$7,J$7,$G438=$G$10,J$10,$G438=$G$13,J$13,$G438=$G$14,J$14,$G438=$G$16,J$16,$G438=$G$17,J$17,$G438=$G$19,J$19,$G438=$G$20,J$20,$G438=$G$22,J$22,$G438=$G$23,J$23,$G438=$G$26,J$26,$G438=$G$29,J$29,$G438=$G$31,J$31,$G438=$G$34,J$34,$G438=$G$37,J$37,$G438=$G$107,J$107,$G438=$G$110,J$110,$G438=$G$140,J$140,$G438=$G$142,J$142,$G438=$G$408,J$408)</f>
        <v>96.85</v>
      </c>
      <c r="K438" s="13" t="str" cm="1">
        <f t="array" ref="K438">_xlfn.IFS($G438=$G$5,K$5,$G438=$G$7,K$7,$G438=$G$10,K$10,$G438=$G$13,K$13,$G438=$G$14,K$14,$G438=$G$16,K$16,$G438=$G$17,K$17,$G438=$G$19,K$19,$G438=$G$20,K$20,$G438=$G$22,K$22,$G438=$G$23,K$23,$G438=$G$26,K$26,$G438=$G$29,K$29,$G438=$G$31,K$31,$G438=$G$34,K$34,$G438=$G$37,K$37,$G438=$G$107,K$107,$G438=$G$110,K$110,$G438=$G$140,K$140,$G438=$G$142,K$142,$G438=$G$408,K$408)</f>
        <v>BG sentinel + BG lure7</v>
      </c>
      <c r="O438" s="13" t="str">
        <f t="shared" si="39"/>
        <v>A_SP_BCN_18_220921</v>
      </c>
      <c r="P438" s="31">
        <v>44825</v>
      </c>
      <c r="Q438" s="29">
        <v>0.67708333333333337</v>
      </c>
      <c r="R438" s="33"/>
      <c r="S438" s="27">
        <v>44831</v>
      </c>
      <c r="T438" s="29">
        <v>0.77083333333333337</v>
      </c>
      <c r="V438" s="13" t="s">
        <v>86</v>
      </c>
      <c r="X438" s="13">
        <f t="shared" si="40"/>
        <v>6</v>
      </c>
      <c r="Z438" s="13" t="s">
        <v>164</v>
      </c>
      <c r="AA438" s="13">
        <f t="shared" si="43"/>
        <v>1</v>
      </c>
      <c r="AB438" s="13" t="str">
        <f t="shared" si="41"/>
        <v>Adult</v>
      </c>
      <c r="AC438" s="13">
        <v>0</v>
      </c>
      <c r="AD438" s="13">
        <v>1</v>
      </c>
      <c r="AE438" s="13" t="str">
        <f t="shared" si="42"/>
        <v>Morphological</v>
      </c>
      <c r="AF438" s="2">
        <v>4</v>
      </c>
    </row>
    <row r="439" spans="1:32" x14ac:dyDescent="0.25">
      <c r="A439" s="13">
        <v>435</v>
      </c>
      <c r="B439" s="23" t="s">
        <v>56</v>
      </c>
      <c r="C439" s="23" t="s">
        <v>57</v>
      </c>
      <c r="D439" s="23" t="s">
        <v>58</v>
      </c>
      <c r="E439" s="23" t="s">
        <v>58</v>
      </c>
      <c r="F439" s="35" cm="1">
        <f t="array" ref="F439">_xlfn.IFS($G439=$G$5,F$5,$G439=$G$7,F$7,$G439=$G$10,F$10,$G439=$G$13,F$13,$G439=$G$14,F$14,$G439=$G$16,F$16,$G439=$G$17,F$17,$G439=$G$19,F$19,$G439=$G$20,F$20,$G439=$G$22,F$22,$G439=$G$23,F$23,$G439=$G$26,F$26,$G439=$G$29,F$29,$G439=$G$31,F$31,$G439=$G$34,F$34,$G439=$G$37,F$37,$G439=$G$107,F$107,$G439=$G$110,F$110,$G439=$G$140,F$140,$G439=$G$142,F$142,$G439=$G$408,F$408)</f>
        <v>8038</v>
      </c>
      <c r="G439" s="13" t="s">
        <v>76</v>
      </c>
      <c r="H439" s="51" cm="1">
        <f t="array" ref="H439">_xlfn.IFS($G439=$G$5,H$5,$G439=$G$7,H$7,$G439=$G$10,H$10,$G439=$G$13,H$13,$G439=$G$14,H$14,$G439=$G$16,H$16,$G439=$G$17,H$17,$G439=$G$19,H$19,$G439=$G$20,H$20,$G439=$G$22,H$22,$G439=$G$23,H$23,$G439=$G$26,H$26,$G439=$G$29,H$29,$G439=$G$31,H$31,$G439=$G$34,H$34,$G439=$G$37,H$37,$G439=$G$107,H$107,$G439=$G$110,H$110,$G439=$G$140,H$140,$G439=$G$142,H$142,$G439=$G$408,H$408)</f>
        <v>41.359864999999999</v>
      </c>
      <c r="I439" s="51" cm="1">
        <f t="array" ref="I439">_xlfn.IFS($G439=$G$5,I$5,$G439=$G$7,I$7,$G439=$G$10,I$10,$G439=$G$13,I$13,$G439=$G$14,I$14,$G439=$G$16,I$16,$G439=$G$17,I$17,$G439=$G$19,I$19,$G439=$G$20,I$20,$G439=$G$22,I$22,$G439=$G$23,I$23,$G439=$G$26,I$26,$G439=$G$29,I$29,$G439=$G$31,I$31,$G439=$G$34,I$34,$G439=$G$37,I$37,$G439=$G$107,I$107,$G439=$G$110,I$110,$G439=$G$140,I$140,$G439=$G$142,I$142,$G439=$G$408,I$408)</f>
        <v>2.1445430000000001</v>
      </c>
      <c r="J439" s="51" cm="1">
        <f t="array" ref="J439">_xlfn.IFS($G439=$G$5,J$5,$G439=$G$7,J$7,$G439=$G$10,J$10,$G439=$G$13,J$13,$G439=$G$14,J$14,$G439=$G$16,J$16,$G439=$G$17,J$17,$G439=$G$19,J$19,$G439=$G$20,J$20,$G439=$G$22,J$22,$G439=$G$23,J$23,$G439=$G$26,J$26,$G439=$G$29,J$29,$G439=$G$31,J$31,$G439=$G$34,J$34,$G439=$G$37,J$37,$G439=$G$107,J$107,$G439=$G$110,J$110,$G439=$G$140,J$140,$G439=$G$142,J$142,$G439=$G$408,J$408)</f>
        <v>11.4</v>
      </c>
      <c r="K439" s="13" t="str" cm="1">
        <f t="array" ref="K439">_xlfn.IFS($G439=$G$5,K$5,$G439=$G$7,K$7,$G439=$G$10,K$10,$G439=$G$13,K$13,$G439=$G$14,K$14,$G439=$G$16,K$16,$G439=$G$17,K$17,$G439=$G$19,K$19,$G439=$G$20,K$20,$G439=$G$22,K$22,$G439=$G$23,K$23,$G439=$G$26,K$26,$G439=$G$29,K$29,$G439=$G$31,K$31,$G439=$G$34,K$34,$G439=$G$37,K$37,$G439=$G$107,K$107,$G439=$G$110,K$110,$G439=$G$140,K$140,$G439=$G$142,K$142,$G439=$G$408,K$408)</f>
        <v>BG sentinel + BG lure7</v>
      </c>
      <c r="O439" s="13" t="str">
        <f t="shared" si="39"/>
        <v>A_SP_BCN_19_220921</v>
      </c>
      <c r="P439" s="31">
        <v>44825</v>
      </c>
      <c r="Q439" s="29">
        <v>0.52083333333333337</v>
      </c>
      <c r="R439" s="33"/>
      <c r="S439" s="27">
        <v>44831</v>
      </c>
      <c r="T439" s="29">
        <v>0.5625</v>
      </c>
      <c r="V439" s="13" t="s">
        <v>86</v>
      </c>
      <c r="W439" t="s">
        <v>193</v>
      </c>
      <c r="X439" s="13">
        <f t="shared" si="40"/>
        <v>6</v>
      </c>
      <c r="Z439" s="13" t="s">
        <v>60</v>
      </c>
      <c r="AA439" s="13">
        <f t="shared" si="43"/>
        <v>34</v>
      </c>
      <c r="AB439" s="13" t="str">
        <f t="shared" si="41"/>
        <v>Adult</v>
      </c>
      <c r="AC439" s="13">
        <v>27</v>
      </c>
      <c r="AD439" s="13">
        <v>7</v>
      </c>
      <c r="AE439" s="13" t="str">
        <f t="shared" si="42"/>
        <v>Morphological</v>
      </c>
      <c r="AF439" s="2">
        <v>3</v>
      </c>
    </row>
    <row r="440" spans="1:32" x14ac:dyDescent="0.25">
      <c r="A440" s="13">
        <v>436</v>
      </c>
      <c r="B440" s="23" t="s">
        <v>56</v>
      </c>
      <c r="C440" s="23" t="s">
        <v>57</v>
      </c>
      <c r="D440" s="23" t="s">
        <v>58</v>
      </c>
      <c r="E440" s="23" t="s">
        <v>58</v>
      </c>
      <c r="F440" s="35" cm="1">
        <f t="array" ref="F440">_xlfn.IFS($G440=$G$5,F$5,$G440=$G$7,F$7,$G440=$G$10,F$10,$G440=$G$13,F$13,$G440=$G$14,F$14,$G440=$G$16,F$16,$G440=$G$17,F$17,$G440=$G$19,F$19,$G440=$G$20,F$20,$G440=$G$22,F$22,$G440=$G$23,F$23,$G440=$G$26,F$26,$G440=$G$29,F$29,$G440=$G$31,F$31,$G440=$G$34,F$34,$G440=$G$37,F$37,$G440=$G$107,F$107,$G440=$G$110,F$110,$G440=$G$140,F$140,$G440=$G$142,F$142,$G440=$G$408,F$408)</f>
        <v>8038</v>
      </c>
      <c r="G440" s="13" t="s">
        <v>76</v>
      </c>
      <c r="H440" s="51" cm="1">
        <f t="array" ref="H440">_xlfn.IFS($G440=$G$5,H$5,$G440=$G$7,H$7,$G440=$G$10,H$10,$G440=$G$13,H$13,$G440=$G$14,H$14,$G440=$G$16,H$16,$G440=$G$17,H$17,$G440=$G$19,H$19,$G440=$G$20,H$20,$G440=$G$22,H$22,$G440=$G$23,H$23,$G440=$G$26,H$26,$G440=$G$29,H$29,$G440=$G$31,H$31,$G440=$G$34,H$34,$G440=$G$37,H$37,$G440=$G$107,H$107,$G440=$G$110,H$110,$G440=$G$140,H$140,$G440=$G$142,H$142,$G440=$G$408,H$408)</f>
        <v>41.359864999999999</v>
      </c>
      <c r="I440" s="51" cm="1">
        <f t="array" ref="I440">_xlfn.IFS($G440=$G$5,I$5,$G440=$G$7,I$7,$G440=$G$10,I$10,$G440=$G$13,I$13,$G440=$G$14,I$14,$G440=$G$16,I$16,$G440=$G$17,I$17,$G440=$G$19,I$19,$G440=$G$20,I$20,$G440=$G$22,I$22,$G440=$G$23,I$23,$G440=$G$26,I$26,$G440=$G$29,I$29,$G440=$G$31,I$31,$G440=$G$34,I$34,$G440=$G$37,I$37,$G440=$G$107,I$107,$G440=$G$110,I$110,$G440=$G$140,I$140,$G440=$G$142,I$142,$G440=$G$408,I$408)</f>
        <v>2.1445430000000001</v>
      </c>
      <c r="J440" s="51" cm="1">
        <f t="array" ref="J440">_xlfn.IFS($G440=$G$5,J$5,$G440=$G$7,J$7,$G440=$G$10,J$10,$G440=$G$13,J$13,$G440=$G$14,J$14,$G440=$G$16,J$16,$G440=$G$17,J$17,$G440=$G$19,J$19,$G440=$G$20,J$20,$G440=$G$22,J$22,$G440=$G$23,J$23,$G440=$G$26,J$26,$G440=$G$29,J$29,$G440=$G$31,J$31,$G440=$G$34,J$34,$G440=$G$37,J$37,$G440=$G$107,J$107,$G440=$G$110,J$110,$G440=$G$140,J$140,$G440=$G$142,J$142,$G440=$G$408,J$408)</f>
        <v>11.4</v>
      </c>
      <c r="K440" s="13" t="str" cm="1">
        <f t="array" ref="K440">_xlfn.IFS($G440=$G$5,K$5,$G440=$G$7,K$7,$G440=$G$10,K$10,$G440=$G$13,K$13,$G440=$G$14,K$14,$G440=$G$16,K$16,$G440=$G$17,K$17,$G440=$G$19,K$19,$G440=$G$20,K$20,$G440=$G$22,K$22,$G440=$G$23,K$23,$G440=$G$26,K$26,$G440=$G$29,K$29,$G440=$G$31,K$31,$G440=$G$34,K$34,$G440=$G$37,K$37,$G440=$G$107,K$107,$G440=$G$110,K$110,$G440=$G$140,K$140,$G440=$G$142,K$142,$G440=$G$408,K$408)</f>
        <v>BG sentinel + BG lure7</v>
      </c>
      <c r="O440" s="13" t="str">
        <f>G440&amp;"_"&amp;TEXT(P440, "AAMMDD")</f>
        <v>A_SP_BCN_19_220921</v>
      </c>
      <c r="P440" s="31">
        <v>44825</v>
      </c>
      <c r="Q440" s="29">
        <v>0.52083333333333337</v>
      </c>
      <c r="R440" s="33"/>
      <c r="S440" s="27">
        <v>44831</v>
      </c>
      <c r="T440" s="29">
        <v>0.5625</v>
      </c>
      <c r="V440" s="13" t="s">
        <v>86</v>
      </c>
      <c r="W440" t="s">
        <v>193</v>
      </c>
      <c r="X440" s="13">
        <f t="shared" si="40"/>
        <v>6</v>
      </c>
      <c r="Z440" s="13" t="s">
        <v>164</v>
      </c>
      <c r="AA440" s="13">
        <f t="shared" si="43"/>
        <v>126</v>
      </c>
      <c r="AB440" s="13" t="str">
        <f t="shared" si="41"/>
        <v>Adult</v>
      </c>
      <c r="AC440" s="13">
        <v>121</v>
      </c>
      <c r="AD440" s="13">
        <v>5</v>
      </c>
      <c r="AE440" s="13" t="str">
        <f t="shared" si="42"/>
        <v>Morphological</v>
      </c>
      <c r="AF440" s="2">
        <v>3</v>
      </c>
    </row>
    <row r="441" spans="1:32" x14ac:dyDescent="0.25">
      <c r="A441" s="13">
        <v>437</v>
      </c>
      <c r="B441" s="23" t="s">
        <v>56</v>
      </c>
      <c r="C441" s="23" t="s">
        <v>57</v>
      </c>
      <c r="D441" s="23" t="s">
        <v>58</v>
      </c>
      <c r="E441" s="23" t="s">
        <v>58</v>
      </c>
      <c r="F441" s="35" cm="1">
        <f t="array" ref="F441">_xlfn.IFS($G441=$G$5,F$5,$G441=$G$7,F$7,$G441=$G$10,F$10,$G441=$G$13,F$13,$G441=$G$14,F$14,$G441=$G$16,F$16,$G441=$G$17,F$17,$G441=$G$19,F$19,$G441=$G$20,F$20,$G441=$G$22,F$22,$G441=$G$23,F$23,$G441=$G$26,F$26,$G441=$G$29,F$29,$G441=$G$31,F$31,$G441=$G$34,F$34,$G441=$G$37,F$37,$G441=$G$107,F$107,$G441=$G$110,F$110,$G441=$G$140,F$140,$G441=$G$142,F$142,$G441=$G$408,F$408)</f>
        <v>8017</v>
      </c>
      <c r="G441" s="13" t="s">
        <v>77</v>
      </c>
      <c r="H441" s="51" cm="1">
        <f t="array" ref="H441">_xlfn.IFS($G441=$G$5,H$5,$G441=$G$7,H$7,$G441=$G$10,H$10,$G441=$G$13,H$13,$G441=$G$14,H$14,$G441=$G$16,H$16,$G441=$G$17,H$17,$G441=$G$19,H$19,$G441=$G$20,H$20,$G441=$G$22,H$22,$G441=$G$23,H$23,$G441=$G$26,H$26,$G441=$G$29,H$29,$G441=$G$31,H$31,$G441=$G$34,H$34,$G441=$G$37,H$37,$G441=$G$107,H$107,$G441=$G$110,H$110,$G441=$G$140,H$140,$G441=$G$142,H$142,$G441=$G$408,H$408)</f>
        <v>41.430315999999998</v>
      </c>
      <c r="I441" s="51" cm="1">
        <f t="array" ref="I441">_xlfn.IFS($G441=$G$5,I$5,$G441=$G$7,I$7,$G441=$G$10,I$10,$G441=$G$13,I$13,$G441=$G$14,I$14,$G441=$G$16,I$16,$G441=$G$17,I$17,$G441=$G$19,I$19,$G441=$G$20,I$20,$G441=$G$22,I$22,$G441=$G$23,I$23,$G441=$G$26,I$26,$G441=$G$29,I$29,$G441=$G$31,I$31,$G441=$G$34,I$34,$G441=$G$37,I$37,$G441=$G$107,I$107,$G441=$G$110,I$110,$G441=$G$140,I$140,$G441=$G$142,I$142,$G441=$G$408,I$408)</f>
        <v>2.077556</v>
      </c>
      <c r="J441" s="51" cm="1">
        <f t="array" ref="J441">_xlfn.IFS($G441=$G$5,J$5,$G441=$G$7,J$7,$G441=$G$10,J$10,$G441=$G$13,J$13,$G441=$G$14,J$14,$G441=$G$16,J$16,$G441=$G$17,J$17,$G441=$G$19,J$19,$G441=$G$20,J$20,$G441=$G$22,J$22,$G441=$G$23,J$23,$G441=$G$26,J$26,$G441=$G$29,J$29,$G441=$G$31,J$31,$G441=$G$34,J$34,$G441=$G$37,J$37,$G441=$G$107,J$107,$G441=$G$110,J$110,$G441=$G$140,J$140,$G441=$G$142,J$142,$G441=$G$408,J$408)</f>
        <v>243.3</v>
      </c>
      <c r="K441" s="13" t="str" cm="1">
        <f t="array" ref="K441">_xlfn.IFS($G441=$G$5,K$5,$G441=$G$7,K$7,$G441=$G$10,K$10,$G441=$G$13,K$13,$G441=$G$14,K$14,$G441=$G$16,K$16,$G441=$G$17,K$17,$G441=$G$19,K$19,$G441=$G$20,K$20,$G441=$G$22,K$22,$G441=$G$23,K$23,$G441=$G$26,K$26,$G441=$G$29,K$29,$G441=$G$31,K$31,$G441=$G$34,K$34,$G441=$G$37,K$37,$G441=$G$107,K$107,$G441=$G$110,K$110,$G441=$G$140,K$140,$G441=$G$142,K$142,$G441=$G$408,K$408)</f>
        <v>BG sentinel + BG lure7</v>
      </c>
      <c r="O441" s="13" t="str">
        <f t="shared" ref="O441:O449" si="44">G441&amp;"_"&amp;TEXT(P441, "AAMMDD")</f>
        <v>A_SP_BCN_22_220921</v>
      </c>
      <c r="P441" s="31">
        <v>44825</v>
      </c>
      <c r="Q441" s="29">
        <v>0.67361111111111116</v>
      </c>
      <c r="R441" s="33"/>
      <c r="S441" s="27">
        <v>44831</v>
      </c>
      <c r="T441" s="29">
        <v>0.70486111111111116</v>
      </c>
      <c r="V441" s="13" t="s">
        <v>86</v>
      </c>
      <c r="X441" s="13">
        <f t="shared" si="40"/>
        <v>6</v>
      </c>
      <c r="Z441" s="13" t="s">
        <v>60</v>
      </c>
      <c r="AA441" s="13">
        <f t="shared" si="43"/>
        <v>56</v>
      </c>
      <c r="AB441" s="13" t="str">
        <f t="shared" si="41"/>
        <v>Adult</v>
      </c>
      <c r="AC441" s="13">
        <v>50</v>
      </c>
      <c r="AD441" s="13">
        <v>6</v>
      </c>
      <c r="AE441" s="13" t="str">
        <f t="shared" si="42"/>
        <v>Morphological</v>
      </c>
      <c r="AF441" s="2">
        <v>4</v>
      </c>
    </row>
    <row r="442" spans="1:32" x14ac:dyDescent="0.25">
      <c r="A442" s="13">
        <v>438</v>
      </c>
      <c r="B442" s="23" t="s">
        <v>56</v>
      </c>
      <c r="C442" s="23" t="s">
        <v>57</v>
      </c>
      <c r="D442" s="23" t="s">
        <v>58</v>
      </c>
      <c r="E442" s="23" t="s">
        <v>58</v>
      </c>
      <c r="F442" s="35" cm="1">
        <f t="array" ref="F442">_xlfn.IFS($G442=$G$5,F$5,$G442=$G$7,F$7,$G442=$G$10,F$10,$G442=$G$13,F$13,$G442=$G$14,F$14,$G442=$G$16,F$16,$G442=$G$17,F$17,$G442=$G$19,F$19,$G442=$G$20,F$20,$G442=$G$22,F$22,$G442=$G$23,F$23,$G442=$G$26,F$26,$G442=$G$29,F$29,$G442=$G$31,F$31,$G442=$G$34,F$34,$G442=$G$37,F$37,$G442=$G$107,F$107,$G442=$G$110,F$110,$G442=$G$140,F$140,$G442=$G$142,F$142,$G442=$G$408,F$408)</f>
        <v>8017</v>
      </c>
      <c r="G442" s="13" t="s">
        <v>77</v>
      </c>
      <c r="H442" s="51" cm="1">
        <f t="array" ref="H442">_xlfn.IFS($G442=$G$5,H$5,$G442=$G$7,H$7,$G442=$G$10,H$10,$G442=$G$13,H$13,$G442=$G$14,H$14,$G442=$G$16,H$16,$G442=$G$17,H$17,$G442=$G$19,H$19,$G442=$G$20,H$20,$G442=$G$22,H$22,$G442=$G$23,H$23,$G442=$G$26,H$26,$G442=$G$29,H$29,$G442=$G$31,H$31,$G442=$G$34,H$34,$G442=$G$37,H$37,$G442=$G$107,H$107,$G442=$G$110,H$110,$G442=$G$140,H$140,$G442=$G$142,H$142,$G442=$G$408,H$408)</f>
        <v>41.430315999999998</v>
      </c>
      <c r="I442" s="51" cm="1">
        <f t="array" ref="I442">_xlfn.IFS($G442=$G$5,I$5,$G442=$G$7,I$7,$G442=$G$10,I$10,$G442=$G$13,I$13,$G442=$G$14,I$14,$G442=$G$16,I$16,$G442=$G$17,I$17,$G442=$G$19,I$19,$G442=$G$20,I$20,$G442=$G$22,I$22,$G442=$G$23,I$23,$G442=$G$26,I$26,$G442=$G$29,I$29,$G442=$G$31,I$31,$G442=$G$34,I$34,$G442=$G$37,I$37,$G442=$G$107,I$107,$G442=$G$110,I$110,$G442=$G$140,I$140,$G442=$G$142,I$142,$G442=$G$408,I$408)</f>
        <v>2.077556</v>
      </c>
      <c r="J442" s="51" cm="1">
        <f t="array" ref="J442">_xlfn.IFS($G442=$G$5,J$5,$G442=$G$7,J$7,$G442=$G$10,J$10,$G442=$G$13,J$13,$G442=$G$14,J$14,$G442=$G$16,J$16,$G442=$G$17,J$17,$G442=$G$19,J$19,$G442=$G$20,J$20,$G442=$G$22,J$22,$G442=$G$23,J$23,$G442=$G$26,J$26,$G442=$G$29,J$29,$G442=$G$31,J$31,$G442=$G$34,J$34,$G442=$G$37,J$37,$G442=$G$107,J$107,$G442=$G$110,J$110,$G442=$G$140,J$140,$G442=$G$142,J$142,$G442=$G$408,J$408)</f>
        <v>243.3</v>
      </c>
      <c r="K442" s="13" t="str" cm="1">
        <f t="array" ref="K442">_xlfn.IFS($G442=$G$5,K$5,$G442=$G$7,K$7,$G442=$G$10,K$10,$G442=$G$13,K$13,$G442=$G$14,K$14,$G442=$G$16,K$16,$G442=$G$17,K$17,$G442=$G$19,K$19,$G442=$G$20,K$20,$G442=$G$22,K$22,$G442=$G$23,K$23,$G442=$G$26,K$26,$G442=$G$29,K$29,$G442=$G$31,K$31,$G442=$G$34,K$34,$G442=$G$37,K$37,$G442=$G$107,K$107,$G442=$G$110,K$110,$G442=$G$140,K$140,$G442=$G$142,K$142,$G442=$G$408,K$408)</f>
        <v>BG sentinel + BG lure7</v>
      </c>
      <c r="O442" s="13" t="str">
        <f t="shared" si="44"/>
        <v>A_SP_BCN_22_220921</v>
      </c>
      <c r="P442" s="31">
        <v>44825</v>
      </c>
      <c r="Q442" s="29">
        <v>0.67361111111111116</v>
      </c>
      <c r="R442" s="33"/>
      <c r="S442" s="27">
        <v>44831</v>
      </c>
      <c r="T442" s="29">
        <v>0.70486111111111116</v>
      </c>
      <c r="V442" s="13" t="s">
        <v>86</v>
      </c>
      <c r="X442" s="13">
        <f t="shared" si="40"/>
        <v>6</v>
      </c>
      <c r="Z442" s="13" t="s">
        <v>164</v>
      </c>
      <c r="AA442" s="13">
        <f t="shared" si="43"/>
        <v>3</v>
      </c>
      <c r="AB442" s="13" t="str">
        <f t="shared" si="41"/>
        <v>Adult</v>
      </c>
      <c r="AC442" s="13">
        <v>2</v>
      </c>
      <c r="AD442" s="13">
        <v>1</v>
      </c>
      <c r="AE442" s="13" t="str">
        <f t="shared" si="42"/>
        <v>Morphological</v>
      </c>
      <c r="AF442" s="2">
        <v>4</v>
      </c>
    </row>
    <row r="443" spans="1:32" x14ac:dyDescent="0.25">
      <c r="A443" s="13">
        <v>439</v>
      </c>
      <c r="B443" s="23" t="s">
        <v>56</v>
      </c>
      <c r="C443" s="23" t="s">
        <v>57</v>
      </c>
      <c r="D443" s="23" t="s">
        <v>58</v>
      </c>
      <c r="E443" s="23" t="s">
        <v>58</v>
      </c>
      <c r="F443" s="35" cm="1">
        <f t="array" ref="F443">_xlfn.IFS($G443=$G$5,F$5,$G443=$G$7,F$7,$G443=$G$10,F$10,$G443=$G$13,F$13,$G443=$G$14,F$14,$G443=$G$16,F$16,$G443=$G$17,F$17,$G443=$G$19,F$19,$G443=$G$20,F$20,$G443=$G$22,F$22,$G443=$G$23,F$23,$G443=$G$26,F$26,$G443=$G$29,F$29,$G443=$G$31,F$31,$G443=$G$34,F$34,$G443=$G$37,F$37,$G443=$G$107,F$107,$G443=$G$110,F$110,$G443=$G$140,F$140,$G443=$G$142,F$142,$G443=$G$408,F$408)</f>
        <v>8038</v>
      </c>
      <c r="G443" s="13" t="s">
        <v>79</v>
      </c>
      <c r="H443" s="51" cm="1">
        <f t="array" ref="H443">_xlfn.IFS($G443=$G$5,H$5,$G443=$G$7,H$7,$G443=$G$10,H$10,$G443=$G$13,H$13,$G443=$G$14,H$14,$G443=$G$16,H$16,$G443=$G$17,H$17,$G443=$G$19,H$19,$G443=$G$20,H$20,$G443=$G$22,H$22,$G443=$G$23,H$23,$G443=$G$26,H$26,$G443=$G$29,H$29,$G443=$G$31,H$31,$G443=$G$34,H$34,$G443=$G$37,H$37,$G443=$G$107,H$107,$G443=$G$110,H$110,$G443=$G$140,H$140,$G443=$G$142,H$142,$G443=$G$408,H$408)</f>
        <v>41.367100000000001</v>
      </c>
      <c r="I443" s="51" cm="1">
        <f t="array" ref="I443">_xlfn.IFS($G443=$G$5,I$5,$G443=$G$7,I$7,$G443=$G$10,I$10,$G443=$G$13,I$13,$G443=$G$14,I$14,$G443=$G$16,I$16,$G443=$G$17,I$17,$G443=$G$19,I$19,$G443=$G$20,I$20,$G443=$G$22,I$22,$G443=$G$23,I$23,$G443=$G$26,I$26,$G443=$G$29,I$29,$G443=$G$31,I$31,$G443=$G$34,I$34,$G443=$G$37,I$37,$G443=$G$107,I$107,$G443=$G$110,I$110,$G443=$G$140,I$140,$G443=$G$142,I$142,$G443=$G$408,I$408)</f>
        <v>2.1539079999999999</v>
      </c>
      <c r="J443" s="51" cm="1">
        <f t="array" ref="J443">_xlfn.IFS($G443=$G$5,J$5,$G443=$G$7,J$7,$G443=$G$10,J$10,$G443=$G$13,J$13,$G443=$G$14,J$14,$G443=$G$16,J$16,$G443=$G$17,J$17,$G443=$G$19,J$19,$G443=$G$20,J$20,$G443=$G$22,J$22,$G443=$G$23,J$23,$G443=$G$26,J$26,$G443=$G$29,J$29,$G443=$G$31,J$31,$G443=$G$34,J$34,$G443=$G$37,J$37,$G443=$G$107,J$107,$G443=$G$110,J$110,$G443=$G$140,J$140,$G443=$G$142,J$142,$G443=$G$408,J$408)</f>
        <v>68</v>
      </c>
      <c r="K443" s="13" t="str" cm="1">
        <f t="array" ref="K443">_xlfn.IFS($G443=$G$5,K$5,$G443=$G$7,K$7,$G443=$G$10,K$10,$G443=$G$13,K$13,$G443=$G$14,K$14,$G443=$G$16,K$16,$G443=$G$17,K$17,$G443=$G$19,K$19,$G443=$G$20,K$20,$G443=$G$22,K$22,$G443=$G$23,K$23,$G443=$G$26,K$26,$G443=$G$29,K$29,$G443=$G$31,K$31,$G443=$G$34,K$34,$G443=$G$37,K$37,$G443=$G$107,K$107,$G443=$G$110,K$110,$G443=$G$140,K$140,$G443=$G$142,K$142,$G443=$G$408,K$408)</f>
        <v>BG sentinel + BG lure7</v>
      </c>
      <c r="O443" s="13" t="str">
        <f t="shared" si="44"/>
        <v>A_SP_BCN_23_220921</v>
      </c>
      <c r="P443" s="31">
        <v>44825</v>
      </c>
      <c r="Q443" s="29">
        <v>0.55208333333333337</v>
      </c>
      <c r="R443" s="33"/>
      <c r="S443" s="27">
        <v>44831</v>
      </c>
      <c r="T443" s="29">
        <v>0.57291666666666663</v>
      </c>
      <c r="V443" s="13" t="s">
        <v>86</v>
      </c>
      <c r="X443" s="13">
        <f t="shared" si="40"/>
        <v>6</v>
      </c>
      <c r="Z443" s="13" t="s">
        <v>60</v>
      </c>
      <c r="AA443" s="13">
        <f t="shared" si="43"/>
        <v>33</v>
      </c>
      <c r="AB443" s="13" t="str">
        <f t="shared" si="41"/>
        <v>Adult</v>
      </c>
      <c r="AC443" s="13">
        <v>22</v>
      </c>
      <c r="AD443" s="13">
        <v>11</v>
      </c>
      <c r="AE443" s="13" t="str">
        <f t="shared" si="42"/>
        <v>Morphological</v>
      </c>
      <c r="AF443" s="2">
        <v>4</v>
      </c>
    </row>
    <row r="444" spans="1:32" x14ac:dyDescent="0.25">
      <c r="A444" s="13">
        <v>440</v>
      </c>
      <c r="B444" s="23" t="s">
        <v>56</v>
      </c>
      <c r="C444" s="23" t="s">
        <v>57</v>
      </c>
      <c r="D444" s="23" t="s">
        <v>58</v>
      </c>
      <c r="E444" s="23" t="s">
        <v>58</v>
      </c>
      <c r="F444" s="35" cm="1">
        <f t="array" ref="F444">_xlfn.IFS($G444=$G$5,F$5,$G444=$G$7,F$7,$G444=$G$10,F$10,$G444=$G$13,F$13,$G444=$G$14,F$14,$G444=$G$16,F$16,$G444=$G$17,F$17,$G444=$G$19,F$19,$G444=$G$20,F$20,$G444=$G$22,F$22,$G444=$G$23,F$23,$G444=$G$26,F$26,$G444=$G$29,F$29,$G444=$G$31,F$31,$G444=$G$34,F$34,$G444=$G$37,F$37,$G444=$G$107,F$107,$G444=$G$110,F$110,$G444=$G$140,F$140,$G444=$G$142,F$142,$G444=$G$408,F$408)</f>
        <v>8038</v>
      </c>
      <c r="G444" s="13" t="s">
        <v>79</v>
      </c>
      <c r="H444" s="51" cm="1">
        <f t="array" ref="H444">_xlfn.IFS($G444=$G$5,H$5,$G444=$G$7,H$7,$G444=$G$10,H$10,$G444=$G$13,H$13,$G444=$G$14,H$14,$G444=$G$16,H$16,$G444=$G$17,H$17,$G444=$G$19,H$19,$G444=$G$20,H$20,$G444=$G$22,H$22,$G444=$G$23,H$23,$G444=$G$26,H$26,$G444=$G$29,H$29,$G444=$G$31,H$31,$G444=$G$34,H$34,$G444=$G$37,H$37,$G444=$G$107,H$107,$G444=$G$110,H$110,$G444=$G$140,H$140,$G444=$G$142,H$142,$G444=$G$408,H$408)</f>
        <v>41.367100000000001</v>
      </c>
      <c r="I444" s="51" cm="1">
        <f t="array" ref="I444">_xlfn.IFS($G444=$G$5,I$5,$G444=$G$7,I$7,$G444=$G$10,I$10,$G444=$G$13,I$13,$G444=$G$14,I$14,$G444=$G$16,I$16,$G444=$G$17,I$17,$G444=$G$19,I$19,$G444=$G$20,I$20,$G444=$G$22,I$22,$G444=$G$23,I$23,$G444=$G$26,I$26,$G444=$G$29,I$29,$G444=$G$31,I$31,$G444=$G$34,I$34,$G444=$G$37,I$37,$G444=$G$107,I$107,$G444=$G$110,I$110,$G444=$G$140,I$140,$G444=$G$142,I$142,$G444=$G$408,I$408)</f>
        <v>2.1539079999999999</v>
      </c>
      <c r="J444" s="51" cm="1">
        <f t="array" ref="J444">_xlfn.IFS($G444=$G$5,J$5,$G444=$G$7,J$7,$G444=$G$10,J$10,$G444=$G$13,J$13,$G444=$G$14,J$14,$G444=$G$16,J$16,$G444=$G$17,J$17,$G444=$G$19,J$19,$G444=$G$20,J$20,$G444=$G$22,J$22,$G444=$G$23,J$23,$G444=$G$26,J$26,$G444=$G$29,J$29,$G444=$G$31,J$31,$G444=$G$34,J$34,$G444=$G$37,J$37,$G444=$G$107,J$107,$G444=$G$110,J$110,$G444=$G$140,J$140,$G444=$G$142,J$142,$G444=$G$408,J$408)</f>
        <v>68</v>
      </c>
      <c r="K444" s="13" t="str" cm="1">
        <f t="array" ref="K444">_xlfn.IFS($G444=$G$5,K$5,$G444=$G$7,K$7,$G444=$G$10,K$10,$G444=$G$13,K$13,$G444=$G$14,K$14,$G444=$G$16,K$16,$G444=$G$17,K$17,$G444=$G$19,K$19,$G444=$G$20,K$20,$G444=$G$22,K$22,$G444=$G$23,K$23,$G444=$G$26,K$26,$G444=$G$29,K$29,$G444=$G$31,K$31,$G444=$G$34,K$34,$G444=$G$37,K$37,$G444=$G$107,K$107,$G444=$G$110,K$110,$G444=$G$140,K$140,$G444=$G$142,K$142,$G444=$G$408,K$408)</f>
        <v>BG sentinel + BG lure7</v>
      </c>
      <c r="O444" s="13" t="str">
        <f t="shared" si="44"/>
        <v>A_SP_BCN_23_220921</v>
      </c>
      <c r="P444" s="31">
        <v>44825</v>
      </c>
      <c r="Q444" s="29">
        <v>0.55208333333333337</v>
      </c>
      <c r="R444" s="33"/>
      <c r="S444" s="27">
        <v>44831</v>
      </c>
      <c r="T444" s="29">
        <v>0.57291666666666663</v>
      </c>
      <c r="V444" s="13" t="s">
        <v>86</v>
      </c>
      <c r="X444" s="13">
        <f t="shared" si="40"/>
        <v>6</v>
      </c>
      <c r="Z444" s="13" t="s">
        <v>164</v>
      </c>
      <c r="AA444" s="13">
        <f t="shared" si="43"/>
        <v>12</v>
      </c>
      <c r="AB444" s="13" t="str">
        <f t="shared" si="41"/>
        <v>Adult</v>
      </c>
      <c r="AC444" s="13">
        <v>6</v>
      </c>
      <c r="AD444" s="13">
        <v>6</v>
      </c>
      <c r="AE444" s="13" t="str">
        <f t="shared" si="42"/>
        <v>Morphological</v>
      </c>
      <c r="AF444" s="2">
        <v>4</v>
      </c>
    </row>
    <row r="445" spans="1:32" x14ac:dyDescent="0.25">
      <c r="A445" s="13">
        <v>441</v>
      </c>
      <c r="B445" s="23" t="s">
        <v>56</v>
      </c>
      <c r="C445" s="23" t="s">
        <v>57</v>
      </c>
      <c r="D445" s="23" t="s">
        <v>58</v>
      </c>
      <c r="E445" s="23" t="s">
        <v>58</v>
      </c>
      <c r="F445" s="35" cm="1">
        <f t="array" ref="F445">_xlfn.IFS($G445=$G$5,F$5,$G445=$G$7,F$7,$G445=$G$10,F$10,$G445=$G$13,F$13,$G445=$G$14,F$14,$G445=$G$16,F$16,$G445=$G$17,F$17,$G445=$G$19,F$19,$G445=$G$20,F$20,$G445=$G$22,F$22,$G445=$G$23,F$23,$G445=$G$26,F$26,$G445=$G$29,F$29,$G445=$G$31,F$31,$G445=$G$34,F$34,$G445=$G$37,F$37,$G445=$G$107,F$107,$G445=$G$110,F$110,$G445=$G$140,F$140,$G445=$G$142,F$142,$G445=$G$408,F$408)</f>
        <v>8015</v>
      </c>
      <c r="G445" s="13" t="s">
        <v>78</v>
      </c>
      <c r="H445" s="51" cm="1">
        <f t="array" ref="H445">_xlfn.IFS($G445=$G$5,H$5,$G445=$G$7,H$7,$G445=$G$10,H$10,$G445=$G$13,H$13,$G445=$G$14,H$14,$G445=$G$16,H$16,$G445=$G$17,H$17,$G445=$G$19,H$19,$G445=$G$20,H$20,$G445=$G$22,H$22,$G445=$G$23,H$23,$G445=$G$26,H$26,$G445=$G$29,H$29,$G445=$G$31,H$31,$G445=$G$34,H$34,$G445=$G$37,H$37,$G445=$G$107,H$107,$G445=$G$110,H$110,$G445=$G$140,H$140,$G445=$G$142,H$142,$G445=$G$408,H$408)</f>
        <v>41.381725000000003</v>
      </c>
      <c r="I445" s="51" cm="1">
        <f t="array" ref="I445">_xlfn.IFS($G445=$G$5,I$5,$G445=$G$7,I$7,$G445=$G$10,I$10,$G445=$G$13,I$13,$G445=$G$14,I$14,$G445=$G$16,I$16,$G445=$G$17,I$17,$G445=$G$19,I$19,$G445=$G$20,I$20,$G445=$G$22,I$22,$G445=$G$23,I$23,$G445=$G$26,I$26,$G445=$G$29,I$29,$G445=$G$31,I$31,$G445=$G$34,I$34,$G445=$G$37,I$37,$G445=$G$107,I$107,$G445=$G$110,I$110,$G445=$G$140,I$140,$G445=$G$142,I$142,$G445=$G$408,I$408)</f>
        <v>2.1543679999999998</v>
      </c>
      <c r="J445" s="51" cm="1">
        <f t="array" ref="J445">_xlfn.IFS($G445=$G$5,J$5,$G445=$G$7,J$7,$G445=$G$10,J$10,$G445=$G$13,J$13,$G445=$G$14,J$14,$G445=$G$16,J$16,$G445=$G$17,J$17,$G445=$G$19,J$19,$G445=$G$20,J$20,$G445=$G$22,J$22,$G445=$G$23,J$23,$G445=$G$26,J$26,$G445=$G$29,J$29,$G445=$G$31,J$31,$G445=$G$34,J$34,$G445=$G$37,J$37,$G445=$G$107,J$107,$G445=$G$110,J$110,$G445=$G$140,J$140,$G445=$G$142,J$142,$G445=$G$408,J$408)</f>
        <v>20.7</v>
      </c>
      <c r="K445" s="13" t="str" cm="1">
        <f t="array" ref="K445">_xlfn.IFS($G445=$G$5,K$5,$G445=$G$7,K$7,$G445=$G$10,K$10,$G445=$G$13,K$13,$G445=$G$14,K$14,$G445=$G$16,K$16,$G445=$G$17,K$17,$G445=$G$19,K$19,$G445=$G$20,K$20,$G445=$G$22,K$22,$G445=$G$23,K$23,$G445=$G$26,K$26,$G445=$G$29,K$29,$G445=$G$31,K$31,$G445=$G$34,K$34,$G445=$G$37,K$37,$G445=$G$107,K$107,$G445=$G$110,K$110,$G445=$G$140,K$140,$G445=$G$142,K$142,$G445=$G$408,K$408)</f>
        <v>BG sentinel + BG lure7</v>
      </c>
      <c r="O445" s="13" t="str">
        <f t="shared" si="44"/>
        <v>A_SP_BCN_24_220921</v>
      </c>
      <c r="P445" s="31">
        <v>44825</v>
      </c>
      <c r="Q445" s="29">
        <v>0.86458333333333337</v>
      </c>
      <c r="R445" s="33"/>
      <c r="S445" s="27">
        <v>44831</v>
      </c>
      <c r="T445" s="29">
        <v>0.86111111111111116</v>
      </c>
      <c r="V445" s="13" t="s">
        <v>86</v>
      </c>
      <c r="X445" s="13">
        <f t="shared" si="40"/>
        <v>6</v>
      </c>
      <c r="Z445" s="13" t="s">
        <v>60</v>
      </c>
      <c r="AA445" s="13">
        <f t="shared" si="43"/>
        <v>60</v>
      </c>
      <c r="AB445" s="13" t="str">
        <f t="shared" si="41"/>
        <v>Adult</v>
      </c>
      <c r="AC445" s="13">
        <v>33</v>
      </c>
      <c r="AD445" s="13">
        <v>27</v>
      </c>
      <c r="AE445" s="13" t="str">
        <f t="shared" si="42"/>
        <v>Morphological</v>
      </c>
      <c r="AF445" s="2">
        <v>4</v>
      </c>
    </row>
    <row r="446" spans="1:32" x14ac:dyDescent="0.25">
      <c r="A446" s="13">
        <v>442</v>
      </c>
      <c r="B446" s="23" t="s">
        <v>56</v>
      </c>
      <c r="C446" s="23" t="s">
        <v>57</v>
      </c>
      <c r="D446" s="23" t="s">
        <v>58</v>
      </c>
      <c r="E446" s="23" t="s">
        <v>58</v>
      </c>
      <c r="F446" s="35" cm="1">
        <f t="array" ref="F446">_xlfn.IFS($G446=$G$5,F$5,$G446=$G$7,F$7,$G446=$G$10,F$10,$G446=$G$13,F$13,$G446=$G$14,F$14,$G446=$G$16,F$16,$G446=$G$17,F$17,$G446=$G$19,F$19,$G446=$G$20,F$20,$G446=$G$22,F$22,$G446=$G$23,F$23,$G446=$G$26,F$26,$G446=$G$29,F$29,$G446=$G$31,F$31,$G446=$G$34,F$34,$G446=$G$37,F$37,$G446=$G$107,F$107,$G446=$G$110,F$110,$G446=$G$140,F$140,$G446=$G$142,F$142,$G446=$G$408,F$408)</f>
        <v>8015</v>
      </c>
      <c r="G446" s="13" t="s">
        <v>78</v>
      </c>
      <c r="H446" s="51" cm="1">
        <f t="array" ref="H446">_xlfn.IFS($G446=$G$5,H$5,$G446=$G$7,H$7,$G446=$G$10,H$10,$G446=$G$13,H$13,$G446=$G$14,H$14,$G446=$G$16,H$16,$G446=$G$17,H$17,$G446=$G$19,H$19,$G446=$G$20,H$20,$G446=$G$22,H$22,$G446=$G$23,H$23,$G446=$G$26,H$26,$G446=$G$29,H$29,$G446=$G$31,H$31,$G446=$G$34,H$34,$G446=$G$37,H$37,$G446=$G$107,H$107,$G446=$G$110,H$110,$G446=$G$140,H$140,$G446=$G$142,H$142,$G446=$G$408,H$408)</f>
        <v>41.381725000000003</v>
      </c>
      <c r="I446" s="51" cm="1">
        <f t="array" ref="I446">_xlfn.IFS($G446=$G$5,I$5,$G446=$G$7,I$7,$G446=$G$10,I$10,$G446=$G$13,I$13,$G446=$G$14,I$14,$G446=$G$16,I$16,$G446=$G$17,I$17,$G446=$G$19,I$19,$G446=$G$20,I$20,$G446=$G$22,I$22,$G446=$G$23,I$23,$G446=$G$26,I$26,$G446=$G$29,I$29,$G446=$G$31,I$31,$G446=$G$34,I$34,$G446=$G$37,I$37,$G446=$G$107,I$107,$G446=$G$110,I$110,$G446=$G$140,I$140,$G446=$G$142,I$142,$G446=$G$408,I$408)</f>
        <v>2.1543679999999998</v>
      </c>
      <c r="J446" s="51" cm="1">
        <f t="array" ref="J446">_xlfn.IFS($G446=$G$5,J$5,$G446=$G$7,J$7,$G446=$G$10,J$10,$G446=$G$13,J$13,$G446=$G$14,J$14,$G446=$G$16,J$16,$G446=$G$17,J$17,$G446=$G$19,J$19,$G446=$G$20,J$20,$G446=$G$22,J$22,$G446=$G$23,J$23,$G446=$G$26,J$26,$G446=$G$29,J$29,$G446=$G$31,J$31,$G446=$G$34,J$34,$G446=$G$37,J$37,$G446=$G$107,J$107,$G446=$G$110,J$110,$G446=$G$140,J$140,$G446=$G$142,J$142,$G446=$G$408,J$408)</f>
        <v>20.7</v>
      </c>
      <c r="K446" s="13" t="str" cm="1">
        <f t="array" ref="K446">_xlfn.IFS($G446=$G$5,K$5,$G446=$G$7,K$7,$G446=$G$10,K$10,$G446=$G$13,K$13,$G446=$G$14,K$14,$G446=$G$16,K$16,$G446=$G$17,K$17,$G446=$G$19,K$19,$G446=$G$20,K$20,$G446=$G$22,K$22,$G446=$G$23,K$23,$G446=$G$26,K$26,$G446=$G$29,K$29,$G446=$G$31,K$31,$G446=$G$34,K$34,$G446=$G$37,K$37,$G446=$G$107,K$107,$G446=$G$110,K$110,$G446=$G$140,K$140,$G446=$G$142,K$142,$G446=$G$408,K$408)</f>
        <v>BG sentinel + BG lure7</v>
      </c>
      <c r="O446" s="13" t="str">
        <f t="shared" si="44"/>
        <v>A_SP_BCN_24_220921</v>
      </c>
      <c r="P446" s="31">
        <v>44825</v>
      </c>
      <c r="Q446" s="29">
        <v>0.86458333333333337</v>
      </c>
      <c r="R446" s="33"/>
      <c r="S446" s="27">
        <v>44831</v>
      </c>
      <c r="T446" s="29">
        <v>0.86111111111111116</v>
      </c>
      <c r="V446" s="13" t="s">
        <v>86</v>
      </c>
      <c r="X446" s="13">
        <f t="shared" si="40"/>
        <v>6</v>
      </c>
      <c r="Z446" s="13" t="s">
        <v>164</v>
      </c>
      <c r="AA446" s="13">
        <f t="shared" si="43"/>
        <v>4</v>
      </c>
      <c r="AB446" s="13" t="str">
        <f t="shared" si="41"/>
        <v>Adult</v>
      </c>
      <c r="AC446" s="13">
        <v>0</v>
      </c>
      <c r="AD446" s="13">
        <v>4</v>
      </c>
      <c r="AE446" s="13" t="str">
        <f t="shared" si="42"/>
        <v>Morphological</v>
      </c>
      <c r="AF446" s="2">
        <v>4</v>
      </c>
    </row>
    <row r="447" spans="1:32" x14ac:dyDescent="0.25">
      <c r="A447" s="13">
        <v>443</v>
      </c>
      <c r="B447" s="23" t="s">
        <v>56</v>
      </c>
      <c r="C447" s="23" t="s">
        <v>57</v>
      </c>
      <c r="D447" s="23" t="s">
        <v>58</v>
      </c>
      <c r="E447" s="23" t="s">
        <v>58</v>
      </c>
      <c r="F447" s="35" cm="1">
        <f t="array" ref="F447">_xlfn.IFS($G447=$G$5,F$5,$G447=$G$7,F$7,$G447=$G$10,F$10,$G447=$G$13,F$13,$G447=$G$14,F$14,$G447=$G$16,F$16,$G447=$G$17,F$17,$G447=$G$19,F$19,$G447=$G$20,F$20,$G447=$G$22,F$22,$G447=$G$23,F$23,$G447=$G$26,F$26,$G447=$G$29,F$29,$G447=$G$31,F$31,$G447=$G$34,F$34,$G447=$G$37,F$37,$G447=$G$107,F$107,$G447=$G$110,F$110,$G447=$G$140,F$140,$G447=$G$142,F$142,$G447=$G$408,F$408)</f>
        <v>8025</v>
      </c>
      <c r="G447" s="13" t="s">
        <v>122</v>
      </c>
      <c r="H447" s="51" cm="1">
        <f t="array" ref="H447">_xlfn.IFS($G447=$G$5,H$5,$G447=$G$7,H$7,$G447=$G$10,H$10,$G447=$G$13,H$13,$G447=$G$14,H$14,$G447=$G$16,H$16,$G447=$G$17,H$17,$G447=$G$19,H$19,$G447=$G$20,H$20,$G447=$G$22,H$22,$G447=$G$23,H$23,$G447=$G$26,H$26,$G447=$G$29,H$29,$G447=$G$31,H$31,$G447=$G$34,H$34,$G447=$G$37,H$37,$G447=$G$107,H$107,$G447=$G$110,H$110,$G447=$G$140,H$140,$G447=$G$142,H$142,$G447=$G$408,H$408)</f>
        <v>41.407992</v>
      </c>
      <c r="I447" s="51" cm="1">
        <f t="array" ref="I447">_xlfn.IFS($G447=$G$5,I$5,$G447=$G$7,I$7,$G447=$G$10,I$10,$G447=$G$13,I$13,$G447=$G$14,I$14,$G447=$G$16,I$16,$G447=$G$17,I$17,$G447=$G$19,I$19,$G447=$G$20,I$20,$G447=$G$22,I$22,$G447=$G$23,I$23,$G447=$G$26,I$26,$G447=$G$29,I$29,$G447=$G$31,I$31,$G447=$G$34,I$34,$G447=$G$37,I$37,$G447=$G$107,I$107,$G447=$G$110,I$110,$G447=$G$140,I$140,$G447=$G$142,I$142,$G447=$G$408,I$408)</f>
        <v>2.1679379999999999</v>
      </c>
      <c r="J447" s="51" cm="1">
        <f t="array" ref="J447">_xlfn.IFS($G447=$G$5,J$5,$G447=$G$7,J$7,$G447=$G$10,J$10,$G447=$G$13,J$13,$G447=$G$14,J$14,$G447=$G$16,J$16,$G447=$G$17,J$17,$G447=$G$19,J$19,$G447=$G$20,J$20,$G447=$G$22,J$22,$G447=$G$23,J$23,$G447=$G$26,J$26,$G447=$G$29,J$29,$G447=$G$31,J$31,$G447=$G$34,J$34,$G447=$G$37,J$37,$G447=$G$107,J$107,$G447=$G$110,J$110,$G447=$G$140,J$140,$G447=$G$142,J$142,$G447=$G$408,J$408)</f>
        <v>61</v>
      </c>
      <c r="K447" s="13" t="str" cm="1">
        <f t="array" ref="K447">_xlfn.IFS($G447=$G$5,K$5,$G447=$G$7,K$7,$G447=$G$10,K$10,$G447=$G$13,K$13,$G447=$G$14,K$14,$G447=$G$16,K$16,$G447=$G$17,K$17,$G447=$G$19,K$19,$G447=$G$20,K$20,$G447=$G$22,K$22,$G447=$G$23,K$23,$G447=$G$26,K$26,$G447=$G$29,K$29,$G447=$G$31,K$31,$G447=$G$34,K$34,$G447=$G$37,K$37,$G447=$G$107,K$107,$G447=$G$110,K$110,$G447=$G$140,K$140,$G447=$G$142,K$142,$G447=$G$408,K$408)</f>
        <v>BG sentinel</v>
      </c>
      <c r="O447" s="13" t="str">
        <f t="shared" si="44"/>
        <v>A_SP_BCN_25_220921</v>
      </c>
      <c r="P447" s="31">
        <v>44825</v>
      </c>
      <c r="Q447" s="29">
        <v>0.60416666666666663</v>
      </c>
      <c r="R447" s="33"/>
      <c r="S447" s="27">
        <v>44831</v>
      </c>
      <c r="T447" s="29">
        <v>0.61805555555555558</v>
      </c>
      <c r="V447" s="13" t="s">
        <v>86</v>
      </c>
      <c r="W447" t="s">
        <v>194</v>
      </c>
      <c r="X447" s="13">
        <f t="shared" si="40"/>
        <v>6</v>
      </c>
      <c r="Z447" s="13" t="s">
        <v>60</v>
      </c>
      <c r="AA447" s="13">
        <f t="shared" si="43"/>
        <v>22</v>
      </c>
      <c r="AB447" s="13" t="str">
        <f t="shared" si="41"/>
        <v>Adult</v>
      </c>
      <c r="AC447" s="13">
        <v>11</v>
      </c>
      <c r="AD447" s="13">
        <v>11</v>
      </c>
      <c r="AE447" s="13" t="str">
        <f t="shared" si="42"/>
        <v>Morphological</v>
      </c>
      <c r="AF447" s="2">
        <v>3</v>
      </c>
    </row>
    <row r="448" spans="1:32" x14ac:dyDescent="0.25">
      <c r="A448" s="13">
        <v>444</v>
      </c>
      <c r="B448" s="23" t="s">
        <v>56</v>
      </c>
      <c r="C448" s="23" t="s">
        <v>57</v>
      </c>
      <c r="D448" s="23" t="s">
        <v>58</v>
      </c>
      <c r="E448" s="23" t="s">
        <v>58</v>
      </c>
      <c r="F448" s="35" cm="1">
        <f t="array" ref="F448">_xlfn.IFS($G448=$G$5,F$5,$G448=$G$7,F$7,$G448=$G$10,F$10,$G448=$G$13,F$13,$G448=$G$14,F$14,$G448=$G$16,F$16,$G448=$G$17,F$17,$G448=$G$19,F$19,$G448=$G$20,F$20,$G448=$G$22,F$22,$G448=$G$23,F$23,$G448=$G$26,F$26,$G448=$G$29,F$29,$G448=$G$31,F$31,$G448=$G$34,F$34,$G448=$G$37,F$37,$G448=$G$107,F$107,$G448=$G$110,F$110,$G448=$G$140,F$140,$G448=$G$142,F$142,$G448=$G$408,F$408)</f>
        <v>8025</v>
      </c>
      <c r="G448" s="13" t="s">
        <v>104</v>
      </c>
      <c r="H448" s="51" cm="1">
        <f t="array" ref="H448">_xlfn.IFS($G448=$G$5,H$5,$G448=$G$7,H$7,$G448=$G$10,H$10,$G448=$G$13,H$13,$G448=$G$14,H$14,$G448=$G$16,H$16,$G448=$G$17,H$17,$G448=$G$19,H$19,$G448=$G$20,H$20,$G448=$G$22,H$22,$G448=$G$23,H$23,$G448=$G$26,H$26,$G448=$G$29,H$29,$G448=$G$31,H$31,$G448=$G$34,H$34,$G448=$G$37,H$37,$G448=$G$107,H$107,$G448=$G$110,H$110,$G448=$G$140,H$140,$G448=$G$142,H$142,$G448=$G$408,H$408)</f>
        <v>41.408046826557602</v>
      </c>
      <c r="I448" s="51" cm="1">
        <f t="array" ref="I448">_xlfn.IFS($G448=$G$5,I$5,$G448=$G$7,I$7,$G448=$G$10,I$10,$G448=$G$13,I$13,$G448=$G$14,I$14,$G448=$G$16,I$16,$G448=$G$17,I$17,$G448=$G$19,I$19,$G448=$G$20,I$20,$G448=$G$22,I$22,$G448=$G$23,I$23,$G448=$G$26,I$26,$G448=$G$29,I$29,$G448=$G$31,I$31,$G448=$G$34,I$34,$G448=$G$37,I$37,$G448=$G$107,I$107,$G448=$G$110,I$110,$G448=$G$140,I$140,$G448=$G$142,I$142,$G448=$G$408,I$408)</f>
        <v>2.1678084611616502</v>
      </c>
      <c r="J448" s="51" cm="1">
        <f t="array" ref="J448">_xlfn.IFS($G448=$G$5,J$5,$G448=$G$7,J$7,$G448=$G$10,J$10,$G448=$G$13,J$13,$G448=$G$14,J$14,$G448=$G$16,J$16,$G448=$G$17,J$17,$G448=$G$19,J$19,$G448=$G$20,J$20,$G448=$G$22,J$22,$G448=$G$23,J$23,$G448=$G$26,J$26,$G448=$G$29,J$29,$G448=$G$31,J$31,$G448=$G$34,J$34,$G448=$G$37,J$37,$G448=$G$107,J$107,$G448=$G$110,J$110,$G448=$G$140,J$140,$G448=$G$142,J$142,$G448=$G$408,J$408)</f>
        <v>61</v>
      </c>
      <c r="K448" s="13" t="str" cm="1">
        <f t="array" ref="K448">_xlfn.IFS($G448=$G$5,K$5,$G448=$G$7,K$7,$G448=$G$10,K$10,$G448=$G$13,K$13,$G448=$G$14,K$14,$G448=$G$16,K$16,$G448=$G$17,K$17,$G448=$G$19,K$19,$G448=$G$20,K$20,$G448=$G$22,K$22,$G448=$G$23,K$23,$G448=$G$26,K$26,$G448=$G$29,K$29,$G448=$G$31,K$31,$G448=$G$34,K$34,$G448=$G$37,K$37,$G448=$G$107,K$107,$G448=$G$110,K$110,$G448=$G$140,K$140,$G448=$G$142,K$142,$G448=$G$408,K$408)</f>
        <v>BG sentinel</v>
      </c>
      <c r="O448" s="13" t="str">
        <f t="shared" si="44"/>
        <v>A_SP_BCN_26_220921</v>
      </c>
      <c r="P448" s="31">
        <v>44825</v>
      </c>
      <c r="Q448" s="29">
        <v>0.60416666666666663</v>
      </c>
      <c r="R448" s="33"/>
      <c r="S448" s="31">
        <v>44831</v>
      </c>
      <c r="T448" s="29">
        <v>0.61805555555555558</v>
      </c>
      <c r="V448" s="13" t="s">
        <v>86</v>
      </c>
      <c r="X448" s="13">
        <f t="shared" si="40"/>
        <v>6</v>
      </c>
      <c r="Z448" s="13" t="s">
        <v>60</v>
      </c>
      <c r="AA448" s="13">
        <f t="shared" si="43"/>
        <v>89</v>
      </c>
      <c r="AB448" s="13" t="str">
        <f t="shared" si="41"/>
        <v>Adult</v>
      </c>
      <c r="AC448" s="13">
        <v>59</v>
      </c>
      <c r="AD448" s="13">
        <v>30</v>
      </c>
      <c r="AE448" s="13" t="str">
        <f t="shared" si="42"/>
        <v>Morphological</v>
      </c>
      <c r="AF448" s="2">
        <v>4</v>
      </c>
    </row>
    <row r="449" spans="1:32" x14ac:dyDescent="0.25">
      <c r="A449" s="13">
        <v>445</v>
      </c>
      <c r="B449" s="23" t="s">
        <v>56</v>
      </c>
      <c r="C449" s="23" t="s">
        <v>57</v>
      </c>
      <c r="D449" s="23" t="s">
        <v>58</v>
      </c>
      <c r="E449" s="23" t="s">
        <v>58</v>
      </c>
      <c r="F449" s="35" cm="1">
        <f t="array" ref="F449">_xlfn.IFS($G449=$G$5,F$5,$G449=$G$7,F$7,$G449=$G$10,F$10,$G449=$G$13,F$13,$G449=$G$14,F$14,$G449=$G$16,F$16,$G449=$G$17,F$17,$G449=$G$19,F$19,$G449=$G$20,F$20,$G449=$G$22,F$22,$G449=$G$23,F$23,$G449=$G$26,F$26,$G449=$G$29,F$29,$G449=$G$31,F$31,$G449=$G$34,F$34,$G449=$G$37,F$37,$G449=$G$107,F$107,$G449=$G$110,F$110,$G449=$G$140,F$140,$G449=$G$142,F$142,$G449=$G$408,F$408)</f>
        <v>8025</v>
      </c>
      <c r="G449" s="13" t="s">
        <v>104</v>
      </c>
      <c r="H449" s="51" cm="1">
        <f t="array" ref="H449">_xlfn.IFS($G449=$G$5,H$5,$G449=$G$7,H$7,$G449=$G$10,H$10,$G449=$G$13,H$13,$G449=$G$14,H$14,$G449=$G$16,H$16,$G449=$G$17,H$17,$G449=$G$19,H$19,$G449=$G$20,H$20,$G449=$G$22,H$22,$G449=$G$23,H$23,$G449=$G$26,H$26,$G449=$G$29,H$29,$G449=$G$31,H$31,$G449=$G$34,H$34,$G449=$G$37,H$37,$G449=$G$107,H$107,$G449=$G$110,H$110,$G449=$G$140,H$140,$G449=$G$142,H$142,$G449=$G$408,H$408)</f>
        <v>41.408046826557602</v>
      </c>
      <c r="I449" s="51" cm="1">
        <f t="array" ref="I449">_xlfn.IFS($G449=$G$5,I$5,$G449=$G$7,I$7,$G449=$G$10,I$10,$G449=$G$13,I$13,$G449=$G$14,I$14,$G449=$G$16,I$16,$G449=$G$17,I$17,$G449=$G$19,I$19,$G449=$G$20,I$20,$G449=$G$22,I$22,$G449=$G$23,I$23,$G449=$G$26,I$26,$G449=$G$29,I$29,$G449=$G$31,I$31,$G449=$G$34,I$34,$G449=$G$37,I$37,$G449=$G$107,I$107,$G449=$G$110,I$110,$G449=$G$140,I$140,$G449=$G$142,I$142,$G449=$G$408,I$408)</f>
        <v>2.1678084611616502</v>
      </c>
      <c r="J449" s="51" cm="1">
        <f t="array" ref="J449">_xlfn.IFS($G449=$G$5,J$5,$G449=$G$7,J$7,$G449=$G$10,J$10,$G449=$G$13,J$13,$G449=$G$14,J$14,$G449=$G$16,J$16,$G449=$G$17,J$17,$G449=$G$19,J$19,$G449=$G$20,J$20,$G449=$G$22,J$22,$G449=$G$23,J$23,$G449=$G$26,J$26,$G449=$G$29,J$29,$G449=$G$31,J$31,$G449=$G$34,J$34,$G449=$G$37,J$37,$G449=$G$107,J$107,$G449=$G$110,J$110,$G449=$G$140,J$140,$G449=$G$142,J$142,$G449=$G$408,J$408)</f>
        <v>61</v>
      </c>
      <c r="K449" s="13" t="str" cm="1">
        <f t="array" ref="K449">_xlfn.IFS($G449=$G$5,K$5,$G449=$G$7,K$7,$G449=$G$10,K$10,$G449=$G$13,K$13,$G449=$G$14,K$14,$G449=$G$16,K$16,$G449=$G$17,K$17,$G449=$G$19,K$19,$G449=$G$20,K$20,$G449=$G$22,K$22,$G449=$G$23,K$23,$G449=$G$26,K$26,$G449=$G$29,K$29,$G449=$G$31,K$31,$G449=$G$34,K$34,$G449=$G$37,K$37,$G449=$G$107,K$107,$G449=$G$110,K$110,$G449=$G$140,K$140,$G449=$G$142,K$142,$G449=$G$408,K$408)</f>
        <v>BG sentinel</v>
      </c>
      <c r="O449" s="13" t="str">
        <f t="shared" si="44"/>
        <v>A_SP_BCN_26_220921</v>
      </c>
      <c r="P449" s="31">
        <v>44825</v>
      </c>
      <c r="Q449" s="29">
        <v>0.60416666666666663</v>
      </c>
      <c r="R449" s="33"/>
      <c r="S449" s="31">
        <v>44831</v>
      </c>
      <c r="T449" s="29">
        <v>0.61805555555555558</v>
      </c>
      <c r="V449" s="13" t="s">
        <v>86</v>
      </c>
      <c r="W449"/>
      <c r="X449" s="13">
        <f t="shared" si="40"/>
        <v>6</v>
      </c>
      <c r="Z449" s="32" t="s">
        <v>163</v>
      </c>
      <c r="AA449" s="13">
        <f t="shared" si="43"/>
        <v>1</v>
      </c>
      <c r="AB449" s="13" t="str">
        <f t="shared" si="41"/>
        <v>Adult</v>
      </c>
      <c r="AC449" s="13">
        <v>1</v>
      </c>
      <c r="AD449" s="13">
        <v>0</v>
      </c>
      <c r="AE449" s="13" t="str">
        <f t="shared" si="42"/>
        <v>Morphological</v>
      </c>
      <c r="AF449" s="2">
        <v>4</v>
      </c>
    </row>
    <row r="450" spans="1:32" x14ac:dyDescent="0.25">
      <c r="A450" s="13">
        <v>446</v>
      </c>
      <c r="B450" s="23" t="s">
        <v>56</v>
      </c>
      <c r="C450" s="23" t="s">
        <v>57</v>
      </c>
      <c r="D450" s="23" t="s">
        <v>58</v>
      </c>
      <c r="E450" s="23" t="s">
        <v>58</v>
      </c>
      <c r="F450" s="35" cm="1">
        <f t="array" ref="F450">_xlfn.IFS($G450=$G$5,F$5,$G450=$G$7,F$7,$G450=$G$10,F$10,$G450=$G$13,F$13,$G450=$G$14,F$14,$G450=$G$16,F$16,$G450=$G$17,F$17,$G450=$G$19,F$19,$G450=$G$20,F$20,$G450=$G$22,F$22,$G450=$G$23,F$23,$G450=$G$26,F$26,$G450=$G$29,F$29,$G450=$G$31,F$31,$G450=$G$34,F$34,$G450=$G$37,F$37,$G450=$G$107,F$107,$G450=$G$110,F$110,$G450=$G$140,F$140,$G450=$G$142,F$142,$G450=$G$408,F$408)</f>
        <v>8017</v>
      </c>
      <c r="G450" s="13" t="s">
        <v>97</v>
      </c>
      <c r="H450" s="51" cm="1">
        <f t="array" ref="H450">_xlfn.IFS($G450=$G$5,H$5,$G450=$G$7,H$7,$G450=$G$10,H$10,$G450=$G$13,H$13,$G450=$G$14,H$14,$G450=$G$16,H$16,$G450=$G$17,H$17,$G450=$G$19,H$19,$G450=$G$20,H$20,$G450=$G$22,H$22,$G450=$G$23,H$23,$G450=$G$26,H$26,$G450=$G$29,H$29,$G450=$G$31,H$31,$G450=$G$34,H$34,$G450=$G$37,H$37,$G450=$G$107,H$107,$G450=$G$110,H$110,$G450=$G$140,H$140,$G450=$G$142,H$142,$G450=$G$408,H$408)</f>
        <v>41.430372407595499</v>
      </c>
      <c r="I450" s="51" cm="1">
        <f t="array" ref="I450">_xlfn.IFS($G450=$G$5,I$5,$G450=$G$7,I$7,$G450=$G$10,I$10,$G450=$G$13,I$13,$G450=$G$14,I$14,$G450=$G$16,I$16,$G450=$G$17,I$17,$G450=$G$19,I$19,$G450=$G$20,I$20,$G450=$G$22,I$22,$G450=$G$23,I$23,$G450=$G$26,I$26,$G450=$G$29,I$29,$G450=$G$31,I$31,$G450=$G$34,I$34,$G450=$G$37,I$37,$G450=$G$107,I$107,$G450=$G$110,I$110,$G450=$G$140,I$140,$G450=$G$142,I$142,$G450=$G$408,I$408)</f>
        <v>2.0778358219819002</v>
      </c>
      <c r="J450" s="51" cm="1">
        <f t="array" ref="J450">_xlfn.IFS($G450=$G$5,J$5,$G450=$G$7,J$7,$G450=$G$10,J$10,$G450=$G$13,J$13,$G450=$G$14,J$14,$G450=$G$16,J$16,$G450=$G$17,J$17,$G450=$G$19,J$19,$G450=$G$20,J$20,$G450=$G$22,J$22,$G450=$G$23,J$23,$G450=$G$26,J$26,$G450=$G$29,J$29,$G450=$G$31,J$31,$G450=$G$34,J$34,$G450=$G$37,J$37,$G450=$G$107,J$107,$G450=$G$110,J$110,$G450=$G$140,J$140,$G450=$G$142,J$142,$G450=$G$408,J$408)</f>
        <v>242</v>
      </c>
      <c r="K450" s="13" t="str" cm="1">
        <f t="array" ref="K450">_xlfn.IFS($G450=$G$5,K$5,$G450=$G$7,K$7,$G450=$G$10,K$10,$G450=$G$13,K$13,$G450=$G$14,K$14,$G450=$G$16,K$16,$G450=$G$17,K$17,$G450=$G$19,K$19,$G450=$G$20,K$20,$G450=$G$22,K$22,$G450=$G$23,K$23,$G450=$G$26,K$26,$G450=$G$29,K$29,$G450=$G$31,K$31,$G450=$G$34,K$34,$G450=$G$37,K$37,$G450=$G$107,K$107,$G450=$G$110,K$110,$G450=$G$140,K$140,$G450=$G$142,K$142,$G450=$G$408,K$408)</f>
        <v>Mtego</v>
      </c>
      <c r="O450" s="13" t="str">
        <f t="shared" si="39"/>
        <v>Premal_1_220921</v>
      </c>
      <c r="P450" s="31">
        <v>44825</v>
      </c>
      <c r="Q450" s="29">
        <v>0.67361111111111116</v>
      </c>
      <c r="R450" s="33"/>
      <c r="S450" s="27">
        <v>44831</v>
      </c>
      <c r="T450" s="29">
        <v>0.70486111111111116</v>
      </c>
      <c r="V450" s="13" t="s">
        <v>86</v>
      </c>
      <c r="W450" s="15" t="s">
        <v>126</v>
      </c>
      <c r="X450" s="13">
        <f t="shared" si="40"/>
        <v>6</v>
      </c>
      <c r="Z450" s="13" t="s">
        <v>60</v>
      </c>
      <c r="AA450" s="13">
        <f t="shared" si="43"/>
        <v>24</v>
      </c>
      <c r="AB450" s="13" t="str">
        <f t="shared" si="41"/>
        <v>Adult</v>
      </c>
      <c r="AC450" s="13">
        <v>22</v>
      </c>
      <c r="AD450" s="13">
        <v>2</v>
      </c>
      <c r="AE450" s="13" t="str">
        <f t="shared" si="42"/>
        <v>Morphological</v>
      </c>
      <c r="AF450" s="2">
        <v>3</v>
      </c>
    </row>
    <row r="451" spans="1:32" x14ac:dyDescent="0.25">
      <c r="A451" s="13">
        <v>447</v>
      </c>
      <c r="B451" s="23" t="s">
        <v>56</v>
      </c>
      <c r="C451" s="23" t="s">
        <v>57</v>
      </c>
      <c r="D451" s="23" t="s">
        <v>58</v>
      </c>
      <c r="E451" s="23" t="s">
        <v>58</v>
      </c>
      <c r="F451" s="35" cm="1">
        <f t="array" ref="F451">_xlfn.IFS($G451=$G$5,F$5,$G451=$G$7,F$7,$G451=$G$10,F$10,$G451=$G$13,F$13,$G451=$G$14,F$14,$G451=$G$16,F$16,$G451=$G$17,F$17,$G451=$G$19,F$19,$G451=$G$20,F$20,$G451=$G$22,F$22,$G451=$G$23,F$23,$G451=$G$26,F$26,$G451=$G$29,F$29,$G451=$G$31,F$31,$G451=$G$34,F$34,$G451=$G$37,F$37,$G451=$G$107,F$107,$G451=$G$110,F$110,$G451=$G$140,F$140,$G451=$G$142,F$142,$G451=$G$408,F$408)</f>
        <v>8035</v>
      </c>
      <c r="G451" s="13" t="s">
        <v>61</v>
      </c>
      <c r="H451" s="51" cm="1">
        <f t="array" ref="H451">_xlfn.IFS($G451=$G$5,H$5,$G451=$G$7,H$7,$G451=$G$10,H$10,$G451=$G$13,H$13,$G451=$G$14,H$14,$G451=$G$16,H$16,$G451=$G$17,H$17,$G451=$G$19,H$19,$G451=$G$20,H$20,$G451=$G$22,H$22,$G451=$G$23,H$23,$G451=$G$26,H$26,$G451=$G$29,H$29,$G451=$G$31,H$31,$G451=$G$34,H$34,$G451=$G$37,H$37,$G451=$G$107,H$107,$G451=$G$110,H$110,$G451=$G$140,H$140,$G451=$G$142,H$142,$G451=$G$408,H$408)</f>
        <v>41.424387000000003</v>
      </c>
      <c r="I451" s="51" cm="1">
        <f t="array" ref="I451">_xlfn.IFS($G451=$G$5,I$5,$G451=$G$7,I$7,$G451=$G$10,I$10,$G451=$G$13,I$13,$G451=$G$14,I$14,$G451=$G$16,I$16,$G451=$G$17,I$17,$G451=$G$19,I$19,$G451=$G$20,I$20,$G451=$G$22,I$22,$G451=$G$23,I$23,$G451=$G$26,I$26,$G451=$G$29,I$29,$G451=$G$31,I$31,$G451=$G$34,I$34,$G451=$G$37,I$37,$G451=$G$107,I$107,$G451=$G$110,I$110,$G451=$G$140,I$140,$G451=$G$142,I$142,$G451=$G$408,I$408)</f>
        <v>2.1431439999999999</v>
      </c>
      <c r="J451" s="51" cm="1">
        <f t="array" ref="J451">_xlfn.IFS($G451=$G$5,J$5,$G451=$G$7,J$7,$G451=$G$10,J$10,$G451=$G$13,J$13,$G451=$G$14,J$14,$G451=$G$16,J$16,$G451=$G$17,J$17,$G451=$G$19,J$19,$G451=$G$20,J$20,$G451=$G$22,J$22,$G451=$G$23,J$23,$G451=$G$26,J$26,$G451=$G$29,J$29,$G451=$G$31,J$31,$G451=$G$34,J$34,$G451=$G$37,J$37,$G451=$G$107,J$107,$G451=$G$110,J$110,$G451=$G$140,J$140,$G451=$G$142,J$142,$G451=$G$408,J$408)</f>
        <v>160</v>
      </c>
      <c r="K451" s="13" t="str" cm="1">
        <f t="array" ref="K451">_xlfn.IFS($G451=$G$5,K$5,$G451=$G$7,K$7,$G451=$G$10,K$10,$G451=$G$13,K$13,$G451=$G$14,K$14,$G451=$G$16,K$16,$G451=$G$17,K$17,$G451=$G$19,K$19,$G451=$G$20,K$20,$G451=$G$22,K$22,$G451=$G$23,K$23,$G451=$G$26,K$26,$G451=$G$29,K$29,$G451=$G$31,K$31,$G451=$G$34,K$34,$G451=$G$37,K$37,$G451=$G$107,K$107,$G451=$G$110,K$110,$G451=$G$140,K$140,$G451=$G$142,K$142,$G451=$G$408,K$408)</f>
        <v>BG sentinel + BG lure7</v>
      </c>
      <c r="O451" s="13" t="str">
        <f t="shared" si="39"/>
        <v>A_SP_BCN_2_220927</v>
      </c>
      <c r="P451" s="27">
        <v>44831</v>
      </c>
      <c r="Q451" s="29">
        <v>0.64930555555555558</v>
      </c>
      <c r="R451" s="33"/>
      <c r="S451" s="27">
        <v>44838</v>
      </c>
      <c r="T451" s="29">
        <v>0.67708333333333337</v>
      </c>
      <c r="V451" s="13" t="s">
        <v>86</v>
      </c>
      <c r="X451" s="13">
        <f t="shared" si="40"/>
        <v>7</v>
      </c>
      <c r="Z451" s="13" t="s">
        <v>60</v>
      </c>
      <c r="AA451" s="13">
        <f t="shared" si="43"/>
        <v>7</v>
      </c>
      <c r="AB451" s="13" t="str">
        <f t="shared" si="41"/>
        <v>Adult</v>
      </c>
      <c r="AC451" s="13">
        <v>7</v>
      </c>
      <c r="AD451" s="13">
        <v>0</v>
      </c>
      <c r="AE451" s="13" t="str">
        <f t="shared" si="42"/>
        <v>Morphological</v>
      </c>
      <c r="AF451" s="2">
        <v>4</v>
      </c>
    </row>
    <row r="452" spans="1:32" x14ac:dyDescent="0.25">
      <c r="A452" s="13">
        <v>448</v>
      </c>
      <c r="B452" s="23" t="s">
        <v>56</v>
      </c>
      <c r="C452" s="23" t="s">
        <v>57</v>
      </c>
      <c r="D452" s="23" t="s">
        <v>58</v>
      </c>
      <c r="E452" s="23" t="s">
        <v>58</v>
      </c>
      <c r="F452" s="35" cm="1">
        <f t="array" ref="F452">_xlfn.IFS($G452=$G$5,F$5,$G452=$G$7,F$7,$G452=$G$10,F$10,$G452=$G$13,F$13,$G452=$G$14,F$14,$G452=$G$16,F$16,$G452=$G$17,F$17,$G452=$G$19,F$19,$G452=$G$20,F$20,$G452=$G$22,F$22,$G452=$G$23,F$23,$G452=$G$26,F$26,$G452=$G$29,F$29,$G452=$G$31,F$31,$G452=$G$34,F$34,$G452=$G$37,F$37,$G452=$G$107,F$107,$G452=$G$110,F$110,$G452=$G$140,F$140,$G452=$G$142,F$142,$G452=$G$408,F$408)</f>
        <v>8016</v>
      </c>
      <c r="G452" s="13" t="s">
        <v>62</v>
      </c>
      <c r="H452" s="51" cm="1">
        <f t="array" ref="H452">_xlfn.IFS($G452=$G$5,H$5,$G452=$G$7,H$7,$G452=$G$10,H$10,$G452=$G$13,H$13,$G452=$G$14,H$14,$G452=$G$16,H$16,$G452=$G$17,H$17,$G452=$G$19,H$19,$G452=$G$20,H$20,$G452=$G$22,H$22,$G452=$G$23,H$23,$G452=$G$26,H$26,$G452=$G$29,H$29,$G452=$G$31,H$31,$G452=$G$34,H$34,$G452=$G$37,H$37,$G452=$G$107,H$107,$G452=$G$110,H$110,$G452=$G$140,H$140,$G452=$G$142,H$142,$G452=$G$408,H$408)</f>
        <v>41.437435000000001</v>
      </c>
      <c r="I452" s="51" cm="1">
        <f t="array" ref="I452">_xlfn.IFS($G452=$G$5,I$5,$G452=$G$7,I$7,$G452=$G$10,I$10,$G452=$G$13,I$13,$G452=$G$14,I$14,$G452=$G$16,I$16,$G452=$G$17,I$17,$G452=$G$19,I$19,$G452=$G$20,I$20,$G452=$G$22,I$22,$G452=$G$23,I$23,$G452=$G$26,I$26,$G452=$G$29,I$29,$G452=$G$31,I$31,$G452=$G$34,I$34,$G452=$G$37,I$37,$G452=$G$107,I$107,$G452=$G$110,I$110,$G452=$G$140,I$140,$G452=$G$142,I$142,$G452=$G$408,I$408)</f>
        <v>2.1812779999999998</v>
      </c>
      <c r="J452" s="51" cm="1">
        <f t="array" ref="J452">_xlfn.IFS($G452=$G$5,J$5,$G452=$G$7,J$7,$G452=$G$10,J$10,$G452=$G$13,J$13,$G452=$G$14,J$14,$G452=$G$16,J$16,$G452=$G$17,J$17,$G452=$G$19,J$19,$G452=$G$20,J$20,$G452=$G$22,J$22,$G452=$G$23,J$23,$G452=$G$26,J$26,$G452=$G$29,J$29,$G452=$G$31,J$31,$G452=$G$34,J$34,$G452=$G$37,J$37,$G452=$G$107,J$107,$G452=$G$110,J$110,$G452=$G$140,J$140,$G452=$G$142,J$142,$G452=$G$408,J$408)</f>
        <v>47</v>
      </c>
      <c r="K452" s="13" t="str" cm="1">
        <f t="array" ref="K452">_xlfn.IFS($G452=$G$5,K$5,$G452=$G$7,K$7,$G452=$G$10,K$10,$G452=$G$13,K$13,$G452=$G$14,K$14,$G452=$G$16,K$16,$G452=$G$17,K$17,$G452=$G$19,K$19,$G452=$G$20,K$20,$G452=$G$22,K$22,$G452=$G$23,K$23,$G452=$G$26,K$26,$G452=$G$29,K$29,$G452=$G$31,K$31,$G452=$G$34,K$34,$G452=$G$37,K$37,$G452=$G$107,K$107,$G452=$G$110,K$110,$G452=$G$140,K$140,$G452=$G$142,K$142,$G452=$G$408,K$408)</f>
        <v>BG sentinel + BG lure7</v>
      </c>
      <c r="O452" s="13" t="str">
        <f t="shared" si="39"/>
        <v>A_SP_BCN_3_220927</v>
      </c>
      <c r="P452" s="27">
        <v>44831</v>
      </c>
      <c r="Q452" s="29">
        <v>0.78125</v>
      </c>
      <c r="R452" s="33"/>
      <c r="S452" s="27">
        <v>44838</v>
      </c>
      <c r="T452" s="29">
        <v>0.82638888888888884</v>
      </c>
      <c r="V452" s="13" t="s">
        <v>86</v>
      </c>
      <c r="W452" s="15" t="s">
        <v>101</v>
      </c>
      <c r="X452" s="13">
        <f t="shared" si="40"/>
        <v>7</v>
      </c>
      <c r="Z452" s="13" t="s">
        <v>60</v>
      </c>
      <c r="AA452" s="13">
        <f t="shared" si="43"/>
        <v>21</v>
      </c>
      <c r="AB452" s="13" t="str">
        <f t="shared" si="41"/>
        <v>Adult</v>
      </c>
      <c r="AC452" s="13">
        <v>18</v>
      </c>
      <c r="AD452" s="13">
        <v>3</v>
      </c>
      <c r="AE452" s="13" t="str">
        <f t="shared" si="42"/>
        <v>Morphological</v>
      </c>
      <c r="AF452" s="2">
        <v>3</v>
      </c>
    </row>
    <row r="453" spans="1:32" x14ac:dyDescent="0.25">
      <c r="A453" s="13">
        <v>449</v>
      </c>
      <c r="B453" s="23" t="s">
        <v>56</v>
      </c>
      <c r="C453" s="23" t="s">
        <v>57</v>
      </c>
      <c r="D453" s="23" t="s">
        <v>58</v>
      </c>
      <c r="E453" s="23" t="s">
        <v>58</v>
      </c>
      <c r="F453" s="35" cm="1">
        <f t="array" ref="F453">_xlfn.IFS($G453=$G$5,F$5,$G453=$G$7,F$7,$G453=$G$10,F$10,$G453=$G$13,F$13,$G453=$G$14,F$14,$G453=$G$16,F$16,$G453=$G$17,F$17,$G453=$G$19,F$19,$G453=$G$20,F$20,$G453=$G$22,F$22,$G453=$G$23,F$23,$G453=$G$26,F$26,$G453=$G$29,F$29,$G453=$G$31,F$31,$G453=$G$34,F$34,$G453=$G$37,F$37,$G453=$G$107,F$107,$G453=$G$110,F$110,$G453=$G$140,F$140,$G453=$G$142,F$142,$G453=$G$408,F$408)</f>
        <v>8016</v>
      </c>
      <c r="G453" s="13" t="s">
        <v>62</v>
      </c>
      <c r="H453" s="51" cm="1">
        <f t="array" ref="H453">_xlfn.IFS($G453=$G$5,H$5,$G453=$G$7,H$7,$G453=$G$10,H$10,$G453=$G$13,H$13,$G453=$G$14,H$14,$G453=$G$16,H$16,$G453=$G$17,H$17,$G453=$G$19,H$19,$G453=$G$20,H$20,$G453=$G$22,H$22,$G453=$G$23,H$23,$G453=$G$26,H$26,$G453=$G$29,H$29,$G453=$G$31,H$31,$G453=$G$34,H$34,$G453=$G$37,H$37,$G453=$G$107,H$107,$G453=$G$110,H$110,$G453=$G$140,H$140,$G453=$G$142,H$142,$G453=$G$408,H$408)</f>
        <v>41.437435000000001</v>
      </c>
      <c r="I453" s="51" cm="1">
        <f t="array" ref="I453">_xlfn.IFS($G453=$G$5,I$5,$G453=$G$7,I$7,$G453=$G$10,I$10,$G453=$G$13,I$13,$G453=$G$14,I$14,$G453=$G$16,I$16,$G453=$G$17,I$17,$G453=$G$19,I$19,$G453=$G$20,I$20,$G453=$G$22,I$22,$G453=$G$23,I$23,$G453=$G$26,I$26,$G453=$G$29,I$29,$G453=$G$31,I$31,$G453=$G$34,I$34,$G453=$G$37,I$37,$G453=$G$107,I$107,$G453=$G$110,I$110,$G453=$G$140,I$140,$G453=$G$142,I$142,$G453=$G$408,I$408)</f>
        <v>2.1812779999999998</v>
      </c>
      <c r="J453" s="51" cm="1">
        <f t="array" ref="J453">_xlfn.IFS($G453=$G$5,J$5,$G453=$G$7,J$7,$G453=$G$10,J$10,$G453=$G$13,J$13,$G453=$G$14,J$14,$G453=$G$16,J$16,$G453=$G$17,J$17,$G453=$G$19,J$19,$G453=$G$20,J$20,$G453=$G$22,J$22,$G453=$G$23,J$23,$G453=$G$26,J$26,$G453=$G$29,J$29,$G453=$G$31,J$31,$G453=$G$34,J$34,$G453=$G$37,J$37,$G453=$G$107,J$107,$G453=$G$110,J$110,$G453=$G$140,J$140,$G453=$G$142,J$142,$G453=$G$408,J$408)</f>
        <v>47</v>
      </c>
      <c r="K453" s="13" t="str" cm="1">
        <f t="array" ref="K453">_xlfn.IFS($G453=$G$5,K$5,$G453=$G$7,K$7,$G453=$G$10,K$10,$G453=$G$13,K$13,$G453=$G$14,K$14,$G453=$G$16,K$16,$G453=$G$17,K$17,$G453=$G$19,K$19,$G453=$G$20,K$20,$G453=$G$22,K$22,$G453=$G$23,K$23,$G453=$G$26,K$26,$G453=$G$29,K$29,$G453=$G$31,K$31,$G453=$G$34,K$34,$G453=$G$37,K$37,$G453=$G$107,K$107,$G453=$G$110,K$110,$G453=$G$140,K$140,$G453=$G$142,K$142,$G453=$G$408,K$408)</f>
        <v>BG sentinel + BG lure7</v>
      </c>
      <c r="O453" s="13" t="str">
        <f t="shared" si="39"/>
        <v>A_SP_BCN_3_220927</v>
      </c>
      <c r="P453" s="27">
        <v>44831</v>
      </c>
      <c r="Q453" s="29">
        <v>0.78125</v>
      </c>
      <c r="R453" s="33"/>
      <c r="S453" s="27">
        <v>44838</v>
      </c>
      <c r="T453" s="29">
        <v>0.82638888888888884</v>
      </c>
      <c r="V453" s="13" t="s">
        <v>86</v>
      </c>
      <c r="W453" s="15" t="s">
        <v>100</v>
      </c>
      <c r="X453" s="13">
        <f t="shared" si="40"/>
        <v>7</v>
      </c>
      <c r="Z453" s="13" t="s">
        <v>164</v>
      </c>
      <c r="AA453" s="13">
        <f t="shared" si="43"/>
        <v>2</v>
      </c>
      <c r="AB453" s="13" t="str">
        <f t="shared" si="41"/>
        <v>Adult</v>
      </c>
      <c r="AC453" s="13">
        <v>1</v>
      </c>
      <c r="AD453" s="13">
        <v>1</v>
      </c>
      <c r="AE453" s="13" t="str">
        <f t="shared" si="42"/>
        <v>Morphological</v>
      </c>
      <c r="AF453" s="2">
        <v>3</v>
      </c>
    </row>
    <row r="454" spans="1:32" x14ac:dyDescent="0.25">
      <c r="A454" s="13">
        <v>450</v>
      </c>
      <c r="B454" s="23" t="s">
        <v>56</v>
      </c>
      <c r="C454" s="23" t="s">
        <v>57</v>
      </c>
      <c r="D454" s="23" t="s">
        <v>58</v>
      </c>
      <c r="E454" s="23" t="s">
        <v>58</v>
      </c>
      <c r="F454" s="35" cm="1">
        <f t="array" ref="F454">_xlfn.IFS($G454=$G$5,F$5,$G454=$G$7,F$7,$G454=$G$10,F$10,$G454=$G$13,F$13,$G454=$G$14,F$14,$G454=$G$16,F$16,$G454=$G$17,F$17,$G454=$G$19,F$19,$G454=$G$20,F$20,$G454=$G$22,F$22,$G454=$G$23,F$23,$G454=$G$26,F$26,$G454=$G$29,F$29,$G454=$G$31,F$31,$G454=$G$34,F$34,$G454=$G$37,F$37,$G454=$G$107,F$107,$G454=$G$110,F$110,$G454=$G$140,F$140,$G454=$G$142,F$142,$G454=$G$408,F$408)</f>
        <v>8018</v>
      </c>
      <c r="G454" s="13" t="s">
        <v>63</v>
      </c>
      <c r="H454" s="51" cm="1">
        <f t="array" ref="H454">_xlfn.IFS($G454=$G$5,H$5,$G454=$G$7,H$7,$G454=$G$10,H$10,$G454=$G$13,H$13,$G454=$G$14,H$14,$G454=$G$16,H$16,$G454=$G$17,H$17,$G454=$G$19,H$19,$G454=$G$20,H$20,$G454=$G$22,H$22,$G454=$G$23,H$23,$G454=$G$26,H$26,$G454=$G$29,H$29,$G454=$G$31,H$31,$G454=$G$34,H$34,$G454=$G$37,H$37,$G454=$G$107,H$107,$G454=$G$110,H$110,$G454=$G$140,H$140,$G454=$G$142,H$142,$G454=$G$408,H$408)</f>
        <v>41.404924999999999</v>
      </c>
      <c r="I454" s="51" cm="1">
        <f t="array" ref="I454">_xlfn.IFS($G454=$G$5,I$5,$G454=$G$7,I$7,$G454=$G$10,I$10,$G454=$G$13,I$13,$G454=$G$14,I$14,$G454=$G$16,I$16,$G454=$G$17,I$17,$G454=$G$19,I$19,$G454=$G$20,I$20,$G454=$G$22,I$22,$G454=$G$23,I$23,$G454=$G$26,I$26,$G454=$G$29,I$29,$G454=$G$31,I$31,$G454=$G$34,I$34,$G454=$G$37,I$37,$G454=$G$107,I$107,$G454=$G$110,I$110,$G454=$G$140,I$140,$G454=$G$142,I$142,$G454=$G$408,I$408)</f>
        <v>2.1987909999999999</v>
      </c>
      <c r="J454" s="51" cm="1">
        <f t="array" ref="J454">_xlfn.IFS($G454=$G$5,J$5,$G454=$G$7,J$7,$G454=$G$10,J$10,$G454=$G$13,J$13,$G454=$G$14,J$14,$G454=$G$16,J$16,$G454=$G$17,J$17,$G454=$G$19,J$19,$G454=$G$20,J$20,$G454=$G$22,J$22,$G454=$G$23,J$23,$G454=$G$26,J$26,$G454=$G$29,J$29,$G454=$G$31,J$31,$G454=$G$34,J$34,$G454=$G$37,J$37,$G454=$G$107,J$107,$G454=$G$110,J$110,$G454=$G$140,J$140,$G454=$G$142,J$142,$G454=$G$408,J$408)</f>
        <v>4</v>
      </c>
      <c r="K454" s="13" t="str" cm="1">
        <f t="array" ref="K454">_xlfn.IFS($G454=$G$5,K$5,$G454=$G$7,K$7,$G454=$G$10,K$10,$G454=$G$13,K$13,$G454=$G$14,K$14,$G454=$G$16,K$16,$G454=$G$17,K$17,$G454=$G$19,K$19,$G454=$G$20,K$20,$G454=$G$22,K$22,$G454=$G$23,K$23,$G454=$G$26,K$26,$G454=$G$29,K$29,$G454=$G$31,K$31,$G454=$G$34,K$34,$G454=$G$37,K$37,$G454=$G$107,K$107,$G454=$G$110,K$110,$G454=$G$140,K$140,$G454=$G$142,K$142,$G454=$G$408,K$408)</f>
        <v>BG sentinel + BG lure7</v>
      </c>
      <c r="O454" s="13" t="str">
        <f t="shared" si="39"/>
        <v>A_SP_BCN_4_220927</v>
      </c>
      <c r="P454" s="27">
        <v>44831</v>
      </c>
      <c r="Q454" s="29">
        <v>0.81944444444444453</v>
      </c>
      <c r="R454" s="33"/>
      <c r="S454" s="27">
        <v>44838</v>
      </c>
      <c r="T454" s="29">
        <v>0.84722222222222221</v>
      </c>
      <c r="V454" s="13" t="s">
        <v>86</v>
      </c>
      <c r="X454" s="13">
        <f t="shared" ref="X454:X517" si="45">S454-P454</f>
        <v>7</v>
      </c>
      <c r="Z454" s="13" t="s">
        <v>60</v>
      </c>
      <c r="AA454" s="13">
        <f t="shared" si="43"/>
        <v>6</v>
      </c>
      <c r="AB454" s="13" t="str">
        <f t="shared" ref="AB454:AB517" si="46">IF(AA454=0,"",IF(AA454="","",IF(AA454&gt;0,"Adult")))</f>
        <v>Adult</v>
      </c>
      <c r="AC454" s="13">
        <v>6</v>
      </c>
      <c r="AD454" s="13">
        <v>0</v>
      </c>
      <c r="AE454" s="13" t="str">
        <f t="shared" ref="AE454:AE517" si="47">IF(AA454=0,"",IF(AA454="","",IF(AA454&gt;0,"Morphological")))</f>
        <v>Morphological</v>
      </c>
      <c r="AF454" s="2">
        <v>4</v>
      </c>
    </row>
    <row r="455" spans="1:32" x14ac:dyDescent="0.25">
      <c r="A455" s="13">
        <v>451</v>
      </c>
      <c r="B455" s="23" t="s">
        <v>56</v>
      </c>
      <c r="C455" s="23" t="s">
        <v>57</v>
      </c>
      <c r="D455" s="23" t="s">
        <v>58</v>
      </c>
      <c r="E455" s="23" t="s">
        <v>58</v>
      </c>
      <c r="F455" s="35" cm="1">
        <f t="array" ref="F455">_xlfn.IFS($G455=$G$5,F$5,$G455=$G$7,F$7,$G455=$G$10,F$10,$G455=$G$13,F$13,$G455=$G$14,F$14,$G455=$G$16,F$16,$G455=$G$17,F$17,$G455=$G$19,F$19,$G455=$G$20,F$20,$G455=$G$22,F$22,$G455=$G$23,F$23,$G455=$G$26,F$26,$G455=$G$29,F$29,$G455=$G$31,F$31,$G455=$G$34,F$34,$G455=$G$37,F$37,$G455=$G$107,F$107,$G455=$G$110,F$110,$G455=$G$140,F$140,$G455=$G$142,F$142,$G455=$G$408,F$408)</f>
        <v>8019</v>
      </c>
      <c r="G455" s="13" t="s">
        <v>64</v>
      </c>
      <c r="H455" s="51" cm="1">
        <f t="array" ref="H455">_xlfn.IFS($G455=$G$5,H$5,$G455=$G$7,H$7,$G455=$G$10,H$10,$G455=$G$13,H$13,$G455=$G$14,H$14,$G455=$G$16,H$16,$G455=$G$17,H$17,$G455=$G$19,H$19,$G455=$G$20,H$20,$G455=$G$22,H$22,$G455=$G$23,H$23,$G455=$G$26,H$26,$G455=$G$29,H$29,$G455=$G$31,H$31,$G455=$G$34,H$34,$G455=$G$37,H$37,$G455=$G$107,H$107,$G455=$G$110,H$110,$G455=$G$140,H$140,$G455=$G$142,H$142,$G455=$G$408,H$408)</f>
        <v>41.410684000000003</v>
      </c>
      <c r="I455" s="51" cm="1">
        <f t="array" ref="I455">_xlfn.IFS($G455=$G$5,I$5,$G455=$G$7,I$7,$G455=$G$10,I$10,$G455=$G$13,I$13,$G455=$G$14,I$14,$G455=$G$16,I$16,$G455=$G$17,I$17,$G455=$G$19,I$19,$G455=$G$20,I$20,$G455=$G$22,I$22,$G455=$G$23,I$23,$G455=$G$26,I$26,$G455=$G$29,I$29,$G455=$G$31,I$31,$G455=$G$34,I$34,$G455=$G$37,I$37,$G455=$G$107,I$107,$G455=$G$110,I$110,$G455=$G$140,I$140,$G455=$G$142,I$142,$G455=$G$408,I$408)</f>
        <v>2.2208019999999999</v>
      </c>
      <c r="J455" s="51" cm="1">
        <f t="array" ref="J455">_xlfn.IFS($G455=$G$5,J$5,$G455=$G$7,J$7,$G455=$G$10,J$10,$G455=$G$13,J$13,$G455=$G$14,J$14,$G455=$G$16,J$16,$G455=$G$17,J$17,$G455=$G$19,J$19,$G455=$G$20,J$20,$G455=$G$22,J$22,$G455=$G$23,J$23,$G455=$G$26,J$26,$G455=$G$29,J$29,$G455=$G$31,J$31,$G455=$G$34,J$34,$G455=$G$37,J$37,$G455=$G$107,J$107,$G455=$G$110,J$110,$G455=$G$140,J$140,$G455=$G$142,J$142,$G455=$G$408,J$408)</f>
        <v>18</v>
      </c>
      <c r="K455" s="13" t="str" cm="1">
        <f t="array" ref="K455">_xlfn.IFS($G455=$G$5,K$5,$G455=$G$7,K$7,$G455=$G$10,K$10,$G455=$G$13,K$13,$G455=$G$14,K$14,$G455=$G$16,K$16,$G455=$G$17,K$17,$G455=$G$19,K$19,$G455=$G$20,K$20,$G455=$G$22,K$22,$G455=$G$23,K$23,$G455=$G$26,K$26,$G455=$G$29,K$29,$G455=$G$31,K$31,$G455=$G$34,K$34,$G455=$G$37,K$37,$G455=$G$107,K$107,$G455=$G$110,K$110,$G455=$G$140,K$140,$G455=$G$142,K$142,$G455=$G$408,K$408)</f>
        <v>BG sentinel + BG lure7</v>
      </c>
      <c r="O455" s="13" t="str">
        <f t="shared" si="39"/>
        <v>A_SP_BCN_5_220927</v>
      </c>
      <c r="P455" s="27">
        <v>44831</v>
      </c>
      <c r="Q455" s="29">
        <v>0.80555555555555547</v>
      </c>
      <c r="R455" s="33"/>
      <c r="S455" s="27">
        <v>44838</v>
      </c>
      <c r="T455" s="29">
        <v>0.69791666666666663</v>
      </c>
      <c r="V455" s="13" t="s">
        <v>86</v>
      </c>
      <c r="X455" s="13">
        <f t="shared" si="45"/>
        <v>7</v>
      </c>
      <c r="Z455" s="13" t="s">
        <v>164</v>
      </c>
      <c r="AA455" s="13">
        <f t="shared" si="43"/>
        <v>4</v>
      </c>
      <c r="AB455" s="13" t="str">
        <f t="shared" si="46"/>
        <v>Adult</v>
      </c>
      <c r="AC455" s="13">
        <v>3</v>
      </c>
      <c r="AD455" s="13">
        <v>1</v>
      </c>
      <c r="AE455" s="13" t="str">
        <f t="shared" si="47"/>
        <v>Morphological</v>
      </c>
      <c r="AF455" s="2">
        <v>4</v>
      </c>
    </row>
    <row r="456" spans="1:32" x14ac:dyDescent="0.25">
      <c r="A456" s="13">
        <v>452</v>
      </c>
      <c r="B456" s="23" t="s">
        <v>56</v>
      </c>
      <c r="C456" s="23" t="s">
        <v>57</v>
      </c>
      <c r="D456" s="23" t="s">
        <v>58</v>
      </c>
      <c r="E456" s="23" t="s">
        <v>58</v>
      </c>
      <c r="F456" s="35" cm="1">
        <f t="array" ref="F456">_xlfn.IFS($G456=$G$5,F$5,$G456=$G$7,F$7,$G456=$G$10,F$10,$G456=$G$13,F$13,$G456=$G$14,F$14,$G456=$G$16,F$16,$G456=$G$17,F$17,$G456=$G$19,F$19,$G456=$G$20,F$20,$G456=$G$22,F$22,$G456=$G$23,F$23,$G456=$G$26,F$26,$G456=$G$29,F$29,$G456=$G$31,F$31,$G456=$G$34,F$34,$G456=$G$37,F$37,$G456=$G$107,F$107,$G456=$G$110,F$110,$G456=$G$140,F$140,$G456=$G$142,F$142,$G456=$G$408,F$408)</f>
        <v>8002</v>
      </c>
      <c r="G456" s="13" t="s">
        <v>65</v>
      </c>
      <c r="H456" s="51" cm="1">
        <f t="array" ref="H456">_xlfn.IFS($G456=$G$5,H$5,$G456=$G$7,H$7,$G456=$G$10,H$10,$G456=$G$13,H$13,$G456=$G$14,H$14,$G456=$G$16,H$16,$G456=$G$17,H$17,$G456=$G$19,H$19,$G456=$G$20,H$20,$G456=$G$22,H$22,$G456=$G$23,H$23,$G456=$G$26,H$26,$G456=$G$29,H$29,$G456=$G$31,H$31,$G456=$G$34,H$34,$G456=$G$37,H$37,$G456=$G$107,H$107,$G456=$G$110,H$110,$G456=$G$140,H$140,$G456=$G$142,H$142,$G456=$G$408,H$408)</f>
        <v>41.382339999999999</v>
      </c>
      <c r="I456" s="51" cm="1">
        <f t="array" ref="I456">_xlfn.IFS($G456=$G$5,I$5,$G456=$G$7,I$7,$G456=$G$10,I$10,$G456=$G$13,I$13,$G456=$G$14,I$14,$G456=$G$16,I$16,$G456=$G$17,I$17,$G456=$G$19,I$19,$G456=$G$20,I$20,$G456=$G$22,I$22,$G456=$G$23,I$23,$G456=$G$26,I$26,$G456=$G$29,I$29,$G456=$G$31,I$31,$G456=$G$34,I$34,$G456=$G$37,I$37,$G456=$G$107,I$107,$G456=$G$110,I$110,$G456=$G$140,I$140,$G456=$G$142,I$142,$G456=$G$408,I$408)</f>
        <v>2.1714790000000002</v>
      </c>
      <c r="J456" s="51" cm="1">
        <f t="array" ref="J456">_xlfn.IFS($G456=$G$5,J$5,$G456=$G$7,J$7,$G456=$G$10,J$10,$G456=$G$13,J$13,$G456=$G$14,J$14,$G456=$G$16,J$16,$G456=$G$17,J$17,$G456=$G$19,J$19,$G456=$G$20,J$20,$G456=$G$22,J$22,$G456=$G$23,J$23,$G456=$G$26,J$26,$G456=$G$29,J$29,$G456=$G$31,J$31,$G456=$G$34,J$34,$G456=$G$37,J$37,$G456=$G$107,J$107,$G456=$G$110,J$110,$G456=$G$140,J$140,$G456=$G$142,J$142,$G456=$G$408,J$408)</f>
        <v>19</v>
      </c>
      <c r="K456" s="13" t="str" cm="1">
        <f t="array" ref="K456">_xlfn.IFS($G456=$G$5,K$5,$G456=$G$7,K$7,$G456=$G$10,K$10,$G456=$G$13,K$13,$G456=$G$14,K$14,$G456=$G$16,K$16,$G456=$G$17,K$17,$G456=$G$19,K$19,$G456=$G$20,K$20,$G456=$G$22,K$22,$G456=$G$23,K$23,$G456=$G$26,K$26,$G456=$G$29,K$29,$G456=$G$31,K$31,$G456=$G$34,K$34,$G456=$G$37,K$37,$G456=$G$107,K$107,$G456=$G$110,K$110,$G456=$G$140,K$140,$G456=$G$142,K$142,$G456=$G$408,K$408)</f>
        <v>BG sentinel + BG lure7</v>
      </c>
      <c r="O456" s="13" t="str">
        <f t="shared" si="39"/>
        <v>A_SP_BCN_6_220927</v>
      </c>
      <c r="P456" s="27">
        <v>44831</v>
      </c>
      <c r="Q456" s="29">
        <v>0.84722222222222221</v>
      </c>
      <c r="R456" s="33"/>
      <c r="S456" s="27">
        <v>44838</v>
      </c>
      <c r="T456" s="29">
        <v>0.86805555555555547</v>
      </c>
      <c r="V456" s="13" t="s">
        <v>86</v>
      </c>
      <c r="X456" s="13">
        <f t="shared" si="45"/>
        <v>7</v>
      </c>
      <c r="Z456" s="13" t="s">
        <v>60</v>
      </c>
      <c r="AA456" s="13">
        <f t="shared" si="43"/>
        <v>6</v>
      </c>
      <c r="AB456" s="13" t="str">
        <f t="shared" si="46"/>
        <v>Adult</v>
      </c>
      <c r="AC456" s="13">
        <v>6</v>
      </c>
      <c r="AD456" s="13">
        <v>0</v>
      </c>
      <c r="AE456" s="13" t="str">
        <f t="shared" si="47"/>
        <v>Morphological</v>
      </c>
      <c r="AF456" s="2">
        <v>4</v>
      </c>
    </row>
    <row r="457" spans="1:32" x14ac:dyDescent="0.25">
      <c r="A457" s="13">
        <v>453</v>
      </c>
      <c r="B457" s="23" t="s">
        <v>56</v>
      </c>
      <c r="C457" s="23" t="s">
        <v>57</v>
      </c>
      <c r="D457" s="23" t="s">
        <v>58</v>
      </c>
      <c r="E457" s="23" t="s">
        <v>58</v>
      </c>
      <c r="F457" s="35" cm="1">
        <f t="array" ref="F457">_xlfn.IFS($G457=$G$5,F$5,$G457=$G$7,F$7,$G457=$G$10,F$10,$G457=$G$13,F$13,$G457=$G$14,F$14,$G457=$G$16,F$16,$G457=$G$17,F$17,$G457=$G$19,F$19,$G457=$G$20,F$20,$G457=$G$22,F$22,$G457=$G$23,F$23,$G457=$G$26,F$26,$G457=$G$29,F$29,$G457=$G$31,F$31,$G457=$G$34,F$34,$G457=$G$37,F$37,$G457=$G$107,F$107,$G457=$G$110,F$110,$G457=$G$140,F$140,$G457=$G$142,F$142,$G457=$G$408,F$408)</f>
        <v>8002</v>
      </c>
      <c r="G457" s="13" t="s">
        <v>65</v>
      </c>
      <c r="H457" s="51" cm="1">
        <f t="array" ref="H457">_xlfn.IFS($G457=$G$5,H$5,$G457=$G$7,H$7,$G457=$G$10,H$10,$G457=$G$13,H$13,$G457=$G$14,H$14,$G457=$G$16,H$16,$G457=$G$17,H$17,$G457=$G$19,H$19,$G457=$G$20,H$20,$G457=$G$22,H$22,$G457=$G$23,H$23,$G457=$G$26,H$26,$G457=$G$29,H$29,$G457=$G$31,H$31,$G457=$G$34,H$34,$G457=$G$37,H$37,$G457=$G$107,H$107,$G457=$G$110,H$110,$G457=$G$140,H$140,$G457=$G$142,H$142,$G457=$G$408,H$408)</f>
        <v>41.382339999999999</v>
      </c>
      <c r="I457" s="51" cm="1">
        <f t="array" ref="I457">_xlfn.IFS($G457=$G$5,I$5,$G457=$G$7,I$7,$G457=$G$10,I$10,$G457=$G$13,I$13,$G457=$G$14,I$14,$G457=$G$16,I$16,$G457=$G$17,I$17,$G457=$G$19,I$19,$G457=$G$20,I$20,$G457=$G$22,I$22,$G457=$G$23,I$23,$G457=$G$26,I$26,$G457=$G$29,I$29,$G457=$G$31,I$31,$G457=$G$34,I$34,$G457=$G$37,I$37,$G457=$G$107,I$107,$G457=$G$110,I$110,$G457=$G$140,I$140,$G457=$G$142,I$142,$G457=$G$408,I$408)</f>
        <v>2.1714790000000002</v>
      </c>
      <c r="J457" s="51" cm="1">
        <f t="array" ref="J457">_xlfn.IFS($G457=$G$5,J$5,$G457=$G$7,J$7,$G457=$G$10,J$10,$G457=$G$13,J$13,$G457=$G$14,J$14,$G457=$G$16,J$16,$G457=$G$17,J$17,$G457=$G$19,J$19,$G457=$G$20,J$20,$G457=$G$22,J$22,$G457=$G$23,J$23,$G457=$G$26,J$26,$G457=$G$29,J$29,$G457=$G$31,J$31,$G457=$G$34,J$34,$G457=$G$37,J$37,$G457=$G$107,J$107,$G457=$G$110,J$110,$G457=$G$140,J$140,$G457=$G$142,J$142,$G457=$G$408,J$408)</f>
        <v>19</v>
      </c>
      <c r="K457" s="13" t="str" cm="1">
        <f t="array" ref="K457">_xlfn.IFS($G457=$G$5,K$5,$G457=$G$7,K$7,$G457=$G$10,K$10,$G457=$G$13,K$13,$G457=$G$14,K$14,$G457=$G$16,K$16,$G457=$G$17,K$17,$G457=$G$19,K$19,$G457=$G$20,K$20,$G457=$G$22,K$22,$G457=$G$23,K$23,$G457=$G$26,K$26,$G457=$G$29,K$29,$G457=$G$31,K$31,$G457=$G$34,K$34,$G457=$G$37,K$37,$G457=$G$107,K$107,$G457=$G$110,K$110,$G457=$G$140,K$140,$G457=$G$142,K$142,$G457=$G$408,K$408)</f>
        <v>BG sentinel + BG lure7</v>
      </c>
      <c r="O457" s="13" t="str">
        <f t="shared" si="39"/>
        <v>A_SP_BCN_6_220927</v>
      </c>
      <c r="P457" s="27">
        <v>44831</v>
      </c>
      <c r="Q457" s="29">
        <v>0.84722222222222221</v>
      </c>
      <c r="R457" s="33"/>
      <c r="S457" s="27">
        <v>44838</v>
      </c>
      <c r="T457" s="29">
        <v>0.86805555555555547</v>
      </c>
      <c r="V457" s="13" t="s">
        <v>86</v>
      </c>
      <c r="X457" s="13">
        <f t="shared" si="45"/>
        <v>7</v>
      </c>
      <c r="Z457" s="13" t="s">
        <v>164</v>
      </c>
      <c r="AA457" s="13">
        <f t="shared" si="43"/>
        <v>3</v>
      </c>
      <c r="AB457" s="13" t="str">
        <f t="shared" si="46"/>
        <v>Adult</v>
      </c>
      <c r="AC457" s="13">
        <v>3</v>
      </c>
      <c r="AD457" s="13">
        <v>0</v>
      </c>
      <c r="AE457" s="13" t="str">
        <f t="shared" si="47"/>
        <v>Morphological</v>
      </c>
      <c r="AF457" s="2">
        <v>4</v>
      </c>
    </row>
    <row r="458" spans="1:32" x14ac:dyDescent="0.25">
      <c r="A458" s="13">
        <v>454</v>
      </c>
      <c r="B458" s="23" t="s">
        <v>56</v>
      </c>
      <c r="C458" s="23" t="s">
        <v>57</v>
      </c>
      <c r="D458" s="23" t="s">
        <v>58</v>
      </c>
      <c r="E458" s="23" t="s">
        <v>58</v>
      </c>
      <c r="F458" s="35" cm="1">
        <f t="array" ref="F458">_xlfn.IFS($G458=$G$5,F$5,$G458=$G$7,F$7,$G458=$G$10,F$10,$G458=$G$13,F$13,$G458=$G$14,F$14,$G458=$G$16,F$16,$G458=$G$17,F$17,$G458=$G$19,F$19,$G458=$G$20,F$20,$G458=$G$22,F$22,$G458=$G$23,F$23,$G458=$G$26,F$26,$G458=$G$29,F$29,$G458=$G$31,F$31,$G458=$G$34,F$34,$G458=$G$37,F$37,$G458=$G$107,F$107,$G458=$G$110,F$110,$G458=$G$140,F$140,$G458=$G$142,F$142,$G458=$G$408,F$408)</f>
        <v>8040</v>
      </c>
      <c r="G458" s="13" t="s">
        <v>68</v>
      </c>
      <c r="H458" s="51" cm="1">
        <f t="array" ref="H458">_xlfn.IFS($G458=$G$5,H$5,$G458=$G$7,H$7,$G458=$G$10,H$10,$G458=$G$13,H$13,$G458=$G$14,H$14,$G458=$G$16,H$16,$G458=$G$17,H$17,$G458=$G$19,H$19,$G458=$G$20,H$20,$G458=$G$22,H$22,$G458=$G$23,H$23,$G458=$G$26,H$26,$G458=$G$29,H$29,$G458=$G$31,H$31,$G458=$G$34,H$34,$G458=$G$37,H$37,$G458=$G$107,H$107,$G458=$G$110,H$110,$G458=$G$140,H$140,$G458=$G$142,H$142,$G458=$G$408,H$408)</f>
        <v>41.343685000000001</v>
      </c>
      <c r="I458" s="51" cm="1">
        <f t="array" ref="I458">_xlfn.IFS($G458=$G$5,I$5,$G458=$G$7,I$7,$G458=$G$10,I$10,$G458=$G$13,I$13,$G458=$G$14,I$14,$G458=$G$16,I$16,$G458=$G$17,I$17,$G458=$G$19,I$19,$G458=$G$20,I$20,$G458=$G$22,I$22,$G458=$G$23,I$23,$G458=$G$26,I$26,$G458=$G$29,I$29,$G458=$G$31,I$31,$G458=$G$34,I$34,$G458=$G$37,I$37,$G458=$G$107,I$107,$G458=$G$110,I$110,$G458=$G$140,I$140,$G458=$G$142,I$142,$G458=$G$408,I$408)</f>
        <v>2.1441490000000001</v>
      </c>
      <c r="J458" s="51" cm="1">
        <f t="array" ref="J458">_xlfn.IFS($G458=$G$5,J$5,$G458=$G$7,J$7,$G458=$G$10,J$10,$G458=$G$13,J$13,$G458=$G$14,J$14,$G458=$G$16,J$16,$G458=$G$17,J$17,$G458=$G$19,J$19,$G458=$G$20,J$20,$G458=$G$22,J$22,$G458=$G$23,J$23,$G458=$G$26,J$26,$G458=$G$29,J$29,$G458=$G$31,J$31,$G458=$G$34,J$34,$G458=$G$37,J$37,$G458=$G$107,J$107,$G458=$G$110,J$110,$G458=$G$140,J$140,$G458=$G$142,J$142,$G458=$G$408,J$408)</f>
        <v>4</v>
      </c>
      <c r="K458" s="13" t="str" cm="1">
        <f t="array" ref="K458">_xlfn.IFS($G458=$G$5,K$5,$G458=$G$7,K$7,$G458=$G$10,K$10,$G458=$G$13,K$13,$G458=$G$14,K$14,$G458=$G$16,K$16,$G458=$G$17,K$17,$G458=$G$19,K$19,$G458=$G$20,K$20,$G458=$G$22,K$22,$G458=$G$23,K$23,$G458=$G$26,K$26,$G458=$G$29,K$29,$G458=$G$31,K$31,$G458=$G$34,K$34,$G458=$G$37,K$37,$G458=$G$107,K$107,$G458=$G$110,K$110,$G458=$G$140,K$140,$G458=$G$142,K$142,$G458=$G$408,K$408)</f>
        <v>BG sentinel + BG lure7</v>
      </c>
      <c r="O458" s="13" t="str">
        <f t="shared" si="39"/>
        <v>A_SP_BCN_10_220927</v>
      </c>
      <c r="P458" s="27">
        <v>44831</v>
      </c>
      <c r="Q458" s="29">
        <v>0.54861111111111105</v>
      </c>
      <c r="R458" s="33"/>
      <c r="S458" s="27">
        <v>44838</v>
      </c>
      <c r="T458" s="29">
        <v>0.57638888888888895</v>
      </c>
      <c r="V458" s="13" t="s">
        <v>86</v>
      </c>
      <c r="X458" s="13">
        <f t="shared" si="45"/>
        <v>7</v>
      </c>
      <c r="Z458" s="13" t="s">
        <v>60</v>
      </c>
      <c r="AA458" s="13">
        <f t="shared" si="43"/>
        <v>15</v>
      </c>
      <c r="AB458" s="13" t="str">
        <f t="shared" si="46"/>
        <v>Adult</v>
      </c>
      <c r="AC458" s="13">
        <v>10</v>
      </c>
      <c r="AD458" s="13">
        <v>5</v>
      </c>
      <c r="AE458" s="13" t="str">
        <f t="shared" si="47"/>
        <v>Morphological</v>
      </c>
      <c r="AF458" s="2">
        <v>4</v>
      </c>
    </row>
    <row r="459" spans="1:32" x14ac:dyDescent="0.25">
      <c r="A459" s="13">
        <v>455</v>
      </c>
      <c r="B459" s="23" t="s">
        <v>56</v>
      </c>
      <c r="C459" s="23" t="s">
        <v>57</v>
      </c>
      <c r="D459" s="23" t="s">
        <v>58</v>
      </c>
      <c r="E459" s="23" t="s">
        <v>58</v>
      </c>
      <c r="F459" s="35" cm="1">
        <f t="array" ref="F459">_xlfn.IFS($G459=$G$5,F$5,$G459=$G$7,F$7,$G459=$G$10,F$10,$G459=$G$13,F$13,$G459=$G$14,F$14,$G459=$G$16,F$16,$G459=$G$17,F$17,$G459=$G$19,F$19,$G459=$G$20,F$20,$G459=$G$22,F$22,$G459=$G$23,F$23,$G459=$G$26,F$26,$G459=$G$29,F$29,$G459=$G$31,F$31,$G459=$G$34,F$34,$G459=$G$37,F$37,$G459=$G$107,F$107,$G459=$G$110,F$110,$G459=$G$140,F$140,$G459=$G$142,F$142,$G459=$G$408,F$408)</f>
        <v>8040</v>
      </c>
      <c r="G459" s="13" t="s">
        <v>68</v>
      </c>
      <c r="H459" s="51" cm="1">
        <f t="array" ref="H459">_xlfn.IFS($G459=$G$5,H$5,$G459=$G$7,H$7,$G459=$G$10,H$10,$G459=$G$13,H$13,$G459=$G$14,H$14,$G459=$G$16,H$16,$G459=$G$17,H$17,$G459=$G$19,H$19,$G459=$G$20,H$20,$G459=$G$22,H$22,$G459=$G$23,H$23,$G459=$G$26,H$26,$G459=$G$29,H$29,$G459=$G$31,H$31,$G459=$G$34,H$34,$G459=$G$37,H$37,$G459=$G$107,H$107,$G459=$G$110,H$110,$G459=$G$140,H$140,$G459=$G$142,H$142,$G459=$G$408,H$408)</f>
        <v>41.343685000000001</v>
      </c>
      <c r="I459" s="51" cm="1">
        <f t="array" ref="I459">_xlfn.IFS($G459=$G$5,I$5,$G459=$G$7,I$7,$G459=$G$10,I$10,$G459=$G$13,I$13,$G459=$G$14,I$14,$G459=$G$16,I$16,$G459=$G$17,I$17,$G459=$G$19,I$19,$G459=$G$20,I$20,$G459=$G$22,I$22,$G459=$G$23,I$23,$G459=$G$26,I$26,$G459=$G$29,I$29,$G459=$G$31,I$31,$G459=$G$34,I$34,$G459=$G$37,I$37,$G459=$G$107,I$107,$G459=$G$110,I$110,$G459=$G$140,I$140,$G459=$G$142,I$142,$G459=$G$408,I$408)</f>
        <v>2.1441490000000001</v>
      </c>
      <c r="J459" s="51" cm="1">
        <f t="array" ref="J459">_xlfn.IFS($G459=$G$5,J$5,$G459=$G$7,J$7,$G459=$G$10,J$10,$G459=$G$13,J$13,$G459=$G$14,J$14,$G459=$G$16,J$16,$G459=$G$17,J$17,$G459=$G$19,J$19,$G459=$G$20,J$20,$G459=$G$22,J$22,$G459=$G$23,J$23,$G459=$G$26,J$26,$G459=$G$29,J$29,$G459=$G$31,J$31,$G459=$G$34,J$34,$G459=$G$37,J$37,$G459=$G$107,J$107,$G459=$G$110,J$110,$G459=$G$140,J$140,$G459=$G$142,J$142,$G459=$G$408,J$408)</f>
        <v>4</v>
      </c>
      <c r="K459" s="13" t="str" cm="1">
        <f t="array" ref="K459">_xlfn.IFS($G459=$G$5,K$5,$G459=$G$7,K$7,$G459=$G$10,K$10,$G459=$G$13,K$13,$G459=$G$14,K$14,$G459=$G$16,K$16,$G459=$G$17,K$17,$G459=$G$19,K$19,$G459=$G$20,K$20,$G459=$G$22,K$22,$G459=$G$23,K$23,$G459=$G$26,K$26,$G459=$G$29,K$29,$G459=$G$31,K$31,$G459=$G$34,K$34,$G459=$G$37,K$37,$G459=$G$107,K$107,$G459=$G$110,K$110,$G459=$G$140,K$140,$G459=$G$142,K$142,$G459=$G$408,K$408)</f>
        <v>BG sentinel + BG lure7</v>
      </c>
      <c r="O459" s="13" t="str">
        <f t="shared" si="39"/>
        <v>A_SP_BCN_10_220927</v>
      </c>
      <c r="P459" s="27">
        <v>44831</v>
      </c>
      <c r="Q459" s="29">
        <v>0.54861111111111105</v>
      </c>
      <c r="R459" s="33"/>
      <c r="S459" s="27">
        <v>44838</v>
      </c>
      <c r="T459" s="29">
        <v>0.57638888888888895</v>
      </c>
      <c r="V459" s="13" t="s">
        <v>86</v>
      </c>
      <c r="X459" s="13">
        <f t="shared" si="45"/>
        <v>7</v>
      </c>
      <c r="Z459" s="13" t="s">
        <v>164</v>
      </c>
      <c r="AA459" s="13">
        <f t="shared" si="43"/>
        <v>4</v>
      </c>
      <c r="AB459" s="13" t="str">
        <f t="shared" si="46"/>
        <v>Adult</v>
      </c>
      <c r="AC459" s="13">
        <v>4</v>
      </c>
      <c r="AD459" s="13">
        <v>0</v>
      </c>
      <c r="AE459" s="13" t="str">
        <f t="shared" si="47"/>
        <v>Morphological</v>
      </c>
      <c r="AF459" s="2">
        <v>4</v>
      </c>
    </row>
    <row r="460" spans="1:32" x14ac:dyDescent="0.25">
      <c r="A460" s="13">
        <v>456</v>
      </c>
      <c r="B460" s="23" t="s">
        <v>56</v>
      </c>
      <c r="C460" s="23" t="s">
        <v>57</v>
      </c>
      <c r="D460" s="23" t="s">
        <v>58</v>
      </c>
      <c r="E460" s="23" t="s">
        <v>58</v>
      </c>
      <c r="F460" s="35" cm="1">
        <f t="array" ref="F460">_xlfn.IFS($G460=$G$5,F$5,$G460=$G$7,F$7,$G460=$G$10,F$10,$G460=$G$13,F$13,$G460=$G$14,F$14,$G460=$G$16,F$16,$G460=$G$17,F$17,$G460=$G$19,F$19,$G460=$G$20,F$20,$G460=$G$22,F$22,$G460=$G$23,F$23,$G460=$G$26,F$26,$G460=$G$29,F$29,$G460=$G$31,F$31,$G460=$G$34,F$34,$G460=$G$37,F$37,$G460=$G$107,F$107,$G460=$G$110,F$110,$G460=$G$140,F$140,$G460=$G$142,F$142,$G460=$G$408,F$408)</f>
        <v>8038</v>
      </c>
      <c r="G460" s="13" t="s">
        <v>69</v>
      </c>
      <c r="H460" s="51" cm="1">
        <f t="array" ref="H460">_xlfn.IFS($G460=$G$5,H$5,$G460=$G$7,H$7,$G460=$G$10,H$10,$G460=$G$13,H$13,$G460=$G$14,H$14,$G460=$G$16,H$16,$G460=$G$17,H$17,$G460=$G$19,H$19,$G460=$G$20,H$20,$G460=$G$22,H$22,$G460=$G$23,H$23,$G460=$G$26,H$26,$G460=$G$29,H$29,$G460=$G$31,H$31,$G460=$G$34,H$34,$G460=$G$37,H$37,$G460=$G$107,H$107,$G460=$G$110,H$110,$G460=$G$140,H$140,$G460=$G$142,H$142,$G460=$G$408,H$408)</f>
        <v>41.363377999999997</v>
      </c>
      <c r="I460" s="51" cm="1">
        <f t="array" ref="I460">_xlfn.IFS($G460=$G$5,I$5,$G460=$G$7,I$7,$G460=$G$10,I$10,$G460=$G$13,I$13,$G460=$G$14,I$14,$G460=$G$16,I$16,$G460=$G$17,I$17,$G460=$G$19,I$19,$G460=$G$20,I$20,$G460=$G$22,I$22,$G460=$G$23,I$23,$G460=$G$26,I$26,$G460=$G$29,I$29,$G460=$G$31,I$31,$G460=$G$34,I$34,$G460=$G$37,I$37,$G460=$G$107,I$107,$G460=$G$110,I$110,$G460=$G$140,I$140,$G460=$G$142,I$142,$G460=$G$408,I$408)</f>
        <v>2.164879</v>
      </c>
      <c r="J460" s="51" cm="1">
        <f t="array" ref="J460">_xlfn.IFS($G460=$G$5,J$5,$G460=$G$7,J$7,$G460=$G$10,J$10,$G460=$G$13,J$13,$G460=$G$14,J$14,$G460=$G$16,J$16,$G460=$G$17,J$17,$G460=$G$19,J$19,$G460=$G$20,J$20,$G460=$G$22,J$22,$G460=$G$23,J$23,$G460=$G$26,J$26,$G460=$G$29,J$29,$G460=$G$31,J$31,$G460=$G$34,J$34,$G460=$G$37,J$37,$G460=$G$107,J$107,$G460=$G$110,J$110,$G460=$G$140,J$140,$G460=$G$142,J$142,$G460=$G$408,J$408)</f>
        <v>185</v>
      </c>
      <c r="K460" s="13" t="str" cm="1">
        <f t="array" ref="K460">_xlfn.IFS($G460=$G$5,K$5,$G460=$G$7,K$7,$G460=$G$10,K$10,$G460=$G$13,K$13,$G460=$G$14,K$14,$G460=$G$16,K$16,$G460=$G$17,K$17,$G460=$G$19,K$19,$G460=$G$20,K$20,$G460=$G$22,K$22,$G460=$G$23,K$23,$G460=$G$26,K$26,$G460=$G$29,K$29,$G460=$G$31,K$31,$G460=$G$34,K$34,$G460=$G$37,K$37,$G460=$G$107,K$107,$G460=$G$110,K$110,$G460=$G$140,K$140,$G460=$G$142,K$142,$G460=$G$408,K$408)</f>
        <v>BG sentinel + BG lure7</v>
      </c>
      <c r="O460" s="13" t="str">
        <f t="shared" si="39"/>
        <v>A_SP_BCN_12_220927</v>
      </c>
      <c r="P460" s="27">
        <v>44831</v>
      </c>
      <c r="Q460" s="29">
        <v>0.58333333333333337</v>
      </c>
      <c r="R460" s="33"/>
      <c r="S460" s="27">
        <v>44838</v>
      </c>
      <c r="T460" s="29">
        <v>0.61111111111111105</v>
      </c>
      <c r="V460" s="13" t="s">
        <v>86</v>
      </c>
      <c r="X460" s="13">
        <f t="shared" si="45"/>
        <v>7</v>
      </c>
      <c r="Z460" s="13" t="s">
        <v>60</v>
      </c>
      <c r="AA460" s="13">
        <f t="shared" si="43"/>
        <v>2</v>
      </c>
      <c r="AB460" s="13" t="str">
        <f t="shared" si="46"/>
        <v>Adult</v>
      </c>
      <c r="AC460" s="13">
        <v>2</v>
      </c>
      <c r="AD460" s="13">
        <v>0</v>
      </c>
      <c r="AE460" s="13" t="str">
        <f t="shared" si="47"/>
        <v>Morphological</v>
      </c>
      <c r="AF460" s="2">
        <v>4</v>
      </c>
    </row>
    <row r="461" spans="1:32" x14ac:dyDescent="0.25">
      <c r="A461" s="13">
        <v>457</v>
      </c>
      <c r="B461" s="23" t="s">
        <v>56</v>
      </c>
      <c r="C461" s="23" t="s">
        <v>57</v>
      </c>
      <c r="D461" s="23" t="s">
        <v>58</v>
      </c>
      <c r="E461" s="23" t="s">
        <v>58</v>
      </c>
      <c r="F461" s="35" cm="1">
        <f t="array" ref="F461">_xlfn.IFS($G461=$G$5,F$5,$G461=$G$7,F$7,$G461=$G$10,F$10,$G461=$G$13,F$13,$G461=$G$14,F$14,$G461=$G$16,F$16,$G461=$G$17,F$17,$G461=$G$19,F$19,$G461=$G$20,F$20,$G461=$G$22,F$22,$G461=$G$23,F$23,$G461=$G$26,F$26,$G461=$G$29,F$29,$G461=$G$31,F$31,$G461=$G$34,F$34,$G461=$G$37,F$37,$G461=$G$107,F$107,$G461=$G$110,F$110,$G461=$G$140,F$140,$G461=$G$142,F$142,$G461=$G$408,F$408)</f>
        <v>8038</v>
      </c>
      <c r="G461" s="13" t="s">
        <v>69</v>
      </c>
      <c r="H461" s="51" cm="1">
        <f t="array" ref="H461">_xlfn.IFS($G461=$G$5,H$5,$G461=$G$7,H$7,$G461=$G$10,H$10,$G461=$G$13,H$13,$G461=$G$14,H$14,$G461=$G$16,H$16,$G461=$G$17,H$17,$G461=$G$19,H$19,$G461=$G$20,H$20,$G461=$G$22,H$22,$G461=$G$23,H$23,$G461=$G$26,H$26,$G461=$G$29,H$29,$G461=$G$31,H$31,$G461=$G$34,H$34,$G461=$G$37,H$37,$G461=$G$107,H$107,$G461=$G$110,H$110,$G461=$G$140,H$140,$G461=$G$142,H$142,$G461=$G$408,H$408)</f>
        <v>41.363377999999997</v>
      </c>
      <c r="I461" s="51" cm="1">
        <f t="array" ref="I461">_xlfn.IFS($G461=$G$5,I$5,$G461=$G$7,I$7,$G461=$G$10,I$10,$G461=$G$13,I$13,$G461=$G$14,I$14,$G461=$G$16,I$16,$G461=$G$17,I$17,$G461=$G$19,I$19,$G461=$G$20,I$20,$G461=$G$22,I$22,$G461=$G$23,I$23,$G461=$G$26,I$26,$G461=$G$29,I$29,$G461=$G$31,I$31,$G461=$G$34,I$34,$G461=$G$37,I$37,$G461=$G$107,I$107,$G461=$G$110,I$110,$G461=$G$140,I$140,$G461=$G$142,I$142,$G461=$G$408,I$408)</f>
        <v>2.164879</v>
      </c>
      <c r="J461" s="51" cm="1">
        <f t="array" ref="J461">_xlfn.IFS($G461=$G$5,J$5,$G461=$G$7,J$7,$G461=$G$10,J$10,$G461=$G$13,J$13,$G461=$G$14,J$14,$G461=$G$16,J$16,$G461=$G$17,J$17,$G461=$G$19,J$19,$G461=$G$20,J$20,$G461=$G$22,J$22,$G461=$G$23,J$23,$G461=$G$26,J$26,$G461=$G$29,J$29,$G461=$G$31,J$31,$G461=$G$34,J$34,$G461=$G$37,J$37,$G461=$G$107,J$107,$G461=$G$110,J$110,$G461=$G$140,J$140,$G461=$G$142,J$142,$G461=$G$408,J$408)</f>
        <v>185</v>
      </c>
      <c r="K461" s="13" t="str" cm="1">
        <f t="array" ref="K461">_xlfn.IFS($G461=$G$5,K$5,$G461=$G$7,K$7,$G461=$G$10,K$10,$G461=$G$13,K$13,$G461=$G$14,K$14,$G461=$G$16,K$16,$G461=$G$17,K$17,$G461=$G$19,K$19,$G461=$G$20,K$20,$G461=$G$22,K$22,$G461=$G$23,K$23,$G461=$G$26,K$26,$G461=$G$29,K$29,$G461=$G$31,K$31,$G461=$G$34,K$34,$G461=$G$37,K$37,$G461=$G$107,K$107,$G461=$G$110,K$110,$G461=$G$140,K$140,$G461=$G$142,K$142,$G461=$G$408,K$408)</f>
        <v>BG sentinel + BG lure7</v>
      </c>
      <c r="O461" s="13" t="str">
        <f t="shared" si="39"/>
        <v>A_SP_BCN_12_220927</v>
      </c>
      <c r="P461" s="27">
        <v>44831</v>
      </c>
      <c r="Q461" s="29">
        <v>0.58333333333333337</v>
      </c>
      <c r="R461" s="33"/>
      <c r="S461" s="27">
        <v>44838</v>
      </c>
      <c r="T461" s="29">
        <v>0.61111111111111105</v>
      </c>
      <c r="V461" s="13" t="s">
        <v>86</v>
      </c>
      <c r="X461" s="13">
        <f t="shared" si="45"/>
        <v>7</v>
      </c>
      <c r="Z461" s="13" t="s">
        <v>164</v>
      </c>
      <c r="AA461" s="13">
        <f t="shared" si="43"/>
        <v>9</v>
      </c>
      <c r="AB461" s="13" t="str">
        <f t="shared" si="46"/>
        <v>Adult</v>
      </c>
      <c r="AC461" s="13">
        <v>9</v>
      </c>
      <c r="AD461" s="13">
        <v>0</v>
      </c>
      <c r="AE461" s="13" t="str">
        <f t="shared" si="47"/>
        <v>Morphological</v>
      </c>
      <c r="AF461" s="2">
        <v>4</v>
      </c>
    </row>
    <row r="462" spans="1:32" x14ac:dyDescent="0.25">
      <c r="A462" s="13">
        <v>458</v>
      </c>
      <c r="B462" s="23" t="s">
        <v>56</v>
      </c>
      <c r="C462" s="23" t="s">
        <v>57</v>
      </c>
      <c r="D462" s="23" t="s">
        <v>58</v>
      </c>
      <c r="E462" s="23" t="s">
        <v>58</v>
      </c>
      <c r="F462" s="35" cm="1">
        <f t="array" ref="F462">_xlfn.IFS($G462=$G$5,F$5,$G462=$G$7,F$7,$G462=$G$10,F$10,$G462=$G$13,F$13,$G462=$G$14,F$14,$G462=$G$16,F$16,$G462=$G$17,F$17,$G462=$G$19,F$19,$G462=$G$20,F$20,$G462=$G$22,F$22,$G462=$G$23,F$23,$G462=$G$26,F$26,$G462=$G$29,F$29,$G462=$G$31,F$31,$G462=$G$34,F$34,$G462=$G$37,F$37,$G462=$G$107,F$107,$G462=$G$110,F$110,$G462=$G$140,F$140,$G462=$G$142,F$142,$G462=$G$408,F$408)</f>
        <v>8035</v>
      </c>
      <c r="G462" s="13" t="s">
        <v>70</v>
      </c>
      <c r="H462" s="51" cm="1">
        <f t="array" ref="H462">_xlfn.IFS($G462=$G$5,H$5,$G462=$G$7,H$7,$G462=$G$10,H$10,$G462=$G$13,H$13,$G462=$G$14,H$14,$G462=$G$16,H$16,$G462=$G$17,H$17,$G462=$G$19,H$19,$G462=$G$20,H$20,$G462=$G$22,H$22,$G462=$G$23,H$23,$G462=$G$26,H$26,$G462=$G$29,H$29,$G462=$G$31,H$31,$G462=$G$34,H$34,$G462=$G$37,H$37,$G462=$G$107,H$107,$G462=$G$110,H$110,$G462=$G$140,H$140,$G462=$G$142,H$142,$G462=$G$408,H$408)</f>
        <v>41.434472</v>
      </c>
      <c r="I462" s="51" cm="1">
        <f t="array" ref="I462">_xlfn.IFS($G462=$G$5,I$5,$G462=$G$7,I$7,$G462=$G$10,I$10,$G462=$G$13,I$13,$G462=$G$14,I$14,$G462=$G$16,I$16,$G462=$G$17,I$17,$G462=$G$19,I$19,$G462=$G$20,I$20,$G462=$G$22,I$22,$G462=$G$23,I$23,$G462=$G$26,I$26,$G462=$G$29,I$29,$G462=$G$31,I$31,$G462=$G$34,I$34,$G462=$G$37,I$37,$G462=$G$107,I$107,$G462=$G$110,I$110,$G462=$G$140,I$140,$G462=$G$142,I$142,$G462=$G$408,I$408)</f>
        <v>2.1315789999999999</v>
      </c>
      <c r="J462" s="51" cm="1">
        <f t="array" ref="J462">_xlfn.IFS($G462=$G$5,J$5,$G462=$G$7,J$7,$G462=$G$10,J$10,$G462=$G$13,J$13,$G462=$G$14,J$14,$G462=$G$16,J$16,$G462=$G$17,J$17,$G462=$G$19,J$19,$G462=$G$20,J$20,$G462=$G$22,J$22,$G462=$G$23,J$23,$G462=$G$26,J$26,$G462=$G$29,J$29,$G462=$G$31,J$31,$G462=$G$34,J$34,$G462=$G$37,J$37,$G462=$G$107,J$107,$G462=$G$110,J$110,$G462=$G$140,J$140,$G462=$G$142,J$142,$G462=$G$408,J$408)</f>
        <v>365</v>
      </c>
      <c r="K462" s="13" t="str" cm="1">
        <f t="array" ref="K462">_xlfn.IFS($G462=$G$5,K$5,$G462=$G$7,K$7,$G462=$G$10,K$10,$G462=$G$13,K$13,$G462=$G$14,K$14,$G462=$G$16,K$16,$G462=$G$17,K$17,$G462=$G$19,K$19,$G462=$G$20,K$20,$G462=$G$22,K$22,$G462=$G$23,K$23,$G462=$G$26,K$26,$G462=$G$29,K$29,$G462=$G$31,K$31,$G462=$G$34,K$34,$G462=$G$37,K$37,$G462=$G$107,K$107,$G462=$G$110,K$110,$G462=$G$140,K$140,$G462=$G$142,K$142,$G462=$G$408,K$408)</f>
        <v>BG sentinel + BG lure7</v>
      </c>
      <c r="O462" s="13" t="str">
        <f t="shared" si="39"/>
        <v>A_SP_BCN_13_220927</v>
      </c>
      <c r="P462" s="27">
        <v>44831</v>
      </c>
      <c r="Q462" s="29">
        <v>0.67708333333333337</v>
      </c>
      <c r="R462" s="33"/>
      <c r="S462" s="27">
        <v>44838</v>
      </c>
      <c r="T462" s="29">
        <v>0.72569444444444453</v>
      </c>
      <c r="V462" s="13" t="s">
        <v>86</v>
      </c>
      <c r="X462" s="13">
        <f t="shared" si="45"/>
        <v>7</v>
      </c>
      <c r="Z462" s="13" t="s">
        <v>60</v>
      </c>
      <c r="AA462" s="13">
        <f t="shared" si="43"/>
        <v>4</v>
      </c>
      <c r="AB462" s="13" t="str">
        <f t="shared" si="46"/>
        <v>Adult</v>
      </c>
      <c r="AC462" s="13">
        <v>4</v>
      </c>
      <c r="AD462" s="13">
        <v>0</v>
      </c>
      <c r="AE462" s="13" t="str">
        <f t="shared" si="47"/>
        <v>Morphological</v>
      </c>
      <c r="AF462" s="2">
        <v>4</v>
      </c>
    </row>
    <row r="463" spans="1:32" x14ac:dyDescent="0.25">
      <c r="A463" s="13">
        <v>459</v>
      </c>
      <c r="B463" s="23" t="s">
        <v>56</v>
      </c>
      <c r="C463" s="23" t="s">
        <v>57</v>
      </c>
      <c r="D463" s="23" t="s">
        <v>58</v>
      </c>
      <c r="E463" s="23" t="s">
        <v>58</v>
      </c>
      <c r="F463" s="35" cm="1">
        <f t="array" ref="F463">_xlfn.IFS($G463=$G$5,F$5,$G463=$G$7,F$7,$G463=$G$10,F$10,$G463=$G$13,F$13,$G463=$G$14,F$14,$G463=$G$16,F$16,$G463=$G$17,F$17,$G463=$G$19,F$19,$G463=$G$20,F$20,$G463=$G$22,F$22,$G463=$G$23,F$23,$G463=$G$26,F$26,$G463=$G$29,F$29,$G463=$G$31,F$31,$G463=$G$34,F$34,$G463=$G$37,F$37,$G463=$G$107,F$107,$G463=$G$110,F$110,$G463=$G$140,F$140,$G463=$G$142,F$142,$G463=$G$408,F$408)</f>
        <v>8017</v>
      </c>
      <c r="G463" s="13" t="s">
        <v>71</v>
      </c>
      <c r="H463" s="51" cm="1">
        <f t="array" ref="H463">_xlfn.IFS($G463=$G$5,H$5,$G463=$G$7,H$7,$G463=$G$10,H$10,$G463=$G$13,H$13,$G463=$G$14,H$14,$G463=$G$16,H$16,$G463=$G$17,H$17,$G463=$G$19,H$19,$G463=$G$20,H$20,$G463=$G$22,H$22,$G463=$G$23,H$23,$G463=$G$26,H$26,$G463=$G$29,H$29,$G463=$G$31,H$31,$G463=$G$34,H$34,$G463=$G$37,H$37,$G463=$G$107,H$107,$G463=$G$110,H$110,$G463=$G$140,H$140,$G463=$G$142,H$142,$G463=$G$408,H$408)</f>
        <v>41.428533999999999</v>
      </c>
      <c r="I463" s="51" cm="1">
        <f t="array" ref="I463">_xlfn.IFS($G463=$G$5,I$5,$G463=$G$7,I$7,$G463=$G$10,I$10,$G463=$G$13,I$13,$G463=$G$14,I$14,$G463=$G$16,I$16,$G463=$G$17,I$17,$G463=$G$19,I$19,$G463=$G$20,I$20,$G463=$G$22,I$22,$G463=$G$23,I$23,$G463=$G$26,I$26,$G463=$G$29,I$29,$G463=$G$31,I$31,$G463=$G$34,I$34,$G463=$G$37,I$37,$G463=$G$107,I$107,$G463=$G$110,I$110,$G463=$G$140,I$140,$G463=$G$142,I$142,$G463=$G$408,I$408)</f>
        <v>2.090954</v>
      </c>
      <c r="J463" s="51" cm="1">
        <f t="array" ref="J463">_xlfn.IFS($G463=$G$5,J$5,$G463=$G$7,J$7,$G463=$G$10,J$10,$G463=$G$13,J$13,$G463=$G$14,J$14,$G463=$G$16,J$16,$G463=$G$17,J$17,$G463=$G$19,J$19,$G463=$G$20,J$20,$G463=$G$22,J$22,$G463=$G$23,J$23,$G463=$G$26,J$26,$G463=$G$29,J$29,$G463=$G$31,J$31,$G463=$G$34,J$34,$G463=$G$37,J$37,$G463=$G$107,J$107,$G463=$G$110,J$110,$G463=$G$140,J$140,$G463=$G$142,J$142,$G463=$G$408,J$408)</f>
        <v>215</v>
      </c>
      <c r="K463" s="13" t="str" cm="1">
        <f t="array" ref="K463">_xlfn.IFS($G463=$G$5,K$5,$G463=$G$7,K$7,$G463=$G$10,K$10,$G463=$G$13,K$13,$G463=$G$14,K$14,$G463=$G$16,K$16,$G463=$G$17,K$17,$G463=$G$19,K$19,$G463=$G$20,K$20,$G463=$G$22,K$22,$G463=$G$23,K$23,$G463=$G$26,K$26,$G463=$G$29,K$29,$G463=$G$31,K$31,$G463=$G$34,K$34,$G463=$G$37,K$37,$G463=$G$107,K$107,$G463=$G$110,K$110,$G463=$G$140,K$140,$G463=$G$142,K$142,$G463=$G$408,K$408)</f>
        <v>BG sentinel + BG lure7</v>
      </c>
      <c r="O463" s="13" t="str">
        <f t="shared" si="39"/>
        <v>A_SP_BCN_14_220927</v>
      </c>
      <c r="P463" s="27">
        <v>44831</v>
      </c>
      <c r="Q463" s="29">
        <v>0.71875</v>
      </c>
      <c r="R463" s="33"/>
      <c r="S463" s="27">
        <v>44838</v>
      </c>
      <c r="T463" s="29">
        <v>0.76388888888888884</v>
      </c>
      <c r="V463" s="13" t="s">
        <v>86</v>
      </c>
      <c r="X463" s="13">
        <f t="shared" si="45"/>
        <v>7</v>
      </c>
      <c r="Z463" s="13" t="s">
        <v>60</v>
      </c>
      <c r="AA463" s="13">
        <f t="shared" si="43"/>
        <v>2</v>
      </c>
      <c r="AB463" s="13" t="str">
        <f t="shared" si="46"/>
        <v>Adult</v>
      </c>
      <c r="AC463" s="13">
        <v>2</v>
      </c>
      <c r="AD463" s="13">
        <v>0</v>
      </c>
      <c r="AE463" s="13" t="str">
        <f t="shared" si="47"/>
        <v>Morphological</v>
      </c>
      <c r="AF463" s="2">
        <v>4</v>
      </c>
    </row>
    <row r="464" spans="1:32" x14ac:dyDescent="0.25">
      <c r="A464" s="13">
        <v>460</v>
      </c>
      <c r="B464" s="23" t="s">
        <v>56</v>
      </c>
      <c r="C464" s="23" t="s">
        <v>57</v>
      </c>
      <c r="D464" s="23" t="s">
        <v>58</v>
      </c>
      <c r="E464" s="23" t="s">
        <v>58</v>
      </c>
      <c r="F464" s="35" cm="1">
        <f t="array" ref="F464">_xlfn.IFS($G464=$G$5,F$5,$G464=$G$7,F$7,$G464=$G$10,F$10,$G464=$G$13,F$13,$G464=$G$14,F$14,$G464=$G$16,F$16,$G464=$G$17,F$17,$G464=$G$19,F$19,$G464=$G$20,F$20,$G464=$G$22,F$22,$G464=$G$23,F$23,$G464=$G$26,F$26,$G464=$G$29,F$29,$G464=$G$31,F$31,$G464=$G$34,F$34,$G464=$G$37,F$37,$G464=$G$107,F$107,$G464=$G$110,F$110,$G464=$G$140,F$140,$G464=$G$142,F$142,$G464=$G$408,F$408)</f>
        <v>8017</v>
      </c>
      <c r="G464" s="13" t="s">
        <v>72</v>
      </c>
      <c r="H464" s="51" cm="1">
        <f t="array" ref="H464">_xlfn.IFS($G464=$G$5,H$5,$G464=$G$7,H$7,$G464=$G$10,H$10,$G464=$G$13,H$13,$G464=$G$14,H$14,$G464=$G$16,H$16,$G464=$G$17,H$17,$G464=$G$19,H$19,$G464=$G$20,H$20,$G464=$G$22,H$22,$G464=$G$23,H$23,$G464=$G$26,H$26,$G464=$G$29,H$29,$G464=$G$31,H$31,$G464=$G$34,H$34,$G464=$G$37,H$37,$G464=$G$107,H$107,$G464=$G$110,H$110,$G464=$G$140,H$140,$G464=$G$142,H$142,$G464=$G$408,H$408)</f>
        <v>41.419471000000001</v>
      </c>
      <c r="I464" s="51" cm="1">
        <f t="array" ref="I464">_xlfn.IFS($G464=$G$5,I$5,$G464=$G$7,I$7,$G464=$G$10,I$10,$G464=$G$13,I$13,$G464=$G$14,I$14,$G464=$G$16,I$16,$G464=$G$17,I$17,$G464=$G$19,I$19,$G464=$G$20,I$20,$G464=$G$22,I$22,$G464=$G$23,I$23,$G464=$G$26,I$26,$G464=$G$29,I$29,$G464=$G$31,I$31,$G464=$G$34,I$34,$G464=$G$37,I$37,$G464=$G$107,I$107,$G464=$G$110,I$110,$G464=$G$140,I$140,$G464=$G$142,I$142,$G464=$G$408,I$408)</f>
        <v>2.1010149999999999</v>
      </c>
      <c r="J464" s="51" cm="1">
        <f t="array" ref="J464">_xlfn.IFS($G464=$G$5,J$5,$G464=$G$7,J$7,$G464=$G$10,J$10,$G464=$G$13,J$13,$G464=$G$14,J$14,$G464=$G$16,J$16,$G464=$G$17,J$17,$G464=$G$19,J$19,$G464=$G$20,J$20,$G464=$G$22,J$22,$G464=$G$23,J$23,$G464=$G$26,J$26,$G464=$G$29,J$29,$G464=$G$31,J$31,$G464=$G$34,J$34,$G464=$G$37,J$37,$G464=$G$107,J$107,$G464=$G$110,J$110,$G464=$G$140,J$140,$G464=$G$142,J$142,$G464=$G$408,J$408)</f>
        <v>284</v>
      </c>
      <c r="K464" s="13" t="str" cm="1">
        <f t="array" ref="K464">_xlfn.IFS($G464=$G$5,K$5,$G464=$G$7,K$7,$G464=$G$10,K$10,$G464=$G$13,K$13,$G464=$G$14,K$14,$G464=$G$16,K$16,$G464=$G$17,K$17,$G464=$G$19,K$19,$G464=$G$20,K$20,$G464=$G$22,K$22,$G464=$G$23,K$23,$G464=$G$26,K$26,$G464=$G$29,K$29,$G464=$G$31,K$31,$G464=$G$34,K$34,$G464=$G$37,K$37,$G464=$G$107,K$107,$G464=$G$110,K$110,$G464=$G$140,K$140,$G464=$G$142,K$142,$G464=$G$408,K$408)</f>
        <v>BG sentinel + BG lure7</v>
      </c>
      <c r="O464" s="13" t="str">
        <f t="shared" ref="O464:O531" si="48">G464&amp;"_"&amp;TEXT(P464, "AAMMDD")</f>
        <v>A_SP_BCN_15_220927</v>
      </c>
      <c r="P464" s="27">
        <v>44831</v>
      </c>
      <c r="Q464" s="29">
        <v>0.69444444444444453</v>
      </c>
      <c r="R464" s="33"/>
      <c r="S464" s="27">
        <v>44838</v>
      </c>
      <c r="T464" s="29">
        <v>0.73958333333333337</v>
      </c>
      <c r="V464" s="13" t="s">
        <v>86</v>
      </c>
      <c r="X464" s="13">
        <f t="shared" si="45"/>
        <v>7</v>
      </c>
      <c r="Z464" s="13" t="s">
        <v>60</v>
      </c>
      <c r="AA464" s="13">
        <f t="shared" si="43"/>
        <v>17</v>
      </c>
      <c r="AB464" s="13" t="str">
        <f t="shared" si="46"/>
        <v>Adult</v>
      </c>
      <c r="AC464" s="13">
        <v>17</v>
      </c>
      <c r="AD464" s="13">
        <v>0</v>
      </c>
      <c r="AE464" s="13" t="str">
        <f t="shared" si="47"/>
        <v>Morphological</v>
      </c>
      <c r="AF464" s="2">
        <v>4</v>
      </c>
    </row>
    <row r="465" spans="1:32" x14ac:dyDescent="0.25">
      <c r="A465" s="13">
        <v>461</v>
      </c>
      <c r="B465" s="23" t="s">
        <v>56</v>
      </c>
      <c r="C465" s="23" t="s">
        <v>57</v>
      </c>
      <c r="D465" s="23" t="s">
        <v>58</v>
      </c>
      <c r="E465" s="23" t="s">
        <v>58</v>
      </c>
      <c r="F465" s="35" cm="1">
        <f t="array" ref="F465">_xlfn.IFS($G465=$G$5,F$5,$G465=$G$7,F$7,$G465=$G$10,F$10,$G465=$G$13,F$13,$G465=$G$14,F$14,$G465=$G$16,F$16,$G465=$G$17,F$17,$G465=$G$19,F$19,$G465=$G$20,F$20,$G465=$G$22,F$22,$G465=$G$23,F$23,$G465=$G$26,F$26,$G465=$G$29,F$29,$G465=$G$31,F$31,$G465=$G$34,F$34,$G465=$G$37,F$37,$G465=$G$107,F$107,$G465=$G$110,F$110,$G465=$G$140,F$140,$G465=$G$142,F$142,$G465=$G$408,F$408)</f>
        <v>8017</v>
      </c>
      <c r="G465" s="13" t="s">
        <v>72</v>
      </c>
      <c r="H465" s="51" cm="1">
        <f t="array" ref="H465">_xlfn.IFS($G465=$G$5,H$5,$G465=$G$7,H$7,$G465=$G$10,H$10,$G465=$G$13,H$13,$G465=$G$14,H$14,$G465=$G$16,H$16,$G465=$G$17,H$17,$G465=$G$19,H$19,$G465=$G$20,H$20,$G465=$G$22,H$22,$G465=$G$23,H$23,$G465=$G$26,H$26,$G465=$G$29,H$29,$G465=$G$31,H$31,$G465=$G$34,H$34,$G465=$G$37,H$37,$G465=$G$107,H$107,$G465=$G$110,H$110,$G465=$G$140,H$140,$G465=$G$142,H$142,$G465=$G$408,H$408)</f>
        <v>41.419471000000001</v>
      </c>
      <c r="I465" s="51" cm="1">
        <f t="array" ref="I465">_xlfn.IFS($G465=$G$5,I$5,$G465=$G$7,I$7,$G465=$G$10,I$10,$G465=$G$13,I$13,$G465=$G$14,I$14,$G465=$G$16,I$16,$G465=$G$17,I$17,$G465=$G$19,I$19,$G465=$G$20,I$20,$G465=$G$22,I$22,$G465=$G$23,I$23,$G465=$G$26,I$26,$G465=$G$29,I$29,$G465=$G$31,I$31,$G465=$G$34,I$34,$G465=$G$37,I$37,$G465=$G$107,I$107,$G465=$G$110,I$110,$G465=$G$140,I$140,$G465=$G$142,I$142,$G465=$G$408,I$408)</f>
        <v>2.1010149999999999</v>
      </c>
      <c r="J465" s="51" cm="1">
        <f t="array" ref="J465">_xlfn.IFS($G465=$G$5,J$5,$G465=$G$7,J$7,$G465=$G$10,J$10,$G465=$G$13,J$13,$G465=$G$14,J$14,$G465=$G$16,J$16,$G465=$G$17,J$17,$G465=$G$19,J$19,$G465=$G$20,J$20,$G465=$G$22,J$22,$G465=$G$23,J$23,$G465=$G$26,J$26,$G465=$G$29,J$29,$G465=$G$31,J$31,$G465=$G$34,J$34,$G465=$G$37,J$37,$G465=$G$107,J$107,$G465=$G$110,J$110,$G465=$G$140,J$140,$G465=$G$142,J$142,$G465=$G$408,J$408)</f>
        <v>284</v>
      </c>
      <c r="K465" s="13" t="str" cm="1">
        <f t="array" ref="K465">_xlfn.IFS($G465=$G$5,K$5,$G465=$G$7,K$7,$G465=$G$10,K$10,$G465=$G$13,K$13,$G465=$G$14,K$14,$G465=$G$16,K$16,$G465=$G$17,K$17,$G465=$G$19,K$19,$G465=$G$20,K$20,$G465=$G$22,K$22,$G465=$G$23,K$23,$G465=$G$26,K$26,$G465=$G$29,K$29,$G465=$G$31,K$31,$G465=$G$34,K$34,$G465=$G$37,K$37,$G465=$G$107,K$107,$G465=$G$110,K$110,$G465=$G$140,K$140,$G465=$G$142,K$142,$G465=$G$408,K$408)</f>
        <v>BG sentinel + BG lure7</v>
      </c>
      <c r="O465" s="13" t="str">
        <f t="shared" si="48"/>
        <v>A_SP_BCN_15_220927</v>
      </c>
      <c r="P465" s="27">
        <v>44831</v>
      </c>
      <c r="Q465" s="29">
        <v>0.69444444444444453</v>
      </c>
      <c r="R465" s="33"/>
      <c r="S465" s="27">
        <v>44838</v>
      </c>
      <c r="T465" s="29">
        <v>0.73958333333333337</v>
      </c>
      <c r="V465" s="13" t="s">
        <v>86</v>
      </c>
      <c r="X465" s="13">
        <f t="shared" si="45"/>
        <v>7</v>
      </c>
      <c r="Z465" s="32" t="s">
        <v>163</v>
      </c>
      <c r="AA465" s="13">
        <f t="shared" ref="AA465:AA476" si="49">SUM(AC465:AD465)</f>
        <v>1</v>
      </c>
      <c r="AB465" s="13" t="str">
        <f t="shared" si="46"/>
        <v>Adult</v>
      </c>
      <c r="AC465" s="13">
        <v>1</v>
      </c>
      <c r="AD465" s="13">
        <v>0</v>
      </c>
      <c r="AE465" s="13" t="str">
        <f t="shared" si="47"/>
        <v>Morphological</v>
      </c>
      <c r="AF465" s="2">
        <v>4</v>
      </c>
    </row>
    <row r="466" spans="1:32" x14ac:dyDescent="0.25">
      <c r="A466" s="13">
        <v>462</v>
      </c>
      <c r="B466" s="23" t="s">
        <v>56</v>
      </c>
      <c r="C466" s="23" t="s">
        <v>57</v>
      </c>
      <c r="D466" s="23" t="s">
        <v>58</v>
      </c>
      <c r="E466" s="23" t="s">
        <v>58</v>
      </c>
      <c r="F466" s="35" cm="1">
        <f t="array" ref="F466">_xlfn.IFS($G466=$G$5,F$5,$G466=$G$7,F$7,$G466=$G$10,F$10,$G466=$G$13,F$13,$G466=$G$14,F$14,$G466=$G$16,F$16,$G466=$G$17,F$17,$G466=$G$19,F$19,$G466=$G$20,F$20,$G466=$G$22,F$22,$G466=$G$23,F$23,$G466=$G$26,F$26,$G466=$G$29,F$29,$G466=$G$31,F$31,$G466=$G$34,F$34,$G466=$G$37,F$37,$G466=$G$107,F$107,$G466=$G$110,F$110,$G466=$G$140,F$140,$G466=$G$142,F$142,$G466=$G$408,F$408)</f>
        <v>8017</v>
      </c>
      <c r="G466" s="13" t="s">
        <v>73</v>
      </c>
      <c r="H466" s="51" cm="1">
        <f t="array" ref="H466">_xlfn.IFS($G466=$G$5,H$5,$G466=$G$7,H$7,$G466=$G$10,H$10,$G466=$G$13,H$13,$G466=$G$14,H$14,$G466=$G$16,H$16,$G466=$G$17,H$17,$G466=$G$19,H$19,$G466=$G$20,H$20,$G466=$G$22,H$22,$G466=$G$23,H$23,$G466=$G$26,H$26,$G466=$G$29,H$29,$G466=$G$31,H$31,$G466=$G$34,H$34,$G466=$G$37,H$37,$G466=$G$107,H$107,$G466=$G$110,H$110,$G466=$G$140,H$140,$G466=$G$142,H$142,$G466=$G$408,H$408)</f>
        <v>41.398387</v>
      </c>
      <c r="I466" s="51" cm="1">
        <f t="array" ref="I466">_xlfn.IFS($G466=$G$5,I$5,$G466=$G$7,I$7,$G466=$G$10,I$10,$G466=$G$13,I$13,$G466=$G$14,I$14,$G466=$G$16,I$16,$G466=$G$17,I$17,$G466=$G$19,I$19,$G466=$G$20,I$20,$G466=$G$22,I$22,$G466=$G$23,I$23,$G466=$G$26,I$26,$G466=$G$29,I$29,$G466=$G$31,I$31,$G466=$G$34,I$34,$G466=$G$37,I$37,$G466=$G$107,I$107,$G466=$G$110,I$110,$G466=$G$140,I$140,$G466=$G$142,I$142,$G466=$G$408,I$408)</f>
        <v>2.1244429999999999</v>
      </c>
      <c r="J466" s="51" cm="1">
        <f t="array" ref="J466">_xlfn.IFS($G466=$G$5,J$5,$G466=$G$7,J$7,$G466=$G$10,J$10,$G466=$G$13,J$13,$G466=$G$14,J$14,$G466=$G$16,J$16,$G466=$G$17,J$17,$G466=$G$19,J$19,$G466=$G$20,J$20,$G466=$G$22,J$22,$G466=$G$23,J$23,$G466=$G$26,J$26,$G466=$G$29,J$29,$G466=$G$31,J$31,$G466=$G$34,J$34,$G466=$G$37,J$37,$G466=$G$107,J$107,$G466=$G$110,J$110,$G466=$G$140,J$140,$G466=$G$142,J$142,$G466=$G$408,J$408)</f>
        <v>106</v>
      </c>
      <c r="K466" s="13" t="str" cm="1">
        <f t="array" ref="K466">_xlfn.IFS($G466=$G$5,K$5,$G466=$G$7,K$7,$G466=$G$10,K$10,$G466=$G$13,K$13,$G466=$G$14,K$14,$G466=$G$16,K$16,$G466=$G$17,K$17,$G466=$G$19,K$19,$G466=$G$20,K$20,$G466=$G$22,K$22,$G466=$G$23,K$23,$G466=$G$26,K$26,$G466=$G$29,K$29,$G466=$G$31,K$31,$G466=$G$34,K$34,$G466=$G$37,K$37,$G466=$G$107,K$107,$G466=$G$110,K$110,$G466=$G$140,K$140,$G466=$G$142,K$142,$G466=$G$408,K$408)</f>
        <v>BG sentinel + BG lure7</v>
      </c>
      <c r="O466" s="13" t="str">
        <f t="shared" si="48"/>
        <v>A_SP_BCN_16_220927</v>
      </c>
      <c r="P466" s="27">
        <v>44831</v>
      </c>
      <c r="Q466" s="29">
        <v>0.73958333333333337</v>
      </c>
      <c r="R466" s="33"/>
      <c r="S466" s="27">
        <v>44838</v>
      </c>
      <c r="T466" s="29">
        <v>0.78125</v>
      </c>
      <c r="V466" s="13" t="s">
        <v>86</v>
      </c>
      <c r="X466" s="13">
        <f t="shared" si="45"/>
        <v>7</v>
      </c>
      <c r="Z466" s="13" t="s">
        <v>60</v>
      </c>
      <c r="AA466" s="13">
        <f t="shared" si="49"/>
        <v>87</v>
      </c>
      <c r="AB466" s="13" t="str">
        <f t="shared" si="46"/>
        <v>Adult</v>
      </c>
      <c r="AC466" s="13">
        <v>43</v>
      </c>
      <c r="AD466" s="13">
        <v>44</v>
      </c>
      <c r="AE466" s="13" t="str">
        <f t="shared" si="47"/>
        <v>Morphological</v>
      </c>
      <c r="AF466" s="2">
        <v>4</v>
      </c>
    </row>
    <row r="467" spans="1:32" x14ac:dyDescent="0.25">
      <c r="A467" s="13">
        <v>463</v>
      </c>
      <c r="B467" s="23" t="s">
        <v>56</v>
      </c>
      <c r="C467" s="23" t="s">
        <v>57</v>
      </c>
      <c r="D467" s="23" t="s">
        <v>58</v>
      </c>
      <c r="E467" s="23" t="s">
        <v>58</v>
      </c>
      <c r="F467" s="35" cm="1">
        <f t="array" ref="F467">_xlfn.IFS($G467=$G$5,F$5,$G467=$G$7,F$7,$G467=$G$10,F$10,$G467=$G$13,F$13,$G467=$G$14,F$14,$G467=$G$16,F$16,$G467=$G$17,F$17,$G467=$G$19,F$19,$G467=$G$20,F$20,$G467=$G$22,F$22,$G467=$G$23,F$23,$G467=$G$26,F$26,$G467=$G$29,F$29,$G467=$G$31,F$31,$G467=$G$34,F$34,$G467=$G$37,F$37,$G467=$G$107,F$107,$G467=$G$110,F$110,$G467=$G$140,F$140,$G467=$G$142,F$142,$G467=$G$408,F$408)</f>
        <v>8017</v>
      </c>
      <c r="G467" s="13" t="s">
        <v>73</v>
      </c>
      <c r="H467" s="51" cm="1">
        <f t="array" ref="H467">_xlfn.IFS($G467=$G$5,H$5,$G467=$G$7,H$7,$G467=$G$10,H$10,$G467=$G$13,H$13,$G467=$G$14,H$14,$G467=$G$16,H$16,$G467=$G$17,H$17,$G467=$G$19,H$19,$G467=$G$20,H$20,$G467=$G$22,H$22,$G467=$G$23,H$23,$G467=$G$26,H$26,$G467=$G$29,H$29,$G467=$G$31,H$31,$G467=$G$34,H$34,$G467=$G$37,H$37,$G467=$G$107,H$107,$G467=$G$110,H$110,$G467=$G$140,H$140,$G467=$G$142,H$142,$G467=$G$408,H$408)</f>
        <v>41.398387</v>
      </c>
      <c r="I467" s="51" cm="1">
        <f t="array" ref="I467">_xlfn.IFS($G467=$G$5,I$5,$G467=$G$7,I$7,$G467=$G$10,I$10,$G467=$G$13,I$13,$G467=$G$14,I$14,$G467=$G$16,I$16,$G467=$G$17,I$17,$G467=$G$19,I$19,$G467=$G$20,I$20,$G467=$G$22,I$22,$G467=$G$23,I$23,$G467=$G$26,I$26,$G467=$G$29,I$29,$G467=$G$31,I$31,$G467=$G$34,I$34,$G467=$G$37,I$37,$G467=$G$107,I$107,$G467=$G$110,I$110,$G467=$G$140,I$140,$G467=$G$142,I$142,$G467=$G$408,I$408)</f>
        <v>2.1244429999999999</v>
      </c>
      <c r="J467" s="51" cm="1">
        <f t="array" ref="J467">_xlfn.IFS($G467=$G$5,J$5,$G467=$G$7,J$7,$G467=$G$10,J$10,$G467=$G$13,J$13,$G467=$G$14,J$14,$G467=$G$16,J$16,$G467=$G$17,J$17,$G467=$G$19,J$19,$G467=$G$20,J$20,$G467=$G$22,J$22,$G467=$G$23,J$23,$G467=$G$26,J$26,$G467=$G$29,J$29,$G467=$G$31,J$31,$G467=$G$34,J$34,$G467=$G$37,J$37,$G467=$G$107,J$107,$G467=$G$110,J$110,$G467=$G$140,J$140,$G467=$G$142,J$142,$G467=$G$408,J$408)</f>
        <v>106</v>
      </c>
      <c r="K467" s="13" t="str" cm="1">
        <f t="array" ref="K467">_xlfn.IFS($G467=$G$5,K$5,$G467=$G$7,K$7,$G467=$G$10,K$10,$G467=$G$13,K$13,$G467=$G$14,K$14,$G467=$G$16,K$16,$G467=$G$17,K$17,$G467=$G$19,K$19,$G467=$G$20,K$20,$G467=$G$22,K$22,$G467=$G$23,K$23,$G467=$G$26,K$26,$G467=$G$29,K$29,$G467=$G$31,K$31,$G467=$G$34,K$34,$G467=$G$37,K$37,$G467=$G$107,K$107,$G467=$G$110,K$110,$G467=$G$140,K$140,$G467=$G$142,K$142,$G467=$G$408,K$408)</f>
        <v>BG sentinel + BG lure7</v>
      </c>
      <c r="O467" s="13" t="str">
        <f t="shared" si="48"/>
        <v>A_SP_BCN_16_220927</v>
      </c>
      <c r="P467" s="27">
        <v>44831</v>
      </c>
      <c r="Q467" s="29">
        <v>0.73958333333333337</v>
      </c>
      <c r="R467" s="33"/>
      <c r="S467" s="27">
        <v>44838</v>
      </c>
      <c r="T467" s="29">
        <v>0.78125</v>
      </c>
      <c r="V467" s="13" t="s">
        <v>86</v>
      </c>
      <c r="X467" s="13">
        <f t="shared" si="45"/>
        <v>7</v>
      </c>
      <c r="Z467" s="13" t="s">
        <v>164</v>
      </c>
      <c r="AA467" s="13">
        <f t="shared" si="49"/>
        <v>1</v>
      </c>
      <c r="AB467" s="13" t="str">
        <f t="shared" si="46"/>
        <v>Adult</v>
      </c>
      <c r="AC467" s="13">
        <v>1</v>
      </c>
      <c r="AD467" s="13">
        <v>0</v>
      </c>
      <c r="AE467" s="13" t="str">
        <f t="shared" si="47"/>
        <v>Morphological</v>
      </c>
      <c r="AF467" s="2">
        <v>4</v>
      </c>
    </row>
    <row r="468" spans="1:32" x14ac:dyDescent="0.25">
      <c r="A468" s="13">
        <v>464</v>
      </c>
      <c r="B468" s="23" t="s">
        <v>56</v>
      </c>
      <c r="C468" s="23" t="s">
        <v>57</v>
      </c>
      <c r="D468" s="23" t="s">
        <v>58</v>
      </c>
      <c r="E468" s="23" t="s">
        <v>58</v>
      </c>
      <c r="F468" s="35" cm="1">
        <f t="array" ref="F468">_xlfn.IFS($G468=$G$5,F$5,$G468=$G$7,F$7,$G468=$G$10,F$10,$G468=$G$13,F$13,$G468=$G$14,F$14,$G468=$G$16,F$16,$G468=$G$17,F$17,$G468=$G$19,F$19,$G468=$G$20,F$20,$G468=$G$22,F$22,$G468=$G$23,F$23,$G468=$G$26,F$26,$G468=$G$29,F$29,$G468=$G$31,F$31,$G468=$G$34,F$34,$G468=$G$37,F$37,$G468=$G$107,F$107,$G468=$G$110,F$110,$G468=$G$140,F$140,$G468=$G$142,F$142,$G468=$G$408,F$408)</f>
        <v>8017</v>
      </c>
      <c r="G468" s="13" t="s">
        <v>73</v>
      </c>
      <c r="H468" s="51" cm="1">
        <f t="array" ref="H468">_xlfn.IFS($G468=$G$5,H$5,$G468=$G$7,H$7,$G468=$G$10,H$10,$G468=$G$13,H$13,$G468=$G$14,H$14,$G468=$G$16,H$16,$G468=$G$17,H$17,$G468=$G$19,H$19,$G468=$G$20,H$20,$G468=$G$22,H$22,$G468=$G$23,H$23,$G468=$G$26,H$26,$G468=$G$29,H$29,$G468=$G$31,H$31,$G468=$G$34,H$34,$G468=$G$37,H$37,$G468=$G$107,H$107,$G468=$G$110,H$110,$G468=$G$140,H$140,$G468=$G$142,H$142,$G468=$G$408,H$408)</f>
        <v>41.398387</v>
      </c>
      <c r="I468" s="51" cm="1">
        <f t="array" ref="I468">_xlfn.IFS($G468=$G$5,I$5,$G468=$G$7,I$7,$G468=$G$10,I$10,$G468=$G$13,I$13,$G468=$G$14,I$14,$G468=$G$16,I$16,$G468=$G$17,I$17,$G468=$G$19,I$19,$G468=$G$20,I$20,$G468=$G$22,I$22,$G468=$G$23,I$23,$G468=$G$26,I$26,$G468=$G$29,I$29,$G468=$G$31,I$31,$G468=$G$34,I$34,$G468=$G$37,I$37,$G468=$G$107,I$107,$G468=$G$110,I$110,$G468=$G$140,I$140,$G468=$G$142,I$142,$G468=$G$408,I$408)</f>
        <v>2.1244429999999999</v>
      </c>
      <c r="J468" s="51" cm="1">
        <f t="array" ref="J468">_xlfn.IFS($G468=$G$5,J$5,$G468=$G$7,J$7,$G468=$G$10,J$10,$G468=$G$13,J$13,$G468=$G$14,J$14,$G468=$G$16,J$16,$G468=$G$17,J$17,$G468=$G$19,J$19,$G468=$G$20,J$20,$G468=$G$22,J$22,$G468=$G$23,J$23,$G468=$G$26,J$26,$G468=$G$29,J$29,$G468=$G$31,J$31,$G468=$G$34,J$34,$G468=$G$37,J$37,$G468=$G$107,J$107,$G468=$G$110,J$110,$G468=$G$140,J$140,$G468=$G$142,J$142,$G468=$G$408,J$408)</f>
        <v>106</v>
      </c>
      <c r="K468" s="13" t="str" cm="1">
        <f t="array" ref="K468">_xlfn.IFS($G468=$G$5,K$5,$G468=$G$7,K$7,$G468=$G$10,K$10,$G468=$G$13,K$13,$G468=$G$14,K$14,$G468=$G$16,K$16,$G468=$G$17,K$17,$G468=$G$19,K$19,$G468=$G$20,K$20,$G468=$G$22,K$22,$G468=$G$23,K$23,$G468=$G$26,K$26,$G468=$G$29,K$29,$G468=$G$31,K$31,$G468=$G$34,K$34,$G468=$G$37,K$37,$G468=$G$107,K$107,$G468=$G$110,K$110,$G468=$G$140,K$140,$G468=$G$142,K$142,$G468=$G$408,K$408)</f>
        <v>BG sentinel + BG lure7</v>
      </c>
      <c r="O468" s="13" t="str">
        <f t="shared" si="48"/>
        <v>A_SP_BCN_16_220927</v>
      </c>
      <c r="P468" s="27">
        <v>44831</v>
      </c>
      <c r="Q468" s="29">
        <v>0.73958333333333337</v>
      </c>
      <c r="R468" s="33"/>
      <c r="S468" s="27">
        <v>44838</v>
      </c>
      <c r="T468" s="29">
        <v>0.78125</v>
      </c>
      <c r="V468" s="13" t="s">
        <v>86</v>
      </c>
      <c r="X468" s="13">
        <f t="shared" si="45"/>
        <v>7</v>
      </c>
      <c r="Z468" s="32" t="s">
        <v>163</v>
      </c>
      <c r="AA468" s="13">
        <f t="shared" si="49"/>
        <v>1</v>
      </c>
      <c r="AB468" s="13" t="str">
        <f t="shared" si="46"/>
        <v>Adult</v>
      </c>
      <c r="AC468" s="13">
        <v>1</v>
      </c>
      <c r="AD468" s="13">
        <v>0</v>
      </c>
      <c r="AE468" s="13" t="str">
        <f t="shared" si="47"/>
        <v>Morphological</v>
      </c>
      <c r="AF468" s="2">
        <v>4</v>
      </c>
    </row>
    <row r="469" spans="1:32" x14ac:dyDescent="0.25">
      <c r="A469" s="13">
        <v>465</v>
      </c>
      <c r="B469" s="23" t="s">
        <v>56</v>
      </c>
      <c r="C469" s="23" t="s">
        <v>57</v>
      </c>
      <c r="D469" s="23" t="s">
        <v>58</v>
      </c>
      <c r="E469" s="23" t="s">
        <v>58</v>
      </c>
      <c r="F469" s="35" cm="1">
        <f t="array" ref="F469">_xlfn.IFS($G469=$G$5,F$5,$G469=$G$7,F$7,$G469=$G$10,F$10,$G469=$G$13,F$13,$G469=$G$14,F$14,$G469=$G$16,F$16,$G469=$G$17,F$17,$G469=$G$19,F$19,$G469=$G$20,F$20,$G469=$G$22,F$22,$G469=$G$23,F$23,$G469=$G$26,F$26,$G469=$G$29,F$29,$G469=$G$31,F$31,$G469=$G$34,F$34,$G469=$G$37,F$37,$G469=$G$107,F$107,$G469=$G$110,F$110,$G469=$G$140,F$140,$G469=$G$142,F$142,$G469=$G$408,F$408)</f>
        <v>8023</v>
      </c>
      <c r="G469" s="13" t="s">
        <v>74</v>
      </c>
      <c r="H469" s="51" cm="1">
        <f t="array" ref="H469">_xlfn.IFS($G469=$G$5,H$5,$G469=$G$7,H$7,$G469=$G$10,H$10,$G469=$G$13,H$13,$G469=$G$14,H$14,$G469=$G$16,H$16,$G469=$G$17,H$17,$G469=$G$19,H$19,$G469=$G$20,H$20,$G469=$G$22,H$22,$G469=$G$23,H$23,$G469=$G$26,H$26,$G469=$G$29,H$29,$G469=$G$31,H$31,$G469=$G$34,H$34,$G469=$G$37,H$37,$G469=$G$107,H$107,$G469=$G$110,H$110,$G469=$G$140,H$140,$G469=$G$142,H$142,$G469=$G$408,H$408)</f>
        <v>41.417256000000002</v>
      </c>
      <c r="I469" s="51" cm="1">
        <f t="array" ref="I469">_xlfn.IFS($G469=$G$5,I$5,$G469=$G$7,I$7,$G469=$G$10,I$10,$G469=$G$13,I$13,$G469=$G$14,I$14,$G469=$G$16,I$16,$G469=$G$17,I$17,$G469=$G$19,I$19,$G469=$G$20,I$20,$G469=$G$22,I$22,$G469=$G$23,I$23,$G469=$G$26,I$26,$G469=$G$29,I$29,$G469=$G$31,I$31,$G469=$G$34,I$34,$G469=$G$37,I$37,$G469=$G$107,I$107,$G469=$G$110,I$110,$G469=$G$140,I$140,$G469=$G$142,I$142,$G469=$G$408,I$408)</f>
        <v>2.1455709999999999</v>
      </c>
      <c r="J469" s="51" cm="1">
        <f t="array" ref="J469">_xlfn.IFS($G469=$G$5,J$5,$G469=$G$7,J$7,$G469=$G$10,J$10,$G469=$G$13,J$13,$G469=$G$14,J$14,$G469=$G$16,J$16,$G469=$G$17,J$17,$G469=$G$19,J$19,$G469=$G$20,J$20,$G469=$G$22,J$22,$G469=$G$23,J$23,$G469=$G$26,J$26,$G469=$G$29,J$29,$G469=$G$31,J$31,$G469=$G$34,J$34,$G469=$G$37,J$37,$G469=$G$107,J$107,$G469=$G$110,J$110,$G469=$G$140,J$140,$G469=$G$142,J$142,$G469=$G$408,J$408)</f>
        <v>186</v>
      </c>
      <c r="K469" s="13" t="str" cm="1">
        <f t="array" ref="K469">_xlfn.IFS($G469=$G$5,K$5,$G469=$G$7,K$7,$G469=$G$10,K$10,$G469=$G$13,K$13,$G469=$G$14,K$14,$G469=$G$16,K$16,$G469=$G$17,K$17,$G469=$G$19,K$19,$G469=$G$20,K$20,$G469=$G$22,K$22,$G469=$G$23,K$23,$G469=$G$26,K$26,$G469=$G$29,K$29,$G469=$G$31,K$31,$G469=$G$34,K$34,$G469=$G$37,K$37,$G469=$G$107,K$107,$G469=$G$110,K$110,$G469=$G$140,K$140,$G469=$G$142,K$142,$G469=$G$408,K$408)</f>
        <v>BG sentinel + BG lure7</v>
      </c>
      <c r="O469" s="13" t="str">
        <f t="shared" si="48"/>
        <v>A_SP_BCN_17_220927</v>
      </c>
      <c r="P469" s="27">
        <v>44831</v>
      </c>
      <c r="Q469" s="29">
        <v>0.64236111111111105</v>
      </c>
      <c r="R469" s="33"/>
      <c r="S469" s="27">
        <v>44838</v>
      </c>
      <c r="T469" s="29">
        <v>0.66319444444444442</v>
      </c>
      <c r="V469" s="13" t="s">
        <v>86</v>
      </c>
      <c r="X469" s="13">
        <f t="shared" si="45"/>
        <v>7</v>
      </c>
      <c r="Z469" s="13" t="s">
        <v>60</v>
      </c>
      <c r="AA469" s="13">
        <f t="shared" si="49"/>
        <v>17</v>
      </c>
      <c r="AB469" s="13" t="str">
        <f t="shared" si="46"/>
        <v>Adult</v>
      </c>
      <c r="AC469" s="13">
        <v>15</v>
      </c>
      <c r="AD469" s="13">
        <v>2</v>
      </c>
      <c r="AE469" s="13" t="str">
        <f t="shared" si="47"/>
        <v>Morphological</v>
      </c>
      <c r="AF469" s="2">
        <v>4</v>
      </c>
    </row>
    <row r="470" spans="1:32" x14ac:dyDescent="0.25">
      <c r="A470" s="13">
        <v>466</v>
      </c>
      <c r="B470" s="23" t="s">
        <v>56</v>
      </c>
      <c r="C470" s="23" t="s">
        <v>57</v>
      </c>
      <c r="D470" s="23" t="s">
        <v>58</v>
      </c>
      <c r="E470" s="23" t="s">
        <v>58</v>
      </c>
      <c r="F470" s="35" cm="1">
        <f t="array" ref="F470">_xlfn.IFS($G470=$G$5,F$5,$G470=$G$7,F$7,$G470=$G$10,F$10,$G470=$G$13,F$13,$G470=$G$14,F$14,$G470=$G$16,F$16,$G470=$G$17,F$17,$G470=$G$19,F$19,$G470=$G$20,F$20,$G470=$G$22,F$22,$G470=$G$23,F$23,$G470=$G$26,F$26,$G470=$G$29,F$29,$G470=$G$31,F$31,$G470=$G$34,F$34,$G470=$G$37,F$37,$G470=$G$107,F$107,$G470=$G$110,F$110,$G470=$G$140,F$140,$G470=$G$142,F$142,$G470=$G$408,F$408)</f>
        <v>8031</v>
      </c>
      <c r="G470" s="13" t="s">
        <v>75</v>
      </c>
      <c r="H470" s="51" cm="1">
        <f t="array" ref="H470">_xlfn.IFS($G470=$G$5,H$5,$G470=$G$7,H$7,$G470=$G$10,H$10,$G470=$G$13,H$13,$G470=$G$14,H$14,$G470=$G$16,H$16,$G470=$G$17,H$17,$G470=$G$19,H$19,$G470=$G$20,H$20,$G470=$G$22,H$22,$G470=$G$23,H$23,$G470=$G$26,H$26,$G470=$G$29,H$29,$G470=$G$31,H$31,$G470=$G$34,H$34,$G470=$G$37,H$37,$G470=$G$107,H$107,$G470=$G$110,H$110,$G470=$G$140,H$140,$G470=$G$142,H$142,$G470=$G$408,H$408)</f>
        <v>41.433618000000003</v>
      </c>
      <c r="I470" s="51" cm="1">
        <f t="array" ref="I470">_xlfn.IFS($G470=$G$5,I$5,$G470=$G$7,I$7,$G470=$G$10,I$10,$G470=$G$13,I$13,$G470=$G$14,I$14,$G470=$G$16,I$16,$G470=$G$17,I$17,$G470=$G$19,I$19,$G470=$G$20,I$20,$G470=$G$22,I$22,$G470=$G$23,I$23,$G470=$G$26,I$26,$G470=$G$29,I$29,$G470=$G$31,I$31,$G470=$G$34,I$34,$G470=$G$37,I$37,$G470=$G$107,I$107,$G470=$G$110,I$110,$G470=$G$140,I$140,$G470=$G$142,I$142,$G470=$G$408,I$408)</f>
        <v>2.1677469999999999</v>
      </c>
      <c r="J470" s="51" cm="1">
        <f t="array" ref="J470">_xlfn.IFS($G470=$G$5,J$5,$G470=$G$7,J$7,$G470=$G$10,J$10,$G470=$G$13,J$13,$G470=$G$14,J$14,$G470=$G$16,J$16,$G470=$G$17,J$17,$G470=$G$19,J$19,$G470=$G$20,J$20,$G470=$G$22,J$22,$G470=$G$23,J$23,$G470=$G$26,J$26,$G470=$G$29,J$29,$G470=$G$31,J$31,$G470=$G$34,J$34,$G470=$G$37,J$37,$G470=$G$107,J$107,$G470=$G$110,J$110,$G470=$G$140,J$140,$G470=$G$142,J$142,$G470=$G$408,J$408)</f>
        <v>96.85</v>
      </c>
      <c r="K470" s="13" t="str" cm="1">
        <f t="array" ref="K470">_xlfn.IFS($G470=$G$5,K$5,$G470=$G$7,K$7,$G470=$G$10,K$10,$G470=$G$13,K$13,$G470=$G$14,K$14,$G470=$G$16,K$16,$G470=$G$17,K$17,$G470=$G$19,K$19,$G470=$G$20,K$20,$G470=$G$22,K$22,$G470=$G$23,K$23,$G470=$G$26,K$26,$G470=$G$29,K$29,$G470=$G$31,K$31,$G470=$G$34,K$34,$G470=$G$37,K$37,$G470=$G$107,K$107,$G470=$G$110,K$110,$G470=$G$140,K$140,$G470=$G$142,K$142,$G470=$G$408,K$408)</f>
        <v>BG sentinel + BG lure7</v>
      </c>
      <c r="O470" s="13" t="str">
        <f t="shared" si="48"/>
        <v>A_SP_BCN_18_220927</v>
      </c>
      <c r="P470" s="27">
        <v>44831</v>
      </c>
      <c r="Q470" s="29">
        <v>0.77083333333333337</v>
      </c>
      <c r="R470" s="33"/>
      <c r="S470" s="27">
        <v>44838</v>
      </c>
      <c r="T470" s="29">
        <v>0.81597222222222221</v>
      </c>
      <c r="V470" s="13" t="s">
        <v>86</v>
      </c>
      <c r="W470" s="15" t="s">
        <v>102</v>
      </c>
      <c r="X470" s="13">
        <f t="shared" si="45"/>
        <v>7</v>
      </c>
      <c r="Z470" s="13" t="s">
        <v>60</v>
      </c>
      <c r="AA470" s="13">
        <f t="shared" si="49"/>
        <v>11</v>
      </c>
      <c r="AB470" s="13" t="str">
        <f t="shared" si="46"/>
        <v>Adult</v>
      </c>
      <c r="AC470" s="13">
        <v>11</v>
      </c>
      <c r="AD470" s="13">
        <v>0</v>
      </c>
      <c r="AE470" s="13" t="str">
        <f t="shared" si="47"/>
        <v>Morphological</v>
      </c>
      <c r="AF470" s="2">
        <v>4</v>
      </c>
    </row>
    <row r="471" spans="1:32" x14ac:dyDescent="0.25">
      <c r="A471" s="13">
        <v>467</v>
      </c>
      <c r="B471" s="23" t="s">
        <v>56</v>
      </c>
      <c r="C471" s="23" t="s">
        <v>57</v>
      </c>
      <c r="D471" s="23" t="s">
        <v>58</v>
      </c>
      <c r="E471" s="23" t="s">
        <v>58</v>
      </c>
      <c r="F471" s="35" cm="1">
        <f t="array" ref="F471">_xlfn.IFS($G471=$G$5,F$5,$G471=$G$7,F$7,$G471=$G$10,F$10,$G471=$G$13,F$13,$G471=$G$14,F$14,$G471=$G$16,F$16,$G471=$G$17,F$17,$G471=$G$19,F$19,$G471=$G$20,F$20,$G471=$G$22,F$22,$G471=$G$23,F$23,$G471=$G$26,F$26,$G471=$G$29,F$29,$G471=$G$31,F$31,$G471=$G$34,F$34,$G471=$G$37,F$37,$G471=$G$107,F$107,$G471=$G$110,F$110,$G471=$G$140,F$140,$G471=$G$142,F$142,$G471=$G$408,F$408)</f>
        <v>8038</v>
      </c>
      <c r="G471" s="13" t="s">
        <v>76</v>
      </c>
      <c r="H471" s="51" cm="1">
        <f t="array" ref="H471">_xlfn.IFS($G471=$G$5,H$5,$G471=$G$7,H$7,$G471=$G$10,H$10,$G471=$G$13,H$13,$G471=$G$14,H$14,$G471=$G$16,H$16,$G471=$G$17,H$17,$G471=$G$19,H$19,$G471=$G$20,H$20,$G471=$G$22,H$22,$G471=$G$23,H$23,$G471=$G$26,H$26,$G471=$G$29,H$29,$G471=$G$31,H$31,$G471=$G$34,H$34,$G471=$G$37,H$37,$G471=$G$107,H$107,$G471=$G$110,H$110,$G471=$G$140,H$140,$G471=$G$142,H$142,$G471=$G$408,H$408)</f>
        <v>41.359864999999999</v>
      </c>
      <c r="I471" s="51" cm="1">
        <f t="array" ref="I471">_xlfn.IFS($G471=$G$5,I$5,$G471=$G$7,I$7,$G471=$G$10,I$10,$G471=$G$13,I$13,$G471=$G$14,I$14,$G471=$G$16,I$16,$G471=$G$17,I$17,$G471=$G$19,I$19,$G471=$G$20,I$20,$G471=$G$22,I$22,$G471=$G$23,I$23,$G471=$G$26,I$26,$G471=$G$29,I$29,$G471=$G$31,I$31,$G471=$G$34,I$34,$G471=$G$37,I$37,$G471=$G$107,I$107,$G471=$G$110,I$110,$G471=$G$140,I$140,$G471=$G$142,I$142,$G471=$G$408,I$408)</f>
        <v>2.1445430000000001</v>
      </c>
      <c r="J471" s="51" cm="1">
        <f t="array" ref="J471">_xlfn.IFS($G471=$G$5,J$5,$G471=$G$7,J$7,$G471=$G$10,J$10,$G471=$G$13,J$13,$G471=$G$14,J$14,$G471=$G$16,J$16,$G471=$G$17,J$17,$G471=$G$19,J$19,$G471=$G$20,J$20,$G471=$G$22,J$22,$G471=$G$23,J$23,$G471=$G$26,J$26,$G471=$G$29,J$29,$G471=$G$31,J$31,$G471=$G$34,J$34,$G471=$G$37,J$37,$G471=$G$107,J$107,$G471=$G$110,J$110,$G471=$G$140,J$140,$G471=$G$142,J$142,$G471=$G$408,J$408)</f>
        <v>11.4</v>
      </c>
      <c r="K471" s="13" t="str" cm="1">
        <f t="array" ref="K471">_xlfn.IFS($G471=$G$5,K$5,$G471=$G$7,K$7,$G471=$G$10,K$10,$G471=$G$13,K$13,$G471=$G$14,K$14,$G471=$G$16,K$16,$G471=$G$17,K$17,$G471=$G$19,K$19,$G471=$G$20,K$20,$G471=$G$22,K$22,$G471=$G$23,K$23,$G471=$G$26,K$26,$G471=$G$29,K$29,$G471=$G$31,K$31,$G471=$G$34,K$34,$G471=$G$37,K$37,$G471=$G$107,K$107,$G471=$G$110,K$110,$G471=$G$140,K$140,$G471=$G$142,K$142,$G471=$G$408,K$408)</f>
        <v>BG sentinel + BG lure7</v>
      </c>
      <c r="O471" s="13" t="str">
        <f t="shared" si="48"/>
        <v>A_SP_BCN_19_220927</v>
      </c>
      <c r="P471" s="27">
        <v>44831</v>
      </c>
      <c r="Q471" s="29">
        <v>0.5625</v>
      </c>
      <c r="R471" s="33"/>
      <c r="S471" s="27">
        <v>44838</v>
      </c>
      <c r="T471" s="29">
        <v>0.59027777777777779</v>
      </c>
      <c r="V471" s="13" t="s">
        <v>86</v>
      </c>
      <c r="W471" s="15" t="s">
        <v>137</v>
      </c>
      <c r="X471" s="13">
        <f t="shared" si="45"/>
        <v>7</v>
      </c>
      <c r="Z471" s="13" t="s">
        <v>60</v>
      </c>
      <c r="AA471" s="13">
        <f t="shared" si="49"/>
        <v>72</v>
      </c>
      <c r="AB471" s="13" t="str">
        <f t="shared" si="46"/>
        <v>Adult</v>
      </c>
      <c r="AC471" s="13">
        <v>60</v>
      </c>
      <c r="AD471" s="13">
        <v>12</v>
      </c>
      <c r="AE471" s="13" t="str">
        <f t="shared" si="47"/>
        <v>Morphological</v>
      </c>
      <c r="AF471" s="2">
        <v>3</v>
      </c>
    </row>
    <row r="472" spans="1:32" x14ac:dyDescent="0.25">
      <c r="A472" s="13">
        <v>468</v>
      </c>
      <c r="B472" s="23" t="s">
        <v>56</v>
      </c>
      <c r="C472" s="23" t="s">
        <v>57</v>
      </c>
      <c r="D472" s="23" t="s">
        <v>58</v>
      </c>
      <c r="E472" s="23" t="s">
        <v>58</v>
      </c>
      <c r="F472" s="35" cm="1">
        <f t="array" ref="F472">_xlfn.IFS($G472=$G$5,F$5,$G472=$G$7,F$7,$G472=$G$10,F$10,$G472=$G$13,F$13,$G472=$G$14,F$14,$G472=$G$16,F$16,$G472=$G$17,F$17,$G472=$G$19,F$19,$G472=$G$20,F$20,$G472=$G$22,F$22,$G472=$G$23,F$23,$G472=$G$26,F$26,$G472=$G$29,F$29,$G472=$G$31,F$31,$G472=$G$34,F$34,$G472=$G$37,F$37,$G472=$G$107,F$107,$G472=$G$110,F$110,$G472=$G$140,F$140,$G472=$G$142,F$142,$G472=$G$408,F$408)</f>
        <v>8038</v>
      </c>
      <c r="G472" s="13" t="s">
        <v>76</v>
      </c>
      <c r="H472" s="51" cm="1">
        <f t="array" ref="H472">_xlfn.IFS($G472=$G$5,H$5,$G472=$G$7,H$7,$G472=$G$10,H$10,$G472=$G$13,H$13,$G472=$G$14,H$14,$G472=$G$16,H$16,$G472=$G$17,H$17,$G472=$G$19,H$19,$G472=$G$20,H$20,$G472=$G$22,H$22,$G472=$G$23,H$23,$G472=$G$26,H$26,$G472=$G$29,H$29,$G472=$G$31,H$31,$G472=$G$34,H$34,$G472=$G$37,H$37,$G472=$G$107,H$107,$G472=$G$110,H$110,$G472=$G$140,H$140,$G472=$G$142,H$142,$G472=$G$408,H$408)</f>
        <v>41.359864999999999</v>
      </c>
      <c r="I472" s="51" cm="1">
        <f t="array" ref="I472">_xlfn.IFS($G472=$G$5,I$5,$G472=$G$7,I$7,$G472=$G$10,I$10,$G472=$G$13,I$13,$G472=$G$14,I$14,$G472=$G$16,I$16,$G472=$G$17,I$17,$G472=$G$19,I$19,$G472=$G$20,I$20,$G472=$G$22,I$22,$G472=$G$23,I$23,$G472=$G$26,I$26,$G472=$G$29,I$29,$G472=$G$31,I$31,$G472=$G$34,I$34,$G472=$G$37,I$37,$G472=$G$107,I$107,$G472=$G$110,I$110,$G472=$G$140,I$140,$G472=$G$142,I$142,$G472=$G$408,I$408)</f>
        <v>2.1445430000000001</v>
      </c>
      <c r="J472" s="51" cm="1">
        <f t="array" ref="J472">_xlfn.IFS($G472=$G$5,J$5,$G472=$G$7,J$7,$G472=$G$10,J$10,$G472=$G$13,J$13,$G472=$G$14,J$14,$G472=$G$16,J$16,$G472=$G$17,J$17,$G472=$G$19,J$19,$G472=$G$20,J$20,$G472=$G$22,J$22,$G472=$G$23,J$23,$G472=$G$26,J$26,$G472=$G$29,J$29,$G472=$G$31,J$31,$G472=$G$34,J$34,$G472=$G$37,J$37,$G472=$G$107,J$107,$G472=$G$110,J$110,$G472=$G$140,J$140,$G472=$G$142,J$142,$G472=$G$408,J$408)</f>
        <v>11.4</v>
      </c>
      <c r="K472" s="13" t="str" cm="1">
        <f t="array" ref="K472">_xlfn.IFS($G472=$G$5,K$5,$G472=$G$7,K$7,$G472=$G$10,K$10,$G472=$G$13,K$13,$G472=$G$14,K$14,$G472=$G$16,K$16,$G472=$G$17,K$17,$G472=$G$19,K$19,$G472=$G$20,K$20,$G472=$G$22,K$22,$G472=$G$23,K$23,$G472=$G$26,K$26,$G472=$G$29,K$29,$G472=$G$31,K$31,$G472=$G$34,K$34,$G472=$G$37,K$37,$G472=$G$107,K$107,$G472=$G$110,K$110,$G472=$G$140,K$140,$G472=$G$142,K$142,$G472=$G$408,K$408)</f>
        <v>BG sentinel + BG lure7</v>
      </c>
      <c r="O472" s="13" t="str">
        <f t="shared" si="48"/>
        <v>A_SP_BCN_19_220927</v>
      </c>
      <c r="P472" s="27">
        <v>44831</v>
      </c>
      <c r="Q472" s="29">
        <v>0.5625</v>
      </c>
      <c r="R472" s="33"/>
      <c r="S472" s="27">
        <v>44838</v>
      </c>
      <c r="T472" s="29">
        <v>0.59027777777777779</v>
      </c>
      <c r="V472" s="13" t="s">
        <v>86</v>
      </c>
      <c r="W472" s="15" t="s">
        <v>137</v>
      </c>
      <c r="X472" s="13">
        <f t="shared" si="45"/>
        <v>7</v>
      </c>
      <c r="Z472" s="13" t="s">
        <v>164</v>
      </c>
      <c r="AA472" s="13">
        <f t="shared" si="49"/>
        <v>142</v>
      </c>
      <c r="AB472" s="13" t="str">
        <f t="shared" si="46"/>
        <v>Adult</v>
      </c>
      <c r="AC472" s="13">
        <v>136</v>
      </c>
      <c r="AD472" s="13">
        <v>6</v>
      </c>
      <c r="AE472" s="13" t="str">
        <f t="shared" si="47"/>
        <v>Morphological</v>
      </c>
      <c r="AF472" s="2">
        <v>3</v>
      </c>
    </row>
    <row r="473" spans="1:32" ht="15.75" customHeight="1" x14ac:dyDescent="0.25">
      <c r="A473" s="13">
        <v>469</v>
      </c>
      <c r="B473" s="23" t="s">
        <v>56</v>
      </c>
      <c r="C473" s="23" t="s">
        <v>57</v>
      </c>
      <c r="D473" s="23" t="s">
        <v>58</v>
      </c>
      <c r="E473" s="23" t="s">
        <v>58</v>
      </c>
      <c r="F473" s="35" cm="1">
        <f t="array" ref="F473">_xlfn.IFS($G473=$G$5,F$5,$G473=$G$7,F$7,$G473=$G$10,F$10,$G473=$G$13,F$13,$G473=$G$14,F$14,$G473=$G$16,F$16,$G473=$G$17,F$17,$G473=$G$19,F$19,$G473=$G$20,F$20,$G473=$G$22,F$22,$G473=$G$23,F$23,$G473=$G$26,F$26,$G473=$G$29,F$29,$G473=$G$31,F$31,$G473=$G$34,F$34,$G473=$G$37,F$37,$G473=$G$107,F$107,$G473=$G$110,F$110,$G473=$G$140,F$140,$G473=$G$142,F$142,$G473=$G$408,F$408)</f>
        <v>8038</v>
      </c>
      <c r="G473" s="13" t="s">
        <v>76</v>
      </c>
      <c r="H473" s="51" cm="1">
        <f t="array" ref="H473">_xlfn.IFS($G473=$G$5,H$5,$G473=$G$7,H$7,$G473=$G$10,H$10,$G473=$G$13,H$13,$G473=$G$14,H$14,$G473=$G$16,H$16,$G473=$G$17,H$17,$G473=$G$19,H$19,$G473=$G$20,H$20,$G473=$G$22,H$22,$G473=$G$23,H$23,$G473=$G$26,H$26,$G473=$G$29,H$29,$G473=$G$31,H$31,$G473=$G$34,H$34,$G473=$G$37,H$37,$G473=$G$107,H$107,$G473=$G$110,H$110,$G473=$G$140,H$140,$G473=$G$142,H$142,$G473=$G$408,H$408)</f>
        <v>41.359864999999999</v>
      </c>
      <c r="I473" s="51" cm="1">
        <f t="array" ref="I473">_xlfn.IFS($G473=$G$5,I$5,$G473=$G$7,I$7,$G473=$G$10,I$10,$G473=$G$13,I$13,$G473=$G$14,I$14,$G473=$G$16,I$16,$G473=$G$17,I$17,$G473=$G$19,I$19,$G473=$G$20,I$20,$G473=$G$22,I$22,$G473=$G$23,I$23,$G473=$G$26,I$26,$G473=$G$29,I$29,$G473=$G$31,I$31,$G473=$G$34,I$34,$G473=$G$37,I$37,$G473=$G$107,I$107,$G473=$G$110,I$110,$G473=$G$140,I$140,$G473=$G$142,I$142,$G473=$G$408,I$408)</f>
        <v>2.1445430000000001</v>
      </c>
      <c r="J473" s="51" cm="1">
        <f t="array" ref="J473">_xlfn.IFS($G473=$G$5,J$5,$G473=$G$7,J$7,$G473=$G$10,J$10,$G473=$G$13,J$13,$G473=$G$14,J$14,$G473=$G$16,J$16,$G473=$G$17,J$17,$G473=$G$19,J$19,$G473=$G$20,J$20,$G473=$G$22,J$22,$G473=$G$23,J$23,$G473=$G$26,J$26,$G473=$G$29,J$29,$G473=$G$31,J$31,$G473=$G$34,J$34,$G473=$G$37,J$37,$G473=$G$107,J$107,$G473=$G$110,J$110,$G473=$G$140,J$140,$G473=$G$142,J$142,$G473=$G$408,J$408)</f>
        <v>11.4</v>
      </c>
      <c r="K473" s="13" t="str" cm="1">
        <f t="array" ref="K473">_xlfn.IFS($G473=$G$5,K$5,$G473=$G$7,K$7,$G473=$G$10,K$10,$G473=$G$13,K$13,$G473=$G$14,K$14,$G473=$G$16,K$16,$G473=$G$17,K$17,$G473=$G$19,K$19,$G473=$G$20,K$20,$G473=$G$22,K$22,$G473=$G$23,K$23,$G473=$G$26,K$26,$G473=$G$29,K$29,$G473=$G$31,K$31,$G473=$G$34,K$34,$G473=$G$37,K$37,$G473=$G$107,K$107,$G473=$G$110,K$110,$G473=$G$140,K$140,$G473=$G$142,K$142,$G473=$G$408,K$408)</f>
        <v>BG sentinel + BG lure7</v>
      </c>
      <c r="O473" s="13" t="str">
        <f t="shared" si="48"/>
        <v>A_SP_BCN_19_220927</v>
      </c>
      <c r="P473" s="27">
        <v>44831</v>
      </c>
      <c r="Q473" s="29">
        <v>0.5625</v>
      </c>
      <c r="R473" s="33"/>
      <c r="S473" s="27">
        <v>44838</v>
      </c>
      <c r="T473" s="29">
        <v>0.59027777777777779</v>
      </c>
      <c r="V473" s="13" t="s">
        <v>86</v>
      </c>
      <c r="W473" s="15" t="s">
        <v>137</v>
      </c>
      <c r="X473" s="13">
        <f t="shared" si="45"/>
        <v>7</v>
      </c>
      <c r="Z473" s="32" t="s">
        <v>163</v>
      </c>
      <c r="AA473" s="13">
        <f t="shared" si="49"/>
        <v>3</v>
      </c>
      <c r="AB473" s="13" t="str">
        <f t="shared" si="46"/>
        <v>Adult</v>
      </c>
      <c r="AC473" s="13">
        <v>3</v>
      </c>
      <c r="AD473" s="13">
        <v>0</v>
      </c>
      <c r="AE473" s="13" t="str">
        <f t="shared" si="47"/>
        <v>Morphological</v>
      </c>
      <c r="AF473" s="2">
        <v>3</v>
      </c>
    </row>
    <row r="474" spans="1:32" x14ac:dyDescent="0.25">
      <c r="A474" s="13">
        <v>470</v>
      </c>
      <c r="B474" s="23" t="s">
        <v>56</v>
      </c>
      <c r="C474" s="23" t="s">
        <v>57</v>
      </c>
      <c r="D474" s="23" t="s">
        <v>58</v>
      </c>
      <c r="E474" s="23" t="s">
        <v>58</v>
      </c>
      <c r="F474" s="35" cm="1">
        <f t="array" ref="F474">_xlfn.IFS($G474=$G$5,F$5,$G474=$G$7,F$7,$G474=$G$10,F$10,$G474=$G$13,F$13,$G474=$G$14,F$14,$G474=$G$16,F$16,$G474=$G$17,F$17,$G474=$G$19,F$19,$G474=$G$20,F$20,$G474=$G$22,F$22,$G474=$G$23,F$23,$G474=$G$26,F$26,$G474=$G$29,F$29,$G474=$G$31,F$31,$G474=$G$34,F$34,$G474=$G$37,F$37,$G474=$G$107,F$107,$G474=$G$110,F$110,$G474=$G$140,F$140,$G474=$G$142,F$142,$G474=$G$408,F$408)</f>
        <v>8017</v>
      </c>
      <c r="G474" s="13" t="s">
        <v>77</v>
      </c>
      <c r="H474" s="51" cm="1">
        <f t="array" ref="H474">_xlfn.IFS($G474=$G$5,H$5,$G474=$G$7,H$7,$G474=$G$10,H$10,$G474=$G$13,H$13,$G474=$G$14,H$14,$G474=$G$16,H$16,$G474=$G$17,H$17,$G474=$G$19,H$19,$G474=$G$20,H$20,$G474=$G$22,H$22,$G474=$G$23,H$23,$G474=$G$26,H$26,$G474=$G$29,H$29,$G474=$G$31,H$31,$G474=$G$34,H$34,$G474=$G$37,H$37,$G474=$G$107,H$107,$G474=$G$110,H$110,$G474=$G$140,H$140,$G474=$G$142,H$142,$G474=$G$408,H$408)</f>
        <v>41.430315999999998</v>
      </c>
      <c r="I474" s="51" cm="1">
        <f t="array" ref="I474">_xlfn.IFS($G474=$G$5,I$5,$G474=$G$7,I$7,$G474=$G$10,I$10,$G474=$G$13,I$13,$G474=$G$14,I$14,$G474=$G$16,I$16,$G474=$G$17,I$17,$G474=$G$19,I$19,$G474=$G$20,I$20,$G474=$G$22,I$22,$G474=$G$23,I$23,$G474=$G$26,I$26,$G474=$G$29,I$29,$G474=$G$31,I$31,$G474=$G$34,I$34,$G474=$G$37,I$37,$G474=$G$107,I$107,$G474=$G$110,I$110,$G474=$G$140,I$140,$G474=$G$142,I$142,$G474=$G$408,I$408)</f>
        <v>2.077556</v>
      </c>
      <c r="J474" s="51" cm="1">
        <f t="array" ref="J474">_xlfn.IFS($G474=$G$5,J$5,$G474=$G$7,J$7,$G474=$G$10,J$10,$G474=$G$13,J$13,$G474=$G$14,J$14,$G474=$G$16,J$16,$G474=$G$17,J$17,$G474=$G$19,J$19,$G474=$G$20,J$20,$G474=$G$22,J$22,$G474=$G$23,J$23,$G474=$G$26,J$26,$G474=$G$29,J$29,$G474=$G$31,J$31,$G474=$G$34,J$34,$G474=$G$37,J$37,$G474=$G$107,J$107,$G474=$G$110,J$110,$G474=$G$140,J$140,$G474=$G$142,J$142,$G474=$G$408,J$408)</f>
        <v>243.3</v>
      </c>
      <c r="K474" s="13" t="str" cm="1">
        <f t="array" ref="K474">_xlfn.IFS($G474=$G$5,K$5,$G474=$G$7,K$7,$G474=$G$10,K$10,$G474=$G$13,K$13,$G474=$G$14,K$14,$G474=$G$16,K$16,$G474=$G$17,K$17,$G474=$G$19,K$19,$G474=$G$20,K$20,$G474=$G$22,K$22,$G474=$G$23,K$23,$G474=$G$26,K$26,$G474=$G$29,K$29,$G474=$G$31,K$31,$G474=$G$34,K$34,$G474=$G$37,K$37,$G474=$G$107,K$107,$G474=$G$110,K$110,$G474=$G$140,K$140,$G474=$G$142,K$142,$G474=$G$408,K$408)</f>
        <v>BG sentinel + BG lure7</v>
      </c>
      <c r="O474" s="13" t="str">
        <f t="shared" si="48"/>
        <v>A_SP_BCN_22_220927</v>
      </c>
      <c r="P474" s="27">
        <v>44831</v>
      </c>
      <c r="Q474" s="29">
        <v>0.70486111111111116</v>
      </c>
      <c r="R474" s="33"/>
      <c r="S474" s="31">
        <v>44838</v>
      </c>
      <c r="T474" s="29">
        <v>0.75</v>
      </c>
      <c r="V474" s="13" t="s">
        <v>139</v>
      </c>
      <c r="W474" t="s">
        <v>195</v>
      </c>
      <c r="X474" s="13">
        <f t="shared" si="45"/>
        <v>7</v>
      </c>
      <c r="Z474" s="13" t="s">
        <v>60</v>
      </c>
      <c r="AA474" s="13">
        <f t="shared" si="49"/>
        <v>18</v>
      </c>
      <c r="AB474" s="13" t="str">
        <f t="shared" si="46"/>
        <v>Adult</v>
      </c>
      <c r="AC474" s="13">
        <v>17</v>
      </c>
      <c r="AD474" s="13">
        <v>1</v>
      </c>
      <c r="AE474" s="13" t="str">
        <f t="shared" si="47"/>
        <v>Morphological</v>
      </c>
      <c r="AF474" s="2">
        <v>2</v>
      </c>
    </row>
    <row r="475" spans="1:32" x14ac:dyDescent="0.25">
      <c r="A475" s="13">
        <v>471</v>
      </c>
      <c r="B475" s="23" t="s">
        <v>56</v>
      </c>
      <c r="C475" s="23" t="s">
        <v>57</v>
      </c>
      <c r="D475" s="23" t="s">
        <v>58</v>
      </c>
      <c r="E475" s="23" t="s">
        <v>58</v>
      </c>
      <c r="F475" s="35" cm="1">
        <f t="array" ref="F475">_xlfn.IFS($G475=$G$5,F$5,$G475=$G$7,F$7,$G475=$G$10,F$10,$G475=$G$13,F$13,$G475=$G$14,F$14,$G475=$G$16,F$16,$G475=$G$17,F$17,$G475=$G$19,F$19,$G475=$G$20,F$20,$G475=$G$22,F$22,$G475=$G$23,F$23,$G475=$G$26,F$26,$G475=$G$29,F$29,$G475=$G$31,F$31,$G475=$G$34,F$34,$G475=$G$37,F$37,$G475=$G$107,F$107,$G475=$G$110,F$110,$G475=$G$140,F$140,$G475=$G$142,F$142,$G475=$G$408,F$408)</f>
        <v>8038</v>
      </c>
      <c r="G475" s="13" t="s">
        <v>79</v>
      </c>
      <c r="H475" s="51" cm="1">
        <f t="array" ref="H475">_xlfn.IFS($G475=$G$5,H$5,$G475=$G$7,H$7,$G475=$G$10,H$10,$G475=$G$13,H$13,$G475=$G$14,H$14,$G475=$G$16,H$16,$G475=$G$17,H$17,$G475=$G$19,H$19,$G475=$G$20,H$20,$G475=$G$22,H$22,$G475=$G$23,H$23,$G475=$G$26,H$26,$G475=$G$29,H$29,$G475=$G$31,H$31,$G475=$G$34,H$34,$G475=$G$37,H$37,$G475=$G$107,H$107,$G475=$G$110,H$110,$G475=$G$140,H$140,$G475=$G$142,H$142,$G475=$G$408,H$408)</f>
        <v>41.367100000000001</v>
      </c>
      <c r="I475" s="51" cm="1">
        <f t="array" ref="I475">_xlfn.IFS($G475=$G$5,I$5,$G475=$G$7,I$7,$G475=$G$10,I$10,$G475=$G$13,I$13,$G475=$G$14,I$14,$G475=$G$16,I$16,$G475=$G$17,I$17,$G475=$G$19,I$19,$G475=$G$20,I$20,$G475=$G$22,I$22,$G475=$G$23,I$23,$G475=$G$26,I$26,$G475=$G$29,I$29,$G475=$G$31,I$31,$G475=$G$34,I$34,$G475=$G$37,I$37,$G475=$G$107,I$107,$G475=$G$110,I$110,$G475=$G$140,I$140,$G475=$G$142,I$142,$G475=$G$408,I$408)</f>
        <v>2.1539079999999999</v>
      </c>
      <c r="J475" s="51" cm="1">
        <f t="array" ref="J475">_xlfn.IFS($G475=$G$5,J$5,$G475=$G$7,J$7,$G475=$G$10,J$10,$G475=$G$13,J$13,$G475=$G$14,J$14,$G475=$G$16,J$16,$G475=$G$17,J$17,$G475=$G$19,J$19,$G475=$G$20,J$20,$G475=$G$22,J$22,$G475=$G$23,J$23,$G475=$G$26,J$26,$G475=$G$29,J$29,$G475=$G$31,J$31,$G475=$G$34,J$34,$G475=$G$37,J$37,$G475=$G$107,J$107,$G475=$G$110,J$110,$G475=$G$140,J$140,$G475=$G$142,J$142,$G475=$G$408,J$408)</f>
        <v>68</v>
      </c>
      <c r="K475" s="13" t="str" cm="1">
        <f t="array" ref="K475">_xlfn.IFS($G475=$G$5,K$5,$G475=$G$7,K$7,$G475=$G$10,K$10,$G475=$G$13,K$13,$G475=$G$14,K$14,$G475=$G$16,K$16,$G475=$G$17,K$17,$G475=$G$19,K$19,$G475=$G$20,K$20,$G475=$G$22,K$22,$G475=$G$23,K$23,$G475=$G$26,K$26,$G475=$G$29,K$29,$G475=$G$31,K$31,$G475=$G$34,K$34,$G475=$G$37,K$37,$G475=$G$107,K$107,$G475=$G$110,K$110,$G475=$G$140,K$140,$G475=$G$142,K$142,$G475=$G$408,K$408)</f>
        <v>BG sentinel + BG lure7</v>
      </c>
      <c r="O475" s="13" t="str">
        <f t="shared" si="48"/>
        <v>A_SP_BCN_23_220927</v>
      </c>
      <c r="P475" s="27">
        <v>44831</v>
      </c>
      <c r="Q475" s="29">
        <v>0.57291666666666663</v>
      </c>
      <c r="R475" s="33"/>
      <c r="S475" s="27">
        <v>44838</v>
      </c>
      <c r="T475" s="29">
        <v>0.60069444444444442</v>
      </c>
      <c r="V475" s="13" t="s">
        <v>86</v>
      </c>
      <c r="X475" s="13">
        <f t="shared" si="45"/>
        <v>7</v>
      </c>
      <c r="Z475" s="13" t="s">
        <v>60</v>
      </c>
      <c r="AA475" s="13">
        <f t="shared" si="49"/>
        <v>61</v>
      </c>
      <c r="AB475" s="13" t="str">
        <f t="shared" si="46"/>
        <v>Adult</v>
      </c>
      <c r="AC475" s="13">
        <v>37</v>
      </c>
      <c r="AD475" s="13">
        <v>24</v>
      </c>
      <c r="AE475" s="13" t="str">
        <f t="shared" si="47"/>
        <v>Morphological</v>
      </c>
      <c r="AF475" s="2">
        <v>4</v>
      </c>
    </row>
    <row r="476" spans="1:32" x14ac:dyDescent="0.25">
      <c r="A476" s="13">
        <v>472</v>
      </c>
      <c r="B476" s="23" t="s">
        <v>56</v>
      </c>
      <c r="C476" s="23" t="s">
        <v>57</v>
      </c>
      <c r="D476" s="23" t="s">
        <v>58</v>
      </c>
      <c r="E476" s="23" t="s">
        <v>58</v>
      </c>
      <c r="F476" s="35" cm="1">
        <f t="array" ref="F476">_xlfn.IFS($G476=$G$5,F$5,$G476=$G$7,F$7,$G476=$G$10,F$10,$G476=$G$13,F$13,$G476=$G$14,F$14,$G476=$G$16,F$16,$G476=$G$17,F$17,$G476=$G$19,F$19,$G476=$G$20,F$20,$G476=$G$22,F$22,$G476=$G$23,F$23,$G476=$G$26,F$26,$G476=$G$29,F$29,$G476=$G$31,F$31,$G476=$G$34,F$34,$G476=$G$37,F$37,$G476=$G$107,F$107,$G476=$G$110,F$110,$G476=$G$140,F$140,$G476=$G$142,F$142,$G476=$G$408,F$408)</f>
        <v>8038</v>
      </c>
      <c r="G476" s="13" t="s">
        <v>79</v>
      </c>
      <c r="H476" s="51" cm="1">
        <f t="array" ref="H476">_xlfn.IFS($G476=$G$5,H$5,$G476=$G$7,H$7,$G476=$G$10,H$10,$G476=$G$13,H$13,$G476=$G$14,H$14,$G476=$G$16,H$16,$G476=$G$17,H$17,$G476=$G$19,H$19,$G476=$G$20,H$20,$G476=$G$22,H$22,$G476=$G$23,H$23,$G476=$G$26,H$26,$G476=$G$29,H$29,$G476=$G$31,H$31,$G476=$G$34,H$34,$G476=$G$37,H$37,$G476=$G$107,H$107,$G476=$G$110,H$110,$G476=$G$140,H$140,$G476=$G$142,H$142,$G476=$G$408,H$408)</f>
        <v>41.367100000000001</v>
      </c>
      <c r="I476" s="51" cm="1">
        <f t="array" ref="I476">_xlfn.IFS($G476=$G$5,I$5,$G476=$G$7,I$7,$G476=$G$10,I$10,$G476=$G$13,I$13,$G476=$G$14,I$14,$G476=$G$16,I$16,$G476=$G$17,I$17,$G476=$G$19,I$19,$G476=$G$20,I$20,$G476=$G$22,I$22,$G476=$G$23,I$23,$G476=$G$26,I$26,$G476=$G$29,I$29,$G476=$G$31,I$31,$G476=$G$34,I$34,$G476=$G$37,I$37,$G476=$G$107,I$107,$G476=$G$110,I$110,$G476=$G$140,I$140,$G476=$G$142,I$142,$G476=$G$408,I$408)</f>
        <v>2.1539079999999999</v>
      </c>
      <c r="J476" s="51" cm="1">
        <f t="array" ref="J476">_xlfn.IFS($G476=$G$5,J$5,$G476=$G$7,J$7,$G476=$G$10,J$10,$G476=$G$13,J$13,$G476=$G$14,J$14,$G476=$G$16,J$16,$G476=$G$17,J$17,$G476=$G$19,J$19,$G476=$G$20,J$20,$G476=$G$22,J$22,$G476=$G$23,J$23,$G476=$G$26,J$26,$G476=$G$29,J$29,$G476=$G$31,J$31,$G476=$G$34,J$34,$G476=$G$37,J$37,$G476=$G$107,J$107,$G476=$G$110,J$110,$G476=$G$140,J$140,$G476=$G$142,J$142,$G476=$G$408,J$408)</f>
        <v>68</v>
      </c>
      <c r="K476" s="13" t="str" cm="1">
        <f t="array" ref="K476">_xlfn.IFS($G476=$G$5,K$5,$G476=$G$7,K$7,$G476=$G$10,K$10,$G476=$G$13,K$13,$G476=$G$14,K$14,$G476=$G$16,K$16,$G476=$G$17,K$17,$G476=$G$19,K$19,$G476=$G$20,K$20,$G476=$G$22,K$22,$G476=$G$23,K$23,$G476=$G$26,K$26,$G476=$G$29,K$29,$G476=$G$31,K$31,$G476=$G$34,K$34,$G476=$G$37,K$37,$G476=$G$107,K$107,$G476=$G$110,K$110,$G476=$G$140,K$140,$G476=$G$142,K$142,$G476=$G$408,K$408)</f>
        <v>BG sentinel + BG lure7</v>
      </c>
      <c r="O476" s="13" t="str">
        <f t="shared" si="48"/>
        <v>A_SP_BCN_23_220927</v>
      </c>
      <c r="P476" s="27">
        <v>44831</v>
      </c>
      <c r="Q476" s="29">
        <v>0.57291666666666663</v>
      </c>
      <c r="R476" s="33"/>
      <c r="S476" s="27">
        <v>44838</v>
      </c>
      <c r="T476" s="29">
        <v>0.60069444444444442</v>
      </c>
      <c r="V476" s="13" t="s">
        <v>86</v>
      </c>
      <c r="X476" s="13">
        <f t="shared" si="45"/>
        <v>7</v>
      </c>
      <c r="Z476" s="13" t="s">
        <v>164</v>
      </c>
      <c r="AA476" s="13">
        <f t="shared" si="49"/>
        <v>6</v>
      </c>
      <c r="AB476" s="13" t="str">
        <f t="shared" si="46"/>
        <v>Adult</v>
      </c>
      <c r="AC476" s="13">
        <v>2</v>
      </c>
      <c r="AD476" s="13">
        <v>4</v>
      </c>
      <c r="AE476" s="13" t="str">
        <f t="shared" si="47"/>
        <v>Morphological</v>
      </c>
      <c r="AF476" s="2">
        <v>4</v>
      </c>
    </row>
    <row r="477" spans="1:32" x14ac:dyDescent="0.25">
      <c r="A477" s="13">
        <v>473</v>
      </c>
      <c r="B477" s="23" t="s">
        <v>56</v>
      </c>
      <c r="C477" s="23" t="s">
        <v>57</v>
      </c>
      <c r="D477" s="23" t="s">
        <v>58</v>
      </c>
      <c r="E477" s="23" t="s">
        <v>58</v>
      </c>
      <c r="F477" s="35" cm="1">
        <f t="array" ref="F477">_xlfn.IFS($G477=$G$5,F$5,$G477=$G$7,F$7,$G477=$G$10,F$10,$G477=$G$13,F$13,$G477=$G$14,F$14,$G477=$G$16,F$16,$G477=$G$17,F$17,$G477=$G$19,F$19,$G477=$G$20,F$20,$G477=$G$22,F$22,$G477=$G$23,F$23,$G477=$G$26,F$26,$G477=$G$29,F$29,$G477=$G$31,F$31,$G477=$G$34,F$34,$G477=$G$37,F$37,$G477=$G$107,F$107,$G477=$G$110,F$110,$G477=$G$140,F$140,$G477=$G$142,F$142,$G477=$G$408,F$408)</f>
        <v>8015</v>
      </c>
      <c r="G477" s="13" t="s">
        <v>78</v>
      </c>
      <c r="H477" s="51" cm="1">
        <f t="array" ref="H477">_xlfn.IFS($G477=$G$5,H$5,$G477=$G$7,H$7,$G477=$G$10,H$10,$G477=$G$13,H$13,$G477=$G$14,H$14,$G477=$G$16,H$16,$G477=$G$17,H$17,$G477=$G$19,H$19,$G477=$G$20,H$20,$G477=$G$22,H$22,$G477=$G$23,H$23,$G477=$G$26,H$26,$G477=$G$29,H$29,$G477=$G$31,H$31,$G477=$G$34,H$34,$G477=$G$37,H$37,$G477=$G$107,H$107,$G477=$G$110,H$110,$G477=$G$140,H$140,$G477=$G$142,H$142,$G477=$G$408,H$408)</f>
        <v>41.381725000000003</v>
      </c>
      <c r="I477" s="51" cm="1">
        <f t="array" ref="I477">_xlfn.IFS($G477=$G$5,I$5,$G477=$G$7,I$7,$G477=$G$10,I$10,$G477=$G$13,I$13,$G477=$G$14,I$14,$G477=$G$16,I$16,$G477=$G$17,I$17,$G477=$G$19,I$19,$G477=$G$20,I$20,$G477=$G$22,I$22,$G477=$G$23,I$23,$G477=$G$26,I$26,$G477=$G$29,I$29,$G477=$G$31,I$31,$G477=$G$34,I$34,$G477=$G$37,I$37,$G477=$G$107,I$107,$G477=$G$110,I$110,$G477=$G$140,I$140,$G477=$G$142,I$142,$G477=$G$408,I$408)</f>
        <v>2.1543679999999998</v>
      </c>
      <c r="J477" s="51" cm="1">
        <f t="array" ref="J477">_xlfn.IFS($G477=$G$5,J$5,$G477=$G$7,J$7,$G477=$G$10,J$10,$G477=$G$13,J$13,$G477=$G$14,J$14,$G477=$G$16,J$16,$G477=$G$17,J$17,$G477=$G$19,J$19,$G477=$G$20,J$20,$G477=$G$22,J$22,$G477=$G$23,J$23,$G477=$G$26,J$26,$G477=$G$29,J$29,$G477=$G$31,J$31,$G477=$G$34,J$34,$G477=$G$37,J$37,$G477=$G$107,J$107,$G477=$G$110,J$110,$G477=$G$140,J$140,$G477=$G$142,J$142,$G477=$G$408,J$408)</f>
        <v>20.7</v>
      </c>
      <c r="K477" s="13" t="str" cm="1">
        <f t="array" ref="K477">_xlfn.IFS($G477=$G$5,K$5,$G477=$G$7,K$7,$G477=$G$10,K$10,$G477=$G$13,K$13,$G477=$G$14,K$14,$G477=$G$16,K$16,$G477=$G$17,K$17,$G477=$G$19,K$19,$G477=$G$20,K$20,$G477=$G$22,K$22,$G477=$G$23,K$23,$G477=$G$26,K$26,$G477=$G$29,K$29,$G477=$G$31,K$31,$G477=$G$34,K$34,$G477=$G$37,K$37,$G477=$G$107,K$107,$G477=$G$110,K$110,$G477=$G$140,K$140,$G477=$G$142,K$142,$G477=$G$408,K$408)</f>
        <v>BG sentinel + BG lure7</v>
      </c>
      <c r="O477" s="13" t="str">
        <f t="shared" si="48"/>
        <v>A_SP_BCN_24_220927</v>
      </c>
      <c r="P477" s="42">
        <v>44831</v>
      </c>
      <c r="Q477" s="36">
        <v>0.86111111111111116</v>
      </c>
      <c r="R477" s="43"/>
      <c r="S477" s="42">
        <v>44838</v>
      </c>
      <c r="T477" s="36">
        <v>0.89236111111111116</v>
      </c>
      <c r="U477" s="44"/>
      <c r="V477" s="44" t="s">
        <v>123</v>
      </c>
      <c r="W477" s="16" t="s">
        <v>196</v>
      </c>
      <c r="X477" s="13">
        <f t="shared" si="45"/>
        <v>7</v>
      </c>
      <c r="AB477" s="13" t="str">
        <f t="shared" si="46"/>
        <v/>
      </c>
      <c r="AE477" s="13" t="str">
        <f t="shared" si="47"/>
        <v/>
      </c>
      <c r="AF477" s="2">
        <v>1</v>
      </c>
    </row>
    <row r="478" spans="1:32" x14ac:dyDescent="0.25">
      <c r="A478" s="13">
        <v>474</v>
      </c>
      <c r="B478" s="23" t="s">
        <v>56</v>
      </c>
      <c r="C478" s="23" t="s">
        <v>57</v>
      </c>
      <c r="D478" s="23" t="s">
        <v>58</v>
      </c>
      <c r="E478" s="23" t="s">
        <v>58</v>
      </c>
      <c r="F478" s="35" cm="1">
        <f t="array" ref="F478">_xlfn.IFS($G478=$G$5,F$5,$G478=$G$7,F$7,$G478=$G$10,F$10,$G478=$G$13,F$13,$G478=$G$14,F$14,$G478=$G$16,F$16,$G478=$G$17,F$17,$G478=$G$19,F$19,$G478=$G$20,F$20,$G478=$G$22,F$22,$G478=$G$23,F$23,$G478=$G$26,F$26,$G478=$G$29,F$29,$G478=$G$31,F$31,$G478=$G$34,F$34,$G478=$G$37,F$37,$G478=$G$107,F$107,$G478=$G$110,F$110,$G478=$G$140,F$140,$G478=$G$142,F$142,$G478=$G$408,F$408)</f>
        <v>8025</v>
      </c>
      <c r="G478" s="13" t="s">
        <v>122</v>
      </c>
      <c r="H478" s="51" cm="1">
        <f t="array" ref="H478">_xlfn.IFS($G478=$G$5,H$5,$G478=$G$7,H$7,$G478=$G$10,H$10,$G478=$G$13,H$13,$G478=$G$14,H$14,$G478=$G$16,H$16,$G478=$G$17,H$17,$G478=$G$19,H$19,$G478=$G$20,H$20,$G478=$G$22,H$22,$G478=$G$23,H$23,$G478=$G$26,H$26,$G478=$G$29,H$29,$G478=$G$31,H$31,$G478=$G$34,H$34,$G478=$G$37,H$37,$G478=$G$107,H$107,$G478=$G$110,H$110,$G478=$G$140,H$140,$G478=$G$142,H$142,$G478=$G$408,H$408)</f>
        <v>41.407992</v>
      </c>
      <c r="I478" s="51" cm="1">
        <f t="array" ref="I478">_xlfn.IFS($G478=$G$5,I$5,$G478=$G$7,I$7,$G478=$G$10,I$10,$G478=$G$13,I$13,$G478=$G$14,I$14,$G478=$G$16,I$16,$G478=$G$17,I$17,$G478=$G$19,I$19,$G478=$G$20,I$20,$G478=$G$22,I$22,$G478=$G$23,I$23,$G478=$G$26,I$26,$G478=$G$29,I$29,$G478=$G$31,I$31,$G478=$G$34,I$34,$G478=$G$37,I$37,$G478=$G$107,I$107,$G478=$G$110,I$110,$G478=$G$140,I$140,$G478=$G$142,I$142,$G478=$G$408,I$408)</f>
        <v>2.1679379999999999</v>
      </c>
      <c r="J478" s="51" cm="1">
        <f t="array" ref="J478">_xlfn.IFS($G478=$G$5,J$5,$G478=$G$7,J$7,$G478=$G$10,J$10,$G478=$G$13,J$13,$G478=$G$14,J$14,$G478=$G$16,J$16,$G478=$G$17,J$17,$G478=$G$19,J$19,$G478=$G$20,J$20,$G478=$G$22,J$22,$G478=$G$23,J$23,$G478=$G$26,J$26,$G478=$G$29,J$29,$G478=$G$31,J$31,$G478=$G$34,J$34,$G478=$G$37,J$37,$G478=$G$107,J$107,$G478=$G$110,J$110,$G478=$G$140,J$140,$G478=$G$142,J$142,$G478=$G$408,J$408)</f>
        <v>61</v>
      </c>
      <c r="K478" s="13" t="str" cm="1">
        <f t="array" ref="K478">_xlfn.IFS($G478=$G$5,K$5,$G478=$G$7,K$7,$G478=$G$10,K$10,$G478=$G$13,K$13,$G478=$G$14,K$14,$G478=$G$16,K$16,$G478=$G$17,K$17,$G478=$G$19,K$19,$G478=$G$20,K$20,$G478=$G$22,K$22,$G478=$G$23,K$23,$G478=$G$26,K$26,$G478=$G$29,K$29,$G478=$G$31,K$31,$G478=$G$34,K$34,$G478=$G$37,K$37,$G478=$G$107,K$107,$G478=$G$110,K$110,$G478=$G$140,K$140,$G478=$G$142,K$142,$G478=$G$408,K$408)</f>
        <v>BG sentinel</v>
      </c>
      <c r="O478" s="13" t="str">
        <f t="shared" si="48"/>
        <v>A_SP_BCN_25_220927</v>
      </c>
      <c r="P478" s="27">
        <v>44831</v>
      </c>
      <c r="Q478" s="29">
        <v>0.61805555555555558</v>
      </c>
      <c r="R478" s="33"/>
      <c r="S478" s="27">
        <v>44838</v>
      </c>
      <c r="T478" s="29">
        <v>0.63888888888888895</v>
      </c>
      <c r="V478" s="13" t="s">
        <v>86</v>
      </c>
      <c r="W478" t="s">
        <v>197</v>
      </c>
      <c r="X478" s="13">
        <f t="shared" si="45"/>
        <v>7</v>
      </c>
      <c r="Z478" s="13" t="s">
        <v>60</v>
      </c>
      <c r="AA478" s="13">
        <f t="shared" ref="AA478:AA486" si="50">SUM(AC478:AD478)</f>
        <v>20</v>
      </c>
      <c r="AB478" s="13" t="str">
        <f t="shared" si="46"/>
        <v>Adult</v>
      </c>
      <c r="AC478" s="13">
        <v>16</v>
      </c>
      <c r="AD478" s="13">
        <v>4</v>
      </c>
      <c r="AE478" s="13" t="str">
        <f t="shared" si="47"/>
        <v>Morphological</v>
      </c>
      <c r="AF478" s="2">
        <v>3</v>
      </c>
    </row>
    <row r="479" spans="1:32" x14ac:dyDescent="0.25">
      <c r="A479" s="13">
        <v>475</v>
      </c>
      <c r="B479" s="23" t="s">
        <v>56</v>
      </c>
      <c r="C479" s="23" t="s">
        <v>57</v>
      </c>
      <c r="D479" s="23" t="s">
        <v>58</v>
      </c>
      <c r="E479" s="23" t="s">
        <v>58</v>
      </c>
      <c r="F479" s="35" cm="1">
        <f t="array" ref="F479">_xlfn.IFS($G479=$G$5,F$5,$G479=$G$7,F$7,$G479=$G$10,F$10,$G479=$G$13,F$13,$G479=$G$14,F$14,$G479=$G$16,F$16,$G479=$G$17,F$17,$G479=$G$19,F$19,$G479=$G$20,F$20,$G479=$G$22,F$22,$G479=$G$23,F$23,$G479=$G$26,F$26,$G479=$G$29,F$29,$G479=$G$31,F$31,$G479=$G$34,F$34,$G479=$G$37,F$37,$G479=$G$107,F$107,$G479=$G$110,F$110,$G479=$G$140,F$140,$G479=$G$142,F$142,$G479=$G$408,F$408)</f>
        <v>8025</v>
      </c>
      <c r="G479" s="13" t="s">
        <v>122</v>
      </c>
      <c r="H479" s="51" cm="1">
        <f t="array" ref="H479">_xlfn.IFS($G479=$G$5,H$5,$G479=$G$7,H$7,$G479=$G$10,H$10,$G479=$G$13,H$13,$G479=$G$14,H$14,$G479=$G$16,H$16,$G479=$G$17,H$17,$G479=$G$19,H$19,$G479=$G$20,H$20,$G479=$G$22,H$22,$G479=$G$23,H$23,$G479=$G$26,H$26,$G479=$G$29,H$29,$G479=$G$31,H$31,$G479=$G$34,H$34,$G479=$G$37,H$37,$G479=$G$107,H$107,$G479=$G$110,H$110,$G479=$G$140,H$140,$G479=$G$142,H$142,$G479=$G$408,H$408)</f>
        <v>41.407992</v>
      </c>
      <c r="I479" s="51" cm="1">
        <f t="array" ref="I479">_xlfn.IFS($G479=$G$5,I$5,$G479=$G$7,I$7,$G479=$G$10,I$10,$G479=$G$13,I$13,$G479=$G$14,I$14,$G479=$G$16,I$16,$G479=$G$17,I$17,$G479=$G$19,I$19,$G479=$G$20,I$20,$G479=$G$22,I$22,$G479=$G$23,I$23,$G479=$G$26,I$26,$G479=$G$29,I$29,$G479=$G$31,I$31,$G479=$G$34,I$34,$G479=$G$37,I$37,$G479=$G$107,I$107,$G479=$G$110,I$110,$G479=$G$140,I$140,$G479=$G$142,I$142,$G479=$G$408,I$408)</f>
        <v>2.1679379999999999</v>
      </c>
      <c r="J479" s="51" cm="1">
        <f t="array" ref="J479">_xlfn.IFS($G479=$G$5,J$5,$G479=$G$7,J$7,$G479=$G$10,J$10,$G479=$G$13,J$13,$G479=$G$14,J$14,$G479=$G$16,J$16,$G479=$G$17,J$17,$G479=$G$19,J$19,$G479=$G$20,J$20,$G479=$G$22,J$22,$G479=$G$23,J$23,$G479=$G$26,J$26,$G479=$G$29,J$29,$G479=$G$31,J$31,$G479=$G$34,J$34,$G479=$G$37,J$37,$G479=$G$107,J$107,$G479=$G$110,J$110,$G479=$G$140,J$140,$G479=$G$142,J$142,$G479=$G$408,J$408)</f>
        <v>61</v>
      </c>
      <c r="K479" s="13" t="str" cm="1">
        <f t="array" ref="K479">_xlfn.IFS($G479=$G$5,K$5,$G479=$G$7,K$7,$G479=$G$10,K$10,$G479=$G$13,K$13,$G479=$G$14,K$14,$G479=$G$16,K$16,$G479=$G$17,K$17,$G479=$G$19,K$19,$G479=$G$20,K$20,$G479=$G$22,K$22,$G479=$G$23,K$23,$G479=$G$26,K$26,$G479=$G$29,K$29,$G479=$G$31,K$31,$G479=$G$34,K$34,$G479=$G$37,K$37,$G479=$G$107,K$107,$G479=$G$110,K$110,$G479=$G$140,K$140,$G479=$G$142,K$142,$G479=$G$408,K$408)</f>
        <v>BG sentinel</v>
      </c>
      <c r="O479" s="13" t="str">
        <f t="shared" si="48"/>
        <v>A_SP_BCN_25_220927</v>
      </c>
      <c r="P479" s="27">
        <v>44831</v>
      </c>
      <c r="Q479" s="29">
        <v>0.61805555555555558</v>
      </c>
      <c r="R479" s="33"/>
      <c r="S479" s="27">
        <v>44838</v>
      </c>
      <c r="T479" s="29">
        <v>0.63888888888888895</v>
      </c>
      <c r="V479" s="13" t="s">
        <v>86</v>
      </c>
      <c r="W479" t="s">
        <v>197</v>
      </c>
      <c r="X479" s="13">
        <f t="shared" si="45"/>
        <v>7</v>
      </c>
      <c r="Z479" s="13" t="s">
        <v>164</v>
      </c>
      <c r="AA479" s="13">
        <f t="shared" si="50"/>
        <v>5</v>
      </c>
      <c r="AB479" s="13" t="str">
        <f t="shared" si="46"/>
        <v>Adult</v>
      </c>
      <c r="AC479" s="13">
        <v>4</v>
      </c>
      <c r="AD479" s="13">
        <v>1</v>
      </c>
      <c r="AE479" s="13" t="str">
        <f t="shared" si="47"/>
        <v>Morphological</v>
      </c>
      <c r="AF479" s="2">
        <v>3</v>
      </c>
    </row>
    <row r="480" spans="1:32" x14ac:dyDescent="0.25">
      <c r="A480" s="13">
        <v>476</v>
      </c>
      <c r="B480" s="23" t="s">
        <v>56</v>
      </c>
      <c r="C480" s="23" t="s">
        <v>57</v>
      </c>
      <c r="D480" s="23" t="s">
        <v>58</v>
      </c>
      <c r="E480" s="23" t="s">
        <v>58</v>
      </c>
      <c r="F480" s="35" cm="1">
        <f t="array" ref="F480">_xlfn.IFS($G480=$G$5,F$5,$G480=$G$7,F$7,$G480=$G$10,F$10,$G480=$G$13,F$13,$G480=$G$14,F$14,$G480=$G$16,F$16,$G480=$G$17,F$17,$G480=$G$19,F$19,$G480=$G$20,F$20,$G480=$G$22,F$22,$G480=$G$23,F$23,$G480=$G$26,F$26,$G480=$G$29,F$29,$G480=$G$31,F$31,$G480=$G$34,F$34,$G480=$G$37,F$37,$G480=$G$107,F$107,$G480=$G$110,F$110,$G480=$G$140,F$140,$G480=$G$142,F$142,$G480=$G$408,F$408)</f>
        <v>8025</v>
      </c>
      <c r="G480" s="13" t="s">
        <v>122</v>
      </c>
      <c r="H480" s="51" cm="1">
        <f t="array" ref="H480">_xlfn.IFS($G480=$G$5,H$5,$G480=$G$7,H$7,$G480=$G$10,H$10,$G480=$G$13,H$13,$G480=$G$14,H$14,$G480=$G$16,H$16,$G480=$G$17,H$17,$G480=$G$19,H$19,$G480=$G$20,H$20,$G480=$G$22,H$22,$G480=$G$23,H$23,$G480=$G$26,H$26,$G480=$G$29,H$29,$G480=$G$31,H$31,$G480=$G$34,H$34,$G480=$G$37,H$37,$G480=$G$107,H$107,$G480=$G$110,H$110,$G480=$G$140,H$140,$G480=$G$142,H$142,$G480=$G$408,H$408)</f>
        <v>41.407992</v>
      </c>
      <c r="I480" s="51" cm="1">
        <f t="array" ref="I480">_xlfn.IFS($G480=$G$5,I$5,$G480=$G$7,I$7,$G480=$G$10,I$10,$G480=$G$13,I$13,$G480=$G$14,I$14,$G480=$G$16,I$16,$G480=$G$17,I$17,$G480=$G$19,I$19,$G480=$G$20,I$20,$G480=$G$22,I$22,$G480=$G$23,I$23,$G480=$G$26,I$26,$G480=$G$29,I$29,$G480=$G$31,I$31,$G480=$G$34,I$34,$G480=$G$37,I$37,$G480=$G$107,I$107,$G480=$G$110,I$110,$G480=$G$140,I$140,$G480=$G$142,I$142,$G480=$G$408,I$408)</f>
        <v>2.1679379999999999</v>
      </c>
      <c r="J480" s="51" cm="1">
        <f t="array" ref="J480">_xlfn.IFS($G480=$G$5,J$5,$G480=$G$7,J$7,$G480=$G$10,J$10,$G480=$G$13,J$13,$G480=$G$14,J$14,$G480=$G$16,J$16,$G480=$G$17,J$17,$G480=$G$19,J$19,$G480=$G$20,J$20,$G480=$G$22,J$22,$G480=$G$23,J$23,$G480=$G$26,J$26,$G480=$G$29,J$29,$G480=$G$31,J$31,$G480=$G$34,J$34,$G480=$G$37,J$37,$G480=$G$107,J$107,$G480=$G$110,J$110,$G480=$G$140,J$140,$G480=$G$142,J$142,$G480=$G$408,J$408)</f>
        <v>61</v>
      </c>
      <c r="K480" s="13" t="str" cm="1">
        <f t="array" ref="K480">_xlfn.IFS($G480=$G$5,K$5,$G480=$G$7,K$7,$G480=$G$10,K$10,$G480=$G$13,K$13,$G480=$G$14,K$14,$G480=$G$16,K$16,$G480=$G$17,K$17,$G480=$G$19,K$19,$G480=$G$20,K$20,$G480=$G$22,K$22,$G480=$G$23,K$23,$G480=$G$26,K$26,$G480=$G$29,K$29,$G480=$G$31,K$31,$G480=$G$34,K$34,$G480=$G$37,K$37,$G480=$G$107,K$107,$G480=$G$110,K$110,$G480=$G$140,K$140,$G480=$G$142,K$142,$G480=$G$408,K$408)</f>
        <v>BG sentinel</v>
      </c>
      <c r="O480" s="13" t="str">
        <f t="shared" si="48"/>
        <v>A_SP_BCN_25_220927</v>
      </c>
      <c r="P480" s="27">
        <v>44831</v>
      </c>
      <c r="Q480" s="29">
        <v>0.61805555555555558</v>
      </c>
      <c r="R480" s="33"/>
      <c r="S480" s="27">
        <v>44838</v>
      </c>
      <c r="T480" s="29">
        <v>0.63888888888888895</v>
      </c>
      <c r="V480" s="13" t="s">
        <v>86</v>
      </c>
      <c r="W480" t="s">
        <v>197</v>
      </c>
      <c r="X480" s="13">
        <f t="shared" si="45"/>
        <v>7</v>
      </c>
      <c r="Z480" s="32" t="s">
        <v>163</v>
      </c>
      <c r="AA480" s="13">
        <f t="shared" si="50"/>
        <v>1</v>
      </c>
      <c r="AB480" s="13" t="str">
        <f t="shared" si="46"/>
        <v>Adult</v>
      </c>
      <c r="AC480" s="13">
        <v>0</v>
      </c>
      <c r="AD480" s="13">
        <v>1</v>
      </c>
      <c r="AE480" s="13" t="str">
        <f t="shared" si="47"/>
        <v>Morphological</v>
      </c>
      <c r="AF480" s="2">
        <v>3</v>
      </c>
    </row>
    <row r="481" spans="1:32" x14ac:dyDescent="0.25">
      <c r="A481" s="13">
        <v>477</v>
      </c>
      <c r="B481" s="23" t="s">
        <v>56</v>
      </c>
      <c r="C481" s="23" t="s">
        <v>57</v>
      </c>
      <c r="D481" s="23" t="s">
        <v>58</v>
      </c>
      <c r="E481" s="23" t="s">
        <v>58</v>
      </c>
      <c r="F481" s="35" cm="1">
        <f t="array" ref="F481">_xlfn.IFS($G481=$G$5,F$5,$G481=$G$7,F$7,$G481=$G$10,F$10,$G481=$G$13,F$13,$G481=$G$14,F$14,$G481=$G$16,F$16,$G481=$G$17,F$17,$G481=$G$19,F$19,$G481=$G$20,F$20,$G481=$G$22,F$22,$G481=$G$23,F$23,$G481=$G$26,F$26,$G481=$G$29,F$29,$G481=$G$31,F$31,$G481=$G$34,F$34,$G481=$G$37,F$37,$G481=$G$107,F$107,$G481=$G$110,F$110,$G481=$G$140,F$140,$G481=$G$142,F$142,$G481=$G$408,F$408)</f>
        <v>8025</v>
      </c>
      <c r="G481" s="13" t="s">
        <v>104</v>
      </c>
      <c r="H481" s="51" cm="1">
        <f t="array" ref="H481">_xlfn.IFS($G481=$G$5,H$5,$G481=$G$7,H$7,$G481=$G$10,H$10,$G481=$G$13,H$13,$G481=$G$14,H$14,$G481=$G$16,H$16,$G481=$G$17,H$17,$G481=$G$19,H$19,$G481=$G$20,H$20,$G481=$G$22,H$22,$G481=$G$23,H$23,$G481=$G$26,H$26,$G481=$G$29,H$29,$G481=$G$31,H$31,$G481=$G$34,H$34,$G481=$G$37,H$37,$G481=$G$107,H$107,$G481=$G$110,H$110,$G481=$G$140,H$140,$G481=$G$142,H$142,$G481=$G$408,H$408)</f>
        <v>41.408046826557602</v>
      </c>
      <c r="I481" s="51" cm="1">
        <f t="array" ref="I481">_xlfn.IFS($G481=$G$5,I$5,$G481=$G$7,I$7,$G481=$G$10,I$10,$G481=$G$13,I$13,$G481=$G$14,I$14,$G481=$G$16,I$16,$G481=$G$17,I$17,$G481=$G$19,I$19,$G481=$G$20,I$20,$G481=$G$22,I$22,$G481=$G$23,I$23,$G481=$G$26,I$26,$G481=$G$29,I$29,$G481=$G$31,I$31,$G481=$G$34,I$34,$G481=$G$37,I$37,$G481=$G$107,I$107,$G481=$G$110,I$110,$G481=$G$140,I$140,$G481=$G$142,I$142,$G481=$G$408,I$408)</f>
        <v>2.1678084611616502</v>
      </c>
      <c r="J481" s="51" cm="1">
        <f t="array" ref="J481">_xlfn.IFS($G481=$G$5,J$5,$G481=$G$7,J$7,$G481=$G$10,J$10,$G481=$G$13,J$13,$G481=$G$14,J$14,$G481=$G$16,J$16,$G481=$G$17,J$17,$G481=$G$19,J$19,$G481=$G$20,J$20,$G481=$G$22,J$22,$G481=$G$23,J$23,$G481=$G$26,J$26,$G481=$G$29,J$29,$G481=$G$31,J$31,$G481=$G$34,J$34,$G481=$G$37,J$37,$G481=$G$107,J$107,$G481=$G$110,J$110,$G481=$G$140,J$140,$G481=$G$142,J$142,$G481=$G$408,J$408)</f>
        <v>61</v>
      </c>
      <c r="K481" s="13" t="str" cm="1">
        <f t="array" ref="K481">_xlfn.IFS($G481=$G$5,K$5,$G481=$G$7,K$7,$G481=$G$10,K$10,$G481=$G$13,K$13,$G481=$G$14,K$14,$G481=$G$16,K$16,$G481=$G$17,K$17,$G481=$G$19,K$19,$G481=$G$20,K$20,$G481=$G$22,K$22,$G481=$G$23,K$23,$G481=$G$26,K$26,$G481=$G$29,K$29,$G481=$G$31,K$31,$G481=$G$34,K$34,$G481=$G$37,K$37,$G481=$G$107,K$107,$G481=$G$110,K$110,$G481=$G$140,K$140,$G481=$G$142,K$142,$G481=$G$408,K$408)</f>
        <v>BG sentinel</v>
      </c>
      <c r="O481" s="13" t="str">
        <f t="shared" si="48"/>
        <v>A_SP_BCN_26_220927</v>
      </c>
      <c r="P481" s="31">
        <v>44831</v>
      </c>
      <c r="Q481" s="29">
        <v>0.61805555555555558</v>
      </c>
      <c r="R481" s="33"/>
      <c r="S481" s="27">
        <v>44838</v>
      </c>
      <c r="T481" s="29">
        <v>0.63888888888888895</v>
      </c>
      <c r="V481" s="13" t="s">
        <v>86</v>
      </c>
      <c r="X481" s="13">
        <f t="shared" si="45"/>
        <v>7</v>
      </c>
      <c r="Z481" s="13" t="s">
        <v>60</v>
      </c>
      <c r="AA481" s="13">
        <f t="shared" si="50"/>
        <v>81</v>
      </c>
      <c r="AB481" s="13" t="str">
        <f t="shared" si="46"/>
        <v>Adult</v>
      </c>
      <c r="AC481" s="13">
        <v>49</v>
      </c>
      <c r="AD481" s="13">
        <v>32</v>
      </c>
      <c r="AE481" s="13" t="str">
        <f t="shared" si="47"/>
        <v>Morphological</v>
      </c>
      <c r="AF481" s="2">
        <v>4</v>
      </c>
    </row>
    <row r="482" spans="1:32" x14ac:dyDescent="0.25">
      <c r="A482" s="13">
        <v>478</v>
      </c>
      <c r="B482" s="23" t="s">
        <v>56</v>
      </c>
      <c r="C482" s="23" t="s">
        <v>57</v>
      </c>
      <c r="D482" s="23" t="s">
        <v>58</v>
      </c>
      <c r="E482" s="23" t="s">
        <v>58</v>
      </c>
      <c r="F482" s="35" cm="1">
        <f t="array" ref="F482">_xlfn.IFS($G482=$G$5,F$5,$G482=$G$7,F$7,$G482=$G$10,F$10,$G482=$G$13,F$13,$G482=$G$14,F$14,$G482=$G$16,F$16,$G482=$G$17,F$17,$G482=$G$19,F$19,$G482=$G$20,F$20,$G482=$G$22,F$22,$G482=$G$23,F$23,$G482=$G$26,F$26,$G482=$G$29,F$29,$G482=$G$31,F$31,$G482=$G$34,F$34,$G482=$G$37,F$37,$G482=$G$107,F$107,$G482=$G$110,F$110,$G482=$G$140,F$140,$G482=$G$142,F$142,$G482=$G$408,F$408)</f>
        <v>8025</v>
      </c>
      <c r="G482" s="13" t="s">
        <v>104</v>
      </c>
      <c r="H482" s="51" cm="1">
        <f t="array" ref="H482">_xlfn.IFS($G482=$G$5,H$5,$G482=$G$7,H$7,$G482=$G$10,H$10,$G482=$G$13,H$13,$G482=$G$14,H$14,$G482=$G$16,H$16,$G482=$G$17,H$17,$G482=$G$19,H$19,$G482=$G$20,H$20,$G482=$G$22,H$22,$G482=$G$23,H$23,$G482=$G$26,H$26,$G482=$G$29,H$29,$G482=$G$31,H$31,$G482=$G$34,H$34,$G482=$G$37,H$37,$G482=$G$107,H$107,$G482=$G$110,H$110,$G482=$G$140,H$140,$G482=$G$142,H$142,$G482=$G$408,H$408)</f>
        <v>41.408046826557602</v>
      </c>
      <c r="I482" s="51" cm="1">
        <f t="array" ref="I482">_xlfn.IFS($G482=$G$5,I$5,$G482=$G$7,I$7,$G482=$G$10,I$10,$G482=$G$13,I$13,$G482=$G$14,I$14,$G482=$G$16,I$16,$G482=$G$17,I$17,$G482=$G$19,I$19,$G482=$G$20,I$20,$G482=$G$22,I$22,$G482=$G$23,I$23,$G482=$G$26,I$26,$G482=$G$29,I$29,$G482=$G$31,I$31,$G482=$G$34,I$34,$G482=$G$37,I$37,$G482=$G$107,I$107,$G482=$G$110,I$110,$G482=$G$140,I$140,$G482=$G$142,I$142,$G482=$G$408,I$408)</f>
        <v>2.1678084611616502</v>
      </c>
      <c r="J482" s="51" cm="1">
        <f t="array" ref="J482">_xlfn.IFS($G482=$G$5,J$5,$G482=$G$7,J$7,$G482=$G$10,J$10,$G482=$G$13,J$13,$G482=$G$14,J$14,$G482=$G$16,J$16,$G482=$G$17,J$17,$G482=$G$19,J$19,$G482=$G$20,J$20,$G482=$G$22,J$22,$G482=$G$23,J$23,$G482=$G$26,J$26,$G482=$G$29,J$29,$G482=$G$31,J$31,$G482=$G$34,J$34,$G482=$G$37,J$37,$G482=$G$107,J$107,$G482=$G$110,J$110,$G482=$G$140,J$140,$G482=$G$142,J$142,$G482=$G$408,J$408)</f>
        <v>61</v>
      </c>
      <c r="K482" s="13" t="str" cm="1">
        <f t="array" ref="K482">_xlfn.IFS($G482=$G$5,K$5,$G482=$G$7,K$7,$G482=$G$10,K$10,$G482=$G$13,K$13,$G482=$G$14,K$14,$G482=$G$16,K$16,$G482=$G$17,K$17,$G482=$G$19,K$19,$G482=$G$20,K$20,$G482=$G$22,K$22,$G482=$G$23,K$23,$G482=$G$26,K$26,$G482=$G$29,K$29,$G482=$G$31,K$31,$G482=$G$34,K$34,$G482=$G$37,K$37,$G482=$G$107,K$107,$G482=$G$110,K$110,$G482=$G$140,K$140,$G482=$G$142,K$142,$G482=$G$408,K$408)</f>
        <v>BG sentinel</v>
      </c>
      <c r="O482" s="13" t="str">
        <f t="shared" si="48"/>
        <v>A_SP_BCN_26_220927</v>
      </c>
      <c r="P482" s="31">
        <v>44831</v>
      </c>
      <c r="Q482" s="29">
        <v>0.61805555555555558</v>
      </c>
      <c r="R482" s="33"/>
      <c r="S482" s="27">
        <v>44838</v>
      </c>
      <c r="T482" s="29">
        <v>0.63888888888888895</v>
      </c>
      <c r="V482" s="13" t="s">
        <v>86</v>
      </c>
      <c r="X482" s="13">
        <f t="shared" si="45"/>
        <v>7</v>
      </c>
      <c r="Z482" s="13" t="s">
        <v>164</v>
      </c>
      <c r="AA482" s="13">
        <f t="shared" si="50"/>
        <v>7</v>
      </c>
      <c r="AB482" s="13" t="str">
        <f t="shared" si="46"/>
        <v>Adult</v>
      </c>
      <c r="AC482" s="13">
        <v>7</v>
      </c>
      <c r="AD482" s="13">
        <v>0</v>
      </c>
      <c r="AE482" s="13" t="str">
        <f t="shared" si="47"/>
        <v>Morphological</v>
      </c>
      <c r="AF482" s="2">
        <v>4</v>
      </c>
    </row>
    <row r="483" spans="1:32" x14ac:dyDescent="0.25">
      <c r="A483" s="13">
        <v>479</v>
      </c>
      <c r="B483" s="23" t="s">
        <v>56</v>
      </c>
      <c r="C483" s="23" t="s">
        <v>57</v>
      </c>
      <c r="D483" s="23" t="s">
        <v>58</v>
      </c>
      <c r="E483" s="23" t="s">
        <v>58</v>
      </c>
      <c r="F483" s="35" cm="1">
        <f t="array" ref="F483">_xlfn.IFS($G483=$G$5,F$5,$G483=$G$7,F$7,$G483=$G$10,F$10,$G483=$G$13,F$13,$G483=$G$14,F$14,$G483=$G$16,F$16,$G483=$G$17,F$17,$G483=$G$19,F$19,$G483=$G$20,F$20,$G483=$G$22,F$22,$G483=$G$23,F$23,$G483=$G$26,F$26,$G483=$G$29,F$29,$G483=$G$31,F$31,$G483=$G$34,F$34,$G483=$G$37,F$37,$G483=$G$107,F$107,$G483=$G$110,F$110,$G483=$G$140,F$140,$G483=$G$142,F$142,$G483=$G$408,F$408)</f>
        <v>8025</v>
      </c>
      <c r="G483" s="13" t="s">
        <v>104</v>
      </c>
      <c r="H483" s="51" cm="1">
        <f t="array" ref="H483">_xlfn.IFS($G483=$G$5,H$5,$G483=$G$7,H$7,$G483=$G$10,H$10,$G483=$G$13,H$13,$G483=$G$14,H$14,$G483=$G$16,H$16,$G483=$G$17,H$17,$G483=$G$19,H$19,$G483=$G$20,H$20,$G483=$G$22,H$22,$G483=$G$23,H$23,$G483=$G$26,H$26,$G483=$G$29,H$29,$G483=$G$31,H$31,$G483=$G$34,H$34,$G483=$G$37,H$37,$G483=$G$107,H$107,$G483=$G$110,H$110,$G483=$G$140,H$140,$G483=$G$142,H$142,$G483=$G$408,H$408)</f>
        <v>41.408046826557602</v>
      </c>
      <c r="I483" s="51" cm="1">
        <f t="array" ref="I483">_xlfn.IFS($G483=$G$5,I$5,$G483=$G$7,I$7,$G483=$G$10,I$10,$G483=$G$13,I$13,$G483=$G$14,I$14,$G483=$G$16,I$16,$G483=$G$17,I$17,$G483=$G$19,I$19,$G483=$G$20,I$20,$G483=$G$22,I$22,$G483=$G$23,I$23,$G483=$G$26,I$26,$G483=$G$29,I$29,$G483=$G$31,I$31,$G483=$G$34,I$34,$G483=$G$37,I$37,$G483=$G$107,I$107,$G483=$G$110,I$110,$G483=$G$140,I$140,$G483=$G$142,I$142,$G483=$G$408,I$408)</f>
        <v>2.1678084611616502</v>
      </c>
      <c r="J483" s="51" cm="1">
        <f t="array" ref="J483">_xlfn.IFS($G483=$G$5,J$5,$G483=$G$7,J$7,$G483=$G$10,J$10,$G483=$G$13,J$13,$G483=$G$14,J$14,$G483=$G$16,J$16,$G483=$G$17,J$17,$G483=$G$19,J$19,$G483=$G$20,J$20,$G483=$G$22,J$22,$G483=$G$23,J$23,$G483=$G$26,J$26,$G483=$G$29,J$29,$G483=$G$31,J$31,$G483=$G$34,J$34,$G483=$G$37,J$37,$G483=$G$107,J$107,$G483=$G$110,J$110,$G483=$G$140,J$140,$G483=$G$142,J$142,$G483=$G$408,J$408)</f>
        <v>61</v>
      </c>
      <c r="K483" s="13" t="str" cm="1">
        <f t="array" ref="K483">_xlfn.IFS($G483=$G$5,K$5,$G483=$G$7,K$7,$G483=$G$10,K$10,$G483=$G$13,K$13,$G483=$G$14,K$14,$G483=$G$16,K$16,$G483=$G$17,K$17,$G483=$G$19,K$19,$G483=$G$20,K$20,$G483=$G$22,K$22,$G483=$G$23,K$23,$G483=$G$26,K$26,$G483=$G$29,K$29,$G483=$G$31,K$31,$G483=$G$34,K$34,$G483=$G$37,K$37,$G483=$G$107,K$107,$G483=$G$110,K$110,$G483=$G$140,K$140,$G483=$G$142,K$142,$G483=$G$408,K$408)</f>
        <v>BG sentinel</v>
      </c>
      <c r="O483" s="13" t="str">
        <f t="shared" si="48"/>
        <v>A_SP_BCN_26_220927</v>
      </c>
      <c r="P483" s="31">
        <v>44831</v>
      </c>
      <c r="Q483" s="29">
        <v>0.61805555555555558</v>
      </c>
      <c r="R483" s="33"/>
      <c r="S483" s="27">
        <v>44838</v>
      </c>
      <c r="T483" s="29">
        <v>0.63888888888888895</v>
      </c>
      <c r="V483" s="13" t="s">
        <v>86</v>
      </c>
      <c r="X483" s="13">
        <f t="shared" si="45"/>
        <v>7</v>
      </c>
      <c r="Z483" s="32" t="s">
        <v>163</v>
      </c>
      <c r="AA483" s="13">
        <f t="shared" si="50"/>
        <v>5</v>
      </c>
      <c r="AB483" s="13" t="str">
        <f t="shared" si="46"/>
        <v>Adult</v>
      </c>
      <c r="AC483" s="13">
        <v>3</v>
      </c>
      <c r="AD483" s="13">
        <v>2</v>
      </c>
      <c r="AE483" s="13" t="str">
        <f t="shared" si="47"/>
        <v>Morphological</v>
      </c>
      <c r="AF483" s="2">
        <v>4</v>
      </c>
    </row>
    <row r="484" spans="1:32" x14ac:dyDescent="0.25">
      <c r="A484" s="13">
        <v>480</v>
      </c>
      <c r="B484" s="23" t="s">
        <v>56</v>
      </c>
      <c r="C484" s="23" t="s">
        <v>57</v>
      </c>
      <c r="D484" s="23" t="s">
        <v>58</v>
      </c>
      <c r="E484" s="23" t="s">
        <v>58</v>
      </c>
      <c r="F484" s="35" cm="1">
        <f t="array" ref="F484">_xlfn.IFS($G484=$G$5,F$5,$G484=$G$7,F$7,$G484=$G$10,F$10,$G484=$G$13,F$13,$G484=$G$14,F$14,$G484=$G$16,F$16,$G484=$G$17,F$17,$G484=$G$19,F$19,$G484=$G$20,F$20,$G484=$G$22,F$22,$G484=$G$23,F$23,$G484=$G$26,F$26,$G484=$G$29,F$29,$G484=$G$31,F$31,$G484=$G$34,F$34,$G484=$G$37,F$37,$G484=$G$107,F$107,$G484=$G$110,F$110,$G484=$G$140,F$140,$G484=$G$142,F$142,$G484=$G$408,F$408)</f>
        <v>8017</v>
      </c>
      <c r="G484" s="13" t="s">
        <v>97</v>
      </c>
      <c r="H484" s="51" cm="1">
        <f t="array" ref="H484">_xlfn.IFS($G484=$G$5,H$5,$G484=$G$7,H$7,$G484=$G$10,H$10,$G484=$G$13,H$13,$G484=$G$14,H$14,$G484=$G$16,H$16,$G484=$G$17,H$17,$G484=$G$19,H$19,$G484=$G$20,H$20,$G484=$G$22,H$22,$G484=$G$23,H$23,$G484=$G$26,H$26,$G484=$G$29,H$29,$G484=$G$31,H$31,$G484=$G$34,H$34,$G484=$G$37,H$37,$G484=$G$107,H$107,$G484=$G$110,H$110,$G484=$G$140,H$140,$G484=$G$142,H$142,$G484=$G$408,H$408)</f>
        <v>41.430372407595499</v>
      </c>
      <c r="I484" s="51" cm="1">
        <f t="array" ref="I484">_xlfn.IFS($G484=$G$5,I$5,$G484=$G$7,I$7,$G484=$G$10,I$10,$G484=$G$13,I$13,$G484=$G$14,I$14,$G484=$G$16,I$16,$G484=$G$17,I$17,$G484=$G$19,I$19,$G484=$G$20,I$20,$G484=$G$22,I$22,$G484=$G$23,I$23,$G484=$G$26,I$26,$G484=$G$29,I$29,$G484=$G$31,I$31,$G484=$G$34,I$34,$G484=$G$37,I$37,$G484=$G$107,I$107,$G484=$G$110,I$110,$G484=$G$140,I$140,$G484=$G$142,I$142,$G484=$G$408,I$408)</f>
        <v>2.0778358219819002</v>
      </c>
      <c r="J484" s="51" cm="1">
        <f t="array" ref="J484">_xlfn.IFS($G484=$G$5,J$5,$G484=$G$7,J$7,$G484=$G$10,J$10,$G484=$G$13,J$13,$G484=$G$14,J$14,$G484=$G$16,J$16,$G484=$G$17,J$17,$G484=$G$19,J$19,$G484=$G$20,J$20,$G484=$G$22,J$22,$G484=$G$23,J$23,$G484=$G$26,J$26,$G484=$G$29,J$29,$G484=$G$31,J$31,$G484=$G$34,J$34,$G484=$G$37,J$37,$G484=$G$107,J$107,$G484=$G$110,J$110,$G484=$G$140,J$140,$G484=$G$142,J$142,$G484=$G$408,J$408)</f>
        <v>242</v>
      </c>
      <c r="K484" s="13" t="str" cm="1">
        <f t="array" ref="K484">_xlfn.IFS($G484=$G$5,K$5,$G484=$G$7,K$7,$G484=$G$10,K$10,$G484=$G$13,K$13,$G484=$G$14,K$14,$G484=$G$16,K$16,$G484=$G$17,K$17,$G484=$G$19,K$19,$G484=$G$20,K$20,$G484=$G$22,K$22,$G484=$G$23,K$23,$G484=$G$26,K$26,$G484=$G$29,K$29,$G484=$G$31,K$31,$G484=$G$34,K$34,$G484=$G$37,K$37,$G484=$G$107,K$107,$G484=$G$110,K$110,$G484=$G$140,K$140,$G484=$G$142,K$142,$G484=$G$408,K$408)</f>
        <v>Mtego</v>
      </c>
      <c r="O484" s="13" t="str">
        <f t="shared" si="48"/>
        <v>Premal_1_220927</v>
      </c>
      <c r="P484" s="27">
        <v>44831</v>
      </c>
      <c r="Q484" s="29">
        <v>0.70486111111111116</v>
      </c>
      <c r="R484" s="33"/>
      <c r="S484" s="27">
        <v>44838</v>
      </c>
      <c r="T484" s="29">
        <v>0.75</v>
      </c>
      <c r="V484" s="13" t="s">
        <v>86</v>
      </c>
      <c r="X484" s="13">
        <f t="shared" si="45"/>
        <v>7</v>
      </c>
      <c r="Z484" s="13" t="s">
        <v>60</v>
      </c>
      <c r="AA484" s="13">
        <f t="shared" si="50"/>
        <v>20</v>
      </c>
      <c r="AB484" s="13" t="str">
        <f t="shared" si="46"/>
        <v>Adult</v>
      </c>
      <c r="AC484" s="13">
        <v>20</v>
      </c>
      <c r="AD484" s="13">
        <v>0</v>
      </c>
      <c r="AE484" s="13" t="str">
        <f t="shared" si="47"/>
        <v>Morphological</v>
      </c>
      <c r="AF484" s="2">
        <v>4</v>
      </c>
    </row>
    <row r="485" spans="1:32" x14ac:dyDescent="0.25">
      <c r="A485" s="13">
        <v>481</v>
      </c>
      <c r="B485" s="23" t="s">
        <v>56</v>
      </c>
      <c r="C485" s="23" t="s">
        <v>57</v>
      </c>
      <c r="D485" s="23" t="s">
        <v>58</v>
      </c>
      <c r="E485" s="23" t="s">
        <v>58</v>
      </c>
      <c r="F485" s="35" cm="1">
        <f t="array" ref="F485">_xlfn.IFS($G485=$G$5,F$5,$G485=$G$7,F$7,$G485=$G$10,F$10,$G485=$G$13,F$13,$G485=$G$14,F$14,$G485=$G$16,F$16,$G485=$G$17,F$17,$G485=$G$19,F$19,$G485=$G$20,F$20,$G485=$G$22,F$22,$G485=$G$23,F$23,$G485=$G$26,F$26,$G485=$G$29,F$29,$G485=$G$31,F$31,$G485=$G$34,F$34,$G485=$G$37,F$37,$G485=$G$107,F$107,$G485=$G$110,F$110,$G485=$G$140,F$140,$G485=$G$142,F$142,$G485=$G$408,F$408)</f>
        <v>8017</v>
      </c>
      <c r="G485" s="13" t="s">
        <v>97</v>
      </c>
      <c r="H485" s="51" cm="1">
        <f t="array" ref="H485">_xlfn.IFS($G485=$G$5,H$5,$G485=$G$7,H$7,$G485=$G$10,H$10,$G485=$G$13,H$13,$G485=$G$14,H$14,$G485=$G$16,H$16,$G485=$G$17,H$17,$G485=$G$19,H$19,$G485=$G$20,H$20,$G485=$G$22,H$22,$G485=$G$23,H$23,$G485=$G$26,H$26,$G485=$G$29,H$29,$G485=$G$31,H$31,$G485=$G$34,H$34,$G485=$G$37,H$37,$G485=$G$107,H$107,$G485=$G$110,H$110,$G485=$G$140,H$140,$G485=$G$142,H$142,$G485=$G$408,H$408)</f>
        <v>41.430372407595499</v>
      </c>
      <c r="I485" s="51" cm="1">
        <f t="array" ref="I485">_xlfn.IFS($G485=$G$5,I$5,$G485=$G$7,I$7,$G485=$G$10,I$10,$G485=$G$13,I$13,$G485=$G$14,I$14,$G485=$G$16,I$16,$G485=$G$17,I$17,$G485=$G$19,I$19,$G485=$G$20,I$20,$G485=$G$22,I$22,$G485=$G$23,I$23,$G485=$G$26,I$26,$G485=$G$29,I$29,$G485=$G$31,I$31,$G485=$G$34,I$34,$G485=$G$37,I$37,$G485=$G$107,I$107,$G485=$G$110,I$110,$G485=$G$140,I$140,$G485=$G$142,I$142,$G485=$G$408,I$408)</f>
        <v>2.0778358219819002</v>
      </c>
      <c r="J485" s="51" cm="1">
        <f t="array" ref="J485">_xlfn.IFS($G485=$G$5,J$5,$G485=$G$7,J$7,$G485=$G$10,J$10,$G485=$G$13,J$13,$G485=$G$14,J$14,$G485=$G$16,J$16,$G485=$G$17,J$17,$G485=$G$19,J$19,$G485=$G$20,J$20,$G485=$G$22,J$22,$G485=$G$23,J$23,$G485=$G$26,J$26,$G485=$G$29,J$29,$G485=$G$31,J$31,$G485=$G$34,J$34,$G485=$G$37,J$37,$G485=$G$107,J$107,$G485=$G$110,J$110,$G485=$G$140,J$140,$G485=$G$142,J$142,$G485=$G$408,J$408)</f>
        <v>242</v>
      </c>
      <c r="K485" s="13" t="str" cm="1">
        <f t="array" ref="K485">_xlfn.IFS($G485=$G$5,K$5,$G485=$G$7,K$7,$G485=$G$10,K$10,$G485=$G$13,K$13,$G485=$G$14,K$14,$G485=$G$16,K$16,$G485=$G$17,K$17,$G485=$G$19,K$19,$G485=$G$20,K$20,$G485=$G$22,K$22,$G485=$G$23,K$23,$G485=$G$26,K$26,$G485=$G$29,K$29,$G485=$G$31,K$31,$G485=$G$34,K$34,$G485=$G$37,K$37,$G485=$G$107,K$107,$G485=$G$110,K$110,$G485=$G$140,K$140,$G485=$G$142,K$142,$G485=$G$408,K$408)</f>
        <v>Mtego</v>
      </c>
      <c r="O485" s="13" t="str">
        <f t="shared" si="48"/>
        <v>Premal_1_220927</v>
      </c>
      <c r="P485" s="27">
        <v>44831</v>
      </c>
      <c r="Q485" s="29">
        <v>0.70486111111111116</v>
      </c>
      <c r="R485" s="33"/>
      <c r="S485" s="27">
        <v>44838</v>
      </c>
      <c r="T485" s="29">
        <v>0.75</v>
      </c>
      <c r="V485" s="13" t="s">
        <v>86</v>
      </c>
      <c r="X485" s="13">
        <f t="shared" si="45"/>
        <v>7</v>
      </c>
      <c r="Z485" s="13" t="s">
        <v>164</v>
      </c>
      <c r="AA485" s="13">
        <f t="shared" si="50"/>
        <v>2</v>
      </c>
      <c r="AB485" s="13" t="str">
        <f t="shared" si="46"/>
        <v>Adult</v>
      </c>
      <c r="AC485" s="13">
        <v>2</v>
      </c>
      <c r="AD485" s="13">
        <v>0</v>
      </c>
      <c r="AE485" s="13" t="str">
        <f t="shared" si="47"/>
        <v>Morphological</v>
      </c>
      <c r="AF485" s="2">
        <v>4</v>
      </c>
    </row>
    <row r="486" spans="1:32" x14ac:dyDescent="0.25">
      <c r="A486" s="13">
        <v>482</v>
      </c>
      <c r="B486" s="23" t="s">
        <v>56</v>
      </c>
      <c r="C486" s="23" t="s">
        <v>57</v>
      </c>
      <c r="D486" s="23" t="s">
        <v>58</v>
      </c>
      <c r="E486" s="23" t="s">
        <v>58</v>
      </c>
      <c r="F486" s="35" cm="1">
        <f t="array" ref="F486">_xlfn.IFS($G486=$G$5,F$5,$G486=$G$7,F$7,$G486=$G$10,F$10,$G486=$G$13,F$13,$G486=$G$14,F$14,$G486=$G$16,F$16,$G486=$G$17,F$17,$G486=$G$19,F$19,$G486=$G$20,F$20,$G486=$G$22,F$22,$G486=$G$23,F$23,$G486=$G$26,F$26,$G486=$G$29,F$29,$G486=$G$31,F$31,$G486=$G$34,F$34,$G486=$G$37,F$37,$G486=$G$107,F$107,$G486=$G$110,F$110,$G486=$G$140,F$140,$G486=$G$142,F$142,$G486=$G$408,F$408)</f>
        <v>8035</v>
      </c>
      <c r="G486" s="13" t="s">
        <v>61</v>
      </c>
      <c r="H486" s="51" cm="1">
        <f t="array" ref="H486">_xlfn.IFS($G486=$G$5,H$5,$G486=$G$7,H$7,$G486=$G$10,H$10,$G486=$G$13,H$13,$G486=$G$14,H$14,$G486=$G$16,H$16,$G486=$G$17,H$17,$G486=$G$19,H$19,$G486=$G$20,H$20,$G486=$G$22,H$22,$G486=$G$23,H$23,$G486=$G$26,H$26,$G486=$G$29,H$29,$G486=$G$31,H$31,$G486=$G$34,H$34,$G486=$G$37,H$37,$G486=$G$107,H$107,$G486=$G$110,H$110,$G486=$G$140,H$140,$G486=$G$142,H$142,$G486=$G$408,H$408)</f>
        <v>41.424387000000003</v>
      </c>
      <c r="I486" s="51" cm="1">
        <f t="array" ref="I486">_xlfn.IFS($G486=$G$5,I$5,$G486=$G$7,I$7,$G486=$G$10,I$10,$G486=$G$13,I$13,$G486=$G$14,I$14,$G486=$G$16,I$16,$G486=$G$17,I$17,$G486=$G$19,I$19,$G486=$G$20,I$20,$G486=$G$22,I$22,$G486=$G$23,I$23,$G486=$G$26,I$26,$G486=$G$29,I$29,$G486=$G$31,I$31,$G486=$G$34,I$34,$G486=$G$37,I$37,$G486=$G$107,I$107,$G486=$G$110,I$110,$G486=$G$140,I$140,$G486=$G$142,I$142,$G486=$G$408,I$408)</f>
        <v>2.1431439999999999</v>
      </c>
      <c r="J486" s="51" cm="1">
        <f t="array" ref="J486">_xlfn.IFS($G486=$G$5,J$5,$G486=$G$7,J$7,$G486=$G$10,J$10,$G486=$G$13,J$13,$G486=$G$14,J$14,$G486=$G$16,J$16,$G486=$G$17,J$17,$G486=$G$19,J$19,$G486=$G$20,J$20,$G486=$G$22,J$22,$G486=$G$23,J$23,$G486=$G$26,J$26,$G486=$G$29,J$29,$G486=$G$31,J$31,$G486=$G$34,J$34,$G486=$G$37,J$37,$G486=$G$107,J$107,$G486=$G$110,J$110,$G486=$G$140,J$140,$G486=$G$142,J$142,$G486=$G$408,J$408)</f>
        <v>160</v>
      </c>
      <c r="K486" s="13" t="str" cm="1">
        <f t="array" ref="K486">_xlfn.IFS($G486=$G$5,K$5,$G486=$G$7,K$7,$G486=$G$10,K$10,$G486=$G$13,K$13,$G486=$G$14,K$14,$G486=$G$16,K$16,$G486=$G$17,K$17,$G486=$G$19,K$19,$G486=$G$20,K$20,$G486=$G$22,K$22,$G486=$G$23,K$23,$G486=$G$26,K$26,$G486=$G$29,K$29,$G486=$G$31,K$31,$G486=$G$34,K$34,$G486=$G$37,K$37,$G486=$G$107,K$107,$G486=$G$110,K$110,$G486=$G$140,K$140,$G486=$G$142,K$142,$G486=$G$408,K$408)</f>
        <v>BG sentinel + BG lure7</v>
      </c>
      <c r="O486" s="13" t="str">
        <f t="shared" si="48"/>
        <v>A_SP_BCN_2_221004</v>
      </c>
      <c r="P486" s="27">
        <v>44838</v>
      </c>
      <c r="Q486" s="29">
        <v>0.67708333333333337</v>
      </c>
      <c r="R486" s="33"/>
      <c r="S486" s="27">
        <v>44845</v>
      </c>
      <c r="T486" s="29">
        <v>0.65277777777777779</v>
      </c>
      <c r="V486" s="13" t="s">
        <v>86</v>
      </c>
      <c r="X486" s="13">
        <f t="shared" si="45"/>
        <v>7</v>
      </c>
      <c r="Z486" s="13" t="s">
        <v>60</v>
      </c>
      <c r="AA486" s="13">
        <f t="shared" si="50"/>
        <v>8</v>
      </c>
      <c r="AB486" s="13" t="str">
        <f t="shared" si="46"/>
        <v>Adult</v>
      </c>
      <c r="AC486" s="13">
        <v>8</v>
      </c>
      <c r="AD486" s="13">
        <v>0</v>
      </c>
      <c r="AE486" s="13" t="str">
        <f t="shared" si="47"/>
        <v>Morphological</v>
      </c>
      <c r="AF486" s="2">
        <v>4</v>
      </c>
    </row>
    <row r="487" spans="1:32" x14ac:dyDescent="0.25">
      <c r="A487" s="13">
        <v>483</v>
      </c>
      <c r="B487" s="23" t="s">
        <v>56</v>
      </c>
      <c r="C487" s="23" t="s">
        <v>57</v>
      </c>
      <c r="D487" s="23" t="s">
        <v>58</v>
      </c>
      <c r="E487" s="23" t="s">
        <v>58</v>
      </c>
      <c r="F487" s="35" cm="1">
        <f t="array" ref="F487">_xlfn.IFS($G487=$G$5,F$5,$G487=$G$7,F$7,$G487=$G$10,F$10,$G487=$G$13,F$13,$G487=$G$14,F$14,$G487=$G$16,F$16,$G487=$G$17,F$17,$G487=$G$19,F$19,$G487=$G$20,F$20,$G487=$G$22,F$22,$G487=$G$23,F$23,$G487=$G$26,F$26,$G487=$G$29,F$29,$G487=$G$31,F$31,$G487=$G$34,F$34,$G487=$G$37,F$37,$G487=$G$107,F$107,$G487=$G$110,F$110,$G487=$G$140,F$140,$G487=$G$142,F$142,$G487=$G$408,F$408)</f>
        <v>8016</v>
      </c>
      <c r="G487" s="13" t="s">
        <v>62</v>
      </c>
      <c r="H487" s="51" cm="1">
        <f t="array" ref="H487">_xlfn.IFS($G487=$G$5,H$5,$G487=$G$7,H$7,$G487=$G$10,H$10,$G487=$G$13,H$13,$G487=$G$14,H$14,$G487=$G$16,H$16,$G487=$G$17,H$17,$G487=$G$19,H$19,$G487=$G$20,H$20,$G487=$G$22,H$22,$G487=$G$23,H$23,$G487=$G$26,H$26,$G487=$G$29,H$29,$G487=$G$31,H$31,$G487=$G$34,H$34,$G487=$G$37,H$37,$G487=$G$107,H$107,$G487=$G$110,H$110,$G487=$G$140,H$140,$G487=$G$142,H$142,$G487=$G$408,H$408)</f>
        <v>41.437435000000001</v>
      </c>
      <c r="I487" s="51" cm="1">
        <f t="array" ref="I487">_xlfn.IFS($G487=$G$5,I$5,$G487=$G$7,I$7,$G487=$G$10,I$10,$G487=$G$13,I$13,$G487=$G$14,I$14,$G487=$G$16,I$16,$G487=$G$17,I$17,$G487=$G$19,I$19,$G487=$G$20,I$20,$G487=$G$22,I$22,$G487=$G$23,I$23,$G487=$G$26,I$26,$G487=$G$29,I$29,$G487=$G$31,I$31,$G487=$G$34,I$34,$G487=$G$37,I$37,$G487=$G$107,I$107,$G487=$G$110,I$110,$G487=$G$140,I$140,$G487=$G$142,I$142,$G487=$G$408,I$408)</f>
        <v>2.1812779999999998</v>
      </c>
      <c r="J487" s="51" cm="1">
        <f t="array" ref="J487">_xlfn.IFS($G487=$G$5,J$5,$G487=$G$7,J$7,$G487=$G$10,J$10,$G487=$G$13,J$13,$G487=$G$14,J$14,$G487=$G$16,J$16,$G487=$G$17,J$17,$G487=$G$19,J$19,$G487=$G$20,J$20,$G487=$G$22,J$22,$G487=$G$23,J$23,$G487=$G$26,J$26,$G487=$G$29,J$29,$G487=$G$31,J$31,$G487=$G$34,J$34,$G487=$G$37,J$37,$G487=$G$107,J$107,$G487=$G$110,J$110,$G487=$G$140,J$140,$G487=$G$142,J$142,$G487=$G$408,J$408)</f>
        <v>47</v>
      </c>
      <c r="K487" s="13" t="str" cm="1">
        <f t="array" ref="K487">_xlfn.IFS($G487=$G$5,K$5,$G487=$G$7,K$7,$G487=$G$10,K$10,$G487=$G$13,K$13,$G487=$G$14,K$14,$G487=$G$16,K$16,$G487=$G$17,K$17,$G487=$G$19,K$19,$G487=$G$20,K$20,$G487=$G$22,K$22,$G487=$G$23,K$23,$G487=$G$26,K$26,$G487=$G$29,K$29,$G487=$G$31,K$31,$G487=$G$34,K$34,$G487=$G$37,K$37,$G487=$G$107,K$107,$G487=$G$110,K$110,$G487=$G$140,K$140,$G487=$G$142,K$142,$G487=$G$408,K$408)</f>
        <v>BG sentinel + BG lure7</v>
      </c>
      <c r="O487" s="13" t="str">
        <f t="shared" si="48"/>
        <v>A_SP_BCN_3_221004</v>
      </c>
      <c r="P487" s="31">
        <v>44838</v>
      </c>
      <c r="Q487" s="29">
        <v>0.82638888888888884</v>
      </c>
      <c r="R487" s="33"/>
      <c r="S487" s="31">
        <v>44845</v>
      </c>
      <c r="T487" s="29">
        <v>0.81944444444444453</v>
      </c>
      <c r="V487" s="13" t="s">
        <v>123</v>
      </c>
      <c r="W487" s="15" t="s">
        <v>161</v>
      </c>
      <c r="X487" s="13">
        <f t="shared" si="45"/>
        <v>7</v>
      </c>
      <c r="AB487" s="13" t="str">
        <f t="shared" si="46"/>
        <v/>
      </c>
      <c r="AE487" s="13" t="str">
        <f t="shared" si="47"/>
        <v/>
      </c>
      <c r="AF487" s="2">
        <v>1</v>
      </c>
    </row>
    <row r="488" spans="1:32" x14ac:dyDescent="0.25">
      <c r="A488" s="13">
        <v>484</v>
      </c>
      <c r="B488" s="23" t="s">
        <v>56</v>
      </c>
      <c r="C488" s="23" t="s">
        <v>57</v>
      </c>
      <c r="D488" s="23" t="s">
        <v>58</v>
      </c>
      <c r="E488" s="23" t="s">
        <v>58</v>
      </c>
      <c r="F488" s="35" cm="1">
        <f t="array" ref="F488">_xlfn.IFS($G488=$G$5,F$5,$G488=$G$7,F$7,$G488=$G$10,F$10,$G488=$G$13,F$13,$G488=$G$14,F$14,$G488=$G$16,F$16,$G488=$G$17,F$17,$G488=$G$19,F$19,$G488=$G$20,F$20,$G488=$G$22,F$22,$G488=$G$23,F$23,$G488=$G$26,F$26,$G488=$G$29,F$29,$G488=$G$31,F$31,$G488=$G$34,F$34,$G488=$G$37,F$37,$G488=$G$107,F$107,$G488=$G$110,F$110,$G488=$G$140,F$140,$G488=$G$142,F$142,$G488=$G$408,F$408)</f>
        <v>8018</v>
      </c>
      <c r="G488" s="13" t="s">
        <v>63</v>
      </c>
      <c r="H488" s="51" cm="1">
        <f t="array" ref="H488">_xlfn.IFS($G488=$G$5,H$5,$G488=$G$7,H$7,$G488=$G$10,H$10,$G488=$G$13,H$13,$G488=$G$14,H$14,$G488=$G$16,H$16,$G488=$G$17,H$17,$G488=$G$19,H$19,$G488=$G$20,H$20,$G488=$G$22,H$22,$G488=$G$23,H$23,$G488=$G$26,H$26,$G488=$G$29,H$29,$G488=$G$31,H$31,$G488=$G$34,H$34,$G488=$G$37,H$37,$G488=$G$107,H$107,$G488=$G$110,H$110,$G488=$G$140,H$140,$G488=$G$142,H$142,$G488=$G$408,H$408)</f>
        <v>41.404924999999999</v>
      </c>
      <c r="I488" s="51" cm="1">
        <f t="array" ref="I488">_xlfn.IFS($G488=$G$5,I$5,$G488=$G$7,I$7,$G488=$G$10,I$10,$G488=$G$13,I$13,$G488=$G$14,I$14,$G488=$G$16,I$16,$G488=$G$17,I$17,$G488=$G$19,I$19,$G488=$G$20,I$20,$G488=$G$22,I$22,$G488=$G$23,I$23,$G488=$G$26,I$26,$G488=$G$29,I$29,$G488=$G$31,I$31,$G488=$G$34,I$34,$G488=$G$37,I$37,$G488=$G$107,I$107,$G488=$G$110,I$110,$G488=$G$140,I$140,$G488=$G$142,I$142,$G488=$G$408,I$408)</f>
        <v>2.1987909999999999</v>
      </c>
      <c r="J488" s="51" cm="1">
        <f t="array" ref="J488">_xlfn.IFS($G488=$G$5,J$5,$G488=$G$7,J$7,$G488=$G$10,J$10,$G488=$G$13,J$13,$G488=$G$14,J$14,$G488=$G$16,J$16,$G488=$G$17,J$17,$G488=$G$19,J$19,$G488=$G$20,J$20,$G488=$G$22,J$22,$G488=$G$23,J$23,$G488=$G$26,J$26,$G488=$G$29,J$29,$G488=$G$31,J$31,$G488=$G$34,J$34,$G488=$G$37,J$37,$G488=$G$107,J$107,$G488=$G$110,J$110,$G488=$G$140,J$140,$G488=$G$142,J$142,$G488=$G$408,J$408)</f>
        <v>4</v>
      </c>
      <c r="K488" s="13" t="str" cm="1">
        <f t="array" ref="K488">_xlfn.IFS($G488=$G$5,K$5,$G488=$G$7,K$7,$G488=$G$10,K$10,$G488=$G$13,K$13,$G488=$G$14,K$14,$G488=$G$16,K$16,$G488=$G$17,K$17,$G488=$G$19,K$19,$G488=$G$20,K$20,$G488=$G$22,K$22,$G488=$G$23,K$23,$G488=$G$26,K$26,$G488=$G$29,K$29,$G488=$G$31,K$31,$G488=$G$34,K$34,$G488=$G$37,K$37,$G488=$G$107,K$107,$G488=$G$110,K$110,$G488=$G$140,K$140,$G488=$G$142,K$142,$G488=$G$408,K$408)</f>
        <v>BG sentinel + BG lure7</v>
      </c>
      <c r="O488" s="13" t="str">
        <f t="shared" si="48"/>
        <v>A_SP_BCN_4_221004</v>
      </c>
      <c r="P488" s="31">
        <v>44838</v>
      </c>
      <c r="Q488" s="29">
        <v>0.84722222222222221</v>
      </c>
      <c r="R488" s="33"/>
      <c r="S488" s="31">
        <v>44845</v>
      </c>
      <c r="T488" s="29">
        <v>0.84027777777777779</v>
      </c>
      <c r="V488" s="13" t="s">
        <v>139</v>
      </c>
      <c r="W488" s="15" t="s">
        <v>152</v>
      </c>
      <c r="X488" s="13">
        <f t="shared" si="45"/>
        <v>7</v>
      </c>
      <c r="AB488" s="13" t="str">
        <f t="shared" si="46"/>
        <v/>
      </c>
      <c r="AE488" s="13" t="str">
        <f t="shared" si="47"/>
        <v/>
      </c>
      <c r="AF488" s="2">
        <v>1</v>
      </c>
    </row>
    <row r="489" spans="1:32" x14ac:dyDescent="0.25">
      <c r="A489" s="13">
        <v>485</v>
      </c>
      <c r="B489" s="23" t="s">
        <v>56</v>
      </c>
      <c r="C489" s="23" t="s">
        <v>57</v>
      </c>
      <c r="D489" s="23" t="s">
        <v>58</v>
      </c>
      <c r="E489" s="23" t="s">
        <v>58</v>
      </c>
      <c r="F489" s="35" cm="1">
        <f t="array" ref="F489">_xlfn.IFS($G489=$G$5,F$5,$G489=$G$7,F$7,$G489=$G$10,F$10,$G489=$G$13,F$13,$G489=$G$14,F$14,$G489=$G$16,F$16,$G489=$G$17,F$17,$G489=$G$19,F$19,$G489=$G$20,F$20,$G489=$G$22,F$22,$G489=$G$23,F$23,$G489=$G$26,F$26,$G489=$G$29,F$29,$G489=$G$31,F$31,$G489=$G$34,F$34,$G489=$G$37,F$37,$G489=$G$107,F$107,$G489=$G$110,F$110,$G489=$G$140,F$140,$G489=$G$142,F$142,$G489=$G$408,F$408)</f>
        <v>8019</v>
      </c>
      <c r="G489" s="13" t="s">
        <v>64</v>
      </c>
      <c r="H489" s="51" cm="1">
        <f t="array" ref="H489">_xlfn.IFS($G489=$G$5,H$5,$G489=$G$7,H$7,$G489=$G$10,H$10,$G489=$G$13,H$13,$G489=$G$14,H$14,$G489=$G$16,H$16,$G489=$G$17,H$17,$G489=$G$19,H$19,$G489=$G$20,H$20,$G489=$G$22,H$22,$G489=$G$23,H$23,$G489=$G$26,H$26,$G489=$G$29,H$29,$G489=$G$31,H$31,$G489=$G$34,H$34,$G489=$G$37,H$37,$G489=$G$107,H$107,$G489=$G$110,H$110,$G489=$G$140,H$140,$G489=$G$142,H$142,$G489=$G$408,H$408)</f>
        <v>41.410684000000003</v>
      </c>
      <c r="I489" s="51" cm="1">
        <f t="array" ref="I489">_xlfn.IFS($G489=$G$5,I$5,$G489=$G$7,I$7,$G489=$G$10,I$10,$G489=$G$13,I$13,$G489=$G$14,I$14,$G489=$G$16,I$16,$G489=$G$17,I$17,$G489=$G$19,I$19,$G489=$G$20,I$20,$G489=$G$22,I$22,$G489=$G$23,I$23,$G489=$G$26,I$26,$G489=$G$29,I$29,$G489=$G$31,I$31,$G489=$G$34,I$34,$G489=$G$37,I$37,$G489=$G$107,I$107,$G489=$G$110,I$110,$G489=$G$140,I$140,$G489=$G$142,I$142,$G489=$G$408,I$408)</f>
        <v>2.2208019999999999</v>
      </c>
      <c r="J489" s="51" cm="1">
        <f t="array" ref="J489">_xlfn.IFS($G489=$G$5,J$5,$G489=$G$7,J$7,$G489=$G$10,J$10,$G489=$G$13,J$13,$G489=$G$14,J$14,$G489=$G$16,J$16,$G489=$G$17,J$17,$G489=$G$19,J$19,$G489=$G$20,J$20,$G489=$G$22,J$22,$G489=$G$23,J$23,$G489=$G$26,J$26,$G489=$G$29,J$29,$G489=$G$31,J$31,$G489=$G$34,J$34,$G489=$G$37,J$37,$G489=$G$107,J$107,$G489=$G$110,J$110,$G489=$G$140,J$140,$G489=$G$142,J$142,$G489=$G$408,J$408)</f>
        <v>18</v>
      </c>
      <c r="K489" s="13" t="str" cm="1">
        <f t="array" ref="K489">_xlfn.IFS($G489=$G$5,K$5,$G489=$G$7,K$7,$G489=$G$10,K$10,$G489=$G$13,K$13,$G489=$G$14,K$14,$G489=$G$16,K$16,$G489=$G$17,K$17,$G489=$G$19,K$19,$G489=$G$20,K$20,$G489=$G$22,K$22,$G489=$G$23,K$23,$G489=$G$26,K$26,$G489=$G$29,K$29,$G489=$G$31,K$31,$G489=$G$34,K$34,$G489=$G$37,K$37,$G489=$G$107,K$107,$G489=$G$110,K$110,$G489=$G$140,K$140,$G489=$G$142,K$142,$G489=$G$408,K$408)</f>
        <v>BG sentinel + BG lure7</v>
      </c>
      <c r="O489" s="13" t="str">
        <f t="shared" si="48"/>
        <v>A_SP_BCN_5_221004</v>
      </c>
      <c r="P489" s="27">
        <v>44838</v>
      </c>
      <c r="Q489" s="29">
        <v>0.69791666666666663</v>
      </c>
      <c r="R489" s="33"/>
      <c r="S489" s="27">
        <v>44845</v>
      </c>
      <c r="T489" s="29">
        <v>0.67013888888888884</v>
      </c>
      <c r="V489" s="13" t="s">
        <v>86</v>
      </c>
      <c r="X489" s="13">
        <f t="shared" si="45"/>
        <v>7</v>
      </c>
      <c r="AA489" s="13">
        <v>0</v>
      </c>
      <c r="AB489" s="13" t="str">
        <f t="shared" si="46"/>
        <v/>
      </c>
      <c r="AE489" s="13" t="str">
        <f t="shared" si="47"/>
        <v/>
      </c>
      <c r="AF489" s="2">
        <v>4</v>
      </c>
    </row>
    <row r="490" spans="1:32" x14ac:dyDescent="0.25">
      <c r="A490" s="13">
        <v>486</v>
      </c>
      <c r="B490" s="23" t="s">
        <v>56</v>
      </c>
      <c r="C490" s="23" t="s">
        <v>57</v>
      </c>
      <c r="D490" s="23" t="s">
        <v>58</v>
      </c>
      <c r="E490" s="23" t="s">
        <v>58</v>
      </c>
      <c r="F490" s="35" cm="1">
        <f t="array" ref="F490">_xlfn.IFS($G490=$G$5,F$5,$G490=$G$7,F$7,$G490=$G$10,F$10,$G490=$G$13,F$13,$G490=$G$14,F$14,$G490=$G$16,F$16,$G490=$G$17,F$17,$G490=$G$19,F$19,$G490=$G$20,F$20,$G490=$G$22,F$22,$G490=$G$23,F$23,$G490=$G$26,F$26,$G490=$G$29,F$29,$G490=$G$31,F$31,$G490=$G$34,F$34,$G490=$G$37,F$37,$G490=$G$107,F$107,$G490=$G$110,F$110,$G490=$G$140,F$140,$G490=$G$142,F$142,$G490=$G$408,F$408)</f>
        <v>8002</v>
      </c>
      <c r="G490" s="13" t="s">
        <v>65</v>
      </c>
      <c r="H490" s="51" cm="1">
        <f t="array" ref="H490">_xlfn.IFS($G490=$G$5,H$5,$G490=$G$7,H$7,$G490=$G$10,H$10,$G490=$G$13,H$13,$G490=$G$14,H$14,$G490=$G$16,H$16,$G490=$G$17,H$17,$G490=$G$19,H$19,$G490=$G$20,H$20,$G490=$G$22,H$22,$G490=$G$23,H$23,$G490=$G$26,H$26,$G490=$G$29,H$29,$G490=$G$31,H$31,$G490=$G$34,H$34,$G490=$G$37,H$37,$G490=$G$107,H$107,$G490=$G$110,H$110,$G490=$G$140,H$140,$G490=$G$142,H$142,$G490=$G$408,H$408)</f>
        <v>41.382339999999999</v>
      </c>
      <c r="I490" s="51" cm="1">
        <f t="array" ref="I490">_xlfn.IFS($G490=$G$5,I$5,$G490=$G$7,I$7,$G490=$G$10,I$10,$G490=$G$13,I$13,$G490=$G$14,I$14,$G490=$G$16,I$16,$G490=$G$17,I$17,$G490=$G$19,I$19,$G490=$G$20,I$20,$G490=$G$22,I$22,$G490=$G$23,I$23,$G490=$G$26,I$26,$G490=$G$29,I$29,$G490=$G$31,I$31,$G490=$G$34,I$34,$G490=$G$37,I$37,$G490=$G$107,I$107,$G490=$G$110,I$110,$G490=$G$140,I$140,$G490=$G$142,I$142,$G490=$G$408,I$408)</f>
        <v>2.1714790000000002</v>
      </c>
      <c r="J490" s="51" cm="1">
        <f t="array" ref="J490">_xlfn.IFS($G490=$G$5,J$5,$G490=$G$7,J$7,$G490=$G$10,J$10,$G490=$G$13,J$13,$G490=$G$14,J$14,$G490=$G$16,J$16,$G490=$G$17,J$17,$G490=$G$19,J$19,$G490=$G$20,J$20,$G490=$G$22,J$22,$G490=$G$23,J$23,$G490=$G$26,J$26,$G490=$G$29,J$29,$G490=$G$31,J$31,$G490=$G$34,J$34,$G490=$G$37,J$37,$G490=$G$107,J$107,$G490=$G$110,J$110,$G490=$G$140,J$140,$G490=$G$142,J$142,$G490=$G$408,J$408)</f>
        <v>19</v>
      </c>
      <c r="K490" s="13" t="str" cm="1">
        <f t="array" ref="K490">_xlfn.IFS($G490=$G$5,K$5,$G490=$G$7,K$7,$G490=$G$10,K$10,$G490=$G$13,K$13,$G490=$G$14,K$14,$G490=$G$16,K$16,$G490=$G$17,K$17,$G490=$G$19,K$19,$G490=$G$20,K$20,$G490=$G$22,K$22,$G490=$G$23,K$23,$G490=$G$26,K$26,$G490=$G$29,K$29,$G490=$G$31,K$31,$G490=$G$34,K$34,$G490=$G$37,K$37,$G490=$G$107,K$107,$G490=$G$110,K$110,$G490=$G$140,K$140,$G490=$G$142,K$142,$G490=$G$408,K$408)</f>
        <v>BG sentinel + BG lure7</v>
      </c>
      <c r="O490" s="13" t="str">
        <f t="shared" si="48"/>
        <v>A_SP_BCN_6_221004</v>
      </c>
      <c r="P490" s="27">
        <v>44838</v>
      </c>
      <c r="Q490" s="29">
        <v>0.86805555555555547</v>
      </c>
      <c r="R490" s="33"/>
      <c r="S490" s="27">
        <v>44845</v>
      </c>
      <c r="T490" s="29">
        <v>0.85763888888888884</v>
      </c>
      <c r="V490" s="13" t="s">
        <v>86</v>
      </c>
      <c r="X490" s="13">
        <f t="shared" si="45"/>
        <v>7</v>
      </c>
      <c r="Z490" s="13" t="s">
        <v>60</v>
      </c>
      <c r="AA490" s="13">
        <f t="shared" ref="AA490:AA519" si="51">SUM(AC490:AD490)</f>
        <v>3</v>
      </c>
      <c r="AB490" s="13" t="str">
        <f t="shared" si="46"/>
        <v>Adult</v>
      </c>
      <c r="AC490" s="13">
        <v>3</v>
      </c>
      <c r="AD490" s="13">
        <v>0</v>
      </c>
      <c r="AE490" s="13" t="str">
        <f t="shared" si="47"/>
        <v>Morphological</v>
      </c>
      <c r="AF490" s="2">
        <v>4</v>
      </c>
    </row>
    <row r="491" spans="1:32" x14ac:dyDescent="0.25">
      <c r="A491" s="13">
        <v>487</v>
      </c>
      <c r="B491" s="23" t="s">
        <v>56</v>
      </c>
      <c r="C491" s="23" t="s">
        <v>57</v>
      </c>
      <c r="D491" s="23" t="s">
        <v>58</v>
      </c>
      <c r="E491" s="23" t="s">
        <v>58</v>
      </c>
      <c r="F491" s="35" cm="1">
        <f t="array" ref="F491">_xlfn.IFS($G491=$G$5,F$5,$G491=$G$7,F$7,$G491=$G$10,F$10,$G491=$G$13,F$13,$G491=$G$14,F$14,$G491=$G$16,F$16,$G491=$G$17,F$17,$G491=$G$19,F$19,$G491=$G$20,F$20,$G491=$G$22,F$22,$G491=$G$23,F$23,$G491=$G$26,F$26,$G491=$G$29,F$29,$G491=$G$31,F$31,$G491=$G$34,F$34,$G491=$G$37,F$37,$G491=$G$107,F$107,$G491=$G$110,F$110,$G491=$G$140,F$140,$G491=$G$142,F$142,$G491=$G$408,F$408)</f>
        <v>8002</v>
      </c>
      <c r="G491" s="13" t="s">
        <v>65</v>
      </c>
      <c r="H491" s="51" cm="1">
        <f t="array" ref="H491">_xlfn.IFS($G491=$G$5,H$5,$G491=$G$7,H$7,$G491=$G$10,H$10,$G491=$G$13,H$13,$G491=$G$14,H$14,$G491=$G$16,H$16,$G491=$G$17,H$17,$G491=$G$19,H$19,$G491=$G$20,H$20,$G491=$G$22,H$22,$G491=$G$23,H$23,$G491=$G$26,H$26,$G491=$G$29,H$29,$G491=$G$31,H$31,$G491=$G$34,H$34,$G491=$G$37,H$37,$G491=$G$107,H$107,$G491=$G$110,H$110,$G491=$G$140,H$140,$G491=$G$142,H$142,$G491=$G$408,H$408)</f>
        <v>41.382339999999999</v>
      </c>
      <c r="I491" s="51" cm="1">
        <f t="array" ref="I491">_xlfn.IFS($G491=$G$5,I$5,$G491=$G$7,I$7,$G491=$G$10,I$10,$G491=$G$13,I$13,$G491=$G$14,I$14,$G491=$G$16,I$16,$G491=$G$17,I$17,$G491=$G$19,I$19,$G491=$G$20,I$20,$G491=$G$22,I$22,$G491=$G$23,I$23,$G491=$G$26,I$26,$G491=$G$29,I$29,$G491=$G$31,I$31,$G491=$G$34,I$34,$G491=$G$37,I$37,$G491=$G$107,I$107,$G491=$G$110,I$110,$G491=$G$140,I$140,$G491=$G$142,I$142,$G491=$G$408,I$408)</f>
        <v>2.1714790000000002</v>
      </c>
      <c r="J491" s="51" cm="1">
        <f t="array" ref="J491">_xlfn.IFS($G491=$G$5,J$5,$G491=$G$7,J$7,$G491=$G$10,J$10,$G491=$G$13,J$13,$G491=$G$14,J$14,$G491=$G$16,J$16,$G491=$G$17,J$17,$G491=$G$19,J$19,$G491=$G$20,J$20,$G491=$G$22,J$22,$G491=$G$23,J$23,$G491=$G$26,J$26,$G491=$G$29,J$29,$G491=$G$31,J$31,$G491=$G$34,J$34,$G491=$G$37,J$37,$G491=$G$107,J$107,$G491=$G$110,J$110,$G491=$G$140,J$140,$G491=$G$142,J$142,$G491=$G$408,J$408)</f>
        <v>19</v>
      </c>
      <c r="K491" s="13" t="str" cm="1">
        <f t="array" ref="K491">_xlfn.IFS($G491=$G$5,K$5,$G491=$G$7,K$7,$G491=$G$10,K$10,$G491=$G$13,K$13,$G491=$G$14,K$14,$G491=$G$16,K$16,$G491=$G$17,K$17,$G491=$G$19,K$19,$G491=$G$20,K$20,$G491=$G$22,K$22,$G491=$G$23,K$23,$G491=$G$26,K$26,$G491=$G$29,K$29,$G491=$G$31,K$31,$G491=$G$34,K$34,$G491=$G$37,K$37,$G491=$G$107,K$107,$G491=$G$110,K$110,$G491=$G$140,K$140,$G491=$G$142,K$142,$G491=$G$408,K$408)</f>
        <v>BG sentinel + BG lure7</v>
      </c>
      <c r="O491" s="13" t="str">
        <f t="shared" si="48"/>
        <v>A_SP_BCN_6_221004</v>
      </c>
      <c r="P491" s="27">
        <v>44838</v>
      </c>
      <c r="Q491" s="29">
        <v>0.86805555555555547</v>
      </c>
      <c r="R491" s="33"/>
      <c r="S491" s="27">
        <v>44845</v>
      </c>
      <c r="T491" s="29">
        <v>0.85763888888888884</v>
      </c>
      <c r="V491" s="13" t="s">
        <v>86</v>
      </c>
      <c r="X491" s="13">
        <f t="shared" si="45"/>
        <v>7</v>
      </c>
      <c r="Z491" s="13" t="s">
        <v>164</v>
      </c>
      <c r="AA491" s="13">
        <f t="shared" si="51"/>
        <v>4</v>
      </c>
      <c r="AB491" s="13" t="str">
        <f t="shared" si="46"/>
        <v>Adult</v>
      </c>
      <c r="AC491" s="13">
        <v>3</v>
      </c>
      <c r="AD491" s="13">
        <v>1</v>
      </c>
      <c r="AE491" s="13" t="str">
        <f t="shared" si="47"/>
        <v>Morphological</v>
      </c>
      <c r="AF491" s="2">
        <v>4</v>
      </c>
    </row>
    <row r="492" spans="1:32" x14ac:dyDescent="0.25">
      <c r="A492" s="13">
        <v>488</v>
      </c>
      <c r="B492" s="23" t="s">
        <v>56</v>
      </c>
      <c r="C492" s="23" t="s">
        <v>57</v>
      </c>
      <c r="D492" s="23" t="s">
        <v>58</v>
      </c>
      <c r="E492" s="23" t="s">
        <v>58</v>
      </c>
      <c r="F492" s="35" cm="1">
        <f t="array" ref="F492">_xlfn.IFS($G492=$G$5,F$5,$G492=$G$7,F$7,$G492=$G$10,F$10,$G492=$G$13,F$13,$G492=$G$14,F$14,$G492=$G$16,F$16,$G492=$G$17,F$17,$G492=$G$19,F$19,$G492=$G$20,F$20,$G492=$G$22,F$22,$G492=$G$23,F$23,$G492=$G$26,F$26,$G492=$G$29,F$29,$G492=$G$31,F$31,$G492=$G$34,F$34,$G492=$G$37,F$37,$G492=$G$107,F$107,$G492=$G$110,F$110,$G492=$G$140,F$140,$G492=$G$142,F$142,$G492=$G$408,F$408)</f>
        <v>8040</v>
      </c>
      <c r="G492" s="13" t="s">
        <v>68</v>
      </c>
      <c r="H492" s="51" cm="1">
        <f t="array" ref="H492">_xlfn.IFS($G492=$G$5,H$5,$G492=$G$7,H$7,$G492=$G$10,H$10,$G492=$G$13,H$13,$G492=$G$14,H$14,$G492=$G$16,H$16,$G492=$G$17,H$17,$G492=$G$19,H$19,$G492=$G$20,H$20,$G492=$G$22,H$22,$G492=$G$23,H$23,$G492=$G$26,H$26,$G492=$G$29,H$29,$G492=$G$31,H$31,$G492=$G$34,H$34,$G492=$G$37,H$37,$G492=$G$107,H$107,$G492=$G$110,H$110,$G492=$G$140,H$140,$G492=$G$142,H$142,$G492=$G$408,H$408)</f>
        <v>41.343685000000001</v>
      </c>
      <c r="I492" s="51" cm="1">
        <f t="array" ref="I492">_xlfn.IFS($G492=$G$5,I$5,$G492=$G$7,I$7,$G492=$G$10,I$10,$G492=$G$13,I$13,$G492=$G$14,I$14,$G492=$G$16,I$16,$G492=$G$17,I$17,$G492=$G$19,I$19,$G492=$G$20,I$20,$G492=$G$22,I$22,$G492=$G$23,I$23,$G492=$G$26,I$26,$G492=$G$29,I$29,$G492=$G$31,I$31,$G492=$G$34,I$34,$G492=$G$37,I$37,$G492=$G$107,I$107,$G492=$G$110,I$110,$G492=$G$140,I$140,$G492=$G$142,I$142,$G492=$G$408,I$408)</f>
        <v>2.1441490000000001</v>
      </c>
      <c r="J492" s="51" cm="1">
        <f t="array" ref="J492">_xlfn.IFS($G492=$G$5,J$5,$G492=$G$7,J$7,$G492=$G$10,J$10,$G492=$G$13,J$13,$G492=$G$14,J$14,$G492=$G$16,J$16,$G492=$G$17,J$17,$G492=$G$19,J$19,$G492=$G$20,J$20,$G492=$G$22,J$22,$G492=$G$23,J$23,$G492=$G$26,J$26,$G492=$G$29,J$29,$G492=$G$31,J$31,$G492=$G$34,J$34,$G492=$G$37,J$37,$G492=$G$107,J$107,$G492=$G$110,J$110,$G492=$G$140,J$140,$G492=$G$142,J$142,$G492=$G$408,J$408)</f>
        <v>4</v>
      </c>
      <c r="K492" s="13" t="str" cm="1">
        <f t="array" ref="K492">_xlfn.IFS($G492=$G$5,K$5,$G492=$G$7,K$7,$G492=$G$10,K$10,$G492=$G$13,K$13,$G492=$G$14,K$14,$G492=$G$16,K$16,$G492=$G$17,K$17,$G492=$G$19,K$19,$G492=$G$20,K$20,$G492=$G$22,K$22,$G492=$G$23,K$23,$G492=$G$26,K$26,$G492=$G$29,K$29,$G492=$G$31,K$31,$G492=$G$34,K$34,$G492=$G$37,K$37,$G492=$G$107,K$107,$G492=$G$110,K$110,$G492=$G$140,K$140,$G492=$G$142,K$142,$G492=$G$408,K$408)</f>
        <v>BG sentinel + BG lure7</v>
      </c>
      <c r="O492" s="13" t="str">
        <f t="shared" si="48"/>
        <v>A_SP_BCN_10_221004</v>
      </c>
      <c r="P492" s="27">
        <v>44838</v>
      </c>
      <c r="Q492" s="29">
        <v>0.57638888888888895</v>
      </c>
      <c r="R492" s="33"/>
      <c r="S492" s="27">
        <v>44845</v>
      </c>
      <c r="T492" s="29">
        <v>0.54166666666666663</v>
      </c>
      <c r="V492" s="13" t="s">
        <v>86</v>
      </c>
      <c r="W492" s="15" t="s">
        <v>153</v>
      </c>
      <c r="X492" s="13">
        <f t="shared" si="45"/>
        <v>7</v>
      </c>
      <c r="Z492" s="13" t="s">
        <v>60</v>
      </c>
      <c r="AA492" s="13">
        <f t="shared" si="51"/>
        <v>18</v>
      </c>
      <c r="AB492" s="13" t="str">
        <f t="shared" si="46"/>
        <v>Adult</v>
      </c>
      <c r="AC492" s="13">
        <v>11</v>
      </c>
      <c r="AD492" s="13">
        <v>7</v>
      </c>
      <c r="AE492" s="13" t="str">
        <f t="shared" si="47"/>
        <v>Morphological</v>
      </c>
      <c r="AF492" s="2">
        <v>3</v>
      </c>
    </row>
    <row r="493" spans="1:32" x14ac:dyDescent="0.25">
      <c r="A493" s="13">
        <v>489</v>
      </c>
      <c r="B493" s="23" t="s">
        <v>56</v>
      </c>
      <c r="C493" s="23" t="s">
        <v>57</v>
      </c>
      <c r="D493" s="23" t="s">
        <v>58</v>
      </c>
      <c r="E493" s="23" t="s">
        <v>58</v>
      </c>
      <c r="F493" s="35" cm="1">
        <f t="array" ref="F493">_xlfn.IFS($G493=$G$5,F$5,$G493=$G$7,F$7,$G493=$G$10,F$10,$G493=$G$13,F$13,$G493=$G$14,F$14,$G493=$G$16,F$16,$G493=$G$17,F$17,$G493=$G$19,F$19,$G493=$G$20,F$20,$G493=$G$22,F$22,$G493=$G$23,F$23,$G493=$G$26,F$26,$G493=$G$29,F$29,$G493=$G$31,F$31,$G493=$G$34,F$34,$G493=$G$37,F$37,$G493=$G$107,F$107,$G493=$G$110,F$110,$G493=$G$140,F$140,$G493=$G$142,F$142,$G493=$G$408,F$408)</f>
        <v>8040</v>
      </c>
      <c r="G493" s="13" t="s">
        <v>68</v>
      </c>
      <c r="H493" s="51" cm="1">
        <f t="array" ref="H493">_xlfn.IFS($G493=$G$5,H$5,$G493=$G$7,H$7,$G493=$G$10,H$10,$G493=$G$13,H$13,$G493=$G$14,H$14,$G493=$G$16,H$16,$G493=$G$17,H$17,$G493=$G$19,H$19,$G493=$G$20,H$20,$G493=$G$22,H$22,$G493=$G$23,H$23,$G493=$G$26,H$26,$G493=$G$29,H$29,$G493=$G$31,H$31,$G493=$G$34,H$34,$G493=$G$37,H$37,$G493=$G$107,H$107,$G493=$G$110,H$110,$G493=$G$140,H$140,$G493=$G$142,H$142,$G493=$G$408,H$408)</f>
        <v>41.343685000000001</v>
      </c>
      <c r="I493" s="51" cm="1">
        <f t="array" ref="I493">_xlfn.IFS($G493=$G$5,I$5,$G493=$G$7,I$7,$G493=$G$10,I$10,$G493=$G$13,I$13,$G493=$G$14,I$14,$G493=$G$16,I$16,$G493=$G$17,I$17,$G493=$G$19,I$19,$G493=$G$20,I$20,$G493=$G$22,I$22,$G493=$G$23,I$23,$G493=$G$26,I$26,$G493=$G$29,I$29,$G493=$G$31,I$31,$G493=$G$34,I$34,$G493=$G$37,I$37,$G493=$G$107,I$107,$G493=$G$110,I$110,$G493=$G$140,I$140,$G493=$G$142,I$142,$G493=$G$408,I$408)</f>
        <v>2.1441490000000001</v>
      </c>
      <c r="J493" s="51" cm="1">
        <f t="array" ref="J493">_xlfn.IFS($G493=$G$5,J$5,$G493=$G$7,J$7,$G493=$G$10,J$10,$G493=$G$13,J$13,$G493=$G$14,J$14,$G493=$G$16,J$16,$G493=$G$17,J$17,$G493=$G$19,J$19,$G493=$G$20,J$20,$G493=$G$22,J$22,$G493=$G$23,J$23,$G493=$G$26,J$26,$G493=$G$29,J$29,$G493=$G$31,J$31,$G493=$G$34,J$34,$G493=$G$37,J$37,$G493=$G$107,J$107,$G493=$G$110,J$110,$G493=$G$140,J$140,$G493=$G$142,J$142,$G493=$G$408,J$408)</f>
        <v>4</v>
      </c>
      <c r="K493" s="13" t="str" cm="1">
        <f t="array" ref="K493">_xlfn.IFS($G493=$G$5,K$5,$G493=$G$7,K$7,$G493=$G$10,K$10,$G493=$G$13,K$13,$G493=$G$14,K$14,$G493=$G$16,K$16,$G493=$G$17,K$17,$G493=$G$19,K$19,$G493=$G$20,K$20,$G493=$G$22,K$22,$G493=$G$23,K$23,$G493=$G$26,K$26,$G493=$G$29,K$29,$G493=$G$31,K$31,$G493=$G$34,K$34,$G493=$G$37,K$37,$G493=$G$107,K$107,$G493=$G$110,K$110,$G493=$G$140,K$140,$G493=$G$142,K$142,$G493=$G$408,K$408)</f>
        <v>BG sentinel + BG lure7</v>
      </c>
      <c r="O493" s="13" t="str">
        <f t="shared" si="48"/>
        <v>A_SP_BCN_10_221004</v>
      </c>
      <c r="P493" s="27">
        <v>44838</v>
      </c>
      <c r="Q493" s="29">
        <v>0.57638888888888895</v>
      </c>
      <c r="R493" s="33"/>
      <c r="S493" s="27">
        <v>44845</v>
      </c>
      <c r="T493" s="29">
        <v>0.54166666666666663</v>
      </c>
      <c r="V493" s="13" t="s">
        <v>86</v>
      </c>
      <c r="W493" s="15" t="s">
        <v>153</v>
      </c>
      <c r="X493" s="13">
        <f t="shared" si="45"/>
        <v>7</v>
      </c>
      <c r="Z493" s="13" t="s">
        <v>164</v>
      </c>
      <c r="AA493" s="13">
        <f t="shared" si="51"/>
        <v>4</v>
      </c>
      <c r="AB493" s="13" t="str">
        <f t="shared" si="46"/>
        <v>Adult</v>
      </c>
      <c r="AC493" s="13">
        <v>4</v>
      </c>
      <c r="AD493" s="13">
        <v>0</v>
      </c>
      <c r="AE493" s="13" t="str">
        <f t="shared" si="47"/>
        <v>Morphological</v>
      </c>
      <c r="AF493" s="2">
        <v>3</v>
      </c>
    </row>
    <row r="494" spans="1:32" x14ac:dyDescent="0.25">
      <c r="A494" s="13">
        <v>490</v>
      </c>
      <c r="B494" s="23" t="s">
        <v>56</v>
      </c>
      <c r="C494" s="23" t="s">
        <v>57</v>
      </c>
      <c r="D494" s="23" t="s">
        <v>58</v>
      </c>
      <c r="E494" s="23" t="s">
        <v>58</v>
      </c>
      <c r="F494" s="35" cm="1">
        <f t="array" ref="F494">_xlfn.IFS($G494=$G$5,F$5,$G494=$G$7,F$7,$G494=$G$10,F$10,$G494=$G$13,F$13,$G494=$G$14,F$14,$G494=$G$16,F$16,$G494=$G$17,F$17,$G494=$G$19,F$19,$G494=$G$20,F$20,$G494=$G$22,F$22,$G494=$G$23,F$23,$G494=$G$26,F$26,$G494=$G$29,F$29,$G494=$G$31,F$31,$G494=$G$34,F$34,$G494=$G$37,F$37,$G494=$G$107,F$107,$G494=$G$110,F$110,$G494=$G$140,F$140,$G494=$G$142,F$142,$G494=$G$408,F$408)</f>
        <v>8038</v>
      </c>
      <c r="G494" s="13" t="s">
        <v>69</v>
      </c>
      <c r="H494" s="51" cm="1">
        <f t="array" ref="H494">_xlfn.IFS($G494=$G$5,H$5,$G494=$G$7,H$7,$G494=$G$10,H$10,$G494=$G$13,H$13,$G494=$G$14,H$14,$G494=$G$16,H$16,$G494=$G$17,H$17,$G494=$G$19,H$19,$G494=$G$20,H$20,$G494=$G$22,H$22,$G494=$G$23,H$23,$G494=$G$26,H$26,$G494=$G$29,H$29,$G494=$G$31,H$31,$G494=$G$34,H$34,$G494=$G$37,H$37,$G494=$G$107,H$107,$G494=$G$110,H$110,$G494=$G$140,H$140,$G494=$G$142,H$142,$G494=$G$408,H$408)</f>
        <v>41.363377999999997</v>
      </c>
      <c r="I494" s="51" cm="1">
        <f t="array" ref="I494">_xlfn.IFS($G494=$G$5,I$5,$G494=$G$7,I$7,$G494=$G$10,I$10,$G494=$G$13,I$13,$G494=$G$14,I$14,$G494=$G$16,I$16,$G494=$G$17,I$17,$G494=$G$19,I$19,$G494=$G$20,I$20,$G494=$G$22,I$22,$G494=$G$23,I$23,$G494=$G$26,I$26,$G494=$G$29,I$29,$G494=$G$31,I$31,$G494=$G$34,I$34,$G494=$G$37,I$37,$G494=$G$107,I$107,$G494=$G$110,I$110,$G494=$G$140,I$140,$G494=$G$142,I$142,$G494=$G$408,I$408)</f>
        <v>2.164879</v>
      </c>
      <c r="J494" s="51" cm="1">
        <f t="array" ref="J494">_xlfn.IFS($G494=$G$5,J$5,$G494=$G$7,J$7,$G494=$G$10,J$10,$G494=$G$13,J$13,$G494=$G$14,J$14,$G494=$G$16,J$16,$G494=$G$17,J$17,$G494=$G$19,J$19,$G494=$G$20,J$20,$G494=$G$22,J$22,$G494=$G$23,J$23,$G494=$G$26,J$26,$G494=$G$29,J$29,$G494=$G$31,J$31,$G494=$G$34,J$34,$G494=$G$37,J$37,$G494=$G$107,J$107,$G494=$G$110,J$110,$G494=$G$140,J$140,$G494=$G$142,J$142,$G494=$G$408,J$408)</f>
        <v>185</v>
      </c>
      <c r="K494" s="13" t="str" cm="1">
        <f t="array" ref="K494">_xlfn.IFS($G494=$G$5,K$5,$G494=$G$7,K$7,$G494=$G$10,K$10,$G494=$G$13,K$13,$G494=$G$14,K$14,$G494=$G$16,K$16,$G494=$G$17,K$17,$G494=$G$19,K$19,$G494=$G$20,K$20,$G494=$G$22,K$22,$G494=$G$23,K$23,$G494=$G$26,K$26,$G494=$G$29,K$29,$G494=$G$31,K$31,$G494=$G$34,K$34,$G494=$G$37,K$37,$G494=$G$107,K$107,$G494=$G$110,K$110,$G494=$G$140,K$140,$G494=$G$142,K$142,$G494=$G$408,K$408)</f>
        <v>BG sentinel + BG lure7</v>
      </c>
      <c r="O494" s="13" t="str">
        <f t="shared" si="48"/>
        <v>A_SP_BCN_12_221004</v>
      </c>
      <c r="P494" s="27">
        <v>44838</v>
      </c>
      <c r="Q494" s="29">
        <v>0.61111111111111105</v>
      </c>
      <c r="R494" s="33"/>
      <c r="S494" s="27">
        <v>44845</v>
      </c>
      <c r="T494" s="29">
        <v>0.57986111111111105</v>
      </c>
      <c r="V494" s="13" t="s">
        <v>86</v>
      </c>
      <c r="X494" s="13">
        <f t="shared" si="45"/>
        <v>7</v>
      </c>
      <c r="Z494" s="13" t="s">
        <v>60</v>
      </c>
      <c r="AA494" s="13">
        <f t="shared" si="51"/>
        <v>7</v>
      </c>
      <c r="AB494" s="13" t="str">
        <f t="shared" si="46"/>
        <v>Adult</v>
      </c>
      <c r="AC494" s="13">
        <v>7</v>
      </c>
      <c r="AD494" s="13">
        <v>0</v>
      </c>
      <c r="AE494" s="13" t="str">
        <f t="shared" si="47"/>
        <v>Morphological</v>
      </c>
      <c r="AF494" s="2">
        <v>4</v>
      </c>
    </row>
    <row r="495" spans="1:32" x14ac:dyDescent="0.25">
      <c r="A495" s="13">
        <v>491</v>
      </c>
      <c r="B495" s="23" t="s">
        <v>56</v>
      </c>
      <c r="C495" s="23" t="s">
        <v>57</v>
      </c>
      <c r="D495" s="23" t="s">
        <v>58</v>
      </c>
      <c r="E495" s="23" t="s">
        <v>58</v>
      </c>
      <c r="F495" s="35" cm="1">
        <f t="array" ref="F495">_xlfn.IFS($G495=$G$5,F$5,$G495=$G$7,F$7,$G495=$G$10,F$10,$G495=$G$13,F$13,$G495=$G$14,F$14,$G495=$G$16,F$16,$G495=$G$17,F$17,$G495=$G$19,F$19,$G495=$G$20,F$20,$G495=$G$22,F$22,$G495=$G$23,F$23,$G495=$G$26,F$26,$G495=$G$29,F$29,$G495=$G$31,F$31,$G495=$G$34,F$34,$G495=$G$37,F$37,$G495=$G$107,F$107,$G495=$G$110,F$110,$G495=$G$140,F$140,$G495=$G$142,F$142,$G495=$G$408,F$408)</f>
        <v>8038</v>
      </c>
      <c r="G495" s="13" t="s">
        <v>69</v>
      </c>
      <c r="H495" s="51" cm="1">
        <f t="array" ref="H495">_xlfn.IFS($G495=$G$5,H$5,$G495=$G$7,H$7,$G495=$G$10,H$10,$G495=$G$13,H$13,$G495=$G$14,H$14,$G495=$G$16,H$16,$G495=$G$17,H$17,$G495=$G$19,H$19,$G495=$G$20,H$20,$G495=$G$22,H$22,$G495=$G$23,H$23,$G495=$G$26,H$26,$G495=$G$29,H$29,$G495=$G$31,H$31,$G495=$G$34,H$34,$G495=$G$37,H$37,$G495=$G$107,H$107,$G495=$G$110,H$110,$G495=$G$140,H$140,$G495=$G$142,H$142,$G495=$G$408,H$408)</f>
        <v>41.363377999999997</v>
      </c>
      <c r="I495" s="51" cm="1">
        <f t="array" ref="I495">_xlfn.IFS($G495=$G$5,I$5,$G495=$G$7,I$7,$G495=$G$10,I$10,$G495=$G$13,I$13,$G495=$G$14,I$14,$G495=$G$16,I$16,$G495=$G$17,I$17,$G495=$G$19,I$19,$G495=$G$20,I$20,$G495=$G$22,I$22,$G495=$G$23,I$23,$G495=$G$26,I$26,$G495=$G$29,I$29,$G495=$G$31,I$31,$G495=$G$34,I$34,$G495=$G$37,I$37,$G495=$G$107,I$107,$G495=$G$110,I$110,$G495=$G$140,I$140,$G495=$G$142,I$142,$G495=$G$408,I$408)</f>
        <v>2.164879</v>
      </c>
      <c r="J495" s="51" cm="1">
        <f t="array" ref="J495">_xlfn.IFS($G495=$G$5,J$5,$G495=$G$7,J$7,$G495=$G$10,J$10,$G495=$G$13,J$13,$G495=$G$14,J$14,$G495=$G$16,J$16,$G495=$G$17,J$17,$G495=$G$19,J$19,$G495=$G$20,J$20,$G495=$G$22,J$22,$G495=$G$23,J$23,$G495=$G$26,J$26,$G495=$G$29,J$29,$G495=$G$31,J$31,$G495=$G$34,J$34,$G495=$G$37,J$37,$G495=$G$107,J$107,$G495=$G$110,J$110,$G495=$G$140,J$140,$G495=$G$142,J$142,$G495=$G$408,J$408)</f>
        <v>185</v>
      </c>
      <c r="K495" s="13" t="str" cm="1">
        <f t="array" ref="K495">_xlfn.IFS($G495=$G$5,K$5,$G495=$G$7,K$7,$G495=$G$10,K$10,$G495=$G$13,K$13,$G495=$G$14,K$14,$G495=$G$16,K$16,$G495=$G$17,K$17,$G495=$G$19,K$19,$G495=$G$20,K$20,$G495=$G$22,K$22,$G495=$G$23,K$23,$G495=$G$26,K$26,$G495=$G$29,K$29,$G495=$G$31,K$31,$G495=$G$34,K$34,$G495=$G$37,K$37,$G495=$G$107,K$107,$G495=$G$110,K$110,$G495=$G$140,K$140,$G495=$G$142,K$142,$G495=$G$408,K$408)</f>
        <v>BG sentinel + BG lure7</v>
      </c>
      <c r="O495" s="13" t="str">
        <f t="shared" si="48"/>
        <v>A_SP_BCN_12_221004</v>
      </c>
      <c r="P495" s="27">
        <v>44838</v>
      </c>
      <c r="Q495" s="29">
        <v>0.61111111111111105</v>
      </c>
      <c r="R495" s="33"/>
      <c r="S495" s="27">
        <v>44845</v>
      </c>
      <c r="T495" s="29">
        <v>0.57986111111111105</v>
      </c>
      <c r="V495" s="13" t="s">
        <v>86</v>
      </c>
      <c r="X495" s="13">
        <f t="shared" si="45"/>
        <v>7</v>
      </c>
      <c r="Z495" s="13" t="s">
        <v>164</v>
      </c>
      <c r="AA495" s="13">
        <f t="shared" si="51"/>
        <v>14</v>
      </c>
      <c r="AB495" s="13" t="str">
        <f t="shared" si="46"/>
        <v>Adult</v>
      </c>
      <c r="AC495" s="13">
        <v>10</v>
      </c>
      <c r="AD495" s="13">
        <v>4</v>
      </c>
      <c r="AE495" s="13" t="str">
        <f t="shared" si="47"/>
        <v>Morphological</v>
      </c>
      <c r="AF495" s="2">
        <v>4</v>
      </c>
    </row>
    <row r="496" spans="1:32" x14ac:dyDescent="0.25">
      <c r="A496" s="13">
        <v>492</v>
      </c>
      <c r="B496" s="23" t="s">
        <v>56</v>
      </c>
      <c r="C496" s="23" t="s">
        <v>57</v>
      </c>
      <c r="D496" s="23" t="s">
        <v>58</v>
      </c>
      <c r="E496" s="23" t="s">
        <v>58</v>
      </c>
      <c r="F496" s="35" cm="1">
        <f t="array" ref="F496">_xlfn.IFS($G496=$G$5,F$5,$G496=$G$7,F$7,$G496=$G$10,F$10,$G496=$G$13,F$13,$G496=$G$14,F$14,$G496=$G$16,F$16,$G496=$G$17,F$17,$G496=$G$19,F$19,$G496=$G$20,F$20,$G496=$G$22,F$22,$G496=$G$23,F$23,$G496=$G$26,F$26,$G496=$G$29,F$29,$G496=$G$31,F$31,$G496=$G$34,F$34,$G496=$G$37,F$37,$G496=$G$107,F$107,$G496=$G$110,F$110,$G496=$G$140,F$140,$G496=$G$142,F$142,$G496=$G$408,F$408)</f>
        <v>8038</v>
      </c>
      <c r="G496" s="13" t="s">
        <v>69</v>
      </c>
      <c r="H496" s="51" cm="1">
        <f t="array" ref="H496">_xlfn.IFS($G496=$G$5,H$5,$G496=$G$7,H$7,$G496=$G$10,H$10,$G496=$G$13,H$13,$G496=$G$14,H$14,$G496=$G$16,H$16,$G496=$G$17,H$17,$G496=$G$19,H$19,$G496=$G$20,H$20,$G496=$G$22,H$22,$G496=$G$23,H$23,$G496=$G$26,H$26,$G496=$G$29,H$29,$G496=$G$31,H$31,$G496=$G$34,H$34,$G496=$G$37,H$37,$G496=$G$107,H$107,$G496=$G$110,H$110,$G496=$G$140,H$140,$G496=$G$142,H$142,$G496=$G$408,H$408)</f>
        <v>41.363377999999997</v>
      </c>
      <c r="I496" s="51" cm="1">
        <f t="array" ref="I496">_xlfn.IFS($G496=$G$5,I$5,$G496=$G$7,I$7,$G496=$G$10,I$10,$G496=$G$13,I$13,$G496=$G$14,I$14,$G496=$G$16,I$16,$G496=$G$17,I$17,$G496=$G$19,I$19,$G496=$G$20,I$20,$G496=$G$22,I$22,$G496=$G$23,I$23,$G496=$G$26,I$26,$G496=$G$29,I$29,$G496=$G$31,I$31,$G496=$G$34,I$34,$G496=$G$37,I$37,$G496=$G$107,I$107,$G496=$G$110,I$110,$G496=$G$140,I$140,$G496=$G$142,I$142,$G496=$G$408,I$408)</f>
        <v>2.164879</v>
      </c>
      <c r="J496" s="51" cm="1">
        <f t="array" ref="J496">_xlfn.IFS($G496=$G$5,J$5,$G496=$G$7,J$7,$G496=$G$10,J$10,$G496=$G$13,J$13,$G496=$G$14,J$14,$G496=$G$16,J$16,$G496=$G$17,J$17,$G496=$G$19,J$19,$G496=$G$20,J$20,$G496=$G$22,J$22,$G496=$G$23,J$23,$G496=$G$26,J$26,$G496=$G$29,J$29,$G496=$G$31,J$31,$G496=$G$34,J$34,$G496=$G$37,J$37,$G496=$G$107,J$107,$G496=$G$110,J$110,$G496=$G$140,J$140,$G496=$G$142,J$142,$G496=$G$408,J$408)</f>
        <v>185</v>
      </c>
      <c r="K496" s="13" t="str" cm="1">
        <f t="array" ref="K496">_xlfn.IFS($G496=$G$5,K$5,$G496=$G$7,K$7,$G496=$G$10,K$10,$G496=$G$13,K$13,$G496=$G$14,K$14,$G496=$G$16,K$16,$G496=$G$17,K$17,$G496=$G$19,K$19,$G496=$G$20,K$20,$G496=$G$22,K$22,$G496=$G$23,K$23,$G496=$G$26,K$26,$G496=$G$29,K$29,$G496=$G$31,K$31,$G496=$G$34,K$34,$G496=$G$37,K$37,$G496=$G$107,K$107,$G496=$G$110,K$110,$G496=$G$140,K$140,$G496=$G$142,K$142,$G496=$G$408,K$408)</f>
        <v>BG sentinel + BG lure7</v>
      </c>
      <c r="O496" s="13" t="str">
        <f t="shared" si="48"/>
        <v>A_SP_BCN_12_221004</v>
      </c>
      <c r="P496" s="27">
        <v>44838</v>
      </c>
      <c r="Q496" s="29">
        <v>0.61111111111111105</v>
      </c>
      <c r="R496" s="33"/>
      <c r="S496" s="27">
        <v>44845</v>
      </c>
      <c r="T496" s="29">
        <v>0.57986111111111105</v>
      </c>
      <c r="V496" s="13" t="s">
        <v>86</v>
      </c>
      <c r="X496" s="13">
        <f t="shared" si="45"/>
        <v>7</v>
      </c>
      <c r="Z496" s="32" t="s">
        <v>163</v>
      </c>
      <c r="AA496" s="13">
        <f t="shared" si="51"/>
        <v>1</v>
      </c>
      <c r="AB496" s="13" t="str">
        <f t="shared" si="46"/>
        <v>Adult</v>
      </c>
      <c r="AC496" s="13">
        <v>1</v>
      </c>
      <c r="AD496" s="13">
        <v>0</v>
      </c>
      <c r="AE496" s="13" t="str">
        <f t="shared" si="47"/>
        <v>Morphological</v>
      </c>
      <c r="AF496" s="2">
        <v>4</v>
      </c>
    </row>
    <row r="497" spans="1:32" x14ac:dyDescent="0.25">
      <c r="A497" s="13">
        <v>493</v>
      </c>
      <c r="B497" s="23" t="s">
        <v>56</v>
      </c>
      <c r="C497" s="23" t="s">
        <v>57</v>
      </c>
      <c r="D497" s="23" t="s">
        <v>58</v>
      </c>
      <c r="E497" s="23" t="s">
        <v>58</v>
      </c>
      <c r="F497" s="35" cm="1">
        <f t="array" ref="F497">_xlfn.IFS($G497=$G$5,F$5,$G497=$G$7,F$7,$G497=$G$10,F$10,$G497=$G$13,F$13,$G497=$G$14,F$14,$G497=$G$16,F$16,$G497=$G$17,F$17,$G497=$G$19,F$19,$G497=$G$20,F$20,$G497=$G$22,F$22,$G497=$G$23,F$23,$G497=$G$26,F$26,$G497=$G$29,F$29,$G497=$G$31,F$31,$G497=$G$34,F$34,$G497=$G$37,F$37,$G497=$G$107,F$107,$G497=$G$110,F$110,$G497=$G$140,F$140,$G497=$G$142,F$142,$G497=$G$408,F$408)</f>
        <v>8035</v>
      </c>
      <c r="G497" s="13" t="s">
        <v>70</v>
      </c>
      <c r="H497" s="51" cm="1">
        <f t="array" ref="H497">_xlfn.IFS($G497=$G$5,H$5,$G497=$G$7,H$7,$G497=$G$10,H$10,$G497=$G$13,H$13,$G497=$G$14,H$14,$G497=$G$16,H$16,$G497=$G$17,H$17,$G497=$G$19,H$19,$G497=$G$20,H$20,$G497=$G$22,H$22,$G497=$G$23,H$23,$G497=$G$26,H$26,$G497=$G$29,H$29,$G497=$G$31,H$31,$G497=$G$34,H$34,$G497=$G$37,H$37,$G497=$G$107,H$107,$G497=$G$110,H$110,$G497=$G$140,H$140,$G497=$G$142,H$142,$G497=$G$408,H$408)</f>
        <v>41.434472</v>
      </c>
      <c r="I497" s="51" cm="1">
        <f t="array" ref="I497">_xlfn.IFS($G497=$G$5,I$5,$G497=$G$7,I$7,$G497=$G$10,I$10,$G497=$G$13,I$13,$G497=$G$14,I$14,$G497=$G$16,I$16,$G497=$G$17,I$17,$G497=$G$19,I$19,$G497=$G$20,I$20,$G497=$G$22,I$22,$G497=$G$23,I$23,$G497=$G$26,I$26,$G497=$G$29,I$29,$G497=$G$31,I$31,$G497=$G$34,I$34,$G497=$G$37,I$37,$G497=$G$107,I$107,$G497=$G$110,I$110,$G497=$G$140,I$140,$G497=$G$142,I$142,$G497=$G$408,I$408)</f>
        <v>2.1315789999999999</v>
      </c>
      <c r="J497" s="51" cm="1">
        <f t="array" ref="J497">_xlfn.IFS($G497=$G$5,J$5,$G497=$G$7,J$7,$G497=$G$10,J$10,$G497=$G$13,J$13,$G497=$G$14,J$14,$G497=$G$16,J$16,$G497=$G$17,J$17,$G497=$G$19,J$19,$G497=$G$20,J$20,$G497=$G$22,J$22,$G497=$G$23,J$23,$G497=$G$26,J$26,$G497=$G$29,J$29,$G497=$G$31,J$31,$G497=$G$34,J$34,$G497=$G$37,J$37,$G497=$G$107,J$107,$G497=$G$110,J$110,$G497=$G$140,J$140,$G497=$G$142,J$142,$G497=$G$408,J$408)</f>
        <v>365</v>
      </c>
      <c r="K497" s="13" t="str" cm="1">
        <f t="array" ref="K497">_xlfn.IFS($G497=$G$5,K$5,$G497=$G$7,K$7,$G497=$G$10,K$10,$G497=$G$13,K$13,$G497=$G$14,K$14,$G497=$G$16,K$16,$G497=$G$17,K$17,$G497=$G$19,K$19,$G497=$G$20,K$20,$G497=$G$22,K$22,$G497=$G$23,K$23,$G497=$G$26,K$26,$G497=$G$29,K$29,$G497=$G$31,K$31,$G497=$G$34,K$34,$G497=$G$37,K$37,$G497=$G$107,K$107,$G497=$G$110,K$110,$G497=$G$140,K$140,$G497=$G$142,K$142,$G497=$G$408,K$408)</f>
        <v>BG sentinel + BG lure7</v>
      </c>
      <c r="O497" s="13" t="str">
        <f t="shared" si="48"/>
        <v>A_SP_BCN_13_221004</v>
      </c>
      <c r="P497" s="27">
        <v>44838</v>
      </c>
      <c r="Q497" s="29">
        <v>0.72569444444444453</v>
      </c>
      <c r="R497" s="33"/>
      <c r="S497" s="27">
        <v>44845</v>
      </c>
      <c r="T497" s="29">
        <v>0.71875</v>
      </c>
      <c r="V497" s="13" t="s">
        <v>86</v>
      </c>
      <c r="X497" s="13">
        <f t="shared" si="45"/>
        <v>7</v>
      </c>
      <c r="Z497" s="13" t="s">
        <v>60</v>
      </c>
      <c r="AA497" s="13">
        <f t="shared" si="51"/>
        <v>2</v>
      </c>
      <c r="AB497" s="13" t="str">
        <f t="shared" si="46"/>
        <v>Adult</v>
      </c>
      <c r="AC497" s="13">
        <v>2</v>
      </c>
      <c r="AD497" s="13">
        <v>0</v>
      </c>
      <c r="AE497" s="13" t="str">
        <f t="shared" si="47"/>
        <v>Morphological</v>
      </c>
      <c r="AF497" s="2">
        <v>4</v>
      </c>
    </row>
    <row r="498" spans="1:32" x14ac:dyDescent="0.25">
      <c r="A498" s="13">
        <v>494</v>
      </c>
      <c r="B498" s="23" t="s">
        <v>56</v>
      </c>
      <c r="C498" s="23" t="s">
        <v>57</v>
      </c>
      <c r="D498" s="23" t="s">
        <v>58</v>
      </c>
      <c r="E498" s="23" t="s">
        <v>58</v>
      </c>
      <c r="F498" s="35" cm="1">
        <f t="array" ref="F498">_xlfn.IFS($G498=$G$5,F$5,$G498=$G$7,F$7,$G498=$G$10,F$10,$G498=$G$13,F$13,$G498=$G$14,F$14,$G498=$G$16,F$16,$G498=$G$17,F$17,$G498=$G$19,F$19,$G498=$G$20,F$20,$G498=$G$22,F$22,$G498=$G$23,F$23,$G498=$G$26,F$26,$G498=$G$29,F$29,$G498=$G$31,F$31,$G498=$G$34,F$34,$G498=$G$37,F$37,$G498=$G$107,F$107,$G498=$G$110,F$110,$G498=$G$140,F$140,$G498=$G$142,F$142,$G498=$G$408,F$408)</f>
        <v>8017</v>
      </c>
      <c r="G498" s="13" t="s">
        <v>71</v>
      </c>
      <c r="H498" s="51" cm="1">
        <f t="array" ref="H498">_xlfn.IFS($G498=$G$5,H$5,$G498=$G$7,H$7,$G498=$G$10,H$10,$G498=$G$13,H$13,$G498=$G$14,H$14,$G498=$G$16,H$16,$G498=$G$17,H$17,$G498=$G$19,H$19,$G498=$G$20,H$20,$G498=$G$22,H$22,$G498=$G$23,H$23,$G498=$G$26,H$26,$G498=$G$29,H$29,$G498=$G$31,H$31,$G498=$G$34,H$34,$G498=$G$37,H$37,$G498=$G$107,H$107,$G498=$G$110,H$110,$G498=$G$140,H$140,$G498=$G$142,H$142,$G498=$G$408,H$408)</f>
        <v>41.428533999999999</v>
      </c>
      <c r="I498" s="51" cm="1">
        <f t="array" ref="I498">_xlfn.IFS($G498=$G$5,I$5,$G498=$G$7,I$7,$G498=$G$10,I$10,$G498=$G$13,I$13,$G498=$G$14,I$14,$G498=$G$16,I$16,$G498=$G$17,I$17,$G498=$G$19,I$19,$G498=$G$20,I$20,$G498=$G$22,I$22,$G498=$G$23,I$23,$G498=$G$26,I$26,$G498=$G$29,I$29,$G498=$G$31,I$31,$G498=$G$34,I$34,$G498=$G$37,I$37,$G498=$G$107,I$107,$G498=$G$110,I$110,$G498=$G$140,I$140,$G498=$G$142,I$142,$G498=$G$408,I$408)</f>
        <v>2.090954</v>
      </c>
      <c r="J498" s="51" cm="1">
        <f t="array" ref="J498">_xlfn.IFS($G498=$G$5,J$5,$G498=$G$7,J$7,$G498=$G$10,J$10,$G498=$G$13,J$13,$G498=$G$14,J$14,$G498=$G$16,J$16,$G498=$G$17,J$17,$G498=$G$19,J$19,$G498=$G$20,J$20,$G498=$G$22,J$22,$G498=$G$23,J$23,$G498=$G$26,J$26,$G498=$G$29,J$29,$G498=$G$31,J$31,$G498=$G$34,J$34,$G498=$G$37,J$37,$G498=$G$107,J$107,$G498=$G$110,J$110,$G498=$G$140,J$140,$G498=$G$142,J$142,$G498=$G$408,J$408)</f>
        <v>215</v>
      </c>
      <c r="K498" s="13" t="str" cm="1">
        <f t="array" ref="K498">_xlfn.IFS($G498=$G$5,K$5,$G498=$G$7,K$7,$G498=$G$10,K$10,$G498=$G$13,K$13,$G498=$G$14,K$14,$G498=$G$16,K$16,$G498=$G$17,K$17,$G498=$G$19,K$19,$G498=$G$20,K$20,$G498=$G$22,K$22,$G498=$G$23,K$23,$G498=$G$26,K$26,$G498=$G$29,K$29,$G498=$G$31,K$31,$G498=$G$34,K$34,$G498=$G$37,K$37,$G498=$G$107,K$107,$G498=$G$110,K$110,$G498=$G$140,K$140,$G498=$G$142,K$142,$G498=$G$408,K$408)</f>
        <v>BG sentinel + BG lure7</v>
      </c>
      <c r="O498" s="13" t="str">
        <f t="shared" si="48"/>
        <v>A_SP_BCN_14_221004</v>
      </c>
      <c r="P498" s="27">
        <v>44838</v>
      </c>
      <c r="Q498" s="29">
        <v>0.76388888888888884</v>
      </c>
      <c r="R498" s="33"/>
      <c r="S498" s="27">
        <v>44845</v>
      </c>
      <c r="T498" s="29">
        <v>0.75694444444444453</v>
      </c>
      <c r="V498" s="13" t="s">
        <v>86</v>
      </c>
      <c r="W498" s="15" t="s">
        <v>198</v>
      </c>
      <c r="X498" s="13">
        <f t="shared" si="45"/>
        <v>7</v>
      </c>
      <c r="Z498" s="13" t="s">
        <v>60</v>
      </c>
      <c r="AA498" s="13">
        <f t="shared" si="51"/>
        <v>5</v>
      </c>
      <c r="AB498" s="13" t="str">
        <f t="shared" si="46"/>
        <v>Adult</v>
      </c>
      <c r="AC498" s="13">
        <v>4</v>
      </c>
      <c r="AD498" s="13">
        <v>1</v>
      </c>
      <c r="AE498" s="13" t="str">
        <f t="shared" si="47"/>
        <v>Morphological</v>
      </c>
      <c r="AF498" s="2">
        <v>3</v>
      </c>
    </row>
    <row r="499" spans="1:32" x14ac:dyDescent="0.25">
      <c r="A499" s="13">
        <v>495</v>
      </c>
      <c r="B499" s="23" t="s">
        <v>56</v>
      </c>
      <c r="C499" s="23" t="s">
        <v>57</v>
      </c>
      <c r="D499" s="23" t="s">
        <v>58</v>
      </c>
      <c r="E499" s="23" t="s">
        <v>58</v>
      </c>
      <c r="F499" s="35" cm="1">
        <f t="array" ref="F499">_xlfn.IFS($G499=$G$5,F$5,$G499=$G$7,F$7,$G499=$G$10,F$10,$G499=$G$13,F$13,$G499=$G$14,F$14,$G499=$G$16,F$16,$G499=$G$17,F$17,$G499=$G$19,F$19,$G499=$G$20,F$20,$G499=$G$22,F$22,$G499=$G$23,F$23,$G499=$G$26,F$26,$G499=$G$29,F$29,$G499=$G$31,F$31,$G499=$G$34,F$34,$G499=$G$37,F$37,$G499=$G$107,F$107,$G499=$G$110,F$110,$G499=$G$140,F$140,$G499=$G$142,F$142,$G499=$G$408,F$408)</f>
        <v>8017</v>
      </c>
      <c r="G499" s="13" t="s">
        <v>72</v>
      </c>
      <c r="H499" s="51" cm="1">
        <f t="array" ref="H499">_xlfn.IFS($G499=$G$5,H$5,$G499=$G$7,H$7,$G499=$G$10,H$10,$G499=$G$13,H$13,$G499=$G$14,H$14,$G499=$G$16,H$16,$G499=$G$17,H$17,$G499=$G$19,H$19,$G499=$G$20,H$20,$G499=$G$22,H$22,$G499=$G$23,H$23,$G499=$G$26,H$26,$G499=$G$29,H$29,$G499=$G$31,H$31,$G499=$G$34,H$34,$G499=$G$37,H$37,$G499=$G$107,H$107,$G499=$G$110,H$110,$G499=$G$140,H$140,$G499=$G$142,H$142,$G499=$G$408,H$408)</f>
        <v>41.419471000000001</v>
      </c>
      <c r="I499" s="51" cm="1">
        <f t="array" ref="I499">_xlfn.IFS($G499=$G$5,I$5,$G499=$G$7,I$7,$G499=$G$10,I$10,$G499=$G$13,I$13,$G499=$G$14,I$14,$G499=$G$16,I$16,$G499=$G$17,I$17,$G499=$G$19,I$19,$G499=$G$20,I$20,$G499=$G$22,I$22,$G499=$G$23,I$23,$G499=$G$26,I$26,$G499=$G$29,I$29,$G499=$G$31,I$31,$G499=$G$34,I$34,$G499=$G$37,I$37,$G499=$G$107,I$107,$G499=$G$110,I$110,$G499=$G$140,I$140,$G499=$G$142,I$142,$G499=$G$408,I$408)</f>
        <v>2.1010149999999999</v>
      </c>
      <c r="J499" s="51" cm="1">
        <f t="array" ref="J499">_xlfn.IFS($G499=$G$5,J$5,$G499=$G$7,J$7,$G499=$G$10,J$10,$G499=$G$13,J$13,$G499=$G$14,J$14,$G499=$G$16,J$16,$G499=$G$17,J$17,$G499=$G$19,J$19,$G499=$G$20,J$20,$G499=$G$22,J$22,$G499=$G$23,J$23,$G499=$G$26,J$26,$G499=$G$29,J$29,$G499=$G$31,J$31,$G499=$G$34,J$34,$G499=$G$37,J$37,$G499=$G$107,J$107,$G499=$G$110,J$110,$G499=$G$140,J$140,$G499=$G$142,J$142,$G499=$G$408,J$408)</f>
        <v>284</v>
      </c>
      <c r="K499" s="13" t="str" cm="1">
        <f t="array" ref="K499">_xlfn.IFS($G499=$G$5,K$5,$G499=$G$7,K$7,$G499=$G$10,K$10,$G499=$G$13,K$13,$G499=$G$14,K$14,$G499=$G$16,K$16,$G499=$G$17,K$17,$G499=$G$19,K$19,$G499=$G$20,K$20,$G499=$G$22,K$22,$G499=$G$23,K$23,$G499=$G$26,K$26,$G499=$G$29,K$29,$G499=$G$31,K$31,$G499=$G$34,K$34,$G499=$G$37,K$37,$G499=$G$107,K$107,$G499=$G$110,K$110,$G499=$G$140,K$140,$G499=$G$142,K$142,$G499=$G$408,K$408)</f>
        <v>BG sentinel + BG lure7</v>
      </c>
      <c r="O499" s="13" t="str">
        <f t="shared" si="48"/>
        <v>A_SP_BCN_15_221004</v>
      </c>
      <c r="P499" s="27">
        <v>44838</v>
      </c>
      <c r="Q499" s="29">
        <v>0.73958333333333337</v>
      </c>
      <c r="R499" s="33"/>
      <c r="S499" s="27">
        <v>44845</v>
      </c>
      <c r="T499" s="29">
        <v>0.73263888888888884</v>
      </c>
      <c r="V499" s="13" t="s">
        <v>86</v>
      </c>
      <c r="X499" s="13">
        <f t="shared" si="45"/>
        <v>7</v>
      </c>
      <c r="Z499" s="13" t="s">
        <v>60</v>
      </c>
      <c r="AA499" s="13">
        <f t="shared" si="51"/>
        <v>10</v>
      </c>
      <c r="AB499" s="13" t="str">
        <f t="shared" si="46"/>
        <v>Adult</v>
      </c>
      <c r="AC499" s="13">
        <v>10</v>
      </c>
      <c r="AD499" s="13">
        <v>0</v>
      </c>
      <c r="AE499" s="13" t="str">
        <f t="shared" si="47"/>
        <v>Morphological</v>
      </c>
      <c r="AF499" s="2">
        <v>4</v>
      </c>
    </row>
    <row r="500" spans="1:32" x14ac:dyDescent="0.25">
      <c r="A500" s="13">
        <v>496</v>
      </c>
      <c r="B500" s="23" t="s">
        <v>56</v>
      </c>
      <c r="C500" s="23" t="s">
        <v>57</v>
      </c>
      <c r="D500" s="23" t="s">
        <v>58</v>
      </c>
      <c r="E500" s="23" t="s">
        <v>58</v>
      </c>
      <c r="F500" s="35" cm="1">
        <f t="array" ref="F500">_xlfn.IFS($G500=$G$5,F$5,$G500=$G$7,F$7,$G500=$G$10,F$10,$G500=$G$13,F$13,$G500=$G$14,F$14,$G500=$G$16,F$16,$G500=$G$17,F$17,$G500=$G$19,F$19,$G500=$G$20,F$20,$G500=$G$22,F$22,$G500=$G$23,F$23,$G500=$G$26,F$26,$G500=$G$29,F$29,$G500=$G$31,F$31,$G500=$G$34,F$34,$G500=$G$37,F$37,$G500=$G$107,F$107,$G500=$G$110,F$110,$G500=$G$140,F$140,$G500=$G$142,F$142,$G500=$G$408,F$408)</f>
        <v>8017</v>
      </c>
      <c r="G500" s="13" t="s">
        <v>73</v>
      </c>
      <c r="H500" s="51" cm="1">
        <f t="array" ref="H500">_xlfn.IFS($G500=$G$5,H$5,$G500=$G$7,H$7,$G500=$G$10,H$10,$G500=$G$13,H$13,$G500=$G$14,H$14,$G500=$G$16,H$16,$G500=$G$17,H$17,$G500=$G$19,H$19,$G500=$G$20,H$20,$G500=$G$22,H$22,$G500=$G$23,H$23,$G500=$G$26,H$26,$G500=$G$29,H$29,$G500=$G$31,H$31,$G500=$G$34,H$34,$G500=$G$37,H$37,$G500=$G$107,H$107,$G500=$G$110,H$110,$G500=$G$140,H$140,$G500=$G$142,H$142,$G500=$G$408,H$408)</f>
        <v>41.398387</v>
      </c>
      <c r="I500" s="51" cm="1">
        <f t="array" ref="I500">_xlfn.IFS($G500=$G$5,I$5,$G500=$G$7,I$7,$G500=$G$10,I$10,$G500=$G$13,I$13,$G500=$G$14,I$14,$G500=$G$16,I$16,$G500=$G$17,I$17,$G500=$G$19,I$19,$G500=$G$20,I$20,$G500=$G$22,I$22,$G500=$G$23,I$23,$G500=$G$26,I$26,$G500=$G$29,I$29,$G500=$G$31,I$31,$G500=$G$34,I$34,$G500=$G$37,I$37,$G500=$G$107,I$107,$G500=$G$110,I$110,$G500=$G$140,I$140,$G500=$G$142,I$142,$G500=$G$408,I$408)</f>
        <v>2.1244429999999999</v>
      </c>
      <c r="J500" s="51" cm="1">
        <f t="array" ref="J500">_xlfn.IFS($G500=$G$5,J$5,$G500=$G$7,J$7,$G500=$G$10,J$10,$G500=$G$13,J$13,$G500=$G$14,J$14,$G500=$G$16,J$16,$G500=$G$17,J$17,$G500=$G$19,J$19,$G500=$G$20,J$20,$G500=$G$22,J$22,$G500=$G$23,J$23,$G500=$G$26,J$26,$G500=$G$29,J$29,$G500=$G$31,J$31,$G500=$G$34,J$34,$G500=$G$37,J$37,$G500=$G$107,J$107,$G500=$G$110,J$110,$G500=$G$140,J$140,$G500=$G$142,J$142,$G500=$G$408,J$408)</f>
        <v>106</v>
      </c>
      <c r="K500" s="13" t="str" cm="1">
        <f t="array" ref="K500">_xlfn.IFS($G500=$G$5,K$5,$G500=$G$7,K$7,$G500=$G$10,K$10,$G500=$G$13,K$13,$G500=$G$14,K$14,$G500=$G$16,K$16,$G500=$G$17,K$17,$G500=$G$19,K$19,$G500=$G$20,K$20,$G500=$G$22,K$22,$G500=$G$23,K$23,$G500=$G$26,K$26,$G500=$G$29,K$29,$G500=$G$31,K$31,$G500=$G$34,K$34,$G500=$G$37,K$37,$G500=$G$107,K$107,$G500=$G$110,K$110,$G500=$G$140,K$140,$G500=$G$142,K$142,$G500=$G$408,K$408)</f>
        <v>BG sentinel + BG lure7</v>
      </c>
      <c r="O500" s="13" t="str">
        <f t="shared" si="48"/>
        <v>A_SP_BCN_16_221004</v>
      </c>
      <c r="P500" s="27">
        <v>44838</v>
      </c>
      <c r="Q500" s="29">
        <v>0.78125</v>
      </c>
      <c r="R500" s="33"/>
      <c r="S500" s="27">
        <v>44845</v>
      </c>
      <c r="T500" s="29">
        <v>0.78472222222222221</v>
      </c>
      <c r="V500" s="13" t="s">
        <v>86</v>
      </c>
      <c r="X500" s="13">
        <f t="shared" si="45"/>
        <v>7</v>
      </c>
      <c r="Z500" s="13" t="s">
        <v>60</v>
      </c>
      <c r="AA500" s="13">
        <f t="shared" si="51"/>
        <v>59</v>
      </c>
      <c r="AB500" s="13" t="str">
        <f t="shared" si="46"/>
        <v>Adult</v>
      </c>
      <c r="AC500" s="13">
        <v>24</v>
      </c>
      <c r="AD500" s="13">
        <v>35</v>
      </c>
      <c r="AE500" s="13" t="str">
        <f t="shared" si="47"/>
        <v>Morphological</v>
      </c>
      <c r="AF500" s="2">
        <v>4</v>
      </c>
    </row>
    <row r="501" spans="1:32" x14ac:dyDescent="0.25">
      <c r="A501" s="13">
        <v>497</v>
      </c>
      <c r="B501" s="23" t="s">
        <v>56</v>
      </c>
      <c r="C501" s="23" t="s">
        <v>57</v>
      </c>
      <c r="D501" s="23" t="s">
        <v>58</v>
      </c>
      <c r="E501" s="23" t="s">
        <v>58</v>
      </c>
      <c r="F501" s="35" cm="1">
        <f t="array" ref="F501">_xlfn.IFS($G501=$G$5,F$5,$G501=$G$7,F$7,$G501=$G$10,F$10,$G501=$G$13,F$13,$G501=$G$14,F$14,$G501=$G$16,F$16,$G501=$G$17,F$17,$G501=$G$19,F$19,$G501=$G$20,F$20,$G501=$G$22,F$22,$G501=$G$23,F$23,$G501=$G$26,F$26,$G501=$G$29,F$29,$G501=$G$31,F$31,$G501=$G$34,F$34,$G501=$G$37,F$37,$G501=$G$107,F$107,$G501=$G$110,F$110,$G501=$G$140,F$140,$G501=$G$142,F$142,$G501=$G$408,F$408)</f>
        <v>8017</v>
      </c>
      <c r="G501" s="13" t="s">
        <v>73</v>
      </c>
      <c r="H501" s="51" cm="1">
        <f t="array" ref="H501">_xlfn.IFS($G501=$G$5,H$5,$G501=$G$7,H$7,$G501=$G$10,H$10,$G501=$G$13,H$13,$G501=$G$14,H$14,$G501=$G$16,H$16,$G501=$G$17,H$17,$G501=$G$19,H$19,$G501=$G$20,H$20,$G501=$G$22,H$22,$G501=$G$23,H$23,$G501=$G$26,H$26,$G501=$G$29,H$29,$G501=$G$31,H$31,$G501=$G$34,H$34,$G501=$G$37,H$37,$G501=$G$107,H$107,$G501=$G$110,H$110,$G501=$G$140,H$140,$G501=$G$142,H$142,$G501=$G$408,H$408)</f>
        <v>41.398387</v>
      </c>
      <c r="I501" s="51" cm="1">
        <f t="array" ref="I501">_xlfn.IFS($G501=$G$5,I$5,$G501=$G$7,I$7,$G501=$G$10,I$10,$G501=$G$13,I$13,$G501=$G$14,I$14,$G501=$G$16,I$16,$G501=$G$17,I$17,$G501=$G$19,I$19,$G501=$G$20,I$20,$G501=$G$22,I$22,$G501=$G$23,I$23,$G501=$G$26,I$26,$G501=$G$29,I$29,$G501=$G$31,I$31,$G501=$G$34,I$34,$G501=$G$37,I$37,$G501=$G$107,I$107,$G501=$G$110,I$110,$G501=$G$140,I$140,$G501=$G$142,I$142,$G501=$G$408,I$408)</f>
        <v>2.1244429999999999</v>
      </c>
      <c r="J501" s="51" cm="1">
        <f t="array" ref="J501">_xlfn.IFS($G501=$G$5,J$5,$G501=$G$7,J$7,$G501=$G$10,J$10,$G501=$G$13,J$13,$G501=$G$14,J$14,$G501=$G$16,J$16,$G501=$G$17,J$17,$G501=$G$19,J$19,$G501=$G$20,J$20,$G501=$G$22,J$22,$G501=$G$23,J$23,$G501=$G$26,J$26,$G501=$G$29,J$29,$G501=$G$31,J$31,$G501=$G$34,J$34,$G501=$G$37,J$37,$G501=$G$107,J$107,$G501=$G$110,J$110,$G501=$G$140,J$140,$G501=$G$142,J$142,$G501=$G$408,J$408)</f>
        <v>106</v>
      </c>
      <c r="K501" s="13" t="str" cm="1">
        <f t="array" ref="K501">_xlfn.IFS($G501=$G$5,K$5,$G501=$G$7,K$7,$G501=$G$10,K$10,$G501=$G$13,K$13,$G501=$G$14,K$14,$G501=$G$16,K$16,$G501=$G$17,K$17,$G501=$G$19,K$19,$G501=$G$20,K$20,$G501=$G$22,K$22,$G501=$G$23,K$23,$G501=$G$26,K$26,$G501=$G$29,K$29,$G501=$G$31,K$31,$G501=$G$34,K$34,$G501=$G$37,K$37,$G501=$G$107,K$107,$G501=$G$110,K$110,$G501=$G$140,K$140,$G501=$G$142,K$142,$G501=$G$408,K$408)</f>
        <v>BG sentinel + BG lure7</v>
      </c>
      <c r="O501" s="13" t="str">
        <f t="shared" si="48"/>
        <v>A_SP_BCN_16_221004</v>
      </c>
      <c r="P501" s="27">
        <v>44838</v>
      </c>
      <c r="Q501" s="29">
        <v>0.78125</v>
      </c>
      <c r="R501" s="33"/>
      <c r="S501" s="27">
        <v>44845</v>
      </c>
      <c r="T501" s="29">
        <v>0.78472222222222221</v>
      </c>
      <c r="V501" s="13" t="s">
        <v>86</v>
      </c>
      <c r="X501" s="13">
        <f t="shared" si="45"/>
        <v>7</v>
      </c>
      <c r="Z501" s="13" t="s">
        <v>164</v>
      </c>
      <c r="AA501" s="13">
        <f t="shared" si="51"/>
        <v>20</v>
      </c>
      <c r="AB501" s="13" t="str">
        <f t="shared" si="46"/>
        <v>Adult</v>
      </c>
      <c r="AC501" s="13">
        <v>20</v>
      </c>
      <c r="AD501" s="13">
        <v>0</v>
      </c>
      <c r="AE501" s="13" t="str">
        <f t="shared" si="47"/>
        <v>Morphological</v>
      </c>
      <c r="AF501" s="2">
        <v>4</v>
      </c>
    </row>
    <row r="502" spans="1:32" x14ac:dyDescent="0.25">
      <c r="A502" s="13">
        <v>498</v>
      </c>
      <c r="B502" s="23" t="s">
        <v>56</v>
      </c>
      <c r="C502" s="23" t="s">
        <v>57</v>
      </c>
      <c r="D502" s="23" t="s">
        <v>58</v>
      </c>
      <c r="E502" s="23" t="s">
        <v>58</v>
      </c>
      <c r="F502" s="35" cm="1">
        <f t="array" ref="F502">_xlfn.IFS($G502=$G$5,F$5,$G502=$G$7,F$7,$G502=$G$10,F$10,$G502=$G$13,F$13,$G502=$G$14,F$14,$G502=$G$16,F$16,$G502=$G$17,F$17,$G502=$G$19,F$19,$G502=$G$20,F$20,$G502=$G$22,F$22,$G502=$G$23,F$23,$G502=$G$26,F$26,$G502=$G$29,F$29,$G502=$G$31,F$31,$G502=$G$34,F$34,$G502=$G$37,F$37,$G502=$G$107,F$107,$G502=$G$110,F$110,$G502=$G$140,F$140,$G502=$G$142,F$142,$G502=$G$408,F$408)</f>
        <v>8017</v>
      </c>
      <c r="G502" s="13" t="s">
        <v>73</v>
      </c>
      <c r="H502" s="51" cm="1">
        <f t="array" ref="H502">_xlfn.IFS($G502=$G$5,H$5,$G502=$G$7,H$7,$G502=$G$10,H$10,$G502=$G$13,H$13,$G502=$G$14,H$14,$G502=$G$16,H$16,$G502=$G$17,H$17,$G502=$G$19,H$19,$G502=$G$20,H$20,$G502=$G$22,H$22,$G502=$G$23,H$23,$G502=$G$26,H$26,$G502=$G$29,H$29,$G502=$G$31,H$31,$G502=$G$34,H$34,$G502=$G$37,H$37,$G502=$G$107,H$107,$G502=$G$110,H$110,$G502=$G$140,H$140,$G502=$G$142,H$142,$G502=$G$408,H$408)</f>
        <v>41.398387</v>
      </c>
      <c r="I502" s="51" cm="1">
        <f t="array" ref="I502">_xlfn.IFS($G502=$G$5,I$5,$G502=$G$7,I$7,$G502=$G$10,I$10,$G502=$G$13,I$13,$G502=$G$14,I$14,$G502=$G$16,I$16,$G502=$G$17,I$17,$G502=$G$19,I$19,$G502=$G$20,I$20,$G502=$G$22,I$22,$G502=$G$23,I$23,$G502=$G$26,I$26,$G502=$G$29,I$29,$G502=$G$31,I$31,$G502=$G$34,I$34,$G502=$G$37,I$37,$G502=$G$107,I$107,$G502=$G$110,I$110,$G502=$G$140,I$140,$G502=$G$142,I$142,$G502=$G$408,I$408)</f>
        <v>2.1244429999999999</v>
      </c>
      <c r="J502" s="51" cm="1">
        <f t="array" ref="J502">_xlfn.IFS($G502=$G$5,J$5,$G502=$G$7,J$7,$G502=$G$10,J$10,$G502=$G$13,J$13,$G502=$G$14,J$14,$G502=$G$16,J$16,$G502=$G$17,J$17,$G502=$G$19,J$19,$G502=$G$20,J$20,$G502=$G$22,J$22,$G502=$G$23,J$23,$G502=$G$26,J$26,$G502=$G$29,J$29,$G502=$G$31,J$31,$G502=$G$34,J$34,$G502=$G$37,J$37,$G502=$G$107,J$107,$G502=$G$110,J$110,$G502=$G$140,J$140,$G502=$G$142,J$142,$G502=$G$408,J$408)</f>
        <v>106</v>
      </c>
      <c r="K502" s="13" t="str" cm="1">
        <f t="array" ref="K502">_xlfn.IFS($G502=$G$5,K$5,$G502=$G$7,K$7,$G502=$G$10,K$10,$G502=$G$13,K$13,$G502=$G$14,K$14,$G502=$G$16,K$16,$G502=$G$17,K$17,$G502=$G$19,K$19,$G502=$G$20,K$20,$G502=$G$22,K$22,$G502=$G$23,K$23,$G502=$G$26,K$26,$G502=$G$29,K$29,$G502=$G$31,K$31,$G502=$G$34,K$34,$G502=$G$37,K$37,$G502=$G$107,K$107,$G502=$G$110,K$110,$G502=$G$140,K$140,$G502=$G$142,K$142,$G502=$G$408,K$408)</f>
        <v>BG sentinel + BG lure7</v>
      </c>
      <c r="O502" s="13" t="str">
        <f t="shared" si="48"/>
        <v>A_SP_BCN_16_221004</v>
      </c>
      <c r="P502" s="27">
        <v>44838</v>
      </c>
      <c r="Q502" s="29">
        <v>0.78125</v>
      </c>
      <c r="R502" s="33"/>
      <c r="S502" s="27">
        <v>44845</v>
      </c>
      <c r="T502" s="29">
        <v>0.78472222222222221</v>
      </c>
      <c r="V502" s="13" t="s">
        <v>86</v>
      </c>
      <c r="X502" s="13">
        <f t="shared" si="45"/>
        <v>7</v>
      </c>
      <c r="Z502" s="32" t="s">
        <v>163</v>
      </c>
      <c r="AA502" s="13">
        <f t="shared" si="51"/>
        <v>2</v>
      </c>
      <c r="AB502" s="13" t="str">
        <f t="shared" si="46"/>
        <v>Adult</v>
      </c>
      <c r="AC502" s="13">
        <v>2</v>
      </c>
      <c r="AD502" s="13">
        <v>0</v>
      </c>
      <c r="AE502" s="13" t="str">
        <f t="shared" si="47"/>
        <v>Morphological</v>
      </c>
      <c r="AF502" s="2">
        <v>4</v>
      </c>
    </row>
    <row r="503" spans="1:32" x14ac:dyDescent="0.25">
      <c r="A503" s="13">
        <v>499</v>
      </c>
      <c r="B503" s="23" t="s">
        <v>56</v>
      </c>
      <c r="C503" s="23" t="s">
        <v>57</v>
      </c>
      <c r="D503" s="23" t="s">
        <v>58</v>
      </c>
      <c r="E503" s="23" t="s">
        <v>58</v>
      </c>
      <c r="F503" s="35" cm="1">
        <f t="array" ref="F503">_xlfn.IFS($G503=$G$5,F$5,$G503=$G$7,F$7,$G503=$G$10,F$10,$G503=$G$13,F$13,$G503=$G$14,F$14,$G503=$G$16,F$16,$G503=$G$17,F$17,$G503=$G$19,F$19,$G503=$G$20,F$20,$G503=$G$22,F$22,$G503=$G$23,F$23,$G503=$G$26,F$26,$G503=$G$29,F$29,$G503=$G$31,F$31,$G503=$G$34,F$34,$G503=$G$37,F$37,$G503=$G$107,F$107,$G503=$G$110,F$110,$G503=$G$140,F$140,$G503=$G$142,F$142,$G503=$G$408,F$408)</f>
        <v>8023</v>
      </c>
      <c r="G503" s="13" t="s">
        <v>74</v>
      </c>
      <c r="H503" s="51" cm="1">
        <f t="array" ref="H503">_xlfn.IFS($G503=$G$5,H$5,$G503=$G$7,H$7,$G503=$G$10,H$10,$G503=$G$13,H$13,$G503=$G$14,H$14,$G503=$G$16,H$16,$G503=$G$17,H$17,$G503=$G$19,H$19,$G503=$G$20,H$20,$G503=$G$22,H$22,$G503=$G$23,H$23,$G503=$G$26,H$26,$G503=$G$29,H$29,$G503=$G$31,H$31,$G503=$G$34,H$34,$G503=$G$37,H$37,$G503=$G$107,H$107,$G503=$G$110,H$110,$G503=$G$140,H$140,$G503=$G$142,H$142,$G503=$G$408,H$408)</f>
        <v>41.417256000000002</v>
      </c>
      <c r="I503" s="51" cm="1">
        <f t="array" ref="I503">_xlfn.IFS($G503=$G$5,I$5,$G503=$G$7,I$7,$G503=$G$10,I$10,$G503=$G$13,I$13,$G503=$G$14,I$14,$G503=$G$16,I$16,$G503=$G$17,I$17,$G503=$G$19,I$19,$G503=$G$20,I$20,$G503=$G$22,I$22,$G503=$G$23,I$23,$G503=$G$26,I$26,$G503=$G$29,I$29,$G503=$G$31,I$31,$G503=$G$34,I$34,$G503=$G$37,I$37,$G503=$G$107,I$107,$G503=$G$110,I$110,$G503=$G$140,I$140,$G503=$G$142,I$142,$G503=$G$408,I$408)</f>
        <v>2.1455709999999999</v>
      </c>
      <c r="J503" s="51" cm="1">
        <f t="array" ref="J503">_xlfn.IFS($G503=$G$5,J$5,$G503=$G$7,J$7,$G503=$G$10,J$10,$G503=$G$13,J$13,$G503=$G$14,J$14,$G503=$G$16,J$16,$G503=$G$17,J$17,$G503=$G$19,J$19,$G503=$G$20,J$20,$G503=$G$22,J$22,$G503=$G$23,J$23,$G503=$G$26,J$26,$G503=$G$29,J$29,$G503=$G$31,J$31,$G503=$G$34,J$34,$G503=$G$37,J$37,$G503=$G$107,J$107,$G503=$G$110,J$110,$G503=$G$140,J$140,$G503=$G$142,J$142,$G503=$G$408,J$408)</f>
        <v>186</v>
      </c>
      <c r="K503" s="13" t="str" cm="1">
        <f t="array" ref="K503">_xlfn.IFS($G503=$G$5,K$5,$G503=$G$7,K$7,$G503=$G$10,K$10,$G503=$G$13,K$13,$G503=$G$14,K$14,$G503=$G$16,K$16,$G503=$G$17,K$17,$G503=$G$19,K$19,$G503=$G$20,K$20,$G503=$G$22,K$22,$G503=$G$23,K$23,$G503=$G$26,K$26,$G503=$G$29,K$29,$G503=$G$31,K$31,$G503=$G$34,K$34,$G503=$G$37,K$37,$G503=$G$107,K$107,$G503=$G$110,K$110,$G503=$G$140,K$140,$G503=$G$142,K$142,$G503=$G$408,K$408)</f>
        <v>BG sentinel + BG lure7</v>
      </c>
      <c r="O503" s="13" t="str">
        <f t="shared" si="48"/>
        <v>A_SP_BCN_17_221004</v>
      </c>
      <c r="P503" s="27">
        <v>44838</v>
      </c>
      <c r="Q503" s="29">
        <v>0.66319444444444442</v>
      </c>
      <c r="R503" s="33"/>
      <c r="S503" s="27">
        <v>44845</v>
      </c>
      <c r="T503" s="29">
        <v>0.63541666666666663</v>
      </c>
      <c r="V503" s="13" t="s">
        <v>86</v>
      </c>
      <c r="X503" s="13">
        <f t="shared" si="45"/>
        <v>7</v>
      </c>
      <c r="Z503" s="13" t="s">
        <v>60</v>
      </c>
      <c r="AA503" s="13">
        <f t="shared" si="51"/>
        <v>4</v>
      </c>
      <c r="AB503" s="13" t="str">
        <f t="shared" si="46"/>
        <v>Adult</v>
      </c>
      <c r="AC503" s="13">
        <v>3</v>
      </c>
      <c r="AD503" s="13">
        <v>1</v>
      </c>
      <c r="AE503" s="13" t="str">
        <f t="shared" si="47"/>
        <v>Morphological</v>
      </c>
      <c r="AF503" s="2">
        <v>4</v>
      </c>
    </row>
    <row r="504" spans="1:32" x14ac:dyDescent="0.25">
      <c r="A504" s="13">
        <v>500</v>
      </c>
      <c r="B504" s="23" t="s">
        <v>56</v>
      </c>
      <c r="C504" s="23" t="s">
        <v>57</v>
      </c>
      <c r="D504" s="23" t="s">
        <v>58</v>
      </c>
      <c r="E504" s="23" t="s">
        <v>58</v>
      </c>
      <c r="F504" s="35" cm="1">
        <f t="array" ref="F504">_xlfn.IFS($G504=$G$5,F$5,$G504=$G$7,F$7,$G504=$G$10,F$10,$G504=$G$13,F$13,$G504=$G$14,F$14,$G504=$G$16,F$16,$G504=$G$17,F$17,$G504=$G$19,F$19,$G504=$G$20,F$20,$G504=$G$22,F$22,$G504=$G$23,F$23,$G504=$G$26,F$26,$G504=$G$29,F$29,$G504=$G$31,F$31,$G504=$G$34,F$34,$G504=$G$37,F$37,$G504=$G$107,F$107,$G504=$G$110,F$110,$G504=$G$140,F$140,$G504=$G$142,F$142,$G504=$G$408,F$408)</f>
        <v>8031</v>
      </c>
      <c r="G504" s="13" t="s">
        <v>75</v>
      </c>
      <c r="H504" s="51" cm="1">
        <f t="array" ref="H504">_xlfn.IFS($G504=$G$5,H$5,$G504=$G$7,H$7,$G504=$G$10,H$10,$G504=$G$13,H$13,$G504=$G$14,H$14,$G504=$G$16,H$16,$G504=$G$17,H$17,$G504=$G$19,H$19,$G504=$G$20,H$20,$G504=$G$22,H$22,$G504=$G$23,H$23,$G504=$G$26,H$26,$G504=$G$29,H$29,$G504=$G$31,H$31,$G504=$G$34,H$34,$G504=$G$37,H$37,$G504=$G$107,H$107,$G504=$G$110,H$110,$G504=$G$140,H$140,$G504=$G$142,H$142,$G504=$G$408,H$408)</f>
        <v>41.433618000000003</v>
      </c>
      <c r="I504" s="51" cm="1">
        <f t="array" ref="I504">_xlfn.IFS($G504=$G$5,I$5,$G504=$G$7,I$7,$G504=$G$10,I$10,$G504=$G$13,I$13,$G504=$G$14,I$14,$G504=$G$16,I$16,$G504=$G$17,I$17,$G504=$G$19,I$19,$G504=$G$20,I$20,$G504=$G$22,I$22,$G504=$G$23,I$23,$G504=$G$26,I$26,$G504=$G$29,I$29,$G504=$G$31,I$31,$G504=$G$34,I$34,$G504=$G$37,I$37,$G504=$G$107,I$107,$G504=$G$110,I$110,$G504=$G$140,I$140,$G504=$G$142,I$142,$G504=$G$408,I$408)</f>
        <v>2.1677469999999999</v>
      </c>
      <c r="J504" s="51" cm="1">
        <f t="array" ref="J504">_xlfn.IFS($G504=$G$5,J$5,$G504=$G$7,J$7,$G504=$G$10,J$10,$G504=$G$13,J$13,$G504=$G$14,J$14,$G504=$G$16,J$16,$G504=$G$17,J$17,$G504=$G$19,J$19,$G504=$G$20,J$20,$G504=$G$22,J$22,$G504=$G$23,J$23,$G504=$G$26,J$26,$G504=$G$29,J$29,$G504=$G$31,J$31,$G504=$G$34,J$34,$G504=$G$37,J$37,$G504=$G$107,J$107,$G504=$G$110,J$110,$G504=$G$140,J$140,$G504=$G$142,J$142,$G504=$G$408,J$408)</f>
        <v>96.85</v>
      </c>
      <c r="K504" s="13" t="str" cm="1">
        <f t="array" ref="K504">_xlfn.IFS($G504=$G$5,K$5,$G504=$G$7,K$7,$G504=$G$10,K$10,$G504=$G$13,K$13,$G504=$G$14,K$14,$G504=$G$16,K$16,$G504=$G$17,K$17,$G504=$G$19,K$19,$G504=$G$20,K$20,$G504=$G$22,K$22,$G504=$G$23,K$23,$G504=$G$26,K$26,$G504=$G$29,K$29,$G504=$G$31,K$31,$G504=$G$34,K$34,$G504=$G$37,K$37,$G504=$G$107,K$107,$G504=$G$110,K$110,$G504=$G$140,K$140,$G504=$G$142,K$142,$G504=$G$408,K$408)</f>
        <v>BG sentinel + BG lure7</v>
      </c>
      <c r="O504" s="13" t="str">
        <f t="shared" si="48"/>
        <v>A_SP_BCN_18_221004</v>
      </c>
      <c r="P504" s="27">
        <v>44838</v>
      </c>
      <c r="Q504" s="29">
        <v>0.81597222222222221</v>
      </c>
      <c r="R504" s="33"/>
      <c r="S504" s="27">
        <v>44845</v>
      </c>
      <c r="T504" s="29">
        <v>0.80555555555555547</v>
      </c>
      <c r="V504" s="13" t="s">
        <v>86</v>
      </c>
      <c r="X504" s="13">
        <f t="shared" si="45"/>
        <v>7</v>
      </c>
      <c r="Z504" s="13" t="s">
        <v>60</v>
      </c>
      <c r="AA504" s="13">
        <f t="shared" si="51"/>
        <v>11</v>
      </c>
      <c r="AB504" s="13" t="str">
        <f t="shared" si="46"/>
        <v>Adult</v>
      </c>
      <c r="AC504" s="13">
        <v>11</v>
      </c>
      <c r="AD504" s="13">
        <v>0</v>
      </c>
      <c r="AE504" s="13" t="str">
        <f t="shared" si="47"/>
        <v>Morphological</v>
      </c>
      <c r="AF504" s="2">
        <v>4</v>
      </c>
    </row>
    <row r="505" spans="1:32" x14ac:dyDescent="0.25">
      <c r="A505" s="13">
        <v>501</v>
      </c>
      <c r="B505" s="23" t="s">
        <v>56</v>
      </c>
      <c r="C505" s="23" t="s">
        <v>57</v>
      </c>
      <c r="D505" s="23" t="s">
        <v>58</v>
      </c>
      <c r="E505" s="23" t="s">
        <v>58</v>
      </c>
      <c r="F505" s="35" cm="1">
        <f t="array" ref="F505">_xlfn.IFS($G505=$G$5,F$5,$G505=$G$7,F$7,$G505=$G$10,F$10,$G505=$G$13,F$13,$G505=$G$14,F$14,$G505=$G$16,F$16,$G505=$G$17,F$17,$G505=$G$19,F$19,$G505=$G$20,F$20,$G505=$G$22,F$22,$G505=$G$23,F$23,$G505=$G$26,F$26,$G505=$G$29,F$29,$G505=$G$31,F$31,$G505=$G$34,F$34,$G505=$G$37,F$37,$G505=$G$107,F$107,$G505=$G$110,F$110,$G505=$G$140,F$140,$G505=$G$142,F$142,$G505=$G$408,F$408)</f>
        <v>8031</v>
      </c>
      <c r="G505" s="13" t="s">
        <v>75</v>
      </c>
      <c r="H505" s="51" cm="1">
        <f t="array" ref="H505">_xlfn.IFS($G505=$G$5,H$5,$G505=$G$7,H$7,$G505=$G$10,H$10,$G505=$G$13,H$13,$G505=$G$14,H$14,$G505=$G$16,H$16,$G505=$G$17,H$17,$G505=$G$19,H$19,$G505=$G$20,H$20,$G505=$G$22,H$22,$G505=$G$23,H$23,$G505=$G$26,H$26,$G505=$G$29,H$29,$G505=$G$31,H$31,$G505=$G$34,H$34,$G505=$G$37,H$37,$G505=$G$107,H$107,$G505=$G$110,H$110,$G505=$G$140,H$140,$G505=$G$142,H$142,$G505=$G$408,H$408)</f>
        <v>41.433618000000003</v>
      </c>
      <c r="I505" s="51" cm="1">
        <f t="array" ref="I505">_xlfn.IFS($G505=$G$5,I$5,$G505=$G$7,I$7,$G505=$G$10,I$10,$G505=$G$13,I$13,$G505=$G$14,I$14,$G505=$G$16,I$16,$G505=$G$17,I$17,$G505=$G$19,I$19,$G505=$G$20,I$20,$G505=$G$22,I$22,$G505=$G$23,I$23,$G505=$G$26,I$26,$G505=$G$29,I$29,$G505=$G$31,I$31,$G505=$G$34,I$34,$G505=$G$37,I$37,$G505=$G$107,I$107,$G505=$G$110,I$110,$G505=$G$140,I$140,$G505=$G$142,I$142,$G505=$G$408,I$408)</f>
        <v>2.1677469999999999</v>
      </c>
      <c r="J505" s="51" cm="1">
        <f t="array" ref="J505">_xlfn.IFS($G505=$G$5,J$5,$G505=$G$7,J$7,$G505=$G$10,J$10,$G505=$G$13,J$13,$G505=$G$14,J$14,$G505=$G$16,J$16,$G505=$G$17,J$17,$G505=$G$19,J$19,$G505=$G$20,J$20,$G505=$G$22,J$22,$G505=$G$23,J$23,$G505=$G$26,J$26,$G505=$G$29,J$29,$G505=$G$31,J$31,$G505=$G$34,J$34,$G505=$G$37,J$37,$G505=$G$107,J$107,$G505=$G$110,J$110,$G505=$G$140,J$140,$G505=$G$142,J$142,$G505=$G$408,J$408)</f>
        <v>96.85</v>
      </c>
      <c r="K505" s="13" t="str" cm="1">
        <f t="array" ref="K505">_xlfn.IFS($G505=$G$5,K$5,$G505=$G$7,K$7,$G505=$G$10,K$10,$G505=$G$13,K$13,$G505=$G$14,K$14,$G505=$G$16,K$16,$G505=$G$17,K$17,$G505=$G$19,K$19,$G505=$G$20,K$20,$G505=$G$22,K$22,$G505=$G$23,K$23,$G505=$G$26,K$26,$G505=$G$29,K$29,$G505=$G$31,K$31,$G505=$G$34,K$34,$G505=$G$37,K$37,$G505=$G$107,K$107,$G505=$G$110,K$110,$G505=$G$140,K$140,$G505=$G$142,K$142,$G505=$G$408,K$408)</f>
        <v>BG sentinel + BG lure7</v>
      </c>
      <c r="O505" s="13" t="str">
        <f t="shared" si="48"/>
        <v>A_SP_BCN_18_221004</v>
      </c>
      <c r="P505" s="27">
        <v>44838</v>
      </c>
      <c r="Q505" s="29">
        <v>0.81597222222222221</v>
      </c>
      <c r="R505" s="33"/>
      <c r="S505" s="27">
        <v>44845</v>
      </c>
      <c r="T505" s="29">
        <v>0.80555555555555547</v>
      </c>
      <c r="V505" s="13" t="s">
        <v>86</v>
      </c>
      <c r="X505" s="13">
        <f t="shared" si="45"/>
        <v>7</v>
      </c>
      <c r="Z505" s="13" t="s">
        <v>164</v>
      </c>
      <c r="AA505" s="13">
        <f t="shared" si="51"/>
        <v>3</v>
      </c>
      <c r="AB505" s="13" t="str">
        <f t="shared" si="46"/>
        <v>Adult</v>
      </c>
      <c r="AC505" s="13">
        <v>3</v>
      </c>
      <c r="AD505" s="13">
        <v>0</v>
      </c>
      <c r="AE505" s="13" t="str">
        <f t="shared" si="47"/>
        <v>Morphological</v>
      </c>
      <c r="AF505" s="2">
        <v>4</v>
      </c>
    </row>
    <row r="506" spans="1:32" x14ac:dyDescent="0.25">
      <c r="A506" s="13">
        <v>502</v>
      </c>
      <c r="B506" s="23" t="s">
        <v>56</v>
      </c>
      <c r="C506" s="23" t="s">
        <v>57</v>
      </c>
      <c r="D506" s="23" t="s">
        <v>58</v>
      </c>
      <c r="E506" s="23" t="s">
        <v>58</v>
      </c>
      <c r="F506" s="35" cm="1">
        <f t="array" ref="F506">_xlfn.IFS($G506=$G$5,F$5,$G506=$G$7,F$7,$G506=$G$10,F$10,$G506=$G$13,F$13,$G506=$G$14,F$14,$G506=$G$16,F$16,$G506=$G$17,F$17,$G506=$G$19,F$19,$G506=$G$20,F$20,$G506=$G$22,F$22,$G506=$G$23,F$23,$G506=$G$26,F$26,$G506=$G$29,F$29,$G506=$G$31,F$31,$G506=$G$34,F$34,$G506=$G$37,F$37,$G506=$G$107,F$107,$G506=$G$110,F$110,$G506=$G$140,F$140,$G506=$G$142,F$142,$G506=$G$408,F$408)</f>
        <v>8031</v>
      </c>
      <c r="G506" s="13" t="s">
        <v>75</v>
      </c>
      <c r="H506" s="51" cm="1">
        <f t="array" ref="H506">_xlfn.IFS($G506=$G$5,H$5,$G506=$G$7,H$7,$G506=$G$10,H$10,$G506=$G$13,H$13,$G506=$G$14,H$14,$G506=$G$16,H$16,$G506=$G$17,H$17,$G506=$G$19,H$19,$G506=$G$20,H$20,$G506=$G$22,H$22,$G506=$G$23,H$23,$G506=$G$26,H$26,$G506=$G$29,H$29,$G506=$G$31,H$31,$G506=$G$34,H$34,$G506=$G$37,H$37,$G506=$G$107,H$107,$G506=$G$110,H$110,$G506=$G$140,H$140,$G506=$G$142,H$142,$G506=$G$408,H$408)</f>
        <v>41.433618000000003</v>
      </c>
      <c r="I506" s="51" cm="1">
        <f t="array" ref="I506">_xlfn.IFS($G506=$G$5,I$5,$G506=$G$7,I$7,$G506=$G$10,I$10,$G506=$G$13,I$13,$G506=$G$14,I$14,$G506=$G$16,I$16,$G506=$G$17,I$17,$G506=$G$19,I$19,$G506=$G$20,I$20,$G506=$G$22,I$22,$G506=$G$23,I$23,$G506=$G$26,I$26,$G506=$G$29,I$29,$G506=$G$31,I$31,$G506=$G$34,I$34,$G506=$G$37,I$37,$G506=$G$107,I$107,$G506=$G$110,I$110,$G506=$G$140,I$140,$G506=$G$142,I$142,$G506=$G$408,I$408)</f>
        <v>2.1677469999999999</v>
      </c>
      <c r="J506" s="51" cm="1">
        <f t="array" ref="J506">_xlfn.IFS($G506=$G$5,J$5,$G506=$G$7,J$7,$G506=$G$10,J$10,$G506=$G$13,J$13,$G506=$G$14,J$14,$G506=$G$16,J$16,$G506=$G$17,J$17,$G506=$G$19,J$19,$G506=$G$20,J$20,$G506=$G$22,J$22,$G506=$G$23,J$23,$G506=$G$26,J$26,$G506=$G$29,J$29,$G506=$G$31,J$31,$G506=$G$34,J$34,$G506=$G$37,J$37,$G506=$G$107,J$107,$G506=$G$110,J$110,$G506=$G$140,J$140,$G506=$G$142,J$142,$G506=$G$408,J$408)</f>
        <v>96.85</v>
      </c>
      <c r="K506" s="13" t="str" cm="1">
        <f t="array" ref="K506">_xlfn.IFS($G506=$G$5,K$5,$G506=$G$7,K$7,$G506=$G$10,K$10,$G506=$G$13,K$13,$G506=$G$14,K$14,$G506=$G$16,K$16,$G506=$G$17,K$17,$G506=$G$19,K$19,$G506=$G$20,K$20,$G506=$G$22,K$22,$G506=$G$23,K$23,$G506=$G$26,K$26,$G506=$G$29,K$29,$G506=$G$31,K$31,$G506=$G$34,K$34,$G506=$G$37,K$37,$G506=$G$107,K$107,$G506=$G$110,K$110,$G506=$G$140,K$140,$G506=$G$142,K$142,$G506=$G$408,K$408)</f>
        <v>BG sentinel + BG lure7</v>
      </c>
      <c r="O506" s="13" t="str">
        <f t="shared" si="48"/>
        <v>A_SP_BCN_18_221004</v>
      </c>
      <c r="P506" s="27">
        <v>44838</v>
      </c>
      <c r="Q506" s="29">
        <v>0.81597222222222221</v>
      </c>
      <c r="R506" s="33"/>
      <c r="S506" s="27">
        <v>44845</v>
      </c>
      <c r="T506" s="29">
        <v>0.80555555555555547</v>
      </c>
      <c r="V506" s="13" t="s">
        <v>86</v>
      </c>
      <c r="X506" s="13">
        <f t="shared" si="45"/>
        <v>7</v>
      </c>
      <c r="Z506" s="32" t="s">
        <v>163</v>
      </c>
      <c r="AA506" s="13">
        <f t="shared" si="51"/>
        <v>1</v>
      </c>
      <c r="AB506" s="13" t="str">
        <f t="shared" si="46"/>
        <v>Adult</v>
      </c>
      <c r="AC506" s="13">
        <v>1</v>
      </c>
      <c r="AD506" s="13">
        <v>0</v>
      </c>
      <c r="AE506" s="13" t="str">
        <f t="shared" si="47"/>
        <v>Morphological</v>
      </c>
      <c r="AF506" s="2">
        <v>4</v>
      </c>
    </row>
    <row r="507" spans="1:32" x14ac:dyDescent="0.25">
      <c r="A507" s="13">
        <v>503</v>
      </c>
      <c r="B507" s="23" t="s">
        <v>56</v>
      </c>
      <c r="C507" s="23" t="s">
        <v>57</v>
      </c>
      <c r="D507" s="23" t="s">
        <v>58</v>
      </c>
      <c r="E507" s="23" t="s">
        <v>58</v>
      </c>
      <c r="F507" s="35" cm="1">
        <f t="array" ref="F507">_xlfn.IFS($G507=$G$5,F$5,$G507=$G$7,F$7,$G507=$G$10,F$10,$G507=$G$13,F$13,$G507=$G$14,F$14,$G507=$G$16,F$16,$G507=$G$17,F$17,$G507=$G$19,F$19,$G507=$G$20,F$20,$G507=$G$22,F$22,$G507=$G$23,F$23,$G507=$G$26,F$26,$G507=$G$29,F$29,$G507=$G$31,F$31,$G507=$G$34,F$34,$G507=$G$37,F$37,$G507=$G$107,F$107,$G507=$G$110,F$110,$G507=$G$140,F$140,$G507=$G$142,F$142,$G507=$G$408,F$408)</f>
        <v>8038</v>
      </c>
      <c r="G507" s="13" t="s">
        <v>76</v>
      </c>
      <c r="H507" s="51" cm="1">
        <f t="array" ref="H507">_xlfn.IFS($G507=$G$5,H$5,$G507=$G$7,H$7,$G507=$G$10,H$10,$G507=$G$13,H$13,$G507=$G$14,H$14,$G507=$G$16,H$16,$G507=$G$17,H$17,$G507=$G$19,H$19,$G507=$G$20,H$20,$G507=$G$22,H$22,$G507=$G$23,H$23,$G507=$G$26,H$26,$G507=$G$29,H$29,$G507=$G$31,H$31,$G507=$G$34,H$34,$G507=$G$37,H$37,$G507=$G$107,H$107,$G507=$G$110,H$110,$G507=$G$140,H$140,$G507=$G$142,H$142,$G507=$G$408,H$408)</f>
        <v>41.359864999999999</v>
      </c>
      <c r="I507" s="51" cm="1">
        <f t="array" ref="I507">_xlfn.IFS($G507=$G$5,I$5,$G507=$G$7,I$7,$G507=$G$10,I$10,$G507=$G$13,I$13,$G507=$G$14,I$14,$G507=$G$16,I$16,$G507=$G$17,I$17,$G507=$G$19,I$19,$G507=$G$20,I$20,$G507=$G$22,I$22,$G507=$G$23,I$23,$G507=$G$26,I$26,$G507=$G$29,I$29,$G507=$G$31,I$31,$G507=$G$34,I$34,$G507=$G$37,I$37,$G507=$G$107,I$107,$G507=$G$110,I$110,$G507=$G$140,I$140,$G507=$G$142,I$142,$G507=$G$408,I$408)</f>
        <v>2.1445430000000001</v>
      </c>
      <c r="J507" s="51" cm="1">
        <f t="array" ref="J507">_xlfn.IFS($G507=$G$5,J$5,$G507=$G$7,J$7,$G507=$G$10,J$10,$G507=$G$13,J$13,$G507=$G$14,J$14,$G507=$G$16,J$16,$G507=$G$17,J$17,$G507=$G$19,J$19,$G507=$G$20,J$20,$G507=$G$22,J$22,$G507=$G$23,J$23,$G507=$G$26,J$26,$G507=$G$29,J$29,$G507=$G$31,J$31,$G507=$G$34,J$34,$G507=$G$37,J$37,$G507=$G$107,J$107,$G507=$G$110,J$110,$G507=$G$140,J$140,$G507=$G$142,J$142,$G507=$G$408,J$408)</f>
        <v>11.4</v>
      </c>
      <c r="K507" s="13" t="str" cm="1">
        <f t="array" ref="K507">_xlfn.IFS($G507=$G$5,K$5,$G507=$G$7,K$7,$G507=$G$10,K$10,$G507=$G$13,K$13,$G507=$G$14,K$14,$G507=$G$16,K$16,$G507=$G$17,K$17,$G507=$G$19,K$19,$G507=$G$20,K$20,$G507=$G$22,K$22,$G507=$G$23,K$23,$G507=$G$26,K$26,$G507=$G$29,K$29,$G507=$G$31,K$31,$G507=$G$34,K$34,$G507=$G$37,K$37,$G507=$G$107,K$107,$G507=$G$110,K$110,$G507=$G$140,K$140,$G507=$G$142,K$142,$G507=$G$408,K$408)</f>
        <v>BG sentinel + BG lure7</v>
      </c>
      <c r="O507" s="13" t="str">
        <f t="shared" si="48"/>
        <v>A_SP_BCN_19_221004</v>
      </c>
      <c r="P507" s="27">
        <v>44838</v>
      </c>
      <c r="Q507" s="29">
        <v>0.59027777777777779</v>
      </c>
      <c r="R507" s="33"/>
      <c r="S507" s="27">
        <v>44845</v>
      </c>
      <c r="T507" s="29">
        <v>0.55555555555555558</v>
      </c>
      <c r="V507" s="13" t="s">
        <v>86</v>
      </c>
      <c r="X507" s="13">
        <f t="shared" si="45"/>
        <v>7</v>
      </c>
      <c r="Z507" s="13" t="s">
        <v>60</v>
      </c>
      <c r="AA507" s="13">
        <f t="shared" si="51"/>
        <v>50</v>
      </c>
      <c r="AB507" s="13" t="str">
        <f t="shared" si="46"/>
        <v>Adult</v>
      </c>
      <c r="AC507" s="13">
        <v>42</v>
      </c>
      <c r="AD507" s="13">
        <v>8</v>
      </c>
      <c r="AE507" s="13" t="str">
        <f t="shared" si="47"/>
        <v>Morphological</v>
      </c>
      <c r="AF507" s="2">
        <v>4</v>
      </c>
    </row>
    <row r="508" spans="1:32" x14ac:dyDescent="0.25">
      <c r="A508" s="13">
        <v>504</v>
      </c>
      <c r="B508" s="23" t="s">
        <v>56</v>
      </c>
      <c r="C508" s="23" t="s">
        <v>57</v>
      </c>
      <c r="D508" s="23" t="s">
        <v>58</v>
      </c>
      <c r="E508" s="23" t="s">
        <v>58</v>
      </c>
      <c r="F508" s="35" cm="1">
        <f t="array" ref="F508">_xlfn.IFS($G508=$G$5,F$5,$G508=$G$7,F$7,$G508=$G$10,F$10,$G508=$G$13,F$13,$G508=$G$14,F$14,$G508=$G$16,F$16,$G508=$G$17,F$17,$G508=$G$19,F$19,$G508=$G$20,F$20,$G508=$G$22,F$22,$G508=$G$23,F$23,$G508=$G$26,F$26,$G508=$G$29,F$29,$G508=$G$31,F$31,$G508=$G$34,F$34,$G508=$G$37,F$37,$G508=$G$107,F$107,$G508=$G$110,F$110,$G508=$G$140,F$140,$G508=$G$142,F$142,$G508=$G$408,F$408)</f>
        <v>8038</v>
      </c>
      <c r="G508" s="13" t="s">
        <v>76</v>
      </c>
      <c r="H508" s="51" cm="1">
        <f t="array" ref="H508">_xlfn.IFS($G508=$G$5,H$5,$G508=$G$7,H$7,$G508=$G$10,H$10,$G508=$G$13,H$13,$G508=$G$14,H$14,$G508=$G$16,H$16,$G508=$G$17,H$17,$G508=$G$19,H$19,$G508=$G$20,H$20,$G508=$G$22,H$22,$G508=$G$23,H$23,$G508=$G$26,H$26,$G508=$G$29,H$29,$G508=$G$31,H$31,$G508=$G$34,H$34,$G508=$G$37,H$37,$G508=$G$107,H$107,$G508=$G$110,H$110,$G508=$G$140,H$140,$G508=$G$142,H$142,$G508=$G$408,H$408)</f>
        <v>41.359864999999999</v>
      </c>
      <c r="I508" s="51" cm="1">
        <f t="array" ref="I508">_xlfn.IFS($G508=$G$5,I$5,$G508=$G$7,I$7,$G508=$G$10,I$10,$G508=$G$13,I$13,$G508=$G$14,I$14,$G508=$G$16,I$16,$G508=$G$17,I$17,$G508=$G$19,I$19,$G508=$G$20,I$20,$G508=$G$22,I$22,$G508=$G$23,I$23,$G508=$G$26,I$26,$G508=$G$29,I$29,$G508=$G$31,I$31,$G508=$G$34,I$34,$G508=$G$37,I$37,$G508=$G$107,I$107,$G508=$G$110,I$110,$G508=$G$140,I$140,$G508=$G$142,I$142,$G508=$G$408,I$408)</f>
        <v>2.1445430000000001</v>
      </c>
      <c r="J508" s="51" cm="1">
        <f t="array" ref="J508">_xlfn.IFS($G508=$G$5,J$5,$G508=$G$7,J$7,$G508=$G$10,J$10,$G508=$G$13,J$13,$G508=$G$14,J$14,$G508=$G$16,J$16,$G508=$G$17,J$17,$G508=$G$19,J$19,$G508=$G$20,J$20,$G508=$G$22,J$22,$G508=$G$23,J$23,$G508=$G$26,J$26,$G508=$G$29,J$29,$G508=$G$31,J$31,$G508=$G$34,J$34,$G508=$G$37,J$37,$G508=$G$107,J$107,$G508=$G$110,J$110,$G508=$G$140,J$140,$G508=$G$142,J$142,$G508=$G$408,J$408)</f>
        <v>11.4</v>
      </c>
      <c r="K508" s="13" t="str" cm="1">
        <f t="array" ref="K508">_xlfn.IFS($G508=$G$5,K$5,$G508=$G$7,K$7,$G508=$G$10,K$10,$G508=$G$13,K$13,$G508=$G$14,K$14,$G508=$G$16,K$16,$G508=$G$17,K$17,$G508=$G$19,K$19,$G508=$G$20,K$20,$G508=$G$22,K$22,$G508=$G$23,K$23,$G508=$G$26,K$26,$G508=$G$29,K$29,$G508=$G$31,K$31,$G508=$G$34,K$34,$G508=$G$37,K$37,$G508=$G$107,K$107,$G508=$G$110,K$110,$G508=$G$140,K$140,$G508=$G$142,K$142,$G508=$G$408,K$408)</f>
        <v>BG sentinel + BG lure7</v>
      </c>
      <c r="O508" s="13" t="str">
        <f t="shared" si="48"/>
        <v>A_SP_BCN_19_221004</v>
      </c>
      <c r="P508" s="27">
        <v>44838</v>
      </c>
      <c r="Q508" s="29">
        <v>0.59027777777777779</v>
      </c>
      <c r="R508" s="33"/>
      <c r="S508" s="27">
        <v>44845</v>
      </c>
      <c r="T508" s="29">
        <v>0.55555555555555558</v>
      </c>
      <c r="V508" s="13" t="s">
        <v>86</v>
      </c>
      <c r="X508" s="13">
        <f t="shared" si="45"/>
        <v>7</v>
      </c>
      <c r="Z508" s="13" t="s">
        <v>164</v>
      </c>
      <c r="AA508" s="13">
        <f t="shared" si="51"/>
        <v>126</v>
      </c>
      <c r="AB508" s="13" t="str">
        <f t="shared" si="46"/>
        <v>Adult</v>
      </c>
      <c r="AC508" s="13">
        <v>122</v>
      </c>
      <c r="AD508" s="13">
        <v>4</v>
      </c>
      <c r="AE508" s="13" t="str">
        <f t="shared" si="47"/>
        <v>Morphological</v>
      </c>
      <c r="AF508" s="2">
        <v>4</v>
      </c>
    </row>
    <row r="509" spans="1:32" x14ac:dyDescent="0.25">
      <c r="A509" s="13">
        <v>505</v>
      </c>
      <c r="B509" s="23" t="s">
        <v>56</v>
      </c>
      <c r="C509" s="23" t="s">
        <v>57</v>
      </c>
      <c r="D509" s="23" t="s">
        <v>58</v>
      </c>
      <c r="E509" s="23" t="s">
        <v>58</v>
      </c>
      <c r="F509" s="35" cm="1">
        <f t="array" ref="F509">_xlfn.IFS($G509=$G$5,F$5,$G509=$G$7,F$7,$G509=$G$10,F$10,$G509=$G$13,F$13,$G509=$G$14,F$14,$G509=$G$16,F$16,$G509=$G$17,F$17,$G509=$G$19,F$19,$G509=$G$20,F$20,$G509=$G$22,F$22,$G509=$G$23,F$23,$G509=$G$26,F$26,$G509=$G$29,F$29,$G509=$G$31,F$31,$G509=$G$34,F$34,$G509=$G$37,F$37,$G509=$G$107,F$107,$G509=$G$110,F$110,$G509=$G$140,F$140,$G509=$G$142,F$142,$G509=$G$408,F$408)</f>
        <v>8038</v>
      </c>
      <c r="G509" s="13" t="s">
        <v>76</v>
      </c>
      <c r="H509" s="51" cm="1">
        <f t="array" ref="H509">_xlfn.IFS($G509=$G$5,H$5,$G509=$G$7,H$7,$G509=$G$10,H$10,$G509=$G$13,H$13,$G509=$G$14,H$14,$G509=$G$16,H$16,$G509=$G$17,H$17,$G509=$G$19,H$19,$G509=$G$20,H$20,$G509=$G$22,H$22,$G509=$G$23,H$23,$G509=$G$26,H$26,$G509=$G$29,H$29,$G509=$G$31,H$31,$G509=$G$34,H$34,$G509=$G$37,H$37,$G509=$G$107,H$107,$G509=$G$110,H$110,$G509=$G$140,H$140,$G509=$G$142,H$142,$G509=$G$408,H$408)</f>
        <v>41.359864999999999</v>
      </c>
      <c r="I509" s="51" cm="1">
        <f t="array" ref="I509">_xlfn.IFS($G509=$G$5,I$5,$G509=$G$7,I$7,$G509=$G$10,I$10,$G509=$G$13,I$13,$G509=$G$14,I$14,$G509=$G$16,I$16,$G509=$G$17,I$17,$G509=$G$19,I$19,$G509=$G$20,I$20,$G509=$G$22,I$22,$G509=$G$23,I$23,$G509=$G$26,I$26,$G509=$G$29,I$29,$G509=$G$31,I$31,$G509=$G$34,I$34,$G509=$G$37,I$37,$G509=$G$107,I$107,$G509=$G$110,I$110,$G509=$G$140,I$140,$G509=$G$142,I$142,$G509=$G$408,I$408)</f>
        <v>2.1445430000000001</v>
      </c>
      <c r="J509" s="51" cm="1">
        <f t="array" ref="J509">_xlfn.IFS($G509=$G$5,J$5,$G509=$G$7,J$7,$G509=$G$10,J$10,$G509=$G$13,J$13,$G509=$G$14,J$14,$G509=$G$16,J$16,$G509=$G$17,J$17,$G509=$G$19,J$19,$G509=$G$20,J$20,$G509=$G$22,J$22,$G509=$G$23,J$23,$G509=$G$26,J$26,$G509=$G$29,J$29,$G509=$G$31,J$31,$G509=$G$34,J$34,$G509=$G$37,J$37,$G509=$G$107,J$107,$G509=$G$110,J$110,$G509=$G$140,J$140,$G509=$G$142,J$142,$G509=$G$408,J$408)</f>
        <v>11.4</v>
      </c>
      <c r="K509" s="13" t="str" cm="1">
        <f t="array" ref="K509">_xlfn.IFS($G509=$G$5,K$5,$G509=$G$7,K$7,$G509=$G$10,K$10,$G509=$G$13,K$13,$G509=$G$14,K$14,$G509=$G$16,K$16,$G509=$G$17,K$17,$G509=$G$19,K$19,$G509=$G$20,K$20,$G509=$G$22,K$22,$G509=$G$23,K$23,$G509=$G$26,K$26,$G509=$G$29,K$29,$G509=$G$31,K$31,$G509=$G$34,K$34,$G509=$G$37,K$37,$G509=$G$107,K$107,$G509=$G$110,K$110,$G509=$G$140,K$140,$G509=$G$142,K$142,$G509=$G$408,K$408)</f>
        <v>BG sentinel + BG lure7</v>
      </c>
      <c r="O509" s="13" t="str">
        <f t="shared" si="48"/>
        <v>A_SP_BCN_19_221004</v>
      </c>
      <c r="P509" s="27">
        <v>44838</v>
      </c>
      <c r="Q509" s="29">
        <v>0.59027777777777779</v>
      </c>
      <c r="R509" s="33"/>
      <c r="S509" s="27">
        <v>44845</v>
      </c>
      <c r="T509" s="29">
        <v>0.55555555555555558</v>
      </c>
      <c r="V509" s="13" t="s">
        <v>86</v>
      </c>
      <c r="X509" s="13">
        <f t="shared" si="45"/>
        <v>7</v>
      </c>
      <c r="Z509" s="32" t="s">
        <v>163</v>
      </c>
      <c r="AA509" s="13">
        <f t="shared" si="51"/>
        <v>7</v>
      </c>
      <c r="AB509" s="13" t="str">
        <f t="shared" si="46"/>
        <v>Adult</v>
      </c>
      <c r="AC509" s="13">
        <v>5</v>
      </c>
      <c r="AD509" s="13">
        <v>2</v>
      </c>
      <c r="AE509" s="13" t="str">
        <f t="shared" si="47"/>
        <v>Morphological</v>
      </c>
      <c r="AF509" s="2">
        <v>4</v>
      </c>
    </row>
    <row r="510" spans="1:32" x14ac:dyDescent="0.25">
      <c r="A510" s="13">
        <v>506</v>
      </c>
      <c r="B510" s="23" t="s">
        <v>56</v>
      </c>
      <c r="C510" s="23" t="s">
        <v>57</v>
      </c>
      <c r="D510" s="23" t="s">
        <v>58</v>
      </c>
      <c r="E510" s="23" t="s">
        <v>58</v>
      </c>
      <c r="F510" s="35" cm="1">
        <f t="array" ref="F510">_xlfn.IFS($G510=$G$5,F$5,$G510=$G$7,F$7,$G510=$G$10,F$10,$G510=$G$13,F$13,$G510=$G$14,F$14,$G510=$G$16,F$16,$G510=$G$17,F$17,$G510=$G$19,F$19,$G510=$G$20,F$20,$G510=$G$22,F$22,$G510=$G$23,F$23,$G510=$G$26,F$26,$G510=$G$29,F$29,$G510=$G$31,F$31,$G510=$G$34,F$34,$G510=$G$37,F$37,$G510=$G$107,F$107,$G510=$G$110,F$110,$G510=$G$140,F$140,$G510=$G$142,F$142,$G510=$G$408,F$408)</f>
        <v>8017</v>
      </c>
      <c r="G510" s="13" t="s">
        <v>77</v>
      </c>
      <c r="H510" s="51" cm="1">
        <f t="array" ref="H510">_xlfn.IFS($G510=$G$5,H$5,$G510=$G$7,H$7,$G510=$G$10,H$10,$G510=$G$13,H$13,$G510=$G$14,H$14,$G510=$G$16,H$16,$G510=$G$17,H$17,$G510=$G$19,H$19,$G510=$G$20,H$20,$G510=$G$22,H$22,$G510=$G$23,H$23,$G510=$G$26,H$26,$G510=$G$29,H$29,$G510=$G$31,H$31,$G510=$G$34,H$34,$G510=$G$37,H$37,$G510=$G$107,H$107,$G510=$G$110,H$110,$G510=$G$140,H$140,$G510=$G$142,H$142,$G510=$G$408,H$408)</f>
        <v>41.430315999999998</v>
      </c>
      <c r="I510" s="51" cm="1">
        <f t="array" ref="I510">_xlfn.IFS($G510=$G$5,I$5,$G510=$G$7,I$7,$G510=$G$10,I$10,$G510=$G$13,I$13,$G510=$G$14,I$14,$G510=$G$16,I$16,$G510=$G$17,I$17,$G510=$G$19,I$19,$G510=$G$20,I$20,$G510=$G$22,I$22,$G510=$G$23,I$23,$G510=$G$26,I$26,$G510=$G$29,I$29,$G510=$G$31,I$31,$G510=$G$34,I$34,$G510=$G$37,I$37,$G510=$G$107,I$107,$G510=$G$110,I$110,$G510=$G$140,I$140,$G510=$G$142,I$142,$G510=$G$408,I$408)</f>
        <v>2.077556</v>
      </c>
      <c r="J510" s="51" cm="1">
        <f t="array" ref="J510">_xlfn.IFS($G510=$G$5,J$5,$G510=$G$7,J$7,$G510=$G$10,J$10,$G510=$G$13,J$13,$G510=$G$14,J$14,$G510=$G$16,J$16,$G510=$G$17,J$17,$G510=$G$19,J$19,$G510=$G$20,J$20,$G510=$G$22,J$22,$G510=$G$23,J$23,$G510=$G$26,J$26,$G510=$G$29,J$29,$G510=$G$31,J$31,$G510=$G$34,J$34,$G510=$G$37,J$37,$G510=$G$107,J$107,$G510=$G$110,J$110,$G510=$G$140,J$140,$G510=$G$142,J$142,$G510=$G$408,J$408)</f>
        <v>243.3</v>
      </c>
      <c r="K510" s="13" t="str" cm="1">
        <f t="array" ref="K510">_xlfn.IFS($G510=$G$5,K$5,$G510=$G$7,K$7,$G510=$G$10,K$10,$G510=$G$13,K$13,$G510=$G$14,K$14,$G510=$G$16,K$16,$G510=$G$17,K$17,$G510=$G$19,K$19,$G510=$G$20,K$20,$G510=$G$22,K$22,$G510=$G$23,K$23,$G510=$G$26,K$26,$G510=$G$29,K$29,$G510=$G$31,K$31,$G510=$G$34,K$34,$G510=$G$37,K$37,$G510=$G$107,K$107,$G510=$G$110,K$110,$G510=$G$140,K$140,$G510=$G$142,K$142,$G510=$G$408,K$408)</f>
        <v>BG sentinel + BG lure7</v>
      </c>
      <c r="O510" s="13" t="str">
        <f t="shared" si="48"/>
        <v>A_SP_BCN_22_221005</v>
      </c>
      <c r="P510" s="27">
        <v>44839</v>
      </c>
      <c r="Q510" s="29">
        <v>0.46875</v>
      </c>
      <c r="R510" s="33"/>
      <c r="S510" s="27">
        <v>44845</v>
      </c>
      <c r="T510" s="29">
        <v>0.74305555555555547</v>
      </c>
      <c r="V510" s="13" t="s">
        <v>139</v>
      </c>
      <c r="W510" t="s">
        <v>201</v>
      </c>
      <c r="X510" s="13">
        <f t="shared" si="45"/>
        <v>6</v>
      </c>
      <c r="Z510" s="13" t="s">
        <v>60</v>
      </c>
      <c r="AA510" s="13">
        <f t="shared" si="51"/>
        <v>34</v>
      </c>
      <c r="AB510" s="13" t="str">
        <f t="shared" si="46"/>
        <v>Adult</v>
      </c>
      <c r="AC510" s="13">
        <v>32</v>
      </c>
      <c r="AD510" s="13">
        <v>2</v>
      </c>
      <c r="AE510" s="13" t="str">
        <f t="shared" si="47"/>
        <v>Morphological</v>
      </c>
      <c r="AF510" s="2">
        <v>2</v>
      </c>
    </row>
    <row r="511" spans="1:32" x14ac:dyDescent="0.25">
      <c r="A511" s="13">
        <v>507</v>
      </c>
      <c r="B511" s="23" t="s">
        <v>56</v>
      </c>
      <c r="C511" s="23" t="s">
        <v>57</v>
      </c>
      <c r="D511" s="23" t="s">
        <v>58</v>
      </c>
      <c r="E511" s="23" t="s">
        <v>58</v>
      </c>
      <c r="F511" s="35" cm="1">
        <f t="array" ref="F511">_xlfn.IFS($G511=$G$5,F$5,$G511=$G$7,F$7,$G511=$G$10,F$10,$G511=$G$13,F$13,$G511=$G$14,F$14,$G511=$G$16,F$16,$G511=$G$17,F$17,$G511=$G$19,F$19,$G511=$G$20,F$20,$G511=$G$22,F$22,$G511=$G$23,F$23,$G511=$G$26,F$26,$G511=$G$29,F$29,$G511=$G$31,F$31,$G511=$G$34,F$34,$G511=$G$37,F$37,$G511=$G$107,F$107,$G511=$G$110,F$110,$G511=$G$140,F$140,$G511=$G$142,F$142,$G511=$G$408,F$408)</f>
        <v>8017</v>
      </c>
      <c r="G511" s="13" t="s">
        <v>77</v>
      </c>
      <c r="H511" s="51" cm="1">
        <f t="array" ref="H511">_xlfn.IFS($G511=$G$5,H$5,$G511=$G$7,H$7,$G511=$G$10,H$10,$G511=$G$13,H$13,$G511=$G$14,H$14,$G511=$G$16,H$16,$G511=$G$17,H$17,$G511=$G$19,H$19,$G511=$G$20,H$20,$G511=$G$22,H$22,$G511=$G$23,H$23,$G511=$G$26,H$26,$G511=$G$29,H$29,$G511=$G$31,H$31,$G511=$G$34,H$34,$G511=$G$37,H$37,$G511=$G$107,H$107,$G511=$G$110,H$110,$G511=$G$140,H$140,$G511=$G$142,H$142,$G511=$G$408,H$408)</f>
        <v>41.430315999999998</v>
      </c>
      <c r="I511" s="51" cm="1">
        <f t="array" ref="I511">_xlfn.IFS($G511=$G$5,I$5,$G511=$G$7,I$7,$G511=$G$10,I$10,$G511=$G$13,I$13,$G511=$G$14,I$14,$G511=$G$16,I$16,$G511=$G$17,I$17,$G511=$G$19,I$19,$G511=$G$20,I$20,$G511=$G$22,I$22,$G511=$G$23,I$23,$G511=$G$26,I$26,$G511=$G$29,I$29,$G511=$G$31,I$31,$G511=$G$34,I$34,$G511=$G$37,I$37,$G511=$G$107,I$107,$G511=$G$110,I$110,$G511=$G$140,I$140,$G511=$G$142,I$142,$G511=$G$408,I$408)</f>
        <v>2.077556</v>
      </c>
      <c r="J511" s="51" cm="1">
        <f t="array" ref="J511">_xlfn.IFS($G511=$G$5,J$5,$G511=$G$7,J$7,$G511=$G$10,J$10,$G511=$G$13,J$13,$G511=$G$14,J$14,$G511=$G$16,J$16,$G511=$G$17,J$17,$G511=$G$19,J$19,$G511=$G$20,J$20,$G511=$G$22,J$22,$G511=$G$23,J$23,$G511=$G$26,J$26,$G511=$G$29,J$29,$G511=$G$31,J$31,$G511=$G$34,J$34,$G511=$G$37,J$37,$G511=$G$107,J$107,$G511=$G$110,J$110,$G511=$G$140,J$140,$G511=$G$142,J$142,$G511=$G$408,J$408)</f>
        <v>243.3</v>
      </c>
      <c r="K511" s="13" t="str" cm="1">
        <f t="array" ref="K511">_xlfn.IFS($G511=$G$5,K$5,$G511=$G$7,K$7,$G511=$G$10,K$10,$G511=$G$13,K$13,$G511=$G$14,K$14,$G511=$G$16,K$16,$G511=$G$17,K$17,$G511=$G$19,K$19,$G511=$G$20,K$20,$G511=$G$22,K$22,$G511=$G$23,K$23,$G511=$G$26,K$26,$G511=$G$29,K$29,$G511=$G$31,K$31,$G511=$G$34,K$34,$G511=$G$37,K$37,$G511=$G$107,K$107,$G511=$G$110,K$110,$G511=$G$140,K$140,$G511=$G$142,K$142,$G511=$G$408,K$408)</f>
        <v>BG sentinel + BG lure7</v>
      </c>
      <c r="O511" s="13" t="str">
        <f t="shared" si="48"/>
        <v>A_SP_BCN_22_221005</v>
      </c>
      <c r="P511" s="27">
        <v>44839</v>
      </c>
      <c r="Q511" s="29">
        <v>0.46875</v>
      </c>
      <c r="R511" s="33"/>
      <c r="S511" s="27">
        <v>44845</v>
      </c>
      <c r="T511" s="29">
        <v>0.74305555555555547</v>
      </c>
      <c r="V511" s="13" t="s">
        <v>139</v>
      </c>
      <c r="W511" t="s">
        <v>201</v>
      </c>
      <c r="X511" s="13">
        <f t="shared" si="45"/>
        <v>6</v>
      </c>
      <c r="Z511" s="13" t="s">
        <v>164</v>
      </c>
      <c r="AA511" s="13">
        <f t="shared" si="51"/>
        <v>1</v>
      </c>
      <c r="AB511" s="13" t="str">
        <f t="shared" si="46"/>
        <v>Adult</v>
      </c>
      <c r="AC511" s="13">
        <v>1</v>
      </c>
      <c r="AD511" s="13">
        <v>0</v>
      </c>
      <c r="AE511" s="13" t="str">
        <f t="shared" si="47"/>
        <v>Morphological</v>
      </c>
      <c r="AF511" s="2">
        <v>2</v>
      </c>
    </row>
    <row r="512" spans="1:32" x14ac:dyDescent="0.25">
      <c r="A512" s="13">
        <v>508</v>
      </c>
      <c r="B512" s="23" t="s">
        <v>56</v>
      </c>
      <c r="C512" s="23" t="s">
        <v>57</v>
      </c>
      <c r="D512" s="23" t="s">
        <v>58</v>
      </c>
      <c r="E512" s="23" t="s">
        <v>58</v>
      </c>
      <c r="F512" s="35" cm="1">
        <f t="array" ref="F512">_xlfn.IFS($G512=$G$5,F$5,$G512=$G$7,F$7,$G512=$G$10,F$10,$G512=$G$13,F$13,$G512=$G$14,F$14,$G512=$G$16,F$16,$G512=$G$17,F$17,$G512=$G$19,F$19,$G512=$G$20,F$20,$G512=$G$22,F$22,$G512=$G$23,F$23,$G512=$G$26,F$26,$G512=$G$29,F$29,$G512=$G$31,F$31,$G512=$G$34,F$34,$G512=$G$37,F$37,$G512=$G$107,F$107,$G512=$G$110,F$110,$G512=$G$140,F$140,$G512=$G$142,F$142,$G512=$G$408,F$408)</f>
        <v>8038</v>
      </c>
      <c r="G512" s="13" t="s">
        <v>79</v>
      </c>
      <c r="H512" s="51" cm="1">
        <f t="array" ref="H512">_xlfn.IFS($G512=$G$5,H$5,$G512=$G$7,H$7,$G512=$G$10,H$10,$G512=$G$13,H$13,$G512=$G$14,H$14,$G512=$G$16,H$16,$G512=$G$17,H$17,$G512=$G$19,H$19,$G512=$G$20,H$20,$G512=$G$22,H$22,$G512=$G$23,H$23,$G512=$G$26,H$26,$G512=$G$29,H$29,$G512=$G$31,H$31,$G512=$G$34,H$34,$G512=$G$37,H$37,$G512=$G$107,H$107,$G512=$G$110,H$110,$G512=$G$140,H$140,$G512=$G$142,H$142,$G512=$G$408,H$408)</f>
        <v>41.367100000000001</v>
      </c>
      <c r="I512" s="51" cm="1">
        <f t="array" ref="I512">_xlfn.IFS($G512=$G$5,I$5,$G512=$G$7,I$7,$G512=$G$10,I$10,$G512=$G$13,I$13,$G512=$G$14,I$14,$G512=$G$16,I$16,$G512=$G$17,I$17,$G512=$G$19,I$19,$G512=$G$20,I$20,$G512=$G$22,I$22,$G512=$G$23,I$23,$G512=$G$26,I$26,$G512=$G$29,I$29,$G512=$G$31,I$31,$G512=$G$34,I$34,$G512=$G$37,I$37,$G512=$G$107,I$107,$G512=$G$110,I$110,$G512=$G$140,I$140,$G512=$G$142,I$142,$G512=$G$408,I$408)</f>
        <v>2.1539079999999999</v>
      </c>
      <c r="J512" s="51" cm="1">
        <f t="array" ref="J512">_xlfn.IFS($G512=$G$5,J$5,$G512=$G$7,J$7,$G512=$G$10,J$10,$G512=$G$13,J$13,$G512=$G$14,J$14,$G512=$G$16,J$16,$G512=$G$17,J$17,$G512=$G$19,J$19,$G512=$G$20,J$20,$G512=$G$22,J$22,$G512=$G$23,J$23,$G512=$G$26,J$26,$G512=$G$29,J$29,$G512=$G$31,J$31,$G512=$G$34,J$34,$G512=$G$37,J$37,$G512=$G$107,J$107,$G512=$G$110,J$110,$G512=$G$140,J$140,$G512=$G$142,J$142,$G512=$G$408,J$408)</f>
        <v>68</v>
      </c>
      <c r="K512" s="13" t="str" cm="1">
        <f t="array" ref="K512">_xlfn.IFS($G512=$G$5,K$5,$G512=$G$7,K$7,$G512=$G$10,K$10,$G512=$G$13,K$13,$G512=$G$14,K$14,$G512=$G$16,K$16,$G512=$G$17,K$17,$G512=$G$19,K$19,$G512=$G$20,K$20,$G512=$G$22,K$22,$G512=$G$23,K$23,$G512=$G$26,K$26,$G512=$G$29,K$29,$G512=$G$31,K$31,$G512=$G$34,K$34,$G512=$G$37,K$37,$G512=$G$107,K$107,$G512=$G$110,K$110,$G512=$G$140,K$140,$G512=$G$142,K$142,$G512=$G$408,K$408)</f>
        <v>BG sentinel + BG lure7</v>
      </c>
      <c r="O512" s="13" t="str">
        <f t="shared" si="48"/>
        <v>A_SP_BCN_23_221004</v>
      </c>
      <c r="P512" s="27">
        <v>44838</v>
      </c>
      <c r="Q512" s="29">
        <v>0.60069444444444442</v>
      </c>
      <c r="R512" s="33"/>
      <c r="S512" s="27">
        <v>44845</v>
      </c>
      <c r="T512" s="29">
        <v>0.56597222222222221</v>
      </c>
      <c r="V512" s="13" t="s">
        <v>86</v>
      </c>
      <c r="W512" t="s">
        <v>199</v>
      </c>
      <c r="X512" s="13">
        <f t="shared" si="45"/>
        <v>7</v>
      </c>
      <c r="Z512" s="13" t="s">
        <v>60</v>
      </c>
      <c r="AA512" s="13">
        <f t="shared" si="51"/>
        <v>17</v>
      </c>
      <c r="AB512" s="13" t="str">
        <f t="shared" si="46"/>
        <v>Adult</v>
      </c>
      <c r="AC512" s="13">
        <v>14</v>
      </c>
      <c r="AD512" s="13">
        <v>3</v>
      </c>
      <c r="AE512" s="13" t="str">
        <f t="shared" si="47"/>
        <v>Morphological</v>
      </c>
      <c r="AF512" s="2">
        <v>3</v>
      </c>
    </row>
    <row r="513" spans="1:32" x14ac:dyDescent="0.25">
      <c r="A513" s="13">
        <v>509</v>
      </c>
      <c r="B513" s="23" t="s">
        <v>56</v>
      </c>
      <c r="C513" s="23" t="s">
        <v>57</v>
      </c>
      <c r="D513" s="23" t="s">
        <v>58</v>
      </c>
      <c r="E513" s="23" t="s">
        <v>58</v>
      </c>
      <c r="F513" s="35" cm="1">
        <f t="array" ref="F513">_xlfn.IFS($G513=$G$5,F$5,$G513=$G$7,F$7,$G513=$G$10,F$10,$G513=$G$13,F$13,$G513=$G$14,F$14,$G513=$G$16,F$16,$G513=$G$17,F$17,$G513=$G$19,F$19,$G513=$G$20,F$20,$G513=$G$22,F$22,$G513=$G$23,F$23,$G513=$G$26,F$26,$G513=$G$29,F$29,$G513=$G$31,F$31,$G513=$G$34,F$34,$G513=$G$37,F$37,$G513=$G$107,F$107,$G513=$G$110,F$110,$G513=$G$140,F$140,$G513=$G$142,F$142,$G513=$G$408,F$408)</f>
        <v>8038</v>
      </c>
      <c r="G513" s="13" t="s">
        <v>79</v>
      </c>
      <c r="H513" s="51" cm="1">
        <f t="array" ref="H513">_xlfn.IFS($G513=$G$5,H$5,$G513=$G$7,H$7,$G513=$G$10,H$10,$G513=$G$13,H$13,$G513=$G$14,H$14,$G513=$G$16,H$16,$G513=$G$17,H$17,$G513=$G$19,H$19,$G513=$G$20,H$20,$G513=$G$22,H$22,$G513=$G$23,H$23,$G513=$G$26,H$26,$G513=$G$29,H$29,$G513=$G$31,H$31,$G513=$G$34,H$34,$G513=$G$37,H$37,$G513=$G$107,H$107,$G513=$G$110,H$110,$G513=$G$140,H$140,$G513=$G$142,H$142,$G513=$G$408,H$408)</f>
        <v>41.367100000000001</v>
      </c>
      <c r="I513" s="51" cm="1">
        <f t="array" ref="I513">_xlfn.IFS($G513=$G$5,I$5,$G513=$G$7,I$7,$G513=$G$10,I$10,$G513=$G$13,I$13,$G513=$G$14,I$14,$G513=$G$16,I$16,$G513=$G$17,I$17,$G513=$G$19,I$19,$G513=$G$20,I$20,$G513=$G$22,I$22,$G513=$G$23,I$23,$G513=$G$26,I$26,$G513=$G$29,I$29,$G513=$G$31,I$31,$G513=$G$34,I$34,$G513=$G$37,I$37,$G513=$G$107,I$107,$G513=$G$110,I$110,$G513=$G$140,I$140,$G513=$G$142,I$142,$G513=$G$408,I$408)</f>
        <v>2.1539079999999999</v>
      </c>
      <c r="J513" s="51" cm="1">
        <f t="array" ref="J513">_xlfn.IFS($G513=$G$5,J$5,$G513=$G$7,J$7,$G513=$G$10,J$10,$G513=$G$13,J$13,$G513=$G$14,J$14,$G513=$G$16,J$16,$G513=$G$17,J$17,$G513=$G$19,J$19,$G513=$G$20,J$20,$G513=$G$22,J$22,$G513=$G$23,J$23,$G513=$G$26,J$26,$G513=$G$29,J$29,$G513=$G$31,J$31,$G513=$G$34,J$34,$G513=$G$37,J$37,$G513=$G$107,J$107,$G513=$G$110,J$110,$G513=$G$140,J$140,$G513=$G$142,J$142,$G513=$G$408,J$408)</f>
        <v>68</v>
      </c>
      <c r="K513" s="13" t="str" cm="1">
        <f t="array" ref="K513">_xlfn.IFS($G513=$G$5,K$5,$G513=$G$7,K$7,$G513=$G$10,K$10,$G513=$G$13,K$13,$G513=$G$14,K$14,$G513=$G$16,K$16,$G513=$G$17,K$17,$G513=$G$19,K$19,$G513=$G$20,K$20,$G513=$G$22,K$22,$G513=$G$23,K$23,$G513=$G$26,K$26,$G513=$G$29,K$29,$G513=$G$31,K$31,$G513=$G$34,K$34,$G513=$G$37,K$37,$G513=$G$107,K$107,$G513=$G$110,K$110,$G513=$G$140,K$140,$G513=$G$142,K$142,$G513=$G$408,K$408)</f>
        <v>BG sentinel + BG lure7</v>
      </c>
      <c r="O513" s="13" t="str">
        <f t="shared" si="48"/>
        <v>A_SP_BCN_23_221004</v>
      </c>
      <c r="P513" s="27">
        <v>44838</v>
      </c>
      <c r="Q513" s="29">
        <v>0.60069444444444442</v>
      </c>
      <c r="R513" s="33"/>
      <c r="S513" s="27">
        <v>44845</v>
      </c>
      <c r="T513" s="29">
        <v>0.56597222222222221</v>
      </c>
      <c r="V513" s="13" t="s">
        <v>86</v>
      </c>
      <c r="W513" t="s">
        <v>199</v>
      </c>
      <c r="X513" s="13">
        <f t="shared" si="45"/>
        <v>7</v>
      </c>
      <c r="Z513" s="13" t="s">
        <v>164</v>
      </c>
      <c r="AA513" s="13">
        <f t="shared" si="51"/>
        <v>5</v>
      </c>
      <c r="AB513" s="13" t="str">
        <f t="shared" si="46"/>
        <v>Adult</v>
      </c>
      <c r="AC513" s="13">
        <v>2</v>
      </c>
      <c r="AD513" s="13">
        <v>3</v>
      </c>
      <c r="AE513" s="13" t="str">
        <f t="shared" si="47"/>
        <v>Morphological</v>
      </c>
      <c r="AF513" s="2">
        <v>3</v>
      </c>
    </row>
    <row r="514" spans="1:32" x14ac:dyDescent="0.25">
      <c r="A514" s="13">
        <v>510</v>
      </c>
      <c r="B514" s="23" t="s">
        <v>56</v>
      </c>
      <c r="C514" s="23" t="s">
        <v>57</v>
      </c>
      <c r="D514" s="23" t="s">
        <v>58</v>
      </c>
      <c r="E514" s="23" t="s">
        <v>58</v>
      </c>
      <c r="F514" s="35" cm="1">
        <f t="array" ref="F514">_xlfn.IFS($G514=$G$5,F$5,$G514=$G$7,F$7,$G514=$G$10,F$10,$G514=$G$13,F$13,$G514=$G$14,F$14,$G514=$G$16,F$16,$G514=$G$17,F$17,$G514=$G$19,F$19,$G514=$G$20,F$20,$G514=$G$22,F$22,$G514=$G$23,F$23,$G514=$G$26,F$26,$G514=$G$29,F$29,$G514=$G$31,F$31,$G514=$G$34,F$34,$G514=$G$37,F$37,$G514=$G$107,F$107,$G514=$G$110,F$110,$G514=$G$140,F$140,$G514=$G$142,F$142,$G514=$G$408,F$408)</f>
        <v>8015</v>
      </c>
      <c r="G514" s="13" t="s">
        <v>78</v>
      </c>
      <c r="H514" s="51" cm="1">
        <f t="array" ref="H514">_xlfn.IFS($G514=$G$5,H$5,$G514=$G$7,H$7,$G514=$G$10,H$10,$G514=$G$13,H$13,$G514=$G$14,H$14,$G514=$G$16,H$16,$G514=$G$17,H$17,$G514=$G$19,H$19,$G514=$G$20,H$20,$G514=$G$22,H$22,$G514=$G$23,H$23,$G514=$G$26,H$26,$G514=$G$29,H$29,$G514=$G$31,H$31,$G514=$G$34,H$34,$G514=$G$37,H$37,$G514=$G$107,H$107,$G514=$G$110,H$110,$G514=$G$140,H$140,$G514=$G$142,H$142,$G514=$G$408,H$408)</f>
        <v>41.381725000000003</v>
      </c>
      <c r="I514" s="51" cm="1">
        <f t="array" ref="I514">_xlfn.IFS($G514=$G$5,I$5,$G514=$G$7,I$7,$G514=$G$10,I$10,$G514=$G$13,I$13,$G514=$G$14,I$14,$G514=$G$16,I$16,$G514=$G$17,I$17,$G514=$G$19,I$19,$G514=$G$20,I$20,$G514=$G$22,I$22,$G514=$G$23,I$23,$G514=$G$26,I$26,$G514=$G$29,I$29,$G514=$G$31,I$31,$G514=$G$34,I$34,$G514=$G$37,I$37,$G514=$G$107,I$107,$G514=$G$110,I$110,$G514=$G$140,I$140,$G514=$G$142,I$142,$G514=$G$408,I$408)</f>
        <v>2.1543679999999998</v>
      </c>
      <c r="J514" s="51" cm="1">
        <f t="array" ref="J514">_xlfn.IFS($G514=$G$5,J$5,$G514=$G$7,J$7,$G514=$G$10,J$10,$G514=$G$13,J$13,$G514=$G$14,J$14,$G514=$G$16,J$16,$G514=$G$17,J$17,$G514=$G$19,J$19,$G514=$G$20,J$20,$G514=$G$22,J$22,$G514=$G$23,J$23,$G514=$G$26,J$26,$G514=$G$29,J$29,$G514=$G$31,J$31,$G514=$G$34,J$34,$G514=$G$37,J$37,$G514=$G$107,J$107,$G514=$G$110,J$110,$G514=$G$140,J$140,$G514=$G$142,J$142,$G514=$G$408,J$408)</f>
        <v>20.7</v>
      </c>
      <c r="K514" s="13" t="str" cm="1">
        <f t="array" ref="K514">_xlfn.IFS($G514=$G$5,K$5,$G514=$G$7,K$7,$G514=$G$10,K$10,$G514=$G$13,K$13,$G514=$G$14,K$14,$G514=$G$16,K$16,$G514=$G$17,K$17,$G514=$G$19,K$19,$G514=$G$20,K$20,$G514=$G$22,K$22,$G514=$G$23,K$23,$G514=$G$26,K$26,$G514=$G$29,K$29,$G514=$G$31,K$31,$G514=$G$34,K$34,$G514=$G$37,K$37,$G514=$G$107,K$107,$G514=$G$110,K$110,$G514=$G$140,K$140,$G514=$G$142,K$142,$G514=$G$408,K$408)</f>
        <v>BG sentinel + BG lure7</v>
      </c>
      <c r="O514" s="13" t="str">
        <f t="shared" si="48"/>
        <v>A_SP_BCN_24_221004</v>
      </c>
      <c r="P514" s="27">
        <v>44838</v>
      </c>
      <c r="Q514" s="36">
        <v>0.89236111111111116</v>
      </c>
      <c r="R514" s="33"/>
      <c r="S514" s="27">
        <v>44845</v>
      </c>
      <c r="T514" s="29">
        <v>0.88541666666666663</v>
      </c>
      <c r="V514" s="13" t="s">
        <v>86</v>
      </c>
      <c r="X514" s="13">
        <f t="shared" si="45"/>
        <v>7</v>
      </c>
      <c r="Z514" s="13" t="s">
        <v>60</v>
      </c>
      <c r="AA514" s="13">
        <f t="shared" si="51"/>
        <v>70</v>
      </c>
      <c r="AB514" s="13" t="str">
        <f t="shared" si="46"/>
        <v>Adult</v>
      </c>
      <c r="AC514" s="13">
        <v>23</v>
      </c>
      <c r="AD514" s="13">
        <v>47</v>
      </c>
      <c r="AE514" s="13" t="str">
        <f t="shared" si="47"/>
        <v>Morphological</v>
      </c>
      <c r="AF514" s="2">
        <v>4</v>
      </c>
    </row>
    <row r="515" spans="1:32" x14ac:dyDescent="0.25">
      <c r="A515" s="13">
        <v>511</v>
      </c>
      <c r="B515" s="23" t="s">
        <v>56</v>
      </c>
      <c r="C515" s="23" t="s">
        <v>57</v>
      </c>
      <c r="D515" s="23" t="s">
        <v>58</v>
      </c>
      <c r="E515" s="23" t="s">
        <v>58</v>
      </c>
      <c r="F515" s="35" cm="1">
        <f t="array" ref="F515">_xlfn.IFS($G515=$G$5,F$5,$G515=$G$7,F$7,$G515=$G$10,F$10,$G515=$G$13,F$13,$G515=$G$14,F$14,$G515=$G$16,F$16,$G515=$G$17,F$17,$G515=$G$19,F$19,$G515=$G$20,F$20,$G515=$G$22,F$22,$G515=$G$23,F$23,$G515=$G$26,F$26,$G515=$G$29,F$29,$G515=$G$31,F$31,$G515=$G$34,F$34,$G515=$G$37,F$37,$G515=$G$107,F$107,$G515=$G$110,F$110,$G515=$G$140,F$140,$G515=$G$142,F$142,$G515=$G$408,F$408)</f>
        <v>8015</v>
      </c>
      <c r="G515" s="13" t="s">
        <v>78</v>
      </c>
      <c r="H515" s="51" cm="1">
        <f t="array" ref="H515">_xlfn.IFS($G515=$G$5,H$5,$G515=$G$7,H$7,$G515=$G$10,H$10,$G515=$G$13,H$13,$G515=$G$14,H$14,$G515=$G$16,H$16,$G515=$G$17,H$17,$G515=$G$19,H$19,$G515=$G$20,H$20,$G515=$G$22,H$22,$G515=$G$23,H$23,$G515=$G$26,H$26,$G515=$G$29,H$29,$G515=$G$31,H$31,$G515=$G$34,H$34,$G515=$G$37,H$37,$G515=$G$107,H$107,$G515=$G$110,H$110,$G515=$G$140,H$140,$G515=$G$142,H$142,$G515=$G$408,H$408)</f>
        <v>41.381725000000003</v>
      </c>
      <c r="I515" s="51" cm="1">
        <f t="array" ref="I515">_xlfn.IFS($G515=$G$5,I$5,$G515=$G$7,I$7,$G515=$G$10,I$10,$G515=$G$13,I$13,$G515=$G$14,I$14,$G515=$G$16,I$16,$G515=$G$17,I$17,$G515=$G$19,I$19,$G515=$G$20,I$20,$G515=$G$22,I$22,$G515=$G$23,I$23,$G515=$G$26,I$26,$G515=$G$29,I$29,$G515=$G$31,I$31,$G515=$G$34,I$34,$G515=$G$37,I$37,$G515=$G$107,I$107,$G515=$G$110,I$110,$G515=$G$140,I$140,$G515=$G$142,I$142,$G515=$G$408,I$408)</f>
        <v>2.1543679999999998</v>
      </c>
      <c r="J515" s="51" cm="1">
        <f t="array" ref="J515">_xlfn.IFS($G515=$G$5,J$5,$G515=$G$7,J$7,$G515=$G$10,J$10,$G515=$G$13,J$13,$G515=$G$14,J$14,$G515=$G$16,J$16,$G515=$G$17,J$17,$G515=$G$19,J$19,$G515=$G$20,J$20,$G515=$G$22,J$22,$G515=$G$23,J$23,$G515=$G$26,J$26,$G515=$G$29,J$29,$G515=$G$31,J$31,$G515=$G$34,J$34,$G515=$G$37,J$37,$G515=$G$107,J$107,$G515=$G$110,J$110,$G515=$G$140,J$140,$G515=$G$142,J$142,$G515=$G$408,J$408)</f>
        <v>20.7</v>
      </c>
      <c r="K515" s="13" t="str" cm="1">
        <f t="array" ref="K515">_xlfn.IFS($G515=$G$5,K$5,$G515=$G$7,K$7,$G515=$G$10,K$10,$G515=$G$13,K$13,$G515=$G$14,K$14,$G515=$G$16,K$16,$G515=$G$17,K$17,$G515=$G$19,K$19,$G515=$G$20,K$20,$G515=$G$22,K$22,$G515=$G$23,K$23,$G515=$G$26,K$26,$G515=$G$29,K$29,$G515=$G$31,K$31,$G515=$G$34,K$34,$G515=$G$37,K$37,$G515=$G$107,K$107,$G515=$G$110,K$110,$G515=$G$140,K$140,$G515=$G$142,K$142,$G515=$G$408,K$408)</f>
        <v>BG sentinel + BG lure7</v>
      </c>
      <c r="O515" s="13" t="str">
        <f t="shared" si="48"/>
        <v>A_SP_BCN_24_221004</v>
      </c>
      <c r="P515" s="27">
        <v>44838</v>
      </c>
      <c r="Q515" s="36">
        <v>0.89236111111111116</v>
      </c>
      <c r="R515" s="33"/>
      <c r="S515" s="27">
        <v>44845</v>
      </c>
      <c r="T515" s="29">
        <v>0.88541666666666663</v>
      </c>
      <c r="V515" s="13" t="s">
        <v>86</v>
      </c>
      <c r="X515" s="13">
        <f t="shared" si="45"/>
        <v>7</v>
      </c>
      <c r="Z515" s="13" t="s">
        <v>164</v>
      </c>
      <c r="AA515" s="13">
        <f t="shared" si="51"/>
        <v>7</v>
      </c>
      <c r="AB515" s="13" t="str">
        <f t="shared" si="46"/>
        <v>Adult</v>
      </c>
      <c r="AC515" s="13">
        <v>6</v>
      </c>
      <c r="AD515" s="13">
        <v>1</v>
      </c>
      <c r="AE515" s="13" t="str">
        <f t="shared" si="47"/>
        <v>Morphological</v>
      </c>
      <c r="AF515" s="2">
        <v>4</v>
      </c>
    </row>
    <row r="516" spans="1:32" x14ac:dyDescent="0.25">
      <c r="A516" s="13">
        <v>512</v>
      </c>
      <c r="B516" s="23" t="s">
        <v>56</v>
      </c>
      <c r="C516" s="23" t="s">
        <v>57</v>
      </c>
      <c r="D516" s="23" t="s">
        <v>58</v>
      </c>
      <c r="E516" s="23" t="s">
        <v>58</v>
      </c>
      <c r="F516" s="35" cm="1">
        <f t="array" ref="F516">_xlfn.IFS($G516=$G$5,F$5,$G516=$G$7,F$7,$G516=$G$10,F$10,$G516=$G$13,F$13,$G516=$G$14,F$14,$G516=$G$16,F$16,$G516=$G$17,F$17,$G516=$G$19,F$19,$G516=$G$20,F$20,$G516=$G$22,F$22,$G516=$G$23,F$23,$G516=$G$26,F$26,$G516=$G$29,F$29,$G516=$G$31,F$31,$G516=$G$34,F$34,$G516=$G$37,F$37,$G516=$G$107,F$107,$G516=$G$110,F$110,$G516=$G$140,F$140,$G516=$G$142,F$142,$G516=$G$408,F$408)</f>
        <v>8025</v>
      </c>
      <c r="G516" s="13" t="s">
        <v>122</v>
      </c>
      <c r="H516" s="51" cm="1">
        <f t="array" ref="H516">_xlfn.IFS($G516=$G$5,H$5,$G516=$G$7,H$7,$G516=$G$10,H$10,$G516=$G$13,H$13,$G516=$G$14,H$14,$G516=$G$16,H$16,$G516=$G$17,H$17,$G516=$G$19,H$19,$G516=$G$20,H$20,$G516=$G$22,H$22,$G516=$G$23,H$23,$G516=$G$26,H$26,$G516=$G$29,H$29,$G516=$G$31,H$31,$G516=$G$34,H$34,$G516=$G$37,H$37,$G516=$G$107,H$107,$G516=$G$110,H$110,$G516=$G$140,H$140,$G516=$G$142,H$142,$G516=$G$408,H$408)</f>
        <v>41.407992</v>
      </c>
      <c r="I516" s="51" cm="1">
        <f t="array" ref="I516">_xlfn.IFS($G516=$G$5,I$5,$G516=$G$7,I$7,$G516=$G$10,I$10,$G516=$G$13,I$13,$G516=$G$14,I$14,$G516=$G$16,I$16,$G516=$G$17,I$17,$G516=$G$19,I$19,$G516=$G$20,I$20,$G516=$G$22,I$22,$G516=$G$23,I$23,$G516=$G$26,I$26,$G516=$G$29,I$29,$G516=$G$31,I$31,$G516=$G$34,I$34,$G516=$G$37,I$37,$G516=$G$107,I$107,$G516=$G$110,I$110,$G516=$G$140,I$140,$G516=$G$142,I$142,$G516=$G$408,I$408)</f>
        <v>2.1679379999999999</v>
      </c>
      <c r="J516" s="51" cm="1">
        <f t="array" ref="J516">_xlfn.IFS($G516=$G$5,J$5,$G516=$G$7,J$7,$G516=$G$10,J$10,$G516=$G$13,J$13,$G516=$G$14,J$14,$G516=$G$16,J$16,$G516=$G$17,J$17,$G516=$G$19,J$19,$G516=$G$20,J$20,$G516=$G$22,J$22,$G516=$G$23,J$23,$G516=$G$26,J$26,$G516=$G$29,J$29,$G516=$G$31,J$31,$G516=$G$34,J$34,$G516=$G$37,J$37,$G516=$G$107,J$107,$G516=$G$110,J$110,$G516=$G$140,J$140,$G516=$G$142,J$142,$G516=$G$408,J$408)</f>
        <v>61</v>
      </c>
      <c r="K516" s="13" t="str" cm="1">
        <f t="array" ref="K516">_xlfn.IFS($G516=$G$5,K$5,$G516=$G$7,K$7,$G516=$G$10,K$10,$G516=$G$13,K$13,$G516=$G$14,K$14,$G516=$G$16,K$16,$G516=$G$17,K$17,$G516=$G$19,K$19,$G516=$G$20,K$20,$G516=$G$22,K$22,$G516=$G$23,K$23,$G516=$G$26,K$26,$G516=$G$29,K$29,$G516=$G$31,K$31,$G516=$G$34,K$34,$G516=$G$37,K$37,$G516=$G$107,K$107,$G516=$G$110,K$110,$G516=$G$140,K$140,$G516=$G$142,K$142,$G516=$G$408,K$408)</f>
        <v>BG sentinel</v>
      </c>
      <c r="O516" s="13" t="str">
        <f t="shared" si="48"/>
        <v>A_SP_BCN_25_221004</v>
      </c>
      <c r="P516" s="27">
        <v>44838</v>
      </c>
      <c r="Q516" s="29">
        <v>0.63888888888888895</v>
      </c>
      <c r="R516" s="33"/>
      <c r="S516" s="27">
        <v>44845</v>
      </c>
      <c r="T516" s="29">
        <v>0.61111111111111105</v>
      </c>
      <c r="V516" s="13" t="s">
        <v>86</v>
      </c>
      <c r="X516" s="13">
        <f t="shared" si="45"/>
        <v>7</v>
      </c>
      <c r="Z516" s="13" t="s">
        <v>60</v>
      </c>
      <c r="AA516" s="13">
        <f t="shared" si="51"/>
        <v>3</v>
      </c>
      <c r="AB516" s="13" t="str">
        <f t="shared" si="46"/>
        <v>Adult</v>
      </c>
      <c r="AC516" s="13">
        <v>2</v>
      </c>
      <c r="AD516" s="13">
        <v>1</v>
      </c>
      <c r="AE516" s="13" t="str">
        <f t="shared" si="47"/>
        <v>Morphological</v>
      </c>
      <c r="AF516" s="2">
        <v>4</v>
      </c>
    </row>
    <row r="517" spans="1:32" x14ac:dyDescent="0.25">
      <c r="A517" s="13">
        <v>513</v>
      </c>
      <c r="B517" s="23" t="s">
        <v>56</v>
      </c>
      <c r="C517" s="23" t="s">
        <v>57</v>
      </c>
      <c r="D517" s="23" t="s">
        <v>58</v>
      </c>
      <c r="E517" s="23" t="s">
        <v>58</v>
      </c>
      <c r="F517" s="35" cm="1">
        <f t="array" ref="F517">_xlfn.IFS($G517=$G$5,F$5,$G517=$G$7,F$7,$G517=$G$10,F$10,$G517=$G$13,F$13,$G517=$G$14,F$14,$G517=$G$16,F$16,$G517=$G$17,F$17,$G517=$G$19,F$19,$G517=$G$20,F$20,$G517=$G$22,F$22,$G517=$G$23,F$23,$G517=$G$26,F$26,$G517=$G$29,F$29,$G517=$G$31,F$31,$G517=$G$34,F$34,$G517=$G$37,F$37,$G517=$G$107,F$107,$G517=$G$110,F$110,$G517=$G$140,F$140,$G517=$G$142,F$142,$G517=$G$408,F$408)</f>
        <v>8025</v>
      </c>
      <c r="G517" s="13" t="s">
        <v>122</v>
      </c>
      <c r="H517" s="51" cm="1">
        <f t="array" ref="H517">_xlfn.IFS($G517=$G$5,H$5,$G517=$G$7,H$7,$G517=$G$10,H$10,$G517=$G$13,H$13,$G517=$G$14,H$14,$G517=$G$16,H$16,$G517=$G$17,H$17,$G517=$G$19,H$19,$G517=$G$20,H$20,$G517=$G$22,H$22,$G517=$G$23,H$23,$G517=$G$26,H$26,$G517=$G$29,H$29,$G517=$G$31,H$31,$G517=$G$34,H$34,$G517=$G$37,H$37,$G517=$G$107,H$107,$G517=$G$110,H$110,$G517=$G$140,H$140,$G517=$G$142,H$142,$G517=$G$408,H$408)</f>
        <v>41.407992</v>
      </c>
      <c r="I517" s="51" cm="1">
        <f t="array" ref="I517">_xlfn.IFS($G517=$G$5,I$5,$G517=$G$7,I$7,$G517=$G$10,I$10,$G517=$G$13,I$13,$G517=$G$14,I$14,$G517=$G$16,I$16,$G517=$G$17,I$17,$G517=$G$19,I$19,$G517=$G$20,I$20,$G517=$G$22,I$22,$G517=$G$23,I$23,$G517=$G$26,I$26,$G517=$G$29,I$29,$G517=$G$31,I$31,$G517=$G$34,I$34,$G517=$G$37,I$37,$G517=$G$107,I$107,$G517=$G$110,I$110,$G517=$G$140,I$140,$G517=$G$142,I$142,$G517=$G$408,I$408)</f>
        <v>2.1679379999999999</v>
      </c>
      <c r="J517" s="51" cm="1">
        <f t="array" ref="J517">_xlfn.IFS($G517=$G$5,J$5,$G517=$G$7,J$7,$G517=$G$10,J$10,$G517=$G$13,J$13,$G517=$G$14,J$14,$G517=$G$16,J$16,$G517=$G$17,J$17,$G517=$G$19,J$19,$G517=$G$20,J$20,$G517=$G$22,J$22,$G517=$G$23,J$23,$G517=$G$26,J$26,$G517=$G$29,J$29,$G517=$G$31,J$31,$G517=$G$34,J$34,$G517=$G$37,J$37,$G517=$G$107,J$107,$G517=$G$110,J$110,$G517=$G$140,J$140,$G517=$G$142,J$142,$G517=$G$408,J$408)</f>
        <v>61</v>
      </c>
      <c r="K517" s="13" t="str" cm="1">
        <f t="array" ref="K517">_xlfn.IFS($G517=$G$5,K$5,$G517=$G$7,K$7,$G517=$G$10,K$10,$G517=$G$13,K$13,$G517=$G$14,K$14,$G517=$G$16,K$16,$G517=$G$17,K$17,$G517=$G$19,K$19,$G517=$G$20,K$20,$G517=$G$22,K$22,$G517=$G$23,K$23,$G517=$G$26,K$26,$G517=$G$29,K$29,$G517=$G$31,K$31,$G517=$G$34,K$34,$G517=$G$37,K$37,$G517=$G$107,K$107,$G517=$G$110,K$110,$G517=$G$140,K$140,$G517=$G$142,K$142,$G517=$G$408,K$408)</f>
        <v>BG sentinel</v>
      </c>
      <c r="O517" s="13" t="str">
        <f t="shared" si="48"/>
        <v>A_SP_BCN_25_221004</v>
      </c>
      <c r="P517" s="27">
        <v>44838</v>
      </c>
      <c r="Q517" s="29">
        <v>0.63888888888888895</v>
      </c>
      <c r="R517" s="33"/>
      <c r="S517" s="27">
        <v>44845</v>
      </c>
      <c r="T517" s="29">
        <v>0.61111111111111105</v>
      </c>
      <c r="V517" s="13" t="s">
        <v>86</v>
      </c>
      <c r="X517" s="13">
        <f t="shared" si="45"/>
        <v>7</v>
      </c>
      <c r="Z517" s="13" t="s">
        <v>164</v>
      </c>
      <c r="AA517" s="13">
        <f t="shared" si="51"/>
        <v>3</v>
      </c>
      <c r="AB517" s="13" t="str">
        <f t="shared" si="46"/>
        <v>Adult</v>
      </c>
      <c r="AC517" s="13">
        <v>3</v>
      </c>
      <c r="AD517" s="13">
        <v>0</v>
      </c>
      <c r="AE517" s="13" t="str">
        <f t="shared" si="47"/>
        <v>Morphological</v>
      </c>
      <c r="AF517" s="2">
        <v>4</v>
      </c>
    </row>
    <row r="518" spans="1:32" x14ac:dyDescent="0.25">
      <c r="A518" s="13">
        <v>514</v>
      </c>
      <c r="B518" s="23" t="s">
        <v>56</v>
      </c>
      <c r="C518" s="23" t="s">
        <v>57</v>
      </c>
      <c r="D518" s="23" t="s">
        <v>58</v>
      </c>
      <c r="E518" s="23" t="s">
        <v>58</v>
      </c>
      <c r="F518" s="35" cm="1">
        <f t="array" ref="F518">_xlfn.IFS($G518=$G$5,F$5,$G518=$G$7,F$7,$G518=$G$10,F$10,$G518=$G$13,F$13,$G518=$G$14,F$14,$G518=$G$16,F$16,$G518=$G$17,F$17,$G518=$G$19,F$19,$G518=$G$20,F$20,$G518=$G$22,F$22,$G518=$G$23,F$23,$G518=$G$26,F$26,$G518=$G$29,F$29,$G518=$G$31,F$31,$G518=$G$34,F$34,$G518=$G$37,F$37,$G518=$G$107,F$107,$G518=$G$110,F$110,$G518=$G$140,F$140,$G518=$G$142,F$142,$G518=$G$408,F$408)</f>
        <v>8025</v>
      </c>
      <c r="G518" s="13" t="s">
        <v>104</v>
      </c>
      <c r="H518" s="51" cm="1">
        <f t="array" ref="H518">_xlfn.IFS($G518=$G$5,H$5,$G518=$G$7,H$7,$G518=$G$10,H$10,$G518=$G$13,H$13,$G518=$G$14,H$14,$G518=$G$16,H$16,$G518=$G$17,H$17,$G518=$G$19,H$19,$G518=$G$20,H$20,$G518=$G$22,H$22,$G518=$G$23,H$23,$G518=$G$26,H$26,$G518=$G$29,H$29,$G518=$G$31,H$31,$G518=$G$34,H$34,$G518=$G$37,H$37,$G518=$G$107,H$107,$G518=$G$110,H$110,$G518=$G$140,H$140,$G518=$G$142,H$142,$G518=$G$408,H$408)</f>
        <v>41.408046826557602</v>
      </c>
      <c r="I518" s="51" cm="1">
        <f t="array" ref="I518">_xlfn.IFS($G518=$G$5,I$5,$G518=$G$7,I$7,$G518=$G$10,I$10,$G518=$G$13,I$13,$G518=$G$14,I$14,$G518=$G$16,I$16,$G518=$G$17,I$17,$G518=$G$19,I$19,$G518=$G$20,I$20,$G518=$G$22,I$22,$G518=$G$23,I$23,$G518=$G$26,I$26,$G518=$G$29,I$29,$G518=$G$31,I$31,$G518=$G$34,I$34,$G518=$G$37,I$37,$G518=$G$107,I$107,$G518=$G$110,I$110,$G518=$G$140,I$140,$G518=$G$142,I$142,$G518=$G$408,I$408)</f>
        <v>2.1678084611616502</v>
      </c>
      <c r="J518" s="51" cm="1">
        <f t="array" ref="J518">_xlfn.IFS($G518=$G$5,J$5,$G518=$G$7,J$7,$G518=$G$10,J$10,$G518=$G$13,J$13,$G518=$G$14,J$14,$G518=$G$16,J$16,$G518=$G$17,J$17,$G518=$G$19,J$19,$G518=$G$20,J$20,$G518=$G$22,J$22,$G518=$G$23,J$23,$G518=$G$26,J$26,$G518=$G$29,J$29,$G518=$G$31,J$31,$G518=$G$34,J$34,$G518=$G$37,J$37,$G518=$G$107,J$107,$G518=$G$110,J$110,$G518=$G$140,J$140,$G518=$G$142,J$142,$G518=$G$408,J$408)</f>
        <v>61</v>
      </c>
      <c r="K518" s="13" t="str" cm="1">
        <f t="array" ref="K518">_xlfn.IFS($G518=$G$5,K$5,$G518=$G$7,K$7,$G518=$G$10,K$10,$G518=$G$13,K$13,$G518=$G$14,K$14,$G518=$G$16,K$16,$G518=$G$17,K$17,$G518=$G$19,K$19,$G518=$G$20,K$20,$G518=$G$22,K$22,$G518=$G$23,K$23,$G518=$G$26,K$26,$G518=$G$29,K$29,$G518=$G$31,K$31,$G518=$G$34,K$34,$G518=$G$37,K$37,$G518=$G$107,K$107,$G518=$G$110,K$110,$G518=$G$140,K$140,$G518=$G$142,K$142,$G518=$G$408,K$408)</f>
        <v>BG sentinel</v>
      </c>
      <c r="O518" s="13" t="str">
        <f t="shared" si="48"/>
        <v>A_SP_BCN_26_221004</v>
      </c>
      <c r="P518" s="27">
        <v>44838</v>
      </c>
      <c r="Q518" s="29">
        <v>0.63888888888888895</v>
      </c>
      <c r="R518" s="33"/>
      <c r="S518" s="27">
        <v>44845</v>
      </c>
      <c r="T518" s="29">
        <v>0.61111111111111105</v>
      </c>
      <c r="V518" s="13" t="s">
        <v>86</v>
      </c>
      <c r="X518" s="13">
        <f t="shared" ref="X518:X581" si="52">S518-P518</f>
        <v>7</v>
      </c>
      <c r="Z518" s="13" t="s">
        <v>60</v>
      </c>
      <c r="AA518" s="13">
        <f t="shared" si="51"/>
        <v>50</v>
      </c>
      <c r="AB518" s="13" t="str">
        <f t="shared" ref="AB518:AB581" si="53">IF(AA518=0,"",IF(AA518="","",IF(AA518&gt;0,"Adult")))</f>
        <v>Adult</v>
      </c>
      <c r="AC518" s="13">
        <v>39</v>
      </c>
      <c r="AD518" s="13">
        <v>11</v>
      </c>
      <c r="AE518" s="13" t="str">
        <f t="shared" ref="AE518:AE581" si="54">IF(AA518=0,"",IF(AA518="","",IF(AA518&gt;0,"Morphological")))</f>
        <v>Morphological</v>
      </c>
      <c r="AF518" s="2">
        <v>4</v>
      </c>
    </row>
    <row r="519" spans="1:32" x14ac:dyDescent="0.25">
      <c r="A519" s="13">
        <v>515</v>
      </c>
      <c r="B519" s="23" t="s">
        <v>56</v>
      </c>
      <c r="C519" s="23" t="s">
        <v>57</v>
      </c>
      <c r="D519" s="23" t="s">
        <v>58</v>
      </c>
      <c r="E519" s="23" t="s">
        <v>58</v>
      </c>
      <c r="F519" s="35" cm="1">
        <f t="array" ref="F519">_xlfn.IFS($G519=$G$5,F$5,$G519=$G$7,F$7,$G519=$G$10,F$10,$G519=$G$13,F$13,$G519=$G$14,F$14,$G519=$G$16,F$16,$G519=$G$17,F$17,$G519=$G$19,F$19,$G519=$G$20,F$20,$G519=$G$22,F$22,$G519=$G$23,F$23,$G519=$G$26,F$26,$G519=$G$29,F$29,$G519=$G$31,F$31,$G519=$G$34,F$34,$G519=$G$37,F$37,$G519=$G$107,F$107,$G519=$G$110,F$110,$G519=$G$140,F$140,$G519=$G$142,F$142,$G519=$G$408,F$408)</f>
        <v>8025</v>
      </c>
      <c r="G519" s="13" t="s">
        <v>104</v>
      </c>
      <c r="H519" s="51" cm="1">
        <f t="array" ref="H519">_xlfn.IFS($G519=$G$5,H$5,$G519=$G$7,H$7,$G519=$G$10,H$10,$G519=$G$13,H$13,$G519=$G$14,H$14,$G519=$G$16,H$16,$G519=$G$17,H$17,$G519=$G$19,H$19,$G519=$G$20,H$20,$G519=$G$22,H$22,$G519=$G$23,H$23,$G519=$G$26,H$26,$G519=$G$29,H$29,$G519=$G$31,H$31,$G519=$G$34,H$34,$G519=$G$37,H$37,$G519=$G$107,H$107,$G519=$G$110,H$110,$G519=$G$140,H$140,$G519=$G$142,H$142,$G519=$G$408,H$408)</f>
        <v>41.408046826557602</v>
      </c>
      <c r="I519" s="51" cm="1">
        <f t="array" ref="I519">_xlfn.IFS($G519=$G$5,I$5,$G519=$G$7,I$7,$G519=$G$10,I$10,$G519=$G$13,I$13,$G519=$G$14,I$14,$G519=$G$16,I$16,$G519=$G$17,I$17,$G519=$G$19,I$19,$G519=$G$20,I$20,$G519=$G$22,I$22,$G519=$G$23,I$23,$G519=$G$26,I$26,$G519=$G$29,I$29,$G519=$G$31,I$31,$G519=$G$34,I$34,$G519=$G$37,I$37,$G519=$G$107,I$107,$G519=$G$110,I$110,$G519=$G$140,I$140,$G519=$G$142,I$142,$G519=$G$408,I$408)</f>
        <v>2.1678084611616502</v>
      </c>
      <c r="J519" s="51" cm="1">
        <f t="array" ref="J519">_xlfn.IFS($G519=$G$5,J$5,$G519=$G$7,J$7,$G519=$G$10,J$10,$G519=$G$13,J$13,$G519=$G$14,J$14,$G519=$G$16,J$16,$G519=$G$17,J$17,$G519=$G$19,J$19,$G519=$G$20,J$20,$G519=$G$22,J$22,$G519=$G$23,J$23,$G519=$G$26,J$26,$G519=$G$29,J$29,$G519=$G$31,J$31,$G519=$G$34,J$34,$G519=$G$37,J$37,$G519=$G$107,J$107,$G519=$G$110,J$110,$G519=$G$140,J$140,$G519=$G$142,J$142,$G519=$G$408,J$408)</f>
        <v>61</v>
      </c>
      <c r="K519" s="13" t="str" cm="1">
        <f t="array" ref="K519">_xlfn.IFS($G519=$G$5,K$5,$G519=$G$7,K$7,$G519=$G$10,K$10,$G519=$G$13,K$13,$G519=$G$14,K$14,$G519=$G$16,K$16,$G519=$G$17,K$17,$G519=$G$19,K$19,$G519=$G$20,K$20,$G519=$G$22,K$22,$G519=$G$23,K$23,$G519=$G$26,K$26,$G519=$G$29,K$29,$G519=$G$31,K$31,$G519=$G$34,K$34,$G519=$G$37,K$37,$G519=$G$107,K$107,$G519=$G$110,K$110,$G519=$G$140,K$140,$G519=$G$142,K$142,$G519=$G$408,K$408)</f>
        <v>BG sentinel</v>
      </c>
      <c r="O519" s="13" t="str">
        <f t="shared" si="48"/>
        <v>A_SP_BCN_26_221004</v>
      </c>
      <c r="P519" s="27">
        <v>44838</v>
      </c>
      <c r="Q519" s="29">
        <v>0.63888888888888895</v>
      </c>
      <c r="R519" s="33"/>
      <c r="S519" s="27">
        <v>44845</v>
      </c>
      <c r="T519" s="29">
        <v>0.61111111111111105</v>
      </c>
      <c r="V519" s="13" t="s">
        <v>86</v>
      </c>
      <c r="X519" s="13">
        <f t="shared" si="52"/>
        <v>7</v>
      </c>
      <c r="Z519" s="13" t="s">
        <v>164</v>
      </c>
      <c r="AA519" s="13">
        <f t="shared" si="51"/>
        <v>5</v>
      </c>
      <c r="AB519" s="13" t="str">
        <f t="shared" si="53"/>
        <v>Adult</v>
      </c>
      <c r="AC519" s="13">
        <v>5</v>
      </c>
      <c r="AD519" s="13">
        <v>0</v>
      </c>
      <c r="AE519" s="13" t="str">
        <f t="shared" si="54"/>
        <v>Morphological</v>
      </c>
      <c r="AF519" s="2">
        <v>4</v>
      </c>
    </row>
    <row r="520" spans="1:32" x14ac:dyDescent="0.25">
      <c r="A520" s="13">
        <v>516</v>
      </c>
      <c r="B520" s="23" t="s">
        <v>56</v>
      </c>
      <c r="C520" s="23" t="s">
        <v>57</v>
      </c>
      <c r="D520" s="23" t="s">
        <v>58</v>
      </c>
      <c r="E520" s="23" t="s">
        <v>58</v>
      </c>
      <c r="F520" s="35" cm="1">
        <f t="array" ref="F520">_xlfn.IFS($G520=$G$5,F$5,$G520=$G$7,F$7,$G520=$G$10,F$10,$G520=$G$13,F$13,$G520=$G$14,F$14,$G520=$G$16,F$16,$G520=$G$17,F$17,$G520=$G$19,F$19,$G520=$G$20,F$20,$G520=$G$22,F$22,$G520=$G$23,F$23,$G520=$G$26,F$26,$G520=$G$29,F$29,$G520=$G$31,F$31,$G520=$G$34,F$34,$G520=$G$37,F$37,$G520=$G$107,F$107,$G520=$G$110,F$110,$G520=$G$140,F$140,$G520=$G$142,F$142,$G520=$G$408,F$408)</f>
        <v>8017</v>
      </c>
      <c r="G520" s="13" t="s">
        <v>97</v>
      </c>
      <c r="H520" s="51" cm="1">
        <f t="array" ref="H520">_xlfn.IFS($G520=$G$5,H$5,$G520=$G$7,H$7,$G520=$G$10,H$10,$G520=$G$13,H$13,$G520=$G$14,H$14,$G520=$G$16,H$16,$G520=$G$17,H$17,$G520=$G$19,H$19,$G520=$G$20,H$20,$G520=$G$22,H$22,$G520=$G$23,H$23,$G520=$G$26,H$26,$G520=$G$29,H$29,$G520=$G$31,H$31,$G520=$G$34,H$34,$G520=$G$37,H$37,$G520=$G$107,H$107,$G520=$G$110,H$110,$G520=$G$140,H$140,$G520=$G$142,H$142,$G520=$G$408,H$408)</f>
        <v>41.430372407595499</v>
      </c>
      <c r="I520" s="51" cm="1">
        <f t="array" ref="I520">_xlfn.IFS($G520=$G$5,I$5,$G520=$G$7,I$7,$G520=$G$10,I$10,$G520=$G$13,I$13,$G520=$G$14,I$14,$G520=$G$16,I$16,$G520=$G$17,I$17,$G520=$G$19,I$19,$G520=$G$20,I$20,$G520=$G$22,I$22,$G520=$G$23,I$23,$G520=$G$26,I$26,$G520=$G$29,I$29,$G520=$G$31,I$31,$G520=$G$34,I$34,$G520=$G$37,I$37,$G520=$G$107,I$107,$G520=$G$110,I$110,$G520=$G$140,I$140,$G520=$G$142,I$142,$G520=$G$408,I$408)</f>
        <v>2.0778358219819002</v>
      </c>
      <c r="J520" s="51" cm="1">
        <f t="array" ref="J520">_xlfn.IFS($G520=$G$5,J$5,$G520=$G$7,J$7,$G520=$G$10,J$10,$G520=$G$13,J$13,$G520=$G$14,J$14,$G520=$G$16,J$16,$G520=$G$17,J$17,$G520=$G$19,J$19,$G520=$G$20,J$20,$G520=$G$22,J$22,$G520=$G$23,J$23,$G520=$G$26,J$26,$G520=$G$29,J$29,$G520=$G$31,J$31,$G520=$G$34,J$34,$G520=$G$37,J$37,$G520=$G$107,J$107,$G520=$G$110,J$110,$G520=$G$140,J$140,$G520=$G$142,J$142,$G520=$G$408,J$408)</f>
        <v>242</v>
      </c>
      <c r="K520" s="13" t="str" cm="1">
        <f t="array" ref="K520">_xlfn.IFS($G520=$G$5,K$5,$G520=$G$7,K$7,$G520=$G$10,K$10,$G520=$G$13,K$13,$G520=$G$14,K$14,$G520=$G$16,K$16,$G520=$G$17,K$17,$G520=$G$19,K$19,$G520=$G$20,K$20,$G520=$G$22,K$22,$G520=$G$23,K$23,$G520=$G$26,K$26,$G520=$G$29,K$29,$G520=$G$31,K$31,$G520=$G$34,K$34,$G520=$G$37,K$37,$G520=$G$107,K$107,$G520=$G$110,K$110,$G520=$G$140,K$140,$G520=$G$142,K$142,$G520=$G$408,K$408)</f>
        <v>Mtego</v>
      </c>
      <c r="O520" s="13" t="str">
        <f t="shared" si="48"/>
        <v>Premal_1_221004</v>
      </c>
      <c r="P520" s="27">
        <v>44838</v>
      </c>
      <c r="Q520" s="29">
        <v>0.75</v>
      </c>
      <c r="R520" s="33"/>
      <c r="S520" s="27">
        <v>44845</v>
      </c>
      <c r="T520" s="29">
        <v>0.74305555555555547</v>
      </c>
      <c r="V520" s="13" t="s">
        <v>139</v>
      </c>
      <c r="W520" t="s">
        <v>200</v>
      </c>
      <c r="X520" s="13">
        <f t="shared" si="52"/>
        <v>7</v>
      </c>
      <c r="AA520" s="13">
        <v>0</v>
      </c>
      <c r="AB520" s="13" t="str">
        <f t="shared" si="53"/>
        <v/>
      </c>
      <c r="AE520" s="13" t="str">
        <f t="shared" si="54"/>
        <v/>
      </c>
      <c r="AF520" s="2">
        <v>2</v>
      </c>
    </row>
    <row r="521" spans="1:32" x14ac:dyDescent="0.25">
      <c r="A521" s="13">
        <v>517</v>
      </c>
      <c r="B521" s="23" t="s">
        <v>56</v>
      </c>
      <c r="C521" s="23" t="s">
        <v>57</v>
      </c>
      <c r="D521" s="23" t="s">
        <v>58</v>
      </c>
      <c r="E521" s="23" t="s">
        <v>58</v>
      </c>
      <c r="F521" s="35" cm="1">
        <f t="array" ref="F521">_xlfn.IFS($G521=$G$5,F$5,$G521=$G$7,F$7,$G521=$G$10,F$10,$G521=$G$13,F$13,$G521=$G$14,F$14,$G521=$G$16,F$16,$G521=$G$17,F$17,$G521=$G$19,F$19,$G521=$G$20,F$20,$G521=$G$22,F$22,$G521=$G$23,F$23,$G521=$G$26,F$26,$G521=$G$29,F$29,$G521=$G$31,F$31,$G521=$G$34,F$34,$G521=$G$37,F$37,$G521=$G$107,F$107,$G521=$G$110,F$110,$G521=$G$140,F$140,$G521=$G$142,F$142,$G521=$G$408,F$408)</f>
        <v>8035</v>
      </c>
      <c r="G521" s="13" t="s">
        <v>61</v>
      </c>
      <c r="H521" s="51" cm="1">
        <f t="array" ref="H521">_xlfn.IFS($G521=$G$5,H$5,$G521=$G$7,H$7,$G521=$G$10,H$10,$G521=$G$13,H$13,$G521=$G$14,H$14,$G521=$G$16,H$16,$G521=$G$17,H$17,$G521=$G$19,H$19,$G521=$G$20,H$20,$G521=$G$22,H$22,$G521=$G$23,H$23,$G521=$G$26,H$26,$G521=$G$29,H$29,$G521=$G$31,H$31,$G521=$G$34,H$34,$G521=$G$37,H$37,$G521=$G$107,H$107,$G521=$G$110,H$110,$G521=$G$140,H$140,$G521=$G$142,H$142,$G521=$G$408,H$408)</f>
        <v>41.424387000000003</v>
      </c>
      <c r="I521" s="51" cm="1">
        <f t="array" ref="I521">_xlfn.IFS($G521=$G$5,I$5,$G521=$G$7,I$7,$G521=$G$10,I$10,$G521=$G$13,I$13,$G521=$G$14,I$14,$G521=$G$16,I$16,$G521=$G$17,I$17,$G521=$G$19,I$19,$G521=$G$20,I$20,$G521=$G$22,I$22,$G521=$G$23,I$23,$G521=$G$26,I$26,$G521=$G$29,I$29,$G521=$G$31,I$31,$G521=$G$34,I$34,$G521=$G$37,I$37,$G521=$G$107,I$107,$G521=$G$110,I$110,$G521=$G$140,I$140,$G521=$G$142,I$142,$G521=$G$408,I$408)</f>
        <v>2.1431439999999999</v>
      </c>
      <c r="J521" s="51" cm="1">
        <f t="array" ref="J521">_xlfn.IFS($G521=$G$5,J$5,$G521=$G$7,J$7,$G521=$G$10,J$10,$G521=$G$13,J$13,$G521=$G$14,J$14,$G521=$G$16,J$16,$G521=$G$17,J$17,$G521=$G$19,J$19,$G521=$G$20,J$20,$G521=$G$22,J$22,$G521=$G$23,J$23,$G521=$G$26,J$26,$G521=$G$29,J$29,$G521=$G$31,J$31,$G521=$G$34,J$34,$G521=$G$37,J$37,$G521=$G$107,J$107,$G521=$G$110,J$110,$G521=$G$140,J$140,$G521=$G$142,J$142,$G521=$G$408,J$408)</f>
        <v>160</v>
      </c>
      <c r="K521" s="13" t="str" cm="1">
        <f t="array" ref="K521">_xlfn.IFS($G521=$G$5,K$5,$G521=$G$7,K$7,$G521=$G$10,K$10,$G521=$G$13,K$13,$G521=$G$14,K$14,$G521=$G$16,K$16,$G521=$G$17,K$17,$G521=$G$19,K$19,$G521=$G$20,K$20,$G521=$G$22,K$22,$G521=$G$23,K$23,$G521=$G$26,K$26,$G521=$G$29,K$29,$G521=$G$31,K$31,$G521=$G$34,K$34,$G521=$G$37,K$37,$G521=$G$107,K$107,$G521=$G$110,K$110,$G521=$G$140,K$140,$G521=$G$142,K$142,$G521=$G$408,K$408)</f>
        <v>BG sentinel + BG lure7</v>
      </c>
      <c r="O521" s="13" t="str">
        <f t="shared" si="48"/>
        <v>A_SP_BCN_2_221011</v>
      </c>
      <c r="P521" s="27">
        <v>44845</v>
      </c>
      <c r="Q521" s="29">
        <v>0.65277777777777779</v>
      </c>
      <c r="R521" s="33"/>
      <c r="S521" s="27">
        <v>44852</v>
      </c>
      <c r="T521" s="29">
        <v>0.67361111111111116</v>
      </c>
      <c r="V521" s="13" t="s">
        <v>86</v>
      </c>
      <c r="X521" s="13">
        <f t="shared" si="52"/>
        <v>7</v>
      </c>
      <c r="Z521" s="13" t="s">
        <v>60</v>
      </c>
      <c r="AA521" s="13">
        <f>SUM(AC521:AD521)</f>
        <v>13</v>
      </c>
      <c r="AB521" s="13" t="str">
        <f t="shared" si="53"/>
        <v>Adult</v>
      </c>
      <c r="AC521" s="13">
        <v>9</v>
      </c>
      <c r="AD521" s="13">
        <v>4</v>
      </c>
      <c r="AE521" s="13" t="str">
        <f t="shared" si="54"/>
        <v>Morphological</v>
      </c>
      <c r="AF521" s="2">
        <v>4</v>
      </c>
    </row>
    <row r="522" spans="1:32" x14ac:dyDescent="0.25">
      <c r="A522" s="13">
        <v>518</v>
      </c>
      <c r="B522" s="23" t="s">
        <v>56</v>
      </c>
      <c r="C522" s="23" t="s">
        <v>57</v>
      </c>
      <c r="D522" s="23" t="s">
        <v>58</v>
      </c>
      <c r="E522" s="23" t="s">
        <v>58</v>
      </c>
      <c r="F522" s="35" cm="1">
        <f t="array" ref="F522">_xlfn.IFS($G522=$G$5,F$5,$G522=$G$7,F$7,$G522=$G$10,F$10,$G522=$G$13,F$13,$G522=$G$14,F$14,$G522=$G$16,F$16,$G522=$G$17,F$17,$G522=$G$19,F$19,$G522=$G$20,F$20,$G522=$G$22,F$22,$G522=$G$23,F$23,$G522=$G$26,F$26,$G522=$G$29,F$29,$G522=$G$31,F$31,$G522=$G$34,F$34,$G522=$G$37,F$37,$G522=$G$107,F$107,$G522=$G$110,F$110,$G522=$G$140,F$140,$G522=$G$142,F$142,$G522=$G$408,F$408)</f>
        <v>8016</v>
      </c>
      <c r="G522" s="13" t="s">
        <v>62</v>
      </c>
      <c r="H522" s="51" cm="1">
        <f t="array" ref="H522">_xlfn.IFS($G522=$G$5,H$5,$G522=$G$7,H$7,$G522=$G$10,H$10,$G522=$G$13,H$13,$G522=$G$14,H$14,$G522=$G$16,H$16,$G522=$G$17,H$17,$G522=$G$19,H$19,$G522=$G$20,H$20,$G522=$G$22,H$22,$G522=$G$23,H$23,$G522=$G$26,H$26,$G522=$G$29,H$29,$G522=$G$31,H$31,$G522=$G$34,H$34,$G522=$G$37,H$37,$G522=$G$107,H$107,$G522=$G$110,H$110,$G522=$G$140,H$140,$G522=$G$142,H$142,$G522=$G$408,H$408)</f>
        <v>41.437435000000001</v>
      </c>
      <c r="I522" s="51" cm="1">
        <f t="array" ref="I522">_xlfn.IFS($G522=$G$5,I$5,$G522=$G$7,I$7,$G522=$G$10,I$10,$G522=$G$13,I$13,$G522=$G$14,I$14,$G522=$G$16,I$16,$G522=$G$17,I$17,$G522=$G$19,I$19,$G522=$G$20,I$20,$G522=$G$22,I$22,$G522=$G$23,I$23,$G522=$G$26,I$26,$G522=$G$29,I$29,$G522=$G$31,I$31,$G522=$G$34,I$34,$G522=$G$37,I$37,$G522=$G$107,I$107,$G522=$G$110,I$110,$G522=$G$140,I$140,$G522=$G$142,I$142,$G522=$G$408,I$408)</f>
        <v>2.1812779999999998</v>
      </c>
      <c r="J522" s="51" cm="1">
        <f t="array" ref="J522">_xlfn.IFS($G522=$G$5,J$5,$G522=$G$7,J$7,$G522=$G$10,J$10,$G522=$G$13,J$13,$G522=$G$14,J$14,$G522=$G$16,J$16,$G522=$G$17,J$17,$G522=$G$19,J$19,$G522=$G$20,J$20,$G522=$G$22,J$22,$G522=$G$23,J$23,$G522=$G$26,J$26,$G522=$G$29,J$29,$G522=$G$31,J$31,$G522=$G$34,J$34,$G522=$G$37,J$37,$G522=$G$107,J$107,$G522=$G$110,J$110,$G522=$G$140,J$140,$G522=$G$142,J$142,$G522=$G$408,J$408)</f>
        <v>47</v>
      </c>
      <c r="K522" s="13" t="str" cm="1">
        <f t="array" ref="K522">_xlfn.IFS($G522=$G$5,K$5,$G522=$G$7,K$7,$G522=$G$10,K$10,$G522=$G$13,K$13,$G522=$G$14,K$14,$G522=$G$16,K$16,$G522=$G$17,K$17,$G522=$G$19,K$19,$G522=$G$20,K$20,$G522=$G$22,K$22,$G522=$G$23,K$23,$G522=$G$26,K$26,$G522=$G$29,K$29,$G522=$G$31,K$31,$G522=$G$34,K$34,$G522=$G$37,K$37,$G522=$G$107,K$107,$G522=$G$110,K$110,$G522=$G$140,K$140,$G522=$G$142,K$142,$G522=$G$408,K$408)</f>
        <v>BG sentinel + BG lure7</v>
      </c>
      <c r="O522" s="13" t="str">
        <f t="shared" si="48"/>
        <v>A_SP_BCN_3_221011</v>
      </c>
      <c r="P522" s="27">
        <v>44845</v>
      </c>
      <c r="Q522" s="29">
        <v>0.81944444444444453</v>
      </c>
      <c r="R522" s="33"/>
      <c r="S522" s="27">
        <v>44852</v>
      </c>
      <c r="T522" s="29">
        <v>0.81597222222222221</v>
      </c>
      <c r="V522" s="13" t="s">
        <v>86</v>
      </c>
      <c r="X522" s="13">
        <f t="shared" si="52"/>
        <v>7</v>
      </c>
      <c r="Z522" s="13" t="s">
        <v>60</v>
      </c>
      <c r="AA522" s="13">
        <f>SUM(AC522:AD522)</f>
        <v>13</v>
      </c>
      <c r="AB522" s="13" t="str">
        <f t="shared" si="53"/>
        <v>Adult</v>
      </c>
      <c r="AC522" s="13">
        <v>9</v>
      </c>
      <c r="AD522" s="13">
        <v>4</v>
      </c>
      <c r="AE522" s="13" t="str">
        <f t="shared" si="54"/>
        <v>Morphological</v>
      </c>
      <c r="AF522" s="2">
        <v>4</v>
      </c>
    </row>
    <row r="523" spans="1:32" x14ac:dyDescent="0.25">
      <c r="A523" s="13">
        <v>519</v>
      </c>
      <c r="B523" s="23" t="s">
        <v>56</v>
      </c>
      <c r="C523" s="23" t="s">
        <v>57</v>
      </c>
      <c r="D523" s="23" t="s">
        <v>58</v>
      </c>
      <c r="E523" s="23" t="s">
        <v>58</v>
      </c>
      <c r="F523" s="35" cm="1">
        <f t="array" ref="F523">_xlfn.IFS($G523=$G$5,F$5,$G523=$G$7,F$7,$G523=$G$10,F$10,$G523=$G$13,F$13,$G523=$G$14,F$14,$G523=$G$16,F$16,$G523=$G$17,F$17,$G523=$G$19,F$19,$G523=$G$20,F$20,$G523=$G$22,F$22,$G523=$G$23,F$23,$G523=$G$26,F$26,$G523=$G$29,F$29,$G523=$G$31,F$31,$G523=$G$34,F$34,$G523=$G$37,F$37,$G523=$G$107,F$107,$G523=$G$110,F$110,$G523=$G$140,F$140,$G523=$G$142,F$142,$G523=$G$408,F$408)</f>
        <v>8018</v>
      </c>
      <c r="G523" s="13" t="s">
        <v>63</v>
      </c>
      <c r="H523" s="51" cm="1">
        <f t="array" ref="H523">_xlfn.IFS($G523=$G$5,H$5,$G523=$G$7,H$7,$G523=$G$10,H$10,$G523=$G$13,H$13,$G523=$G$14,H$14,$G523=$G$16,H$16,$G523=$G$17,H$17,$G523=$G$19,H$19,$G523=$G$20,H$20,$G523=$G$22,H$22,$G523=$G$23,H$23,$G523=$G$26,H$26,$G523=$G$29,H$29,$G523=$G$31,H$31,$G523=$G$34,H$34,$G523=$G$37,H$37,$G523=$G$107,H$107,$G523=$G$110,H$110,$G523=$G$140,H$140,$G523=$G$142,H$142,$G523=$G$408,H$408)</f>
        <v>41.404924999999999</v>
      </c>
      <c r="I523" s="51" cm="1">
        <f t="array" ref="I523">_xlfn.IFS($G523=$G$5,I$5,$G523=$G$7,I$7,$G523=$G$10,I$10,$G523=$G$13,I$13,$G523=$G$14,I$14,$G523=$G$16,I$16,$G523=$G$17,I$17,$G523=$G$19,I$19,$G523=$G$20,I$20,$G523=$G$22,I$22,$G523=$G$23,I$23,$G523=$G$26,I$26,$G523=$G$29,I$29,$G523=$G$31,I$31,$G523=$G$34,I$34,$G523=$G$37,I$37,$G523=$G$107,I$107,$G523=$G$110,I$110,$G523=$G$140,I$140,$G523=$G$142,I$142,$G523=$G$408,I$408)</f>
        <v>2.1987909999999999</v>
      </c>
      <c r="J523" s="51" cm="1">
        <f t="array" ref="J523">_xlfn.IFS($G523=$G$5,J$5,$G523=$G$7,J$7,$G523=$G$10,J$10,$G523=$G$13,J$13,$G523=$G$14,J$14,$G523=$G$16,J$16,$G523=$G$17,J$17,$G523=$G$19,J$19,$G523=$G$20,J$20,$G523=$G$22,J$22,$G523=$G$23,J$23,$G523=$G$26,J$26,$G523=$G$29,J$29,$G523=$G$31,J$31,$G523=$G$34,J$34,$G523=$G$37,J$37,$G523=$G$107,J$107,$G523=$G$110,J$110,$G523=$G$140,J$140,$G523=$G$142,J$142,$G523=$G$408,J$408)</f>
        <v>4</v>
      </c>
      <c r="K523" s="13" t="str" cm="1">
        <f t="array" ref="K523">_xlfn.IFS($G523=$G$5,K$5,$G523=$G$7,K$7,$G523=$G$10,K$10,$G523=$G$13,K$13,$G523=$G$14,K$14,$G523=$G$16,K$16,$G523=$G$17,K$17,$G523=$G$19,K$19,$G523=$G$20,K$20,$G523=$G$22,K$22,$G523=$G$23,K$23,$G523=$G$26,K$26,$G523=$G$29,K$29,$G523=$G$31,K$31,$G523=$G$34,K$34,$G523=$G$37,K$37,$G523=$G$107,K$107,$G523=$G$110,K$110,$G523=$G$140,K$140,$G523=$G$142,K$142,$G523=$G$408,K$408)</f>
        <v>BG sentinel + BG lure7</v>
      </c>
      <c r="O523" s="13" t="str">
        <f t="shared" si="48"/>
        <v>A_SP_BCN_4_221011</v>
      </c>
      <c r="P523" s="27">
        <v>44845</v>
      </c>
      <c r="Q523" s="29">
        <v>0.84027777777777779</v>
      </c>
      <c r="R523" s="33"/>
      <c r="S523" s="27">
        <v>44852</v>
      </c>
      <c r="T523" s="29">
        <v>0.83333333333333337</v>
      </c>
      <c r="V523" s="13" t="s">
        <v>86</v>
      </c>
      <c r="X523" s="13">
        <f t="shared" si="52"/>
        <v>7</v>
      </c>
      <c r="Z523" s="13" t="s">
        <v>60</v>
      </c>
      <c r="AA523" s="13">
        <f>SUM(AC523:AD523)</f>
        <v>10</v>
      </c>
      <c r="AB523" s="13" t="str">
        <f t="shared" si="53"/>
        <v>Adult</v>
      </c>
      <c r="AC523" s="13">
        <v>4</v>
      </c>
      <c r="AD523" s="13">
        <v>6</v>
      </c>
      <c r="AE523" s="13" t="str">
        <f t="shared" si="54"/>
        <v>Morphological</v>
      </c>
      <c r="AF523" s="2">
        <v>4</v>
      </c>
    </row>
    <row r="524" spans="1:32" x14ac:dyDescent="0.25">
      <c r="A524" s="13">
        <v>520</v>
      </c>
      <c r="B524" s="23" t="s">
        <v>56</v>
      </c>
      <c r="C524" s="23" t="s">
        <v>57</v>
      </c>
      <c r="D524" s="23" t="s">
        <v>58</v>
      </c>
      <c r="E524" s="23" t="s">
        <v>58</v>
      </c>
      <c r="F524" s="35" cm="1">
        <f t="array" ref="F524">_xlfn.IFS($G524=$G$5,F$5,$G524=$G$7,F$7,$G524=$G$10,F$10,$G524=$G$13,F$13,$G524=$G$14,F$14,$G524=$G$16,F$16,$G524=$G$17,F$17,$G524=$G$19,F$19,$G524=$G$20,F$20,$G524=$G$22,F$22,$G524=$G$23,F$23,$G524=$G$26,F$26,$G524=$G$29,F$29,$G524=$G$31,F$31,$G524=$G$34,F$34,$G524=$G$37,F$37,$G524=$G$107,F$107,$G524=$G$110,F$110,$G524=$G$140,F$140,$G524=$G$142,F$142,$G524=$G$408,F$408)</f>
        <v>8019</v>
      </c>
      <c r="G524" s="13" t="s">
        <v>64</v>
      </c>
      <c r="H524" s="51" cm="1">
        <f t="array" ref="H524">_xlfn.IFS($G524=$G$5,H$5,$G524=$G$7,H$7,$G524=$G$10,H$10,$G524=$G$13,H$13,$G524=$G$14,H$14,$G524=$G$16,H$16,$G524=$G$17,H$17,$G524=$G$19,H$19,$G524=$G$20,H$20,$G524=$G$22,H$22,$G524=$G$23,H$23,$G524=$G$26,H$26,$G524=$G$29,H$29,$G524=$G$31,H$31,$G524=$G$34,H$34,$G524=$G$37,H$37,$G524=$G$107,H$107,$G524=$G$110,H$110,$G524=$G$140,H$140,$G524=$G$142,H$142,$G524=$G$408,H$408)</f>
        <v>41.410684000000003</v>
      </c>
      <c r="I524" s="51" cm="1">
        <f t="array" ref="I524">_xlfn.IFS($G524=$G$5,I$5,$G524=$G$7,I$7,$G524=$G$10,I$10,$G524=$G$13,I$13,$G524=$G$14,I$14,$G524=$G$16,I$16,$G524=$G$17,I$17,$G524=$G$19,I$19,$G524=$G$20,I$20,$G524=$G$22,I$22,$G524=$G$23,I$23,$G524=$G$26,I$26,$G524=$G$29,I$29,$G524=$G$31,I$31,$G524=$G$34,I$34,$G524=$G$37,I$37,$G524=$G$107,I$107,$G524=$G$110,I$110,$G524=$G$140,I$140,$G524=$G$142,I$142,$G524=$G$408,I$408)</f>
        <v>2.2208019999999999</v>
      </c>
      <c r="J524" s="51" cm="1">
        <f t="array" ref="J524">_xlfn.IFS($G524=$G$5,J$5,$G524=$G$7,J$7,$G524=$G$10,J$10,$G524=$G$13,J$13,$G524=$G$14,J$14,$G524=$G$16,J$16,$G524=$G$17,J$17,$G524=$G$19,J$19,$G524=$G$20,J$20,$G524=$G$22,J$22,$G524=$G$23,J$23,$G524=$G$26,J$26,$G524=$G$29,J$29,$G524=$G$31,J$31,$G524=$G$34,J$34,$G524=$G$37,J$37,$G524=$G$107,J$107,$G524=$G$110,J$110,$G524=$G$140,J$140,$G524=$G$142,J$142,$G524=$G$408,J$408)</f>
        <v>18</v>
      </c>
      <c r="K524" s="13" t="str" cm="1">
        <f t="array" ref="K524">_xlfn.IFS($G524=$G$5,K$5,$G524=$G$7,K$7,$G524=$G$10,K$10,$G524=$G$13,K$13,$G524=$G$14,K$14,$G524=$G$16,K$16,$G524=$G$17,K$17,$G524=$G$19,K$19,$G524=$G$20,K$20,$G524=$G$22,K$22,$G524=$G$23,K$23,$G524=$G$26,K$26,$G524=$G$29,K$29,$G524=$G$31,K$31,$G524=$G$34,K$34,$G524=$G$37,K$37,$G524=$G$107,K$107,$G524=$G$110,K$110,$G524=$G$140,K$140,$G524=$G$142,K$142,$G524=$G$408,K$408)</f>
        <v>BG sentinel + BG lure7</v>
      </c>
      <c r="O524" s="13" t="str">
        <f t="shared" si="48"/>
        <v>A_SP_BCN_5_221011</v>
      </c>
      <c r="P524" s="27">
        <v>44845</v>
      </c>
      <c r="Q524" s="29">
        <v>0.67013888888888884</v>
      </c>
      <c r="R524" s="33"/>
      <c r="S524" s="27">
        <v>44852</v>
      </c>
      <c r="T524" s="29">
        <v>0.69097222222222221</v>
      </c>
      <c r="V524" s="13" t="s">
        <v>86</v>
      </c>
      <c r="X524" s="13">
        <f t="shared" si="52"/>
        <v>7</v>
      </c>
      <c r="AA524" s="13">
        <v>0</v>
      </c>
      <c r="AB524" s="13" t="str">
        <f t="shared" si="53"/>
        <v/>
      </c>
      <c r="AE524" s="13" t="str">
        <f t="shared" si="54"/>
        <v/>
      </c>
      <c r="AF524" s="2">
        <v>4</v>
      </c>
    </row>
    <row r="525" spans="1:32" x14ac:dyDescent="0.25">
      <c r="A525" s="13">
        <v>521</v>
      </c>
      <c r="B525" s="23" t="s">
        <v>56</v>
      </c>
      <c r="C525" s="23" t="s">
        <v>57</v>
      </c>
      <c r="D525" s="23" t="s">
        <v>58</v>
      </c>
      <c r="E525" s="23" t="s">
        <v>58</v>
      </c>
      <c r="F525" s="35" cm="1">
        <f t="array" ref="F525">_xlfn.IFS($G525=$G$5,F$5,$G525=$G$7,F$7,$G525=$G$10,F$10,$G525=$G$13,F$13,$G525=$G$14,F$14,$G525=$G$16,F$16,$G525=$G$17,F$17,$G525=$G$19,F$19,$G525=$G$20,F$20,$G525=$G$22,F$22,$G525=$G$23,F$23,$G525=$G$26,F$26,$G525=$G$29,F$29,$G525=$G$31,F$31,$G525=$G$34,F$34,$G525=$G$37,F$37,$G525=$G$107,F$107,$G525=$G$110,F$110,$G525=$G$140,F$140,$G525=$G$142,F$142,$G525=$G$408,F$408)</f>
        <v>8002</v>
      </c>
      <c r="G525" s="13" t="s">
        <v>65</v>
      </c>
      <c r="H525" s="51" cm="1">
        <f t="array" ref="H525">_xlfn.IFS($G525=$G$5,H$5,$G525=$G$7,H$7,$G525=$G$10,H$10,$G525=$G$13,H$13,$G525=$G$14,H$14,$G525=$G$16,H$16,$G525=$G$17,H$17,$G525=$G$19,H$19,$G525=$G$20,H$20,$G525=$G$22,H$22,$G525=$G$23,H$23,$G525=$G$26,H$26,$G525=$G$29,H$29,$G525=$G$31,H$31,$G525=$G$34,H$34,$G525=$G$37,H$37,$G525=$G$107,H$107,$G525=$G$110,H$110,$G525=$G$140,H$140,$G525=$G$142,H$142,$G525=$G$408,H$408)</f>
        <v>41.382339999999999</v>
      </c>
      <c r="I525" s="51" cm="1">
        <f t="array" ref="I525">_xlfn.IFS($G525=$G$5,I$5,$G525=$G$7,I$7,$G525=$G$10,I$10,$G525=$G$13,I$13,$G525=$G$14,I$14,$G525=$G$16,I$16,$G525=$G$17,I$17,$G525=$G$19,I$19,$G525=$G$20,I$20,$G525=$G$22,I$22,$G525=$G$23,I$23,$G525=$G$26,I$26,$G525=$G$29,I$29,$G525=$G$31,I$31,$G525=$G$34,I$34,$G525=$G$37,I$37,$G525=$G$107,I$107,$G525=$G$110,I$110,$G525=$G$140,I$140,$G525=$G$142,I$142,$G525=$G$408,I$408)</f>
        <v>2.1714790000000002</v>
      </c>
      <c r="J525" s="51" cm="1">
        <f t="array" ref="J525">_xlfn.IFS($G525=$G$5,J$5,$G525=$G$7,J$7,$G525=$G$10,J$10,$G525=$G$13,J$13,$G525=$G$14,J$14,$G525=$G$16,J$16,$G525=$G$17,J$17,$G525=$G$19,J$19,$G525=$G$20,J$20,$G525=$G$22,J$22,$G525=$G$23,J$23,$G525=$G$26,J$26,$G525=$G$29,J$29,$G525=$G$31,J$31,$G525=$G$34,J$34,$G525=$G$37,J$37,$G525=$G$107,J$107,$G525=$G$110,J$110,$G525=$G$140,J$140,$G525=$G$142,J$142,$G525=$G$408,J$408)</f>
        <v>19</v>
      </c>
      <c r="K525" s="13" t="str" cm="1">
        <f t="array" ref="K525">_xlfn.IFS($G525=$G$5,K$5,$G525=$G$7,K$7,$G525=$G$10,K$10,$G525=$G$13,K$13,$G525=$G$14,K$14,$G525=$G$16,K$16,$G525=$G$17,K$17,$G525=$G$19,K$19,$G525=$G$20,K$20,$G525=$G$22,K$22,$G525=$G$23,K$23,$G525=$G$26,K$26,$G525=$G$29,K$29,$G525=$G$31,K$31,$G525=$G$34,K$34,$G525=$G$37,K$37,$G525=$G$107,K$107,$G525=$G$110,K$110,$G525=$G$140,K$140,$G525=$G$142,K$142,$G525=$G$408,K$408)</f>
        <v>BG sentinel + BG lure7</v>
      </c>
      <c r="O525" s="13" t="str">
        <f t="shared" si="48"/>
        <v>A_SP_BCN_6_221011</v>
      </c>
      <c r="P525" s="27">
        <v>44845</v>
      </c>
      <c r="Q525" s="29">
        <v>0.85763888888888884</v>
      </c>
      <c r="R525" s="33"/>
      <c r="S525" s="27">
        <v>44852</v>
      </c>
      <c r="T525" s="29">
        <v>0.85416666666666663</v>
      </c>
      <c r="V525" s="13" t="s">
        <v>86</v>
      </c>
      <c r="X525" s="13">
        <f t="shared" si="52"/>
        <v>7</v>
      </c>
      <c r="Z525" s="13" t="s">
        <v>60</v>
      </c>
      <c r="AA525" s="13">
        <f t="shared" ref="AA525:AA535" si="55">SUM(AC525:AD525)</f>
        <v>7</v>
      </c>
      <c r="AB525" s="13" t="str">
        <f t="shared" si="53"/>
        <v>Adult</v>
      </c>
      <c r="AC525" s="13">
        <v>7</v>
      </c>
      <c r="AD525" s="13">
        <v>0</v>
      </c>
      <c r="AE525" s="13" t="str">
        <f t="shared" si="54"/>
        <v>Morphological</v>
      </c>
      <c r="AF525" s="2">
        <v>4</v>
      </c>
    </row>
    <row r="526" spans="1:32" x14ac:dyDescent="0.25">
      <c r="A526" s="13">
        <v>522</v>
      </c>
      <c r="B526" s="23" t="s">
        <v>56</v>
      </c>
      <c r="C526" s="23" t="s">
        <v>57</v>
      </c>
      <c r="D526" s="23" t="s">
        <v>58</v>
      </c>
      <c r="E526" s="23" t="s">
        <v>58</v>
      </c>
      <c r="F526" s="35" cm="1">
        <f t="array" ref="F526">_xlfn.IFS($G526=$G$5,F$5,$G526=$G$7,F$7,$G526=$G$10,F$10,$G526=$G$13,F$13,$G526=$G$14,F$14,$G526=$G$16,F$16,$G526=$G$17,F$17,$G526=$G$19,F$19,$G526=$G$20,F$20,$G526=$G$22,F$22,$G526=$G$23,F$23,$G526=$G$26,F$26,$G526=$G$29,F$29,$G526=$G$31,F$31,$G526=$G$34,F$34,$G526=$G$37,F$37,$G526=$G$107,F$107,$G526=$G$110,F$110,$G526=$G$140,F$140,$G526=$G$142,F$142,$G526=$G$408,F$408)</f>
        <v>8002</v>
      </c>
      <c r="G526" s="13" t="s">
        <v>65</v>
      </c>
      <c r="H526" s="51" cm="1">
        <f t="array" ref="H526">_xlfn.IFS($G526=$G$5,H$5,$G526=$G$7,H$7,$G526=$G$10,H$10,$G526=$G$13,H$13,$G526=$G$14,H$14,$G526=$G$16,H$16,$G526=$G$17,H$17,$G526=$G$19,H$19,$G526=$G$20,H$20,$G526=$G$22,H$22,$G526=$G$23,H$23,$G526=$G$26,H$26,$G526=$G$29,H$29,$G526=$G$31,H$31,$G526=$G$34,H$34,$G526=$G$37,H$37,$G526=$G$107,H$107,$G526=$G$110,H$110,$G526=$G$140,H$140,$G526=$G$142,H$142,$G526=$G$408,H$408)</f>
        <v>41.382339999999999</v>
      </c>
      <c r="I526" s="51" cm="1">
        <f t="array" ref="I526">_xlfn.IFS($G526=$G$5,I$5,$G526=$G$7,I$7,$G526=$G$10,I$10,$G526=$G$13,I$13,$G526=$G$14,I$14,$G526=$G$16,I$16,$G526=$G$17,I$17,$G526=$G$19,I$19,$G526=$G$20,I$20,$G526=$G$22,I$22,$G526=$G$23,I$23,$G526=$G$26,I$26,$G526=$G$29,I$29,$G526=$G$31,I$31,$G526=$G$34,I$34,$G526=$G$37,I$37,$G526=$G$107,I$107,$G526=$G$110,I$110,$G526=$G$140,I$140,$G526=$G$142,I$142,$G526=$G$408,I$408)</f>
        <v>2.1714790000000002</v>
      </c>
      <c r="J526" s="51" cm="1">
        <f t="array" ref="J526">_xlfn.IFS($G526=$G$5,J$5,$G526=$G$7,J$7,$G526=$G$10,J$10,$G526=$G$13,J$13,$G526=$G$14,J$14,$G526=$G$16,J$16,$G526=$G$17,J$17,$G526=$G$19,J$19,$G526=$G$20,J$20,$G526=$G$22,J$22,$G526=$G$23,J$23,$G526=$G$26,J$26,$G526=$G$29,J$29,$G526=$G$31,J$31,$G526=$G$34,J$34,$G526=$G$37,J$37,$G526=$G$107,J$107,$G526=$G$110,J$110,$G526=$G$140,J$140,$G526=$G$142,J$142,$G526=$G$408,J$408)</f>
        <v>19</v>
      </c>
      <c r="K526" s="13" t="str" cm="1">
        <f t="array" ref="K526">_xlfn.IFS($G526=$G$5,K$5,$G526=$G$7,K$7,$G526=$G$10,K$10,$G526=$G$13,K$13,$G526=$G$14,K$14,$G526=$G$16,K$16,$G526=$G$17,K$17,$G526=$G$19,K$19,$G526=$G$20,K$20,$G526=$G$22,K$22,$G526=$G$23,K$23,$G526=$G$26,K$26,$G526=$G$29,K$29,$G526=$G$31,K$31,$G526=$G$34,K$34,$G526=$G$37,K$37,$G526=$G$107,K$107,$G526=$G$110,K$110,$G526=$G$140,K$140,$G526=$G$142,K$142,$G526=$G$408,K$408)</f>
        <v>BG sentinel + BG lure7</v>
      </c>
      <c r="O526" s="13" t="str">
        <f t="shared" si="48"/>
        <v>A_SP_BCN_6_221011</v>
      </c>
      <c r="P526" s="27">
        <v>44845</v>
      </c>
      <c r="Q526" s="29">
        <v>0.85763888888888884</v>
      </c>
      <c r="R526" s="33"/>
      <c r="S526" s="27">
        <v>44852</v>
      </c>
      <c r="T526" s="29">
        <v>0.85416666666666663</v>
      </c>
      <c r="V526" s="13" t="s">
        <v>86</v>
      </c>
      <c r="X526" s="13">
        <f t="shared" si="52"/>
        <v>7</v>
      </c>
      <c r="Z526" s="13" t="s">
        <v>164</v>
      </c>
      <c r="AA526" s="13">
        <f t="shared" si="55"/>
        <v>3</v>
      </c>
      <c r="AB526" s="13" t="str">
        <f t="shared" si="53"/>
        <v>Adult</v>
      </c>
      <c r="AC526" s="13">
        <v>3</v>
      </c>
      <c r="AD526" s="13">
        <v>0</v>
      </c>
      <c r="AE526" s="13" t="str">
        <f t="shared" si="54"/>
        <v>Morphological</v>
      </c>
      <c r="AF526" s="2">
        <v>4</v>
      </c>
    </row>
    <row r="527" spans="1:32" x14ac:dyDescent="0.25">
      <c r="A527" s="13">
        <v>523</v>
      </c>
      <c r="B527" s="23" t="s">
        <v>56</v>
      </c>
      <c r="C527" s="23" t="s">
        <v>57</v>
      </c>
      <c r="D527" s="23" t="s">
        <v>58</v>
      </c>
      <c r="E527" s="23" t="s">
        <v>58</v>
      </c>
      <c r="F527" s="35" cm="1">
        <f t="array" ref="F527">_xlfn.IFS($G527=$G$5,F$5,$G527=$G$7,F$7,$G527=$G$10,F$10,$G527=$G$13,F$13,$G527=$G$14,F$14,$G527=$G$16,F$16,$G527=$G$17,F$17,$G527=$G$19,F$19,$G527=$G$20,F$20,$G527=$G$22,F$22,$G527=$G$23,F$23,$G527=$G$26,F$26,$G527=$G$29,F$29,$G527=$G$31,F$31,$G527=$G$34,F$34,$G527=$G$37,F$37,$G527=$G$107,F$107,$G527=$G$110,F$110,$G527=$G$140,F$140,$G527=$G$142,F$142,$G527=$G$408,F$408)</f>
        <v>8002</v>
      </c>
      <c r="G527" s="13" t="s">
        <v>65</v>
      </c>
      <c r="H527" s="51" cm="1">
        <f t="array" ref="H527">_xlfn.IFS($G527=$G$5,H$5,$G527=$G$7,H$7,$G527=$G$10,H$10,$G527=$G$13,H$13,$G527=$G$14,H$14,$G527=$G$16,H$16,$G527=$G$17,H$17,$G527=$G$19,H$19,$G527=$G$20,H$20,$G527=$G$22,H$22,$G527=$G$23,H$23,$G527=$G$26,H$26,$G527=$G$29,H$29,$G527=$G$31,H$31,$G527=$G$34,H$34,$G527=$G$37,H$37,$G527=$G$107,H$107,$G527=$G$110,H$110,$G527=$G$140,H$140,$G527=$G$142,H$142,$G527=$G$408,H$408)</f>
        <v>41.382339999999999</v>
      </c>
      <c r="I527" s="51" cm="1">
        <f t="array" ref="I527">_xlfn.IFS($G527=$G$5,I$5,$G527=$G$7,I$7,$G527=$G$10,I$10,$G527=$G$13,I$13,$G527=$G$14,I$14,$G527=$G$16,I$16,$G527=$G$17,I$17,$G527=$G$19,I$19,$G527=$G$20,I$20,$G527=$G$22,I$22,$G527=$G$23,I$23,$G527=$G$26,I$26,$G527=$G$29,I$29,$G527=$G$31,I$31,$G527=$G$34,I$34,$G527=$G$37,I$37,$G527=$G$107,I$107,$G527=$G$110,I$110,$G527=$G$140,I$140,$G527=$G$142,I$142,$G527=$G$408,I$408)</f>
        <v>2.1714790000000002</v>
      </c>
      <c r="J527" s="51" cm="1">
        <f t="array" ref="J527">_xlfn.IFS($G527=$G$5,J$5,$G527=$G$7,J$7,$G527=$G$10,J$10,$G527=$G$13,J$13,$G527=$G$14,J$14,$G527=$G$16,J$16,$G527=$G$17,J$17,$G527=$G$19,J$19,$G527=$G$20,J$20,$G527=$G$22,J$22,$G527=$G$23,J$23,$G527=$G$26,J$26,$G527=$G$29,J$29,$G527=$G$31,J$31,$G527=$G$34,J$34,$G527=$G$37,J$37,$G527=$G$107,J$107,$G527=$G$110,J$110,$G527=$G$140,J$140,$G527=$G$142,J$142,$G527=$G$408,J$408)</f>
        <v>19</v>
      </c>
      <c r="K527" s="13" t="str" cm="1">
        <f t="array" ref="K527">_xlfn.IFS($G527=$G$5,K$5,$G527=$G$7,K$7,$G527=$G$10,K$10,$G527=$G$13,K$13,$G527=$G$14,K$14,$G527=$G$16,K$16,$G527=$G$17,K$17,$G527=$G$19,K$19,$G527=$G$20,K$20,$G527=$G$22,K$22,$G527=$G$23,K$23,$G527=$G$26,K$26,$G527=$G$29,K$29,$G527=$G$31,K$31,$G527=$G$34,K$34,$G527=$G$37,K$37,$G527=$G$107,K$107,$G527=$G$110,K$110,$G527=$G$140,K$140,$G527=$G$142,K$142,$G527=$G$408,K$408)</f>
        <v>BG sentinel + BG lure7</v>
      </c>
      <c r="O527" s="13" t="str">
        <f t="shared" si="48"/>
        <v>A_SP_BCN_6_221011</v>
      </c>
      <c r="P527" s="27">
        <v>44845</v>
      </c>
      <c r="Q527" s="29">
        <v>0.85763888888888884</v>
      </c>
      <c r="R527" s="33"/>
      <c r="S527" s="27">
        <v>44852</v>
      </c>
      <c r="T527" s="29">
        <v>0.85416666666666663</v>
      </c>
      <c r="V527" s="13" t="s">
        <v>86</v>
      </c>
      <c r="X527" s="13">
        <f t="shared" si="52"/>
        <v>7</v>
      </c>
      <c r="Z527" s="32" t="s">
        <v>163</v>
      </c>
      <c r="AA527" s="13">
        <f t="shared" si="55"/>
        <v>1</v>
      </c>
      <c r="AB527" s="13" t="str">
        <f t="shared" si="53"/>
        <v>Adult</v>
      </c>
      <c r="AC527" s="13">
        <v>0</v>
      </c>
      <c r="AD527" s="13">
        <v>1</v>
      </c>
      <c r="AE527" s="13" t="str">
        <f t="shared" si="54"/>
        <v>Morphological</v>
      </c>
      <c r="AF527" s="2">
        <v>4</v>
      </c>
    </row>
    <row r="528" spans="1:32" x14ac:dyDescent="0.25">
      <c r="A528" s="13">
        <v>524</v>
      </c>
      <c r="B528" s="23" t="s">
        <v>56</v>
      </c>
      <c r="C528" s="23" t="s">
        <v>57</v>
      </c>
      <c r="D528" s="23" t="s">
        <v>58</v>
      </c>
      <c r="E528" s="23" t="s">
        <v>58</v>
      </c>
      <c r="F528" s="35" cm="1">
        <f t="array" ref="F528">_xlfn.IFS($G528=$G$5,F$5,$G528=$G$7,F$7,$G528=$G$10,F$10,$G528=$G$13,F$13,$G528=$G$14,F$14,$G528=$G$16,F$16,$G528=$G$17,F$17,$G528=$G$19,F$19,$G528=$G$20,F$20,$G528=$G$22,F$22,$G528=$G$23,F$23,$G528=$G$26,F$26,$G528=$G$29,F$29,$G528=$G$31,F$31,$G528=$G$34,F$34,$G528=$G$37,F$37,$G528=$G$107,F$107,$G528=$G$110,F$110,$G528=$G$140,F$140,$G528=$G$142,F$142,$G528=$G$408,F$408)</f>
        <v>8040</v>
      </c>
      <c r="G528" s="13" t="s">
        <v>68</v>
      </c>
      <c r="H528" s="51" cm="1">
        <f t="array" ref="H528">_xlfn.IFS($G528=$G$5,H$5,$G528=$G$7,H$7,$G528=$G$10,H$10,$G528=$G$13,H$13,$G528=$G$14,H$14,$G528=$G$16,H$16,$G528=$G$17,H$17,$G528=$G$19,H$19,$G528=$G$20,H$20,$G528=$G$22,H$22,$G528=$G$23,H$23,$G528=$G$26,H$26,$G528=$G$29,H$29,$G528=$G$31,H$31,$G528=$G$34,H$34,$G528=$G$37,H$37,$G528=$G$107,H$107,$G528=$G$110,H$110,$G528=$G$140,H$140,$G528=$G$142,H$142,$G528=$G$408,H$408)</f>
        <v>41.343685000000001</v>
      </c>
      <c r="I528" s="51" cm="1">
        <f t="array" ref="I528">_xlfn.IFS($G528=$G$5,I$5,$G528=$G$7,I$7,$G528=$G$10,I$10,$G528=$G$13,I$13,$G528=$G$14,I$14,$G528=$G$16,I$16,$G528=$G$17,I$17,$G528=$G$19,I$19,$G528=$G$20,I$20,$G528=$G$22,I$22,$G528=$G$23,I$23,$G528=$G$26,I$26,$G528=$G$29,I$29,$G528=$G$31,I$31,$G528=$G$34,I$34,$G528=$G$37,I$37,$G528=$G$107,I$107,$G528=$G$110,I$110,$G528=$G$140,I$140,$G528=$G$142,I$142,$G528=$G$408,I$408)</f>
        <v>2.1441490000000001</v>
      </c>
      <c r="J528" s="51" cm="1">
        <f t="array" ref="J528">_xlfn.IFS($G528=$G$5,J$5,$G528=$G$7,J$7,$G528=$G$10,J$10,$G528=$G$13,J$13,$G528=$G$14,J$14,$G528=$G$16,J$16,$G528=$G$17,J$17,$G528=$G$19,J$19,$G528=$G$20,J$20,$G528=$G$22,J$22,$G528=$G$23,J$23,$G528=$G$26,J$26,$G528=$G$29,J$29,$G528=$G$31,J$31,$G528=$G$34,J$34,$G528=$G$37,J$37,$G528=$G$107,J$107,$G528=$G$110,J$110,$G528=$G$140,J$140,$G528=$G$142,J$142,$G528=$G$408,J$408)</f>
        <v>4</v>
      </c>
      <c r="K528" s="13" t="str" cm="1">
        <f t="array" ref="K528">_xlfn.IFS($G528=$G$5,K$5,$G528=$G$7,K$7,$G528=$G$10,K$10,$G528=$G$13,K$13,$G528=$G$14,K$14,$G528=$G$16,K$16,$G528=$G$17,K$17,$G528=$G$19,K$19,$G528=$G$20,K$20,$G528=$G$22,K$22,$G528=$G$23,K$23,$G528=$G$26,K$26,$G528=$G$29,K$29,$G528=$G$31,K$31,$G528=$G$34,K$34,$G528=$G$37,K$37,$G528=$G$107,K$107,$G528=$G$110,K$110,$G528=$G$140,K$140,$G528=$G$142,K$142,$G528=$G$408,K$408)</f>
        <v>BG sentinel + BG lure7</v>
      </c>
      <c r="O528" s="13" t="str">
        <f t="shared" si="48"/>
        <v>A_SP_BCN_10_221011</v>
      </c>
      <c r="P528" s="27">
        <v>44845</v>
      </c>
      <c r="Q528" s="29">
        <v>0.54166666666666663</v>
      </c>
      <c r="R528" s="33"/>
      <c r="S528" s="27">
        <v>44852</v>
      </c>
      <c r="T528" s="29">
        <v>0.53472222222222221</v>
      </c>
      <c r="V528" s="13" t="s">
        <v>86</v>
      </c>
      <c r="X528" s="13">
        <f t="shared" si="52"/>
        <v>7</v>
      </c>
      <c r="Z528" s="13" t="s">
        <v>60</v>
      </c>
      <c r="AA528" s="13">
        <f t="shared" si="55"/>
        <v>21</v>
      </c>
      <c r="AB528" s="13" t="str">
        <f t="shared" si="53"/>
        <v>Adult</v>
      </c>
      <c r="AC528" s="13">
        <v>15</v>
      </c>
      <c r="AD528" s="13">
        <v>6</v>
      </c>
      <c r="AE528" s="13" t="str">
        <f t="shared" si="54"/>
        <v>Morphological</v>
      </c>
      <c r="AF528" s="2">
        <v>4</v>
      </c>
    </row>
    <row r="529" spans="1:32" x14ac:dyDescent="0.25">
      <c r="A529" s="13">
        <v>525</v>
      </c>
      <c r="B529" s="23" t="s">
        <v>56</v>
      </c>
      <c r="C529" s="23" t="s">
        <v>57</v>
      </c>
      <c r="D529" s="23" t="s">
        <v>58</v>
      </c>
      <c r="E529" s="23" t="s">
        <v>58</v>
      </c>
      <c r="F529" s="35" cm="1">
        <f t="array" ref="F529">_xlfn.IFS($G529=$G$5,F$5,$G529=$G$7,F$7,$G529=$G$10,F$10,$G529=$G$13,F$13,$G529=$G$14,F$14,$G529=$G$16,F$16,$G529=$G$17,F$17,$G529=$G$19,F$19,$G529=$G$20,F$20,$G529=$G$22,F$22,$G529=$G$23,F$23,$G529=$G$26,F$26,$G529=$G$29,F$29,$G529=$G$31,F$31,$G529=$G$34,F$34,$G529=$G$37,F$37,$G529=$G$107,F$107,$G529=$G$110,F$110,$G529=$G$140,F$140,$G529=$G$142,F$142,$G529=$G$408,F$408)</f>
        <v>8040</v>
      </c>
      <c r="G529" s="13" t="s">
        <v>68</v>
      </c>
      <c r="H529" s="51" cm="1">
        <f t="array" ref="H529">_xlfn.IFS($G529=$G$5,H$5,$G529=$G$7,H$7,$G529=$G$10,H$10,$G529=$G$13,H$13,$G529=$G$14,H$14,$G529=$G$16,H$16,$G529=$G$17,H$17,$G529=$G$19,H$19,$G529=$G$20,H$20,$G529=$G$22,H$22,$G529=$G$23,H$23,$G529=$G$26,H$26,$G529=$G$29,H$29,$G529=$G$31,H$31,$G529=$G$34,H$34,$G529=$G$37,H$37,$G529=$G$107,H$107,$G529=$G$110,H$110,$G529=$G$140,H$140,$G529=$G$142,H$142,$G529=$G$408,H$408)</f>
        <v>41.343685000000001</v>
      </c>
      <c r="I529" s="51" cm="1">
        <f t="array" ref="I529">_xlfn.IFS($G529=$G$5,I$5,$G529=$G$7,I$7,$G529=$G$10,I$10,$G529=$G$13,I$13,$G529=$G$14,I$14,$G529=$G$16,I$16,$G529=$G$17,I$17,$G529=$G$19,I$19,$G529=$G$20,I$20,$G529=$G$22,I$22,$G529=$G$23,I$23,$G529=$G$26,I$26,$G529=$G$29,I$29,$G529=$G$31,I$31,$G529=$G$34,I$34,$G529=$G$37,I$37,$G529=$G$107,I$107,$G529=$G$110,I$110,$G529=$G$140,I$140,$G529=$G$142,I$142,$G529=$G$408,I$408)</f>
        <v>2.1441490000000001</v>
      </c>
      <c r="J529" s="51" cm="1">
        <f t="array" ref="J529">_xlfn.IFS($G529=$G$5,J$5,$G529=$G$7,J$7,$G529=$G$10,J$10,$G529=$G$13,J$13,$G529=$G$14,J$14,$G529=$G$16,J$16,$G529=$G$17,J$17,$G529=$G$19,J$19,$G529=$G$20,J$20,$G529=$G$22,J$22,$G529=$G$23,J$23,$G529=$G$26,J$26,$G529=$G$29,J$29,$G529=$G$31,J$31,$G529=$G$34,J$34,$G529=$G$37,J$37,$G529=$G$107,J$107,$G529=$G$110,J$110,$G529=$G$140,J$140,$G529=$G$142,J$142,$G529=$G$408,J$408)</f>
        <v>4</v>
      </c>
      <c r="K529" s="13" t="str" cm="1">
        <f t="array" ref="K529">_xlfn.IFS($G529=$G$5,K$5,$G529=$G$7,K$7,$G529=$G$10,K$10,$G529=$G$13,K$13,$G529=$G$14,K$14,$G529=$G$16,K$16,$G529=$G$17,K$17,$G529=$G$19,K$19,$G529=$G$20,K$20,$G529=$G$22,K$22,$G529=$G$23,K$23,$G529=$G$26,K$26,$G529=$G$29,K$29,$G529=$G$31,K$31,$G529=$G$34,K$34,$G529=$G$37,K$37,$G529=$G$107,K$107,$G529=$G$110,K$110,$G529=$G$140,K$140,$G529=$G$142,K$142,$G529=$G$408,K$408)</f>
        <v>BG sentinel + BG lure7</v>
      </c>
      <c r="O529" s="13" t="str">
        <f t="shared" si="48"/>
        <v>A_SP_BCN_10_221011</v>
      </c>
      <c r="P529" s="27">
        <v>44845</v>
      </c>
      <c r="Q529" s="29">
        <v>0.54166666666666663</v>
      </c>
      <c r="R529" s="33"/>
      <c r="S529" s="27">
        <v>44852</v>
      </c>
      <c r="T529" s="29">
        <v>0.53472222222222221</v>
      </c>
      <c r="V529" s="13" t="s">
        <v>86</v>
      </c>
      <c r="X529" s="13">
        <f t="shared" si="52"/>
        <v>7</v>
      </c>
      <c r="Z529" s="13" t="s">
        <v>164</v>
      </c>
      <c r="AA529" s="13">
        <f t="shared" si="55"/>
        <v>16</v>
      </c>
      <c r="AB529" s="13" t="str">
        <f t="shared" si="53"/>
        <v>Adult</v>
      </c>
      <c r="AC529" s="13">
        <v>16</v>
      </c>
      <c r="AD529" s="13">
        <v>0</v>
      </c>
      <c r="AE529" s="13" t="str">
        <f t="shared" si="54"/>
        <v>Morphological</v>
      </c>
      <c r="AF529" s="2">
        <v>4</v>
      </c>
    </row>
    <row r="530" spans="1:32" x14ac:dyDescent="0.25">
      <c r="A530" s="13">
        <v>526</v>
      </c>
      <c r="B530" s="23" t="s">
        <v>56</v>
      </c>
      <c r="C530" s="23" t="s">
        <v>57</v>
      </c>
      <c r="D530" s="23" t="s">
        <v>58</v>
      </c>
      <c r="E530" s="23" t="s">
        <v>58</v>
      </c>
      <c r="F530" s="35" cm="1">
        <f t="array" ref="F530">_xlfn.IFS($G530=$G$5,F$5,$G530=$G$7,F$7,$G530=$G$10,F$10,$G530=$G$13,F$13,$G530=$G$14,F$14,$G530=$G$16,F$16,$G530=$G$17,F$17,$G530=$G$19,F$19,$G530=$G$20,F$20,$G530=$G$22,F$22,$G530=$G$23,F$23,$G530=$G$26,F$26,$G530=$G$29,F$29,$G530=$G$31,F$31,$G530=$G$34,F$34,$G530=$G$37,F$37,$G530=$G$107,F$107,$G530=$G$110,F$110,$G530=$G$140,F$140,$G530=$G$142,F$142,$G530=$G$408,F$408)</f>
        <v>8040</v>
      </c>
      <c r="G530" s="13" t="s">
        <v>68</v>
      </c>
      <c r="H530" s="51" cm="1">
        <f t="array" ref="H530">_xlfn.IFS($G530=$G$5,H$5,$G530=$G$7,H$7,$G530=$G$10,H$10,$G530=$G$13,H$13,$G530=$G$14,H$14,$G530=$G$16,H$16,$G530=$G$17,H$17,$G530=$G$19,H$19,$G530=$G$20,H$20,$G530=$G$22,H$22,$G530=$G$23,H$23,$G530=$G$26,H$26,$G530=$G$29,H$29,$G530=$G$31,H$31,$G530=$G$34,H$34,$G530=$G$37,H$37,$G530=$G$107,H$107,$G530=$G$110,H$110,$G530=$G$140,H$140,$G530=$G$142,H$142,$G530=$G$408,H$408)</f>
        <v>41.343685000000001</v>
      </c>
      <c r="I530" s="51" cm="1">
        <f t="array" ref="I530">_xlfn.IFS($G530=$G$5,I$5,$G530=$G$7,I$7,$G530=$G$10,I$10,$G530=$G$13,I$13,$G530=$G$14,I$14,$G530=$G$16,I$16,$G530=$G$17,I$17,$G530=$G$19,I$19,$G530=$G$20,I$20,$G530=$G$22,I$22,$G530=$G$23,I$23,$G530=$G$26,I$26,$G530=$G$29,I$29,$G530=$G$31,I$31,$G530=$G$34,I$34,$G530=$G$37,I$37,$G530=$G$107,I$107,$G530=$G$110,I$110,$G530=$G$140,I$140,$G530=$G$142,I$142,$G530=$G$408,I$408)</f>
        <v>2.1441490000000001</v>
      </c>
      <c r="J530" s="51" cm="1">
        <f t="array" ref="J530">_xlfn.IFS($G530=$G$5,J$5,$G530=$G$7,J$7,$G530=$G$10,J$10,$G530=$G$13,J$13,$G530=$G$14,J$14,$G530=$G$16,J$16,$G530=$G$17,J$17,$G530=$G$19,J$19,$G530=$G$20,J$20,$G530=$G$22,J$22,$G530=$G$23,J$23,$G530=$G$26,J$26,$G530=$G$29,J$29,$G530=$G$31,J$31,$G530=$G$34,J$34,$G530=$G$37,J$37,$G530=$G$107,J$107,$G530=$G$110,J$110,$G530=$G$140,J$140,$G530=$G$142,J$142,$G530=$G$408,J$408)</f>
        <v>4</v>
      </c>
      <c r="K530" s="13" t="str" cm="1">
        <f t="array" ref="K530">_xlfn.IFS($G530=$G$5,K$5,$G530=$G$7,K$7,$G530=$G$10,K$10,$G530=$G$13,K$13,$G530=$G$14,K$14,$G530=$G$16,K$16,$G530=$G$17,K$17,$G530=$G$19,K$19,$G530=$G$20,K$20,$G530=$G$22,K$22,$G530=$G$23,K$23,$G530=$G$26,K$26,$G530=$G$29,K$29,$G530=$G$31,K$31,$G530=$G$34,K$34,$G530=$G$37,K$37,$G530=$G$107,K$107,$G530=$G$110,K$110,$G530=$G$140,K$140,$G530=$G$142,K$142,$G530=$G$408,K$408)</f>
        <v>BG sentinel + BG lure7</v>
      </c>
      <c r="O530" s="13" t="str">
        <f t="shared" si="48"/>
        <v>A_SP_BCN_10_221011</v>
      </c>
      <c r="P530" s="27">
        <v>44845</v>
      </c>
      <c r="Q530" s="29">
        <v>0.54166666666666663</v>
      </c>
      <c r="R530" s="33"/>
      <c r="S530" s="27">
        <v>44852</v>
      </c>
      <c r="T530" s="29">
        <v>0.53472222222222221</v>
      </c>
      <c r="V530" s="13" t="s">
        <v>86</v>
      </c>
      <c r="X530" s="13">
        <f t="shared" si="52"/>
        <v>7</v>
      </c>
      <c r="Z530" s="32" t="s">
        <v>163</v>
      </c>
      <c r="AA530" s="13">
        <f t="shared" si="55"/>
        <v>1</v>
      </c>
      <c r="AB530" s="13" t="str">
        <f t="shared" si="53"/>
        <v>Adult</v>
      </c>
      <c r="AC530" s="47">
        <v>0</v>
      </c>
      <c r="AD530" s="47">
        <v>1</v>
      </c>
      <c r="AE530" s="13" t="str">
        <f t="shared" si="54"/>
        <v>Morphological</v>
      </c>
      <c r="AF530" s="2">
        <v>4</v>
      </c>
    </row>
    <row r="531" spans="1:32" x14ac:dyDescent="0.25">
      <c r="A531" s="13">
        <v>527</v>
      </c>
      <c r="B531" s="23" t="s">
        <v>56</v>
      </c>
      <c r="C531" s="23" t="s">
        <v>57</v>
      </c>
      <c r="D531" s="23" t="s">
        <v>58</v>
      </c>
      <c r="E531" s="23" t="s">
        <v>58</v>
      </c>
      <c r="F531" s="35" cm="1">
        <f t="array" ref="F531">_xlfn.IFS($G531=$G$5,F$5,$G531=$G$7,F$7,$G531=$G$10,F$10,$G531=$G$13,F$13,$G531=$G$14,F$14,$G531=$G$16,F$16,$G531=$G$17,F$17,$G531=$G$19,F$19,$G531=$G$20,F$20,$G531=$G$22,F$22,$G531=$G$23,F$23,$G531=$G$26,F$26,$G531=$G$29,F$29,$G531=$G$31,F$31,$G531=$G$34,F$34,$G531=$G$37,F$37,$G531=$G$107,F$107,$G531=$G$110,F$110,$G531=$G$140,F$140,$G531=$G$142,F$142,$G531=$G$408,F$408)</f>
        <v>8038</v>
      </c>
      <c r="G531" s="13" t="s">
        <v>69</v>
      </c>
      <c r="H531" s="51" cm="1">
        <f t="array" ref="H531">_xlfn.IFS($G531=$G$5,H$5,$G531=$G$7,H$7,$G531=$G$10,H$10,$G531=$G$13,H$13,$G531=$G$14,H$14,$G531=$G$16,H$16,$G531=$G$17,H$17,$G531=$G$19,H$19,$G531=$G$20,H$20,$G531=$G$22,H$22,$G531=$G$23,H$23,$G531=$G$26,H$26,$G531=$G$29,H$29,$G531=$G$31,H$31,$G531=$G$34,H$34,$G531=$G$37,H$37,$G531=$G$107,H$107,$G531=$G$110,H$110,$G531=$G$140,H$140,$G531=$G$142,H$142,$G531=$G$408,H$408)</f>
        <v>41.363377999999997</v>
      </c>
      <c r="I531" s="51" cm="1">
        <f t="array" ref="I531">_xlfn.IFS($G531=$G$5,I$5,$G531=$G$7,I$7,$G531=$G$10,I$10,$G531=$G$13,I$13,$G531=$G$14,I$14,$G531=$G$16,I$16,$G531=$G$17,I$17,$G531=$G$19,I$19,$G531=$G$20,I$20,$G531=$G$22,I$22,$G531=$G$23,I$23,$G531=$G$26,I$26,$G531=$G$29,I$29,$G531=$G$31,I$31,$G531=$G$34,I$34,$G531=$G$37,I$37,$G531=$G$107,I$107,$G531=$G$110,I$110,$G531=$G$140,I$140,$G531=$G$142,I$142,$G531=$G$408,I$408)</f>
        <v>2.164879</v>
      </c>
      <c r="J531" s="51" cm="1">
        <f t="array" ref="J531">_xlfn.IFS($G531=$G$5,J$5,$G531=$G$7,J$7,$G531=$G$10,J$10,$G531=$G$13,J$13,$G531=$G$14,J$14,$G531=$G$16,J$16,$G531=$G$17,J$17,$G531=$G$19,J$19,$G531=$G$20,J$20,$G531=$G$22,J$22,$G531=$G$23,J$23,$G531=$G$26,J$26,$G531=$G$29,J$29,$G531=$G$31,J$31,$G531=$G$34,J$34,$G531=$G$37,J$37,$G531=$G$107,J$107,$G531=$G$110,J$110,$G531=$G$140,J$140,$G531=$G$142,J$142,$G531=$G$408,J$408)</f>
        <v>185</v>
      </c>
      <c r="K531" s="13" t="str" cm="1">
        <f t="array" ref="K531">_xlfn.IFS($G531=$G$5,K$5,$G531=$G$7,K$7,$G531=$G$10,K$10,$G531=$G$13,K$13,$G531=$G$14,K$14,$G531=$G$16,K$16,$G531=$G$17,K$17,$G531=$G$19,K$19,$G531=$G$20,K$20,$G531=$G$22,K$22,$G531=$G$23,K$23,$G531=$G$26,K$26,$G531=$G$29,K$29,$G531=$G$31,K$31,$G531=$G$34,K$34,$G531=$G$37,K$37,$G531=$G$107,K$107,$G531=$G$110,K$110,$G531=$G$140,K$140,$G531=$G$142,K$142,$G531=$G$408,K$408)</f>
        <v>BG sentinel + BG lure7</v>
      </c>
      <c r="O531" s="13" t="str">
        <f t="shared" si="48"/>
        <v>A_SP_BCN_12_221011</v>
      </c>
      <c r="P531" s="27">
        <v>44845</v>
      </c>
      <c r="Q531" s="29">
        <v>0.57986111111111105</v>
      </c>
      <c r="R531" s="33"/>
      <c r="S531" s="27">
        <v>44852</v>
      </c>
      <c r="T531" s="29">
        <v>0.57638888888888895</v>
      </c>
      <c r="V531" s="13" t="s">
        <v>86</v>
      </c>
      <c r="X531" s="13">
        <f t="shared" si="52"/>
        <v>7</v>
      </c>
      <c r="Z531" s="13" t="s">
        <v>60</v>
      </c>
      <c r="AA531" s="13">
        <f t="shared" si="55"/>
        <v>6</v>
      </c>
      <c r="AB531" s="13" t="str">
        <f t="shared" si="53"/>
        <v>Adult</v>
      </c>
      <c r="AC531" s="13">
        <v>5</v>
      </c>
      <c r="AD531" s="13">
        <v>1</v>
      </c>
      <c r="AE531" s="13" t="str">
        <f t="shared" si="54"/>
        <v>Morphological</v>
      </c>
      <c r="AF531" s="2">
        <v>4</v>
      </c>
    </row>
    <row r="532" spans="1:32" x14ac:dyDescent="0.25">
      <c r="A532" s="13">
        <v>528</v>
      </c>
      <c r="B532" s="23" t="s">
        <v>56</v>
      </c>
      <c r="C532" s="23" t="s">
        <v>57</v>
      </c>
      <c r="D532" s="23" t="s">
        <v>58</v>
      </c>
      <c r="E532" s="23" t="s">
        <v>58</v>
      </c>
      <c r="F532" s="35" cm="1">
        <f t="array" ref="F532">_xlfn.IFS($G532=$G$5,F$5,$G532=$G$7,F$7,$G532=$G$10,F$10,$G532=$G$13,F$13,$G532=$G$14,F$14,$G532=$G$16,F$16,$G532=$G$17,F$17,$G532=$G$19,F$19,$G532=$G$20,F$20,$G532=$G$22,F$22,$G532=$G$23,F$23,$G532=$G$26,F$26,$G532=$G$29,F$29,$G532=$G$31,F$31,$G532=$G$34,F$34,$G532=$G$37,F$37,$G532=$G$107,F$107,$G532=$G$110,F$110,$G532=$G$140,F$140,$G532=$G$142,F$142,$G532=$G$408,F$408)</f>
        <v>8038</v>
      </c>
      <c r="G532" s="13" t="s">
        <v>69</v>
      </c>
      <c r="H532" s="51" cm="1">
        <f t="array" ref="H532">_xlfn.IFS($G532=$G$5,H$5,$G532=$G$7,H$7,$G532=$G$10,H$10,$G532=$G$13,H$13,$G532=$G$14,H$14,$G532=$G$16,H$16,$G532=$G$17,H$17,$G532=$G$19,H$19,$G532=$G$20,H$20,$G532=$G$22,H$22,$G532=$G$23,H$23,$G532=$G$26,H$26,$G532=$G$29,H$29,$G532=$G$31,H$31,$G532=$G$34,H$34,$G532=$G$37,H$37,$G532=$G$107,H$107,$G532=$G$110,H$110,$G532=$G$140,H$140,$G532=$G$142,H$142,$G532=$G$408,H$408)</f>
        <v>41.363377999999997</v>
      </c>
      <c r="I532" s="51" cm="1">
        <f t="array" ref="I532">_xlfn.IFS($G532=$G$5,I$5,$G532=$G$7,I$7,$G532=$G$10,I$10,$G532=$G$13,I$13,$G532=$G$14,I$14,$G532=$G$16,I$16,$G532=$G$17,I$17,$G532=$G$19,I$19,$G532=$G$20,I$20,$G532=$G$22,I$22,$G532=$G$23,I$23,$G532=$G$26,I$26,$G532=$G$29,I$29,$G532=$G$31,I$31,$G532=$G$34,I$34,$G532=$G$37,I$37,$G532=$G$107,I$107,$G532=$G$110,I$110,$G532=$G$140,I$140,$G532=$G$142,I$142,$G532=$G$408,I$408)</f>
        <v>2.164879</v>
      </c>
      <c r="J532" s="51" cm="1">
        <f t="array" ref="J532">_xlfn.IFS($G532=$G$5,J$5,$G532=$G$7,J$7,$G532=$G$10,J$10,$G532=$G$13,J$13,$G532=$G$14,J$14,$G532=$G$16,J$16,$G532=$G$17,J$17,$G532=$G$19,J$19,$G532=$G$20,J$20,$G532=$G$22,J$22,$G532=$G$23,J$23,$G532=$G$26,J$26,$G532=$G$29,J$29,$G532=$G$31,J$31,$G532=$G$34,J$34,$G532=$G$37,J$37,$G532=$G$107,J$107,$G532=$G$110,J$110,$G532=$G$140,J$140,$G532=$G$142,J$142,$G532=$G$408,J$408)</f>
        <v>185</v>
      </c>
      <c r="K532" s="13" t="str" cm="1">
        <f t="array" ref="K532">_xlfn.IFS($G532=$G$5,K$5,$G532=$G$7,K$7,$G532=$G$10,K$10,$G532=$G$13,K$13,$G532=$G$14,K$14,$G532=$G$16,K$16,$G532=$G$17,K$17,$G532=$G$19,K$19,$G532=$G$20,K$20,$G532=$G$22,K$22,$G532=$G$23,K$23,$G532=$G$26,K$26,$G532=$G$29,K$29,$G532=$G$31,K$31,$G532=$G$34,K$34,$G532=$G$37,K$37,$G532=$G$107,K$107,$G532=$G$110,K$110,$G532=$G$140,K$140,$G532=$G$142,K$142,$G532=$G$408,K$408)</f>
        <v>BG sentinel + BG lure7</v>
      </c>
      <c r="O532" s="13" t="str">
        <f t="shared" ref="O532:O595" si="56">G532&amp;"_"&amp;TEXT(P532, "AAMMDD")</f>
        <v>A_SP_BCN_12_221011</v>
      </c>
      <c r="P532" s="27">
        <v>44845</v>
      </c>
      <c r="Q532" s="29">
        <v>0.57986111111111105</v>
      </c>
      <c r="R532" s="33"/>
      <c r="S532" s="27">
        <v>44852</v>
      </c>
      <c r="T532" s="29">
        <v>0.57638888888888895</v>
      </c>
      <c r="V532" s="13" t="s">
        <v>86</v>
      </c>
      <c r="X532" s="13">
        <f t="shared" si="52"/>
        <v>7</v>
      </c>
      <c r="Z532" s="13" t="s">
        <v>164</v>
      </c>
      <c r="AA532" s="13">
        <f t="shared" si="55"/>
        <v>16</v>
      </c>
      <c r="AB532" s="13" t="str">
        <f t="shared" si="53"/>
        <v>Adult</v>
      </c>
      <c r="AC532" s="13">
        <v>9</v>
      </c>
      <c r="AD532" s="13">
        <v>7</v>
      </c>
      <c r="AE532" s="13" t="str">
        <f t="shared" si="54"/>
        <v>Morphological</v>
      </c>
      <c r="AF532" s="2">
        <v>4</v>
      </c>
    </row>
    <row r="533" spans="1:32" ht="15.75" customHeight="1" x14ac:dyDescent="0.25">
      <c r="A533" s="13">
        <v>529</v>
      </c>
      <c r="B533" s="23" t="s">
        <v>56</v>
      </c>
      <c r="C533" s="23" t="s">
        <v>57</v>
      </c>
      <c r="D533" s="23" t="s">
        <v>58</v>
      </c>
      <c r="E533" s="23" t="s">
        <v>58</v>
      </c>
      <c r="F533" s="35" cm="1">
        <f t="array" ref="F533">_xlfn.IFS($G533=$G$5,F$5,$G533=$G$7,F$7,$G533=$G$10,F$10,$G533=$G$13,F$13,$G533=$G$14,F$14,$G533=$G$16,F$16,$G533=$G$17,F$17,$G533=$G$19,F$19,$G533=$G$20,F$20,$G533=$G$22,F$22,$G533=$G$23,F$23,$G533=$G$26,F$26,$G533=$G$29,F$29,$G533=$G$31,F$31,$G533=$G$34,F$34,$G533=$G$37,F$37,$G533=$G$107,F$107,$G533=$G$110,F$110,$G533=$G$140,F$140,$G533=$G$142,F$142,$G533=$G$408,F$408)</f>
        <v>8038</v>
      </c>
      <c r="G533" s="13" t="s">
        <v>69</v>
      </c>
      <c r="H533" s="51" cm="1">
        <f t="array" ref="H533">_xlfn.IFS($G533=$G$5,H$5,$G533=$G$7,H$7,$G533=$G$10,H$10,$G533=$G$13,H$13,$G533=$G$14,H$14,$G533=$G$16,H$16,$G533=$G$17,H$17,$G533=$G$19,H$19,$G533=$G$20,H$20,$G533=$G$22,H$22,$G533=$G$23,H$23,$G533=$G$26,H$26,$G533=$G$29,H$29,$G533=$G$31,H$31,$G533=$G$34,H$34,$G533=$G$37,H$37,$G533=$G$107,H$107,$G533=$G$110,H$110,$G533=$G$140,H$140,$G533=$G$142,H$142,$G533=$G$408,H$408)</f>
        <v>41.363377999999997</v>
      </c>
      <c r="I533" s="51" cm="1">
        <f t="array" ref="I533">_xlfn.IFS($G533=$G$5,I$5,$G533=$G$7,I$7,$G533=$G$10,I$10,$G533=$G$13,I$13,$G533=$G$14,I$14,$G533=$G$16,I$16,$G533=$G$17,I$17,$G533=$G$19,I$19,$G533=$G$20,I$20,$G533=$G$22,I$22,$G533=$G$23,I$23,$G533=$G$26,I$26,$G533=$G$29,I$29,$G533=$G$31,I$31,$G533=$G$34,I$34,$G533=$G$37,I$37,$G533=$G$107,I$107,$G533=$G$110,I$110,$G533=$G$140,I$140,$G533=$G$142,I$142,$G533=$G$408,I$408)</f>
        <v>2.164879</v>
      </c>
      <c r="J533" s="51" cm="1">
        <f t="array" ref="J533">_xlfn.IFS($G533=$G$5,J$5,$G533=$G$7,J$7,$G533=$G$10,J$10,$G533=$G$13,J$13,$G533=$G$14,J$14,$G533=$G$16,J$16,$G533=$G$17,J$17,$G533=$G$19,J$19,$G533=$G$20,J$20,$G533=$G$22,J$22,$G533=$G$23,J$23,$G533=$G$26,J$26,$G533=$G$29,J$29,$G533=$G$31,J$31,$G533=$G$34,J$34,$G533=$G$37,J$37,$G533=$G$107,J$107,$G533=$G$110,J$110,$G533=$G$140,J$140,$G533=$G$142,J$142,$G533=$G$408,J$408)</f>
        <v>185</v>
      </c>
      <c r="K533" s="13" t="str" cm="1">
        <f t="array" ref="K533">_xlfn.IFS($G533=$G$5,K$5,$G533=$G$7,K$7,$G533=$G$10,K$10,$G533=$G$13,K$13,$G533=$G$14,K$14,$G533=$G$16,K$16,$G533=$G$17,K$17,$G533=$G$19,K$19,$G533=$G$20,K$20,$G533=$G$22,K$22,$G533=$G$23,K$23,$G533=$G$26,K$26,$G533=$G$29,K$29,$G533=$G$31,K$31,$G533=$G$34,K$34,$G533=$G$37,K$37,$G533=$G$107,K$107,$G533=$G$110,K$110,$G533=$G$140,K$140,$G533=$G$142,K$142,$G533=$G$408,K$408)</f>
        <v>BG sentinel + BG lure7</v>
      </c>
      <c r="O533" s="13" t="str">
        <f t="shared" si="56"/>
        <v>A_SP_BCN_12_221011</v>
      </c>
      <c r="P533" s="27">
        <v>44845</v>
      </c>
      <c r="Q533" s="29">
        <v>0.57986111111111105</v>
      </c>
      <c r="R533" s="33"/>
      <c r="S533" s="27">
        <v>44852</v>
      </c>
      <c r="T533" s="29">
        <v>0.57638888888888895</v>
      </c>
      <c r="V533" s="13" t="s">
        <v>86</v>
      </c>
      <c r="X533" s="13">
        <f t="shared" si="52"/>
        <v>7</v>
      </c>
      <c r="Z533" s="32" t="s">
        <v>163</v>
      </c>
      <c r="AA533" s="13">
        <f t="shared" si="55"/>
        <v>1</v>
      </c>
      <c r="AB533" s="13" t="str">
        <f t="shared" si="53"/>
        <v>Adult</v>
      </c>
      <c r="AC533" s="13">
        <v>0</v>
      </c>
      <c r="AD533" s="13">
        <v>1</v>
      </c>
      <c r="AE533" s="13" t="str">
        <f t="shared" si="54"/>
        <v>Morphological</v>
      </c>
      <c r="AF533" s="2">
        <v>4</v>
      </c>
    </row>
    <row r="534" spans="1:32" x14ac:dyDescent="0.25">
      <c r="A534" s="13">
        <v>530</v>
      </c>
      <c r="B534" s="23" t="s">
        <v>56</v>
      </c>
      <c r="C534" s="23" t="s">
        <v>57</v>
      </c>
      <c r="D534" s="23" t="s">
        <v>58</v>
      </c>
      <c r="E534" s="23" t="s">
        <v>58</v>
      </c>
      <c r="F534" s="35" cm="1">
        <f t="array" ref="F534">_xlfn.IFS($G534=$G$5,F$5,$G534=$G$7,F$7,$G534=$G$10,F$10,$G534=$G$13,F$13,$G534=$G$14,F$14,$G534=$G$16,F$16,$G534=$G$17,F$17,$G534=$G$19,F$19,$G534=$G$20,F$20,$G534=$G$22,F$22,$G534=$G$23,F$23,$G534=$G$26,F$26,$G534=$G$29,F$29,$G534=$G$31,F$31,$G534=$G$34,F$34,$G534=$G$37,F$37,$G534=$G$107,F$107,$G534=$G$110,F$110,$G534=$G$140,F$140,$G534=$G$142,F$142,$G534=$G$408,F$408)</f>
        <v>8035</v>
      </c>
      <c r="G534" s="13" t="s">
        <v>70</v>
      </c>
      <c r="H534" s="51" cm="1">
        <f t="array" ref="H534">_xlfn.IFS($G534=$G$5,H$5,$G534=$G$7,H$7,$G534=$G$10,H$10,$G534=$G$13,H$13,$G534=$G$14,H$14,$G534=$G$16,H$16,$G534=$G$17,H$17,$G534=$G$19,H$19,$G534=$G$20,H$20,$G534=$G$22,H$22,$G534=$G$23,H$23,$G534=$G$26,H$26,$G534=$G$29,H$29,$G534=$G$31,H$31,$G534=$G$34,H$34,$G534=$G$37,H$37,$G534=$G$107,H$107,$G534=$G$110,H$110,$G534=$G$140,H$140,$G534=$G$142,H$142,$G534=$G$408,H$408)</f>
        <v>41.434472</v>
      </c>
      <c r="I534" s="51" cm="1">
        <f t="array" ref="I534">_xlfn.IFS($G534=$G$5,I$5,$G534=$G$7,I$7,$G534=$G$10,I$10,$G534=$G$13,I$13,$G534=$G$14,I$14,$G534=$G$16,I$16,$G534=$G$17,I$17,$G534=$G$19,I$19,$G534=$G$20,I$20,$G534=$G$22,I$22,$G534=$G$23,I$23,$G534=$G$26,I$26,$G534=$G$29,I$29,$G534=$G$31,I$31,$G534=$G$34,I$34,$G534=$G$37,I$37,$G534=$G$107,I$107,$G534=$G$110,I$110,$G534=$G$140,I$140,$G534=$G$142,I$142,$G534=$G$408,I$408)</f>
        <v>2.1315789999999999</v>
      </c>
      <c r="J534" s="51" cm="1">
        <f t="array" ref="J534">_xlfn.IFS($G534=$G$5,J$5,$G534=$G$7,J$7,$G534=$G$10,J$10,$G534=$G$13,J$13,$G534=$G$14,J$14,$G534=$G$16,J$16,$G534=$G$17,J$17,$G534=$G$19,J$19,$G534=$G$20,J$20,$G534=$G$22,J$22,$G534=$G$23,J$23,$G534=$G$26,J$26,$G534=$G$29,J$29,$G534=$G$31,J$31,$G534=$G$34,J$34,$G534=$G$37,J$37,$G534=$G$107,J$107,$G534=$G$110,J$110,$G534=$G$140,J$140,$G534=$G$142,J$142,$G534=$G$408,J$408)</f>
        <v>365</v>
      </c>
      <c r="K534" s="13" t="str" cm="1">
        <f t="array" ref="K534">_xlfn.IFS($G534=$G$5,K$5,$G534=$G$7,K$7,$G534=$G$10,K$10,$G534=$G$13,K$13,$G534=$G$14,K$14,$G534=$G$16,K$16,$G534=$G$17,K$17,$G534=$G$19,K$19,$G534=$G$20,K$20,$G534=$G$22,K$22,$G534=$G$23,K$23,$G534=$G$26,K$26,$G534=$G$29,K$29,$G534=$G$31,K$31,$G534=$G$34,K$34,$G534=$G$37,K$37,$G534=$G$107,K$107,$G534=$G$110,K$110,$G534=$G$140,K$140,$G534=$G$142,K$142,$G534=$G$408,K$408)</f>
        <v>BG sentinel + BG lure7</v>
      </c>
      <c r="O534" s="13" t="str">
        <f t="shared" si="56"/>
        <v>A_SP_BCN_13_221011</v>
      </c>
      <c r="P534" s="27">
        <v>44845</v>
      </c>
      <c r="Q534" s="29">
        <v>0.71875</v>
      </c>
      <c r="R534" s="33"/>
      <c r="S534" s="27">
        <v>44852</v>
      </c>
      <c r="T534" s="29">
        <v>0.71527777777777779</v>
      </c>
      <c r="V534" s="13" t="s">
        <v>86</v>
      </c>
      <c r="X534" s="13">
        <f t="shared" si="52"/>
        <v>7</v>
      </c>
      <c r="Z534" s="13" t="s">
        <v>60</v>
      </c>
      <c r="AA534" s="13">
        <f t="shared" si="55"/>
        <v>1</v>
      </c>
      <c r="AB534" s="13" t="str">
        <f t="shared" si="53"/>
        <v>Adult</v>
      </c>
      <c r="AC534" s="13">
        <v>1</v>
      </c>
      <c r="AD534" s="13">
        <v>0</v>
      </c>
      <c r="AE534" s="13" t="str">
        <f t="shared" si="54"/>
        <v>Morphological</v>
      </c>
      <c r="AF534" s="2">
        <v>4</v>
      </c>
    </row>
    <row r="535" spans="1:32" x14ac:dyDescent="0.25">
      <c r="A535" s="13">
        <v>531</v>
      </c>
      <c r="B535" s="23" t="s">
        <v>56</v>
      </c>
      <c r="C535" s="23" t="s">
        <v>57</v>
      </c>
      <c r="D535" s="23" t="s">
        <v>58</v>
      </c>
      <c r="E535" s="23" t="s">
        <v>58</v>
      </c>
      <c r="F535" s="35" cm="1">
        <f t="array" ref="F535">_xlfn.IFS($G535=$G$5,F$5,$G535=$G$7,F$7,$G535=$G$10,F$10,$G535=$G$13,F$13,$G535=$G$14,F$14,$G535=$G$16,F$16,$G535=$G$17,F$17,$G535=$G$19,F$19,$G535=$G$20,F$20,$G535=$G$22,F$22,$G535=$G$23,F$23,$G535=$G$26,F$26,$G535=$G$29,F$29,$G535=$G$31,F$31,$G535=$G$34,F$34,$G535=$G$37,F$37,$G535=$G$107,F$107,$G535=$G$110,F$110,$G535=$G$140,F$140,$G535=$G$142,F$142,$G535=$G$408,F$408)</f>
        <v>8035</v>
      </c>
      <c r="G535" s="13" t="s">
        <v>70</v>
      </c>
      <c r="H535" s="51" cm="1">
        <f t="array" ref="H535">_xlfn.IFS($G535=$G$5,H$5,$G535=$G$7,H$7,$G535=$G$10,H$10,$G535=$G$13,H$13,$G535=$G$14,H$14,$G535=$G$16,H$16,$G535=$G$17,H$17,$G535=$G$19,H$19,$G535=$G$20,H$20,$G535=$G$22,H$22,$G535=$G$23,H$23,$G535=$G$26,H$26,$G535=$G$29,H$29,$G535=$G$31,H$31,$G535=$G$34,H$34,$G535=$G$37,H$37,$G535=$G$107,H$107,$G535=$G$110,H$110,$G535=$G$140,H$140,$G535=$G$142,H$142,$G535=$G$408,H$408)</f>
        <v>41.434472</v>
      </c>
      <c r="I535" s="51" cm="1">
        <f t="array" ref="I535">_xlfn.IFS($G535=$G$5,I$5,$G535=$G$7,I$7,$G535=$G$10,I$10,$G535=$G$13,I$13,$G535=$G$14,I$14,$G535=$G$16,I$16,$G535=$G$17,I$17,$G535=$G$19,I$19,$G535=$G$20,I$20,$G535=$G$22,I$22,$G535=$G$23,I$23,$G535=$G$26,I$26,$G535=$G$29,I$29,$G535=$G$31,I$31,$G535=$G$34,I$34,$G535=$G$37,I$37,$G535=$G$107,I$107,$G535=$G$110,I$110,$G535=$G$140,I$140,$G535=$G$142,I$142,$G535=$G$408,I$408)</f>
        <v>2.1315789999999999</v>
      </c>
      <c r="J535" s="51" cm="1">
        <f t="array" ref="J535">_xlfn.IFS($G535=$G$5,J$5,$G535=$G$7,J$7,$G535=$G$10,J$10,$G535=$G$13,J$13,$G535=$G$14,J$14,$G535=$G$16,J$16,$G535=$G$17,J$17,$G535=$G$19,J$19,$G535=$G$20,J$20,$G535=$G$22,J$22,$G535=$G$23,J$23,$G535=$G$26,J$26,$G535=$G$29,J$29,$G535=$G$31,J$31,$G535=$G$34,J$34,$G535=$G$37,J$37,$G535=$G$107,J$107,$G535=$G$110,J$110,$G535=$G$140,J$140,$G535=$G$142,J$142,$G535=$G$408,J$408)</f>
        <v>365</v>
      </c>
      <c r="K535" s="13" t="str" cm="1">
        <f t="array" ref="K535">_xlfn.IFS($G535=$G$5,K$5,$G535=$G$7,K$7,$G535=$G$10,K$10,$G535=$G$13,K$13,$G535=$G$14,K$14,$G535=$G$16,K$16,$G535=$G$17,K$17,$G535=$G$19,K$19,$G535=$G$20,K$20,$G535=$G$22,K$22,$G535=$G$23,K$23,$G535=$G$26,K$26,$G535=$G$29,K$29,$G535=$G$31,K$31,$G535=$G$34,K$34,$G535=$G$37,K$37,$G535=$G$107,K$107,$G535=$G$110,K$110,$G535=$G$140,K$140,$G535=$G$142,K$142,$G535=$G$408,K$408)</f>
        <v>BG sentinel + BG lure7</v>
      </c>
      <c r="O535" s="13" t="str">
        <f t="shared" si="56"/>
        <v>A_SP_BCN_13_221011</v>
      </c>
      <c r="P535" s="27">
        <v>44845</v>
      </c>
      <c r="Q535" s="29">
        <v>0.71875</v>
      </c>
      <c r="R535" s="33"/>
      <c r="S535" s="27">
        <v>44852</v>
      </c>
      <c r="T535" s="29">
        <v>0.71527777777777779</v>
      </c>
      <c r="V535" s="13" t="s">
        <v>86</v>
      </c>
      <c r="X535" s="13">
        <f t="shared" si="52"/>
        <v>7</v>
      </c>
      <c r="Z535" s="13" t="s">
        <v>164</v>
      </c>
      <c r="AA535" s="13">
        <f t="shared" si="55"/>
        <v>1</v>
      </c>
      <c r="AB535" s="13" t="str">
        <f t="shared" si="53"/>
        <v>Adult</v>
      </c>
      <c r="AC535" s="13">
        <v>1</v>
      </c>
      <c r="AD535" s="13">
        <v>0</v>
      </c>
      <c r="AE535" s="13" t="str">
        <f t="shared" si="54"/>
        <v>Morphological</v>
      </c>
      <c r="AF535" s="2">
        <v>4</v>
      </c>
    </row>
    <row r="536" spans="1:32" x14ac:dyDescent="0.25">
      <c r="A536" s="13">
        <v>532</v>
      </c>
      <c r="B536" s="23" t="s">
        <v>56</v>
      </c>
      <c r="C536" s="23" t="s">
        <v>57</v>
      </c>
      <c r="D536" s="23" t="s">
        <v>58</v>
      </c>
      <c r="E536" s="23" t="s">
        <v>58</v>
      </c>
      <c r="F536" s="35" cm="1">
        <f t="array" ref="F536">_xlfn.IFS($G536=$G$5,F$5,$G536=$G$7,F$7,$G536=$G$10,F$10,$G536=$G$13,F$13,$G536=$G$14,F$14,$G536=$G$16,F$16,$G536=$G$17,F$17,$G536=$G$19,F$19,$G536=$G$20,F$20,$G536=$G$22,F$22,$G536=$G$23,F$23,$G536=$G$26,F$26,$G536=$G$29,F$29,$G536=$G$31,F$31,$G536=$G$34,F$34,$G536=$G$37,F$37,$G536=$G$107,F$107,$G536=$G$110,F$110,$G536=$G$140,F$140,$G536=$G$142,F$142,$G536=$G$408,F$408)</f>
        <v>8017</v>
      </c>
      <c r="G536" s="13" t="s">
        <v>71</v>
      </c>
      <c r="H536" s="51" cm="1">
        <f t="array" ref="H536">_xlfn.IFS($G536=$G$5,H$5,$G536=$G$7,H$7,$G536=$G$10,H$10,$G536=$G$13,H$13,$G536=$G$14,H$14,$G536=$G$16,H$16,$G536=$G$17,H$17,$G536=$G$19,H$19,$G536=$G$20,H$20,$G536=$G$22,H$22,$G536=$G$23,H$23,$G536=$G$26,H$26,$G536=$G$29,H$29,$G536=$G$31,H$31,$G536=$G$34,H$34,$G536=$G$37,H$37,$G536=$G$107,H$107,$G536=$G$110,H$110,$G536=$G$140,H$140,$G536=$G$142,H$142,$G536=$G$408,H$408)</f>
        <v>41.428533999999999</v>
      </c>
      <c r="I536" s="51" cm="1">
        <f t="array" ref="I536">_xlfn.IFS($G536=$G$5,I$5,$G536=$G$7,I$7,$G536=$G$10,I$10,$G536=$G$13,I$13,$G536=$G$14,I$14,$G536=$G$16,I$16,$G536=$G$17,I$17,$G536=$G$19,I$19,$G536=$G$20,I$20,$G536=$G$22,I$22,$G536=$G$23,I$23,$G536=$G$26,I$26,$G536=$G$29,I$29,$G536=$G$31,I$31,$G536=$G$34,I$34,$G536=$G$37,I$37,$G536=$G$107,I$107,$G536=$G$110,I$110,$G536=$G$140,I$140,$G536=$G$142,I$142,$G536=$G$408,I$408)</f>
        <v>2.090954</v>
      </c>
      <c r="J536" s="51" cm="1">
        <f t="array" ref="J536">_xlfn.IFS($G536=$G$5,J$5,$G536=$G$7,J$7,$G536=$G$10,J$10,$G536=$G$13,J$13,$G536=$G$14,J$14,$G536=$G$16,J$16,$G536=$G$17,J$17,$G536=$G$19,J$19,$G536=$G$20,J$20,$G536=$G$22,J$22,$G536=$G$23,J$23,$G536=$G$26,J$26,$G536=$G$29,J$29,$G536=$G$31,J$31,$G536=$G$34,J$34,$G536=$G$37,J$37,$G536=$G$107,J$107,$G536=$G$110,J$110,$G536=$G$140,J$140,$G536=$G$142,J$142,$G536=$G$408,J$408)</f>
        <v>215</v>
      </c>
      <c r="K536" s="13" t="str" cm="1">
        <f t="array" ref="K536">_xlfn.IFS($G536=$G$5,K$5,$G536=$G$7,K$7,$G536=$G$10,K$10,$G536=$G$13,K$13,$G536=$G$14,K$14,$G536=$G$16,K$16,$G536=$G$17,K$17,$G536=$G$19,K$19,$G536=$G$20,K$20,$G536=$G$22,K$22,$G536=$G$23,K$23,$G536=$G$26,K$26,$G536=$G$29,K$29,$G536=$G$31,K$31,$G536=$G$34,K$34,$G536=$G$37,K$37,$G536=$G$107,K$107,$G536=$G$110,K$110,$G536=$G$140,K$140,$G536=$G$142,K$142,$G536=$G$408,K$408)</f>
        <v>BG sentinel + BG lure7</v>
      </c>
      <c r="O536" s="13" t="str">
        <f t="shared" si="56"/>
        <v>A_SP_BCN_14_221011</v>
      </c>
      <c r="P536" s="27">
        <v>44845</v>
      </c>
      <c r="Q536" s="29">
        <v>0.75694444444444453</v>
      </c>
      <c r="R536" s="33"/>
      <c r="S536" s="27">
        <v>44852</v>
      </c>
      <c r="T536" s="29">
        <v>0.75</v>
      </c>
      <c r="V536" s="13" t="s">
        <v>86</v>
      </c>
      <c r="W536" s="15" t="s">
        <v>141</v>
      </c>
      <c r="X536" s="13">
        <f t="shared" si="52"/>
        <v>7</v>
      </c>
      <c r="AA536" s="13">
        <v>0</v>
      </c>
      <c r="AB536" s="13" t="str">
        <f t="shared" si="53"/>
        <v/>
      </c>
      <c r="AE536" s="13" t="str">
        <f t="shared" si="54"/>
        <v/>
      </c>
      <c r="AF536" s="2">
        <v>2</v>
      </c>
    </row>
    <row r="537" spans="1:32" x14ac:dyDescent="0.25">
      <c r="A537" s="13">
        <v>533</v>
      </c>
      <c r="B537" s="23" t="s">
        <v>56</v>
      </c>
      <c r="C537" s="23" t="s">
        <v>57</v>
      </c>
      <c r="D537" s="23" t="s">
        <v>58</v>
      </c>
      <c r="E537" s="23" t="s">
        <v>58</v>
      </c>
      <c r="F537" s="35" cm="1">
        <f t="array" ref="F537">_xlfn.IFS($G537=$G$5,F$5,$G537=$G$7,F$7,$G537=$G$10,F$10,$G537=$G$13,F$13,$G537=$G$14,F$14,$G537=$G$16,F$16,$G537=$G$17,F$17,$G537=$G$19,F$19,$G537=$G$20,F$20,$G537=$G$22,F$22,$G537=$G$23,F$23,$G537=$G$26,F$26,$G537=$G$29,F$29,$G537=$G$31,F$31,$G537=$G$34,F$34,$G537=$G$37,F$37,$G537=$G$107,F$107,$G537=$G$110,F$110,$G537=$G$140,F$140,$G537=$G$142,F$142,$G537=$G$408,F$408)</f>
        <v>8017</v>
      </c>
      <c r="G537" s="13" t="s">
        <v>72</v>
      </c>
      <c r="H537" s="51" cm="1">
        <f t="array" ref="H537">_xlfn.IFS($G537=$G$5,H$5,$G537=$G$7,H$7,$G537=$G$10,H$10,$G537=$G$13,H$13,$G537=$G$14,H$14,$G537=$G$16,H$16,$G537=$G$17,H$17,$G537=$G$19,H$19,$G537=$G$20,H$20,$G537=$G$22,H$22,$G537=$G$23,H$23,$G537=$G$26,H$26,$G537=$G$29,H$29,$G537=$G$31,H$31,$G537=$G$34,H$34,$G537=$G$37,H$37,$G537=$G$107,H$107,$G537=$G$110,H$110,$G537=$G$140,H$140,$G537=$G$142,H$142,$G537=$G$408,H$408)</f>
        <v>41.419471000000001</v>
      </c>
      <c r="I537" s="51" cm="1">
        <f t="array" ref="I537">_xlfn.IFS($G537=$G$5,I$5,$G537=$G$7,I$7,$G537=$G$10,I$10,$G537=$G$13,I$13,$G537=$G$14,I$14,$G537=$G$16,I$16,$G537=$G$17,I$17,$G537=$G$19,I$19,$G537=$G$20,I$20,$G537=$G$22,I$22,$G537=$G$23,I$23,$G537=$G$26,I$26,$G537=$G$29,I$29,$G537=$G$31,I$31,$G537=$G$34,I$34,$G537=$G$37,I$37,$G537=$G$107,I$107,$G537=$G$110,I$110,$G537=$G$140,I$140,$G537=$G$142,I$142,$G537=$G$408,I$408)</f>
        <v>2.1010149999999999</v>
      </c>
      <c r="J537" s="51" cm="1">
        <f t="array" ref="J537">_xlfn.IFS($G537=$G$5,J$5,$G537=$G$7,J$7,$G537=$G$10,J$10,$G537=$G$13,J$13,$G537=$G$14,J$14,$G537=$G$16,J$16,$G537=$G$17,J$17,$G537=$G$19,J$19,$G537=$G$20,J$20,$G537=$G$22,J$22,$G537=$G$23,J$23,$G537=$G$26,J$26,$G537=$G$29,J$29,$G537=$G$31,J$31,$G537=$G$34,J$34,$G537=$G$37,J$37,$G537=$G$107,J$107,$G537=$G$110,J$110,$G537=$G$140,J$140,$G537=$G$142,J$142,$G537=$G$408,J$408)</f>
        <v>284</v>
      </c>
      <c r="K537" s="13" t="str" cm="1">
        <f t="array" ref="K537">_xlfn.IFS($G537=$G$5,K$5,$G537=$G$7,K$7,$G537=$G$10,K$10,$G537=$G$13,K$13,$G537=$G$14,K$14,$G537=$G$16,K$16,$G537=$G$17,K$17,$G537=$G$19,K$19,$G537=$G$20,K$20,$G537=$G$22,K$22,$G537=$G$23,K$23,$G537=$G$26,K$26,$G537=$G$29,K$29,$G537=$G$31,K$31,$G537=$G$34,K$34,$G537=$G$37,K$37,$G537=$G$107,K$107,$G537=$G$110,K$110,$G537=$G$140,K$140,$G537=$G$142,K$142,$G537=$G$408,K$408)</f>
        <v>BG sentinel + BG lure7</v>
      </c>
      <c r="O537" s="13" t="str">
        <f t="shared" si="56"/>
        <v>A_SP_BCN_15_221011</v>
      </c>
      <c r="P537" s="27">
        <v>44845</v>
      </c>
      <c r="Q537" s="29">
        <v>0.73263888888888884</v>
      </c>
      <c r="R537" s="33"/>
      <c r="S537" s="27">
        <v>44852</v>
      </c>
      <c r="T537" s="29">
        <v>0.72916666666666663</v>
      </c>
      <c r="V537" s="13" t="s">
        <v>86</v>
      </c>
      <c r="X537" s="13">
        <f t="shared" si="52"/>
        <v>7</v>
      </c>
      <c r="Z537" s="13" t="s">
        <v>60</v>
      </c>
      <c r="AA537" s="13">
        <f t="shared" ref="AA537:AA576" si="57">SUM(AC537:AD537)</f>
        <v>8</v>
      </c>
      <c r="AB537" s="13" t="str">
        <f t="shared" si="53"/>
        <v>Adult</v>
      </c>
      <c r="AC537" s="13">
        <v>8</v>
      </c>
      <c r="AD537" s="13">
        <v>0</v>
      </c>
      <c r="AE537" s="13" t="str">
        <f t="shared" si="54"/>
        <v>Morphological</v>
      </c>
      <c r="AF537" s="2">
        <v>4</v>
      </c>
    </row>
    <row r="538" spans="1:32" x14ac:dyDescent="0.25">
      <c r="A538" s="13">
        <v>534</v>
      </c>
      <c r="B538" s="23" t="s">
        <v>56</v>
      </c>
      <c r="C538" s="23" t="s">
        <v>57</v>
      </c>
      <c r="D538" s="23" t="s">
        <v>58</v>
      </c>
      <c r="E538" s="23" t="s">
        <v>58</v>
      </c>
      <c r="F538" s="35" cm="1">
        <f t="array" ref="F538">_xlfn.IFS($G538=$G$5,F$5,$G538=$G$7,F$7,$G538=$G$10,F$10,$G538=$G$13,F$13,$G538=$G$14,F$14,$G538=$G$16,F$16,$G538=$G$17,F$17,$G538=$G$19,F$19,$G538=$G$20,F$20,$G538=$G$22,F$22,$G538=$G$23,F$23,$G538=$G$26,F$26,$G538=$G$29,F$29,$G538=$G$31,F$31,$G538=$G$34,F$34,$G538=$G$37,F$37,$G538=$G$107,F$107,$G538=$G$110,F$110,$G538=$G$140,F$140,$G538=$G$142,F$142,$G538=$G$408,F$408)</f>
        <v>8017</v>
      </c>
      <c r="G538" s="13" t="s">
        <v>73</v>
      </c>
      <c r="H538" s="51" cm="1">
        <f t="array" ref="H538">_xlfn.IFS($G538=$G$5,H$5,$G538=$G$7,H$7,$G538=$G$10,H$10,$G538=$G$13,H$13,$G538=$G$14,H$14,$G538=$G$16,H$16,$G538=$G$17,H$17,$G538=$G$19,H$19,$G538=$G$20,H$20,$G538=$G$22,H$22,$G538=$G$23,H$23,$G538=$G$26,H$26,$G538=$G$29,H$29,$G538=$G$31,H$31,$G538=$G$34,H$34,$G538=$G$37,H$37,$G538=$G$107,H$107,$G538=$G$110,H$110,$G538=$G$140,H$140,$G538=$G$142,H$142,$G538=$G$408,H$408)</f>
        <v>41.398387</v>
      </c>
      <c r="I538" s="51" cm="1">
        <f t="array" ref="I538">_xlfn.IFS($G538=$G$5,I$5,$G538=$G$7,I$7,$G538=$G$10,I$10,$G538=$G$13,I$13,$G538=$G$14,I$14,$G538=$G$16,I$16,$G538=$G$17,I$17,$G538=$G$19,I$19,$G538=$G$20,I$20,$G538=$G$22,I$22,$G538=$G$23,I$23,$G538=$G$26,I$26,$G538=$G$29,I$29,$G538=$G$31,I$31,$G538=$G$34,I$34,$G538=$G$37,I$37,$G538=$G$107,I$107,$G538=$G$110,I$110,$G538=$G$140,I$140,$G538=$G$142,I$142,$G538=$G$408,I$408)</f>
        <v>2.1244429999999999</v>
      </c>
      <c r="J538" s="51" cm="1">
        <f t="array" ref="J538">_xlfn.IFS($G538=$G$5,J$5,$G538=$G$7,J$7,$G538=$G$10,J$10,$G538=$G$13,J$13,$G538=$G$14,J$14,$G538=$G$16,J$16,$G538=$G$17,J$17,$G538=$G$19,J$19,$G538=$G$20,J$20,$G538=$G$22,J$22,$G538=$G$23,J$23,$G538=$G$26,J$26,$G538=$G$29,J$29,$G538=$G$31,J$31,$G538=$G$34,J$34,$G538=$G$37,J$37,$G538=$G$107,J$107,$G538=$G$110,J$110,$G538=$G$140,J$140,$G538=$G$142,J$142,$G538=$G$408,J$408)</f>
        <v>106</v>
      </c>
      <c r="K538" s="13" t="str" cm="1">
        <f t="array" ref="K538">_xlfn.IFS($G538=$G$5,K$5,$G538=$G$7,K$7,$G538=$G$10,K$10,$G538=$G$13,K$13,$G538=$G$14,K$14,$G538=$G$16,K$16,$G538=$G$17,K$17,$G538=$G$19,K$19,$G538=$G$20,K$20,$G538=$G$22,K$22,$G538=$G$23,K$23,$G538=$G$26,K$26,$G538=$G$29,K$29,$G538=$G$31,K$31,$G538=$G$34,K$34,$G538=$G$37,K$37,$G538=$G$107,K$107,$G538=$G$110,K$110,$G538=$G$140,K$140,$G538=$G$142,K$142,$G538=$G$408,K$408)</f>
        <v>BG sentinel + BG lure7</v>
      </c>
      <c r="O538" s="13" t="str">
        <f t="shared" si="56"/>
        <v>A_SP_BCN_16_221011</v>
      </c>
      <c r="P538" s="27">
        <v>44845</v>
      </c>
      <c r="Q538" s="29">
        <v>0.78472222222222221</v>
      </c>
      <c r="R538" s="33"/>
      <c r="S538" s="27">
        <v>44852</v>
      </c>
      <c r="T538" s="29">
        <v>0.77083333333333337</v>
      </c>
      <c r="V538" s="13" t="s">
        <v>86</v>
      </c>
      <c r="X538" s="13">
        <f t="shared" si="52"/>
        <v>7</v>
      </c>
      <c r="Z538" s="13" t="s">
        <v>60</v>
      </c>
      <c r="AA538" s="13">
        <f t="shared" si="57"/>
        <v>55</v>
      </c>
      <c r="AB538" s="13" t="str">
        <f t="shared" si="53"/>
        <v>Adult</v>
      </c>
      <c r="AC538" s="13">
        <v>33</v>
      </c>
      <c r="AD538" s="13">
        <v>22</v>
      </c>
      <c r="AE538" s="13" t="str">
        <f t="shared" si="54"/>
        <v>Morphological</v>
      </c>
      <c r="AF538" s="2">
        <v>4</v>
      </c>
    </row>
    <row r="539" spans="1:32" x14ac:dyDescent="0.25">
      <c r="A539" s="13">
        <v>535</v>
      </c>
      <c r="B539" s="23" t="s">
        <v>56</v>
      </c>
      <c r="C539" s="23" t="s">
        <v>57</v>
      </c>
      <c r="D539" s="23" t="s">
        <v>58</v>
      </c>
      <c r="E539" s="23" t="s">
        <v>58</v>
      </c>
      <c r="F539" s="35" cm="1">
        <f t="array" ref="F539">_xlfn.IFS($G539=$G$5,F$5,$G539=$G$7,F$7,$G539=$G$10,F$10,$G539=$G$13,F$13,$G539=$G$14,F$14,$G539=$G$16,F$16,$G539=$G$17,F$17,$G539=$G$19,F$19,$G539=$G$20,F$20,$G539=$G$22,F$22,$G539=$G$23,F$23,$G539=$G$26,F$26,$G539=$G$29,F$29,$G539=$G$31,F$31,$G539=$G$34,F$34,$G539=$G$37,F$37,$G539=$G$107,F$107,$G539=$G$110,F$110,$G539=$G$140,F$140,$G539=$G$142,F$142,$G539=$G$408,F$408)</f>
        <v>8017</v>
      </c>
      <c r="G539" s="13" t="s">
        <v>73</v>
      </c>
      <c r="H539" s="51" cm="1">
        <f t="array" ref="H539">_xlfn.IFS($G539=$G$5,H$5,$G539=$G$7,H$7,$G539=$G$10,H$10,$G539=$G$13,H$13,$G539=$G$14,H$14,$G539=$G$16,H$16,$G539=$G$17,H$17,$G539=$G$19,H$19,$G539=$G$20,H$20,$G539=$G$22,H$22,$G539=$G$23,H$23,$G539=$G$26,H$26,$G539=$G$29,H$29,$G539=$G$31,H$31,$G539=$G$34,H$34,$G539=$G$37,H$37,$G539=$G$107,H$107,$G539=$G$110,H$110,$G539=$G$140,H$140,$G539=$G$142,H$142,$G539=$G$408,H$408)</f>
        <v>41.398387</v>
      </c>
      <c r="I539" s="51" cm="1">
        <f t="array" ref="I539">_xlfn.IFS($G539=$G$5,I$5,$G539=$G$7,I$7,$G539=$G$10,I$10,$G539=$G$13,I$13,$G539=$G$14,I$14,$G539=$G$16,I$16,$G539=$G$17,I$17,$G539=$G$19,I$19,$G539=$G$20,I$20,$G539=$G$22,I$22,$G539=$G$23,I$23,$G539=$G$26,I$26,$G539=$G$29,I$29,$G539=$G$31,I$31,$G539=$G$34,I$34,$G539=$G$37,I$37,$G539=$G$107,I$107,$G539=$G$110,I$110,$G539=$G$140,I$140,$G539=$G$142,I$142,$G539=$G$408,I$408)</f>
        <v>2.1244429999999999</v>
      </c>
      <c r="J539" s="51" cm="1">
        <f t="array" ref="J539">_xlfn.IFS($G539=$G$5,J$5,$G539=$G$7,J$7,$G539=$G$10,J$10,$G539=$G$13,J$13,$G539=$G$14,J$14,$G539=$G$16,J$16,$G539=$G$17,J$17,$G539=$G$19,J$19,$G539=$G$20,J$20,$G539=$G$22,J$22,$G539=$G$23,J$23,$G539=$G$26,J$26,$G539=$G$29,J$29,$G539=$G$31,J$31,$G539=$G$34,J$34,$G539=$G$37,J$37,$G539=$G$107,J$107,$G539=$G$110,J$110,$G539=$G$140,J$140,$G539=$G$142,J$142,$G539=$G$408,J$408)</f>
        <v>106</v>
      </c>
      <c r="K539" s="13" t="str" cm="1">
        <f t="array" ref="K539">_xlfn.IFS($G539=$G$5,K$5,$G539=$G$7,K$7,$G539=$G$10,K$10,$G539=$G$13,K$13,$G539=$G$14,K$14,$G539=$G$16,K$16,$G539=$G$17,K$17,$G539=$G$19,K$19,$G539=$G$20,K$20,$G539=$G$22,K$22,$G539=$G$23,K$23,$G539=$G$26,K$26,$G539=$G$29,K$29,$G539=$G$31,K$31,$G539=$G$34,K$34,$G539=$G$37,K$37,$G539=$G$107,K$107,$G539=$G$110,K$110,$G539=$G$140,K$140,$G539=$G$142,K$142,$G539=$G$408,K$408)</f>
        <v>BG sentinel + BG lure7</v>
      </c>
      <c r="O539" s="13" t="str">
        <f t="shared" si="56"/>
        <v>A_SP_BCN_16_221011</v>
      </c>
      <c r="P539" s="27">
        <v>44845</v>
      </c>
      <c r="Q539" s="29">
        <v>0.78472222222222221</v>
      </c>
      <c r="R539" s="33"/>
      <c r="S539" s="27">
        <v>44852</v>
      </c>
      <c r="T539" s="29">
        <v>0.77083333333333337</v>
      </c>
      <c r="V539" s="13" t="s">
        <v>86</v>
      </c>
      <c r="X539" s="13">
        <f t="shared" si="52"/>
        <v>7</v>
      </c>
      <c r="Z539" s="13" t="s">
        <v>164</v>
      </c>
      <c r="AA539" s="13">
        <f t="shared" si="57"/>
        <v>11</v>
      </c>
      <c r="AB539" s="13" t="str">
        <f t="shared" si="53"/>
        <v>Adult</v>
      </c>
      <c r="AC539" s="13">
        <v>6</v>
      </c>
      <c r="AD539" s="13">
        <v>5</v>
      </c>
      <c r="AE539" s="13" t="str">
        <f t="shared" si="54"/>
        <v>Morphological</v>
      </c>
      <c r="AF539" s="2">
        <v>4</v>
      </c>
    </row>
    <row r="540" spans="1:32" x14ac:dyDescent="0.25">
      <c r="A540" s="13">
        <v>536</v>
      </c>
      <c r="B540" s="23" t="s">
        <v>56</v>
      </c>
      <c r="C540" s="23" t="s">
        <v>57</v>
      </c>
      <c r="D540" s="23" t="s">
        <v>58</v>
      </c>
      <c r="E540" s="23" t="s">
        <v>58</v>
      </c>
      <c r="F540" s="35" cm="1">
        <f t="array" ref="F540">_xlfn.IFS($G540=$G$5,F$5,$G540=$G$7,F$7,$G540=$G$10,F$10,$G540=$G$13,F$13,$G540=$G$14,F$14,$G540=$G$16,F$16,$G540=$G$17,F$17,$G540=$G$19,F$19,$G540=$G$20,F$20,$G540=$G$22,F$22,$G540=$G$23,F$23,$G540=$G$26,F$26,$G540=$G$29,F$29,$G540=$G$31,F$31,$G540=$G$34,F$34,$G540=$G$37,F$37,$G540=$G$107,F$107,$G540=$G$110,F$110,$G540=$G$140,F$140,$G540=$G$142,F$142,$G540=$G$408,F$408)</f>
        <v>8023</v>
      </c>
      <c r="G540" s="13" t="s">
        <v>74</v>
      </c>
      <c r="H540" s="51" cm="1">
        <f t="array" ref="H540">_xlfn.IFS($G540=$G$5,H$5,$G540=$G$7,H$7,$G540=$G$10,H$10,$G540=$G$13,H$13,$G540=$G$14,H$14,$G540=$G$16,H$16,$G540=$G$17,H$17,$G540=$G$19,H$19,$G540=$G$20,H$20,$G540=$G$22,H$22,$G540=$G$23,H$23,$G540=$G$26,H$26,$G540=$G$29,H$29,$G540=$G$31,H$31,$G540=$G$34,H$34,$G540=$G$37,H$37,$G540=$G$107,H$107,$G540=$G$110,H$110,$G540=$G$140,H$140,$G540=$G$142,H$142,$G540=$G$408,H$408)</f>
        <v>41.417256000000002</v>
      </c>
      <c r="I540" s="51" cm="1">
        <f t="array" ref="I540">_xlfn.IFS($G540=$G$5,I$5,$G540=$G$7,I$7,$G540=$G$10,I$10,$G540=$G$13,I$13,$G540=$G$14,I$14,$G540=$G$16,I$16,$G540=$G$17,I$17,$G540=$G$19,I$19,$G540=$G$20,I$20,$G540=$G$22,I$22,$G540=$G$23,I$23,$G540=$G$26,I$26,$G540=$G$29,I$29,$G540=$G$31,I$31,$G540=$G$34,I$34,$G540=$G$37,I$37,$G540=$G$107,I$107,$G540=$G$110,I$110,$G540=$G$140,I$140,$G540=$G$142,I$142,$G540=$G$408,I$408)</f>
        <v>2.1455709999999999</v>
      </c>
      <c r="J540" s="51" cm="1">
        <f t="array" ref="J540">_xlfn.IFS($G540=$G$5,J$5,$G540=$G$7,J$7,$G540=$G$10,J$10,$G540=$G$13,J$13,$G540=$G$14,J$14,$G540=$G$16,J$16,$G540=$G$17,J$17,$G540=$G$19,J$19,$G540=$G$20,J$20,$G540=$G$22,J$22,$G540=$G$23,J$23,$G540=$G$26,J$26,$G540=$G$29,J$29,$G540=$G$31,J$31,$G540=$G$34,J$34,$G540=$G$37,J$37,$G540=$G$107,J$107,$G540=$G$110,J$110,$G540=$G$140,J$140,$G540=$G$142,J$142,$G540=$G$408,J$408)</f>
        <v>186</v>
      </c>
      <c r="K540" s="13" t="str" cm="1">
        <f t="array" ref="K540">_xlfn.IFS($G540=$G$5,K$5,$G540=$G$7,K$7,$G540=$G$10,K$10,$G540=$G$13,K$13,$G540=$G$14,K$14,$G540=$G$16,K$16,$G540=$G$17,K$17,$G540=$G$19,K$19,$G540=$G$20,K$20,$G540=$G$22,K$22,$G540=$G$23,K$23,$G540=$G$26,K$26,$G540=$G$29,K$29,$G540=$G$31,K$31,$G540=$G$34,K$34,$G540=$G$37,K$37,$G540=$G$107,K$107,$G540=$G$110,K$110,$G540=$G$140,K$140,$G540=$G$142,K$142,$G540=$G$408,K$408)</f>
        <v>BG sentinel + BG lure7</v>
      </c>
      <c r="O540" s="13" t="str">
        <f t="shared" si="56"/>
        <v>A_SP_BCN_17_221011</v>
      </c>
      <c r="P540" s="27">
        <v>44845</v>
      </c>
      <c r="Q540" s="29">
        <v>0.63541666666666663</v>
      </c>
      <c r="R540" s="33"/>
      <c r="S540" s="27">
        <v>44852</v>
      </c>
      <c r="T540" s="29">
        <v>0.65972222222222221</v>
      </c>
      <c r="V540" s="13" t="s">
        <v>86</v>
      </c>
      <c r="X540" s="13">
        <f t="shared" si="52"/>
        <v>7</v>
      </c>
      <c r="Z540" s="13" t="s">
        <v>60</v>
      </c>
      <c r="AA540" s="13">
        <f t="shared" si="57"/>
        <v>7</v>
      </c>
      <c r="AB540" s="13" t="str">
        <f t="shared" si="53"/>
        <v>Adult</v>
      </c>
      <c r="AC540" s="13">
        <v>6</v>
      </c>
      <c r="AD540" s="13">
        <v>1</v>
      </c>
      <c r="AE540" s="13" t="str">
        <f t="shared" si="54"/>
        <v>Morphological</v>
      </c>
      <c r="AF540" s="2">
        <v>4</v>
      </c>
    </row>
    <row r="541" spans="1:32" x14ac:dyDescent="0.25">
      <c r="A541" s="13">
        <v>537</v>
      </c>
      <c r="B541" s="23" t="s">
        <v>56</v>
      </c>
      <c r="C541" s="23" t="s">
        <v>57</v>
      </c>
      <c r="D541" s="23" t="s">
        <v>58</v>
      </c>
      <c r="E541" s="23" t="s">
        <v>58</v>
      </c>
      <c r="F541" s="35" cm="1">
        <f t="array" ref="F541">_xlfn.IFS($G541=$G$5,F$5,$G541=$G$7,F$7,$G541=$G$10,F$10,$G541=$G$13,F$13,$G541=$G$14,F$14,$G541=$G$16,F$16,$G541=$G$17,F$17,$G541=$G$19,F$19,$G541=$G$20,F$20,$G541=$G$22,F$22,$G541=$G$23,F$23,$G541=$G$26,F$26,$G541=$G$29,F$29,$G541=$G$31,F$31,$G541=$G$34,F$34,$G541=$G$37,F$37,$G541=$G$107,F$107,$G541=$G$110,F$110,$G541=$G$140,F$140,$G541=$G$142,F$142,$G541=$G$408,F$408)</f>
        <v>8031</v>
      </c>
      <c r="G541" s="13" t="s">
        <v>75</v>
      </c>
      <c r="H541" s="51" cm="1">
        <f t="array" ref="H541">_xlfn.IFS($G541=$G$5,H$5,$G541=$G$7,H$7,$G541=$G$10,H$10,$G541=$G$13,H$13,$G541=$G$14,H$14,$G541=$G$16,H$16,$G541=$G$17,H$17,$G541=$G$19,H$19,$G541=$G$20,H$20,$G541=$G$22,H$22,$G541=$G$23,H$23,$G541=$G$26,H$26,$G541=$G$29,H$29,$G541=$G$31,H$31,$G541=$G$34,H$34,$G541=$G$37,H$37,$G541=$G$107,H$107,$G541=$G$110,H$110,$G541=$G$140,H$140,$G541=$G$142,H$142,$G541=$G$408,H$408)</f>
        <v>41.433618000000003</v>
      </c>
      <c r="I541" s="51" cm="1">
        <f t="array" ref="I541">_xlfn.IFS($G541=$G$5,I$5,$G541=$G$7,I$7,$G541=$G$10,I$10,$G541=$G$13,I$13,$G541=$G$14,I$14,$G541=$G$16,I$16,$G541=$G$17,I$17,$G541=$G$19,I$19,$G541=$G$20,I$20,$G541=$G$22,I$22,$G541=$G$23,I$23,$G541=$G$26,I$26,$G541=$G$29,I$29,$G541=$G$31,I$31,$G541=$G$34,I$34,$G541=$G$37,I$37,$G541=$G$107,I$107,$G541=$G$110,I$110,$G541=$G$140,I$140,$G541=$G$142,I$142,$G541=$G$408,I$408)</f>
        <v>2.1677469999999999</v>
      </c>
      <c r="J541" s="51" cm="1">
        <f t="array" ref="J541">_xlfn.IFS($G541=$G$5,J$5,$G541=$G$7,J$7,$G541=$G$10,J$10,$G541=$G$13,J$13,$G541=$G$14,J$14,$G541=$G$16,J$16,$G541=$G$17,J$17,$G541=$G$19,J$19,$G541=$G$20,J$20,$G541=$G$22,J$22,$G541=$G$23,J$23,$G541=$G$26,J$26,$G541=$G$29,J$29,$G541=$G$31,J$31,$G541=$G$34,J$34,$G541=$G$37,J$37,$G541=$G$107,J$107,$G541=$G$110,J$110,$G541=$G$140,J$140,$G541=$G$142,J$142,$G541=$G$408,J$408)</f>
        <v>96.85</v>
      </c>
      <c r="K541" s="13" t="str" cm="1">
        <f t="array" ref="K541">_xlfn.IFS($G541=$G$5,K$5,$G541=$G$7,K$7,$G541=$G$10,K$10,$G541=$G$13,K$13,$G541=$G$14,K$14,$G541=$G$16,K$16,$G541=$G$17,K$17,$G541=$G$19,K$19,$G541=$G$20,K$20,$G541=$G$22,K$22,$G541=$G$23,K$23,$G541=$G$26,K$26,$G541=$G$29,K$29,$G541=$G$31,K$31,$G541=$G$34,K$34,$G541=$G$37,K$37,$G541=$G$107,K$107,$G541=$G$110,K$110,$G541=$G$140,K$140,$G541=$G$142,K$142,$G541=$G$408,K$408)</f>
        <v>BG sentinel + BG lure7</v>
      </c>
      <c r="O541" s="13" t="str">
        <f t="shared" si="56"/>
        <v>A_SP_BCN_18_221011</v>
      </c>
      <c r="P541" s="27">
        <v>44845</v>
      </c>
      <c r="Q541" s="29">
        <v>0.80555555555555547</v>
      </c>
      <c r="R541" s="33"/>
      <c r="S541" s="27">
        <v>44852</v>
      </c>
      <c r="T541" s="29">
        <v>0.80208333333333337</v>
      </c>
      <c r="V541" s="13" t="s">
        <v>86</v>
      </c>
      <c r="W541" s="15" t="s">
        <v>140</v>
      </c>
      <c r="X541" s="13">
        <f t="shared" si="52"/>
        <v>7</v>
      </c>
      <c r="Z541" s="13" t="s">
        <v>60</v>
      </c>
      <c r="AA541" s="13">
        <f t="shared" si="57"/>
        <v>11</v>
      </c>
      <c r="AB541" s="13" t="str">
        <f t="shared" si="53"/>
        <v>Adult</v>
      </c>
      <c r="AC541" s="13">
        <v>11</v>
      </c>
      <c r="AD541" s="13">
        <v>0</v>
      </c>
      <c r="AE541" s="13" t="str">
        <f t="shared" si="54"/>
        <v>Morphological</v>
      </c>
      <c r="AF541" s="2">
        <v>2</v>
      </c>
    </row>
    <row r="542" spans="1:32" x14ac:dyDescent="0.25">
      <c r="A542" s="13">
        <v>538</v>
      </c>
      <c r="B542" s="23" t="s">
        <v>56</v>
      </c>
      <c r="C542" s="23" t="s">
        <v>57</v>
      </c>
      <c r="D542" s="23" t="s">
        <v>58</v>
      </c>
      <c r="E542" s="23" t="s">
        <v>58</v>
      </c>
      <c r="F542" s="35" cm="1">
        <f t="array" ref="F542">_xlfn.IFS($G542=$G$5,F$5,$G542=$G$7,F$7,$G542=$G$10,F$10,$G542=$G$13,F$13,$G542=$G$14,F$14,$G542=$G$16,F$16,$G542=$G$17,F$17,$G542=$G$19,F$19,$G542=$G$20,F$20,$G542=$G$22,F$22,$G542=$G$23,F$23,$G542=$G$26,F$26,$G542=$G$29,F$29,$G542=$G$31,F$31,$G542=$G$34,F$34,$G542=$G$37,F$37,$G542=$G$107,F$107,$G542=$G$110,F$110,$G542=$G$140,F$140,$G542=$G$142,F$142,$G542=$G$408,F$408)</f>
        <v>8038</v>
      </c>
      <c r="G542" s="13" t="s">
        <v>76</v>
      </c>
      <c r="H542" s="51" cm="1">
        <f t="array" ref="H542">_xlfn.IFS($G542=$G$5,H$5,$G542=$G$7,H$7,$G542=$G$10,H$10,$G542=$G$13,H$13,$G542=$G$14,H$14,$G542=$G$16,H$16,$G542=$G$17,H$17,$G542=$G$19,H$19,$G542=$G$20,H$20,$G542=$G$22,H$22,$G542=$G$23,H$23,$G542=$G$26,H$26,$G542=$G$29,H$29,$G542=$G$31,H$31,$G542=$G$34,H$34,$G542=$G$37,H$37,$G542=$G$107,H$107,$G542=$G$110,H$110,$G542=$G$140,H$140,$G542=$G$142,H$142,$G542=$G$408,H$408)</f>
        <v>41.359864999999999</v>
      </c>
      <c r="I542" s="51" cm="1">
        <f t="array" ref="I542">_xlfn.IFS($G542=$G$5,I$5,$G542=$G$7,I$7,$G542=$G$10,I$10,$G542=$G$13,I$13,$G542=$G$14,I$14,$G542=$G$16,I$16,$G542=$G$17,I$17,$G542=$G$19,I$19,$G542=$G$20,I$20,$G542=$G$22,I$22,$G542=$G$23,I$23,$G542=$G$26,I$26,$G542=$G$29,I$29,$G542=$G$31,I$31,$G542=$G$34,I$34,$G542=$G$37,I$37,$G542=$G$107,I$107,$G542=$G$110,I$110,$G542=$G$140,I$140,$G542=$G$142,I$142,$G542=$G$408,I$408)</f>
        <v>2.1445430000000001</v>
      </c>
      <c r="J542" s="51" cm="1">
        <f t="array" ref="J542">_xlfn.IFS($G542=$G$5,J$5,$G542=$G$7,J$7,$G542=$G$10,J$10,$G542=$G$13,J$13,$G542=$G$14,J$14,$G542=$G$16,J$16,$G542=$G$17,J$17,$G542=$G$19,J$19,$G542=$G$20,J$20,$G542=$G$22,J$22,$G542=$G$23,J$23,$G542=$G$26,J$26,$G542=$G$29,J$29,$G542=$G$31,J$31,$G542=$G$34,J$34,$G542=$G$37,J$37,$G542=$G$107,J$107,$G542=$G$110,J$110,$G542=$G$140,J$140,$G542=$G$142,J$142,$G542=$G$408,J$408)</f>
        <v>11.4</v>
      </c>
      <c r="K542" s="13" t="str" cm="1">
        <f t="array" ref="K542">_xlfn.IFS($G542=$G$5,K$5,$G542=$G$7,K$7,$G542=$G$10,K$10,$G542=$G$13,K$13,$G542=$G$14,K$14,$G542=$G$16,K$16,$G542=$G$17,K$17,$G542=$G$19,K$19,$G542=$G$20,K$20,$G542=$G$22,K$22,$G542=$G$23,K$23,$G542=$G$26,K$26,$G542=$G$29,K$29,$G542=$G$31,K$31,$G542=$G$34,K$34,$G542=$G$37,K$37,$G542=$G$107,K$107,$G542=$G$110,K$110,$G542=$G$140,K$140,$G542=$G$142,K$142,$G542=$G$408,K$408)</f>
        <v>BG sentinel + BG lure7</v>
      </c>
      <c r="O542" s="13" t="str">
        <f t="shared" si="56"/>
        <v>A_SP_BCN_19_221011</v>
      </c>
      <c r="P542" s="27">
        <v>44845</v>
      </c>
      <c r="Q542" s="29">
        <v>0.55555555555555558</v>
      </c>
      <c r="R542" s="33"/>
      <c r="S542" s="27">
        <v>44852</v>
      </c>
      <c r="T542" s="29">
        <v>0.54861111111111105</v>
      </c>
      <c r="V542" s="13" t="s">
        <v>86</v>
      </c>
      <c r="X542" s="13">
        <f t="shared" si="52"/>
        <v>7</v>
      </c>
      <c r="Z542" s="13" t="s">
        <v>60</v>
      </c>
      <c r="AA542" s="13">
        <f t="shared" si="57"/>
        <v>60</v>
      </c>
      <c r="AB542" s="13" t="str">
        <f t="shared" si="53"/>
        <v>Adult</v>
      </c>
      <c r="AC542" s="13">
        <v>49</v>
      </c>
      <c r="AD542" s="13">
        <v>11</v>
      </c>
      <c r="AE542" s="13" t="str">
        <f t="shared" si="54"/>
        <v>Morphological</v>
      </c>
      <c r="AF542" s="2">
        <v>4</v>
      </c>
    </row>
    <row r="543" spans="1:32" x14ac:dyDescent="0.25">
      <c r="A543" s="13">
        <v>539</v>
      </c>
      <c r="B543" s="23" t="s">
        <v>56</v>
      </c>
      <c r="C543" s="23" t="s">
        <v>57</v>
      </c>
      <c r="D543" s="23" t="s">
        <v>58</v>
      </c>
      <c r="E543" s="23" t="s">
        <v>58</v>
      </c>
      <c r="F543" s="35" cm="1">
        <f t="array" ref="F543">_xlfn.IFS($G543=$G$5,F$5,$G543=$G$7,F$7,$G543=$G$10,F$10,$G543=$G$13,F$13,$G543=$G$14,F$14,$G543=$G$16,F$16,$G543=$G$17,F$17,$G543=$G$19,F$19,$G543=$G$20,F$20,$G543=$G$22,F$22,$G543=$G$23,F$23,$G543=$G$26,F$26,$G543=$G$29,F$29,$G543=$G$31,F$31,$G543=$G$34,F$34,$G543=$G$37,F$37,$G543=$G$107,F$107,$G543=$G$110,F$110,$G543=$G$140,F$140,$G543=$G$142,F$142,$G543=$G$408,F$408)</f>
        <v>8038</v>
      </c>
      <c r="G543" s="13" t="s">
        <v>76</v>
      </c>
      <c r="H543" s="51" cm="1">
        <f t="array" ref="H543">_xlfn.IFS($G543=$G$5,H$5,$G543=$G$7,H$7,$G543=$G$10,H$10,$G543=$G$13,H$13,$G543=$G$14,H$14,$G543=$G$16,H$16,$G543=$G$17,H$17,$G543=$G$19,H$19,$G543=$G$20,H$20,$G543=$G$22,H$22,$G543=$G$23,H$23,$G543=$G$26,H$26,$G543=$G$29,H$29,$G543=$G$31,H$31,$G543=$G$34,H$34,$G543=$G$37,H$37,$G543=$G$107,H$107,$G543=$G$110,H$110,$G543=$G$140,H$140,$G543=$G$142,H$142,$G543=$G$408,H$408)</f>
        <v>41.359864999999999</v>
      </c>
      <c r="I543" s="51" cm="1">
        <f t="array" ref="I543">_xlfn.IFS($G543=$G$5,I$5,$G543=$G$7,I$7,$G543=$G$10,I$10,$G543=$G$13,I$13,$G543=$G$14,I$14,$G543=$G$16,I$16,$G543=$G$17,I$17,$G543=$G$19,I$19,$G543=$G$20,I$20,$G543=$G$22,I$22,$G543=$G$23,I$23,$G543=$G$26,I$26,$G543=$G$29,I$29,$G543=$G$31,I$31,$G543=$G$34,I$34,$G543=$G$37,I$37,$G543=$G$107,I$107,$G543=$G$110,I$110,$G543=$G$140,I$140,$G543=$G$142,I$142,$G543=$G$408,I$408)</f>
        <v>2.1445430000000001</v>
      </c>
      <c r="J543" s="51" cm="1">
        <f t="array" ref="J543">_xlfn.IFS($G543=$G$5,J$5,$G543=$G$7,J$7,$G543=$G$10,J$10,$G543=$G$13,J$13,$G543=$G$14,J$14,$G543=$G$16,J$16,$G543=$G$17,J$17,$G543=$G$19,J$19,$G543=$G$20,J$20,$G543=$G$22,J$22,$G543=$G$23,J$23,$G543=$G$26,J$26,$G543=$G$29,J$29,$G543=$G$31,J$31,$G543=$G$34,J$34,$G543=$G$37,J$37,$G543=$G$107,J$107,$G543=$G$110,J$110,$G543=$G$140,J$140,$G543=$G$142,J$142,$G543=$G$408,J$408)</f>
        <v>11.4</v>
      </c>
      <c r="K543" s="13" t="str" cm="1">
        <f t="array" ref="K543">_xlfn.IFS($G543=$G$5,K$5,$G543=$G$7,K$7,$G543=$G$10,K$10,$G543=$G$13,K$13,$G543=$G$14,K$14,$G543=$G$16,K$16,$G543=$G$17,K$17,$G543=$G$19,K$19,$G543=$G$20,K$20,$G543=$G$22,K$22,$G543=$G$23,K$23,$G543=$G$26,K$26,$G543=$G$29,K$29,$G543=$G$31,K$31,$G543=$G$34,K$34,$G543=$G$37,K$37,$G543=$G$107,K$107,$G543=$G$110,K$110,$G543=$G$140,K$140,$G543=$G$142,K$142,$G543=$G$408,K$408)</f>
        <v>BG sentinel + BG lure7</v>
      </c>
      <c r="O543" s="13" t="str">
        <f t="shared" si="56"/>
        <v>A_SP_BCN_19_221011</v>
      </c>
      <c r="P543" s="27">
        <v>44845</v>
      </c>
      <c r="Q543" s="29">
        <v>0.55555555555555558</v>
      </c>
      <c r="R543" s="33"/>
      <c r="S543" s="27">
        <v>44852</v>
      </c>
      <c r="T543" s="29">
        <v>0.54861111111111105</v>
      </c>
      <c r="V543" s="13" t="s">
        <v>86</v>
      </c>
      <c r="X543" s="13">
        <f t="shared" si="52"/>
        <v>7</v>
      </c>
      <c r="Z543" s="13" t="s">
        <v>164</v>
      </c>
      <c r="AA543" s="13">
        <f t="shared" si="57"/>
        <v>129</v>
      </c>
      <c r="AB543" s="13" t="str">
        <f t="shared" si="53"/>
        <v>Adult</v>
      </c>
      <c r="AC543" s="13">
        <v>125</v>
      </c>
      <c r="AD543" s="13">
        <v>4</v>
      </c>
      <c r="AE543" s="13" t="str">
        <f t="shared" si="54"/>
        <v>Morphological</v>
      </c>
      <c r="AF543" s="2">
        <v>4</v>
      </c>
    </row>
    <row r="544" spans="1:32" x14ac:dyDescent="0.25">
      <c r="A544" s="13">
        <v>540</v>
      </c>
      <c r="B544" s="23" t="s">
        <v>56</v>
      </c>
      <c r="C544" s="23" t="s">
        <v>57</v>
      </c>
      <c r="D544" s="23" t="s">
        <v>58</v>
      </c>
      <c r="E544" s="23" t="s">
        <v>58</v>
      </c>
      <c r="F544" s="35" cm="1">
        <f t="array" ref="F544">_xlfn.IFS($G544=$G$5,F$5,$G544=$G$7,F$7,$G544=$G$10,F$10,$G544=$G$13,F$13,$G544=$G$14,F$14,$G544=$G$16,F$16,$G544=$G$17,F$17,$G544=$G$19,F$19,$G544=$G$20,F$20,$G544=$G$22,F$22,$G544=$G$23,F$23,$G544=$G$26,F$26,$G544=$G$29,F$29,$G544=$G$31,F$31,$G544=$G$34,F$34,$G544=$G$37,F$37,$G544=$G$107,F$107,$G544=$G$110,F$110,$G544=$G$140,F$140,$G544=$G$142,F$142,$G544=$G$408,F$408)</f>
        <v>8038</v>
      </c>
      <c r="G544" s="13" t="s">
        <v>76</v>
      </c>
      <c r="H544" s="51" cm="1">
        <f t="array" ref="H544">_xlfn.IFS($G544=$G$5,H$5,$G544=$G$7,H$7,$G544=$G$10,H$10,$G544=$G$13,H$13,$G544=$G$14,H$14,$G544=$G$16,H$16,$G544=$G$17,H$17,$G544=$G$19,H$19,$G544=$G$20,H$20,$G544=$G$22,H$22,$G544=$G$23,H$23,$G544=$G$26,H$26,$G544=$G$29,H$29,$G544=$G$31,H$31,$G544=$G$34,H$34,$G544=$G$37,H$37,$G544=$G$107,H$107,$G544=$G$110,H$110,$G544=$G$140,H$140,$G544=$G$142,H$142,$G544=$G$408,H$408)</f>
        <v>41.359864999999999</v>
      </c>
      <c r="I544" s="51" cm="1">
        <f t="array" ref="I544">_xlfn.IFS($G544=$G$5,I$5,$G544=$G$7,I$7,$G544=$G$10,I$10,$G544=$G$13,I$13,$G544=$G$14,I$14,$G544=$G$16,I$16,$G544=$G$17,I$17,$G544=$G$19,I$19,$G544=$G$20,I$20,$G544=$G$22,I$22,$G544=$G$23,I$23,$G544=$G$26,I$26,$G544=$G$29,I$29,$G544=$G$31,I$31,$G544=$G$34,I$34,$G544=$G$37,I$37,$G544=$G$107,I$107,$G544=$G$110,I$110,$G544=$G$140,I$140,$G544=$G$142,I$142,$G544=$G$408,I$408)</f>
        <v>2.1445430000000001</v>
      </c>
      <c r="J544" s="51" cm="1">
        <f t="array" ref="J544">_xlfn.IFS($G544=$G$5,J$5,$G544=$G$7,J$7,$G544=$G$10,J$10,$G544=$G$13,J$13,$G544=$G$14,J$14,$G544=$G$16,J$16,$G544=$G$17,J$17,$G544=$G$19,J$19,$G544=$G$20,J$20,$G544=$G$22,J$22,$G544=$G$23,J$23,$G544=$G$26,J$26,$G544=$G$29,J$29,$G544=$G$31,J$31,$G544=$G$34,J$34,$G544=$G$37,J$37,$G544=$G$107,J$107,$G544=$G$110,J$110,$G544=$G$140,J$140,$G544=$G$142,J$142,$G544=$G$408,J$408)</f>
        <v>11.4</v>
      </c>
      <c r="K544" s="13" t="str" cm="1">
        <f t="array" ref="K544">_xlfn.IFS($G544=$G$5,K$5,$G544=$G$7,K$7,$G544=$G$10,K$10,$G544=$G$13,K$13,$G544=$G$14,K$14,$G544=$G$16,K$16,$G544=$G$17,K$17,$G544=$G$19,K$19,$G544=$G$20,K$20,$G544=$G$22,K$22,$G544=$G$23,K$23,$G544=$G$26,K$26,$G544=$G$29,K$29,$G544=$G$31,K$31,$G544=$G$34,K$34,$G544=$G$37,K$37,$G544=$G$107,K$107,$G544=$G$110,K$110,$G544=$G$140,K$140,$G544=$G$142,K$142,$G544=$G$408,K$408)</f>
        <v>BG sentinel + BG lure7</v>
      </c>
      <c r="O544" s="13" t="str">
        <f t="shared" si="56"/>
        <v>A_SP_BCN_19_221011</v>
      </c>
      <c r="P544" s="27">
        <v>44845</v>
      </c>
      <c r="Q544" s="29">
        <v>0.55555555555555558</v>
      </c>
      <c r="R544" s="33"/>
      <c r="S544" s="27">
        <v>44852</v>
      </c>
      <c r="T544" s="29">
        <v>0.54861111111111105</v>
      </c>
      <c r="V544" s="13" t="s">
        <v>86</v>
      </c>
      <c r="X544" s="13">
        <f t="shared" si="52"/>
        <v>7</v>
      </c>
      <c r="Z544" s="32" t="s">
        <v>163</v>
      </c>
      <c r="AA544" s="13">
        <f t="shared" si="57"/>
        <v>4</v>
      </c>
      <c r="AB544" s="13" t="str">
        <f t="shared" si="53"/>
        <v>Adult</v>
      </c>
      <c r="AC544" s="13">
        <v>4</v>
      </c>
      <c r="AD544" s="13">
        <v>0</v>
      </c>
      <c r="AE544" s="13" t="str">
        <f t="shared" si="54"/>
        <v>Morphological</v>
      </c>
      <c r="AF544" s="2">
        <v>4</v>
      </c>
    </row>
    <row r="545" spans="1:32" x14ac:dyDescent="0.25">
      <c r="A545" s="13">
        <v>541</v>
      </c>
      <c r="B545" s="23" t="s">
        <v>56</v>
      </c>
      <c r="C545" s="23" t="s">
        <v>57</v>
      </c>
      <c r="D545" s="23" t="s">
        <v>58</v>
      </c>
      <c r="E545" s="23" t="s">
        <v>58</v>
      </c>
      <c r="F545" s="35" cm="1">
        <f t="array" ref="F545">_xlfn.IFS($G545=$G$5,F$5,$G545=$G$7,F$7,$G545=$G$10,F$10,$G545=$G$13,F$13,$G545=$G$14,F$14,$G545=$G$16,F$16,$G545=$G$17,F$17,$G545=$G$19,F$19,$G545=$G$20,F$20,$G545=$G$22,F$22,$G545=$G$23,F$23,$G545=$G$26,F$26,$G545=$G$29,F$29,$G545=$G$31,F$31,$G545=$G$34,F$34,$G545=$G$37,F$37,$G545=$G$107,F$107,$G545=$G$110,F$110,$G545=$G$140,F$140,$G545=$G$142,F$142,$G545=$G$408,F$408)</f>
        <v>8017</v>
      </c>
      <c r="G545" s="13" t="s">
        <v>77</v>
      </c>
      <c r="H545" s="51" cm="1">
        <f t="array" ref="H545">_xlfn.IFS($G545=$G$5,H$5,$G545=$G$7,H$7,$G545=$G$10,H$10,$G545=$G$13,H$13,$G545=$G$14,H$14,$G545=$G$16,H$16,$G545=$G$17,H$17,$G545=$G$19,H$19,$G545=$G$20,H$20,$G545=$G$22,H$22,$G545=$G$23,H$23,$G545=$G$26,H$26,$G545=$G$29,H$29,$G545=$G$31,H$31,$G545=$G$34,H$34,$G545=$G$37,H$37,$G545=$G$107,H$107,$G545=$G$110,H$110,$G545=$G$140,H$140,$G545=$G$142,H$142,$G545=$G$408,H$408)</f>
        <v>41.430315999999998</v>
      </c>
      <c r="I545" s="51" cm="1">
        <f t="array" ref="I545">_xlfn.IFS($G545=$G$5,I$5,$G545=$G$7,I$7,$G545=$G$10,I$10,$G545=$G$13,I$13,$G545=$G$14,I$14,$G545=$G$16,I$16,$G545=$G$17,I$17,$G545=$G$19,I$19,$G545=$G$20,I$20,$G545=$G$22,I$22,$G545=$G$23,I$23,$G545=$G$26,I$26,$G545=$G$29,I$29,$G545=$G$31,I$31,$G545=$G$34,I$34,$G545=$G$37,I$37,$G545=$G$107,I$107,$G545=$G$110,I$110,$G545=$G$140,I$140,$G545=$G$142,I$142,$G545=$G$408,I$408)</f>
        <v>2.077556</v>
      </c>
      <c r="J545" s="51" cm="1">
        <f t="array" ref="J545">_xlfn.IFS($G545=$G$5,J$5,$G545=$G$7,J$7,$G545=$G$10,J$10,$G545=$G$13,J$13,$G545=$G$14,J$14,$G545=$G$16,J$16,$G545=$G$17,J$17,$G545=$G$19,J$19,$G545=$G$20,J$20,$G545=$G$22,J$22,$G545=$G$23,J$23,$G545=$G$26,J$26,$G545=$G$29,J$29,$G545=$G$31,J$31,$G545=$G$34,J$34,$G545=$G$37,J$37,$G545=$G$107,J$107,$G545=$G$110,J$110,$G545=$G$140,J$140,$G545=$G$142,J$142,$G545=$G$408,J$408)</f>
        <v>243.3</v>
      </c>
      <c r="K545" s="13" t="str" cm="1">
        <f t="array" ref="K545">_xlfn.IFS($G545=$G$5,K$5,$G545=$G$7,K$7,$G545=$G$10,K$10,$G545=$G$13,K$13,$G545=$G$14,K$14,$G545=$G$16,K$16,$G545=$G$17,K$17,$G545=$G$19,K$19,$G545=$G$20,K$20,$G545=$G$22,K$22,$G545=$G$23,K$23,$G545=$G$26,K$26,$G545=$G$29,K$29,$G545=$G$31,K$31,$G545=$G$34,K$34,$G545=$G$37,K$37,$G545=$G$107,K$107,$G545=$G$110,K$110,$G545=$G$140,K$140,$G545=$G$142,K$142,$G545=$G$408,K$408)</f>
        <v>BG sentinel + BG lure7</v>
      </c>
      <c r="O545" s="13" t="str">
        <f t="shared" si="56"/>
        <v>A_SP_BCN_22_221011</v>
      </c>
      <c r="P545" s="27">
        <v>44845</v>
      </c>
      <c r="Q545" s="29">
        <v>0.74305555555555547</v>
      </c>
      <c r="R545" s="33"/>
      <c r="S545" s="27">
        <v>44852</v>
      </c>
      <c r="T545" s="29">
        <v>0.73958333333333337</v>
      </c>
      <c r="V545" s="13" t="s">
        <v>86</v>
      </c>
      <c r="X545" s="13">
        <f t="shared" si="52"/>
        <v>7</v>
      </c>
      <c r="Z545" s="13" t="s">
        <v>60</v>
      </c>
      <c r="AA545" s="13">
        <f t="shared" si="57"/>
        <v>13</v>
      </c>
      <c r="AB545" s="13" t="str">
        <f t="shared" si="53"/>
        <v>Adult</v>
      </c>
      <c r="AC545" s="13">
        <v>12</v>
      </c>
      <c r="AD545" s="13">
        <v>1</v>
      </c>
      <c r="AE545" s="13" t="str">
        <f t="shared" si="54"/>
        <v>Morphological</v>
      </c>
      <c r="AF545" s="2">
        <v>4</v>
      </c>
    </row>
    <row r="546" spans="1:32" x14ac:dyDescent="0.25">
      <c r="A546" s="13">
        <v>542</v>
      </c>
      <c r="B546" s="23" t="s">
        <v>56</v>
      </c>
      <c r="C546" s="23" t="s">
        <v>57</v>
      </c>
      <c r="D546" s="23" t="s">
        <v>58</v>
      </c>
      <c r="E546" s="23" t="s">
        <v>58</v>
      </c>
      <c r="F546" s="35" cm="1">
        <f t="array" ref="F546">_xlfn.IFS($G546=$G$5,F$5,$G546=$G$7,F$7,$G546=$G$10,F$10,$G546=$G$13,F$13,$G546=$G$14,F$14,$G546=$G$16,F$16,$G546=$G$17,F$17,$G546=$G$19,F$19,$G546=$G$20,F$20,$G546=$G$22,F$22,$G546=$G$23,F$23,$G546=$G$26,F$26,$G546=$G$29,F$29,$G546=$G$31,F$31,$G546=$G$34,F$34,$G546=$G$37,F$37,$G546=$G$107,F$107,$G546=$G$110,F$110,$G546=$G$140,F$140,$G546=$G$142,F$142,$G546=$G$408,F$408)</f>
        <v>8038</v>
      </c>
      <c r="G546" s="13" t="s">
        <v>79</v>
      </c>
      <c r="H546" s="51" cm="1">
        <f t="array" ref="H546">_xlfn.IFS($G546=$G$5,H$5,$G546=$G$7,H$7,$G546=$G$10,H$10,$G546=$G$13,H$13,$G546=$G$14,H$14,$G546=$G$16,H$16,$G546=$G$17,H$17,$G546=$G$19,H$19,$G546=$G$20,H$20,$G546=$G$22,H$22,$G546=$G$23,H$23,$G546=$G$26,H$26,$G546=$G$29,H$29,$G546=$G$31,H$31,$G546=$G$34,H$34,$G546=$G$37,H$37,$G546=$G$107,H$107,$G546=$G$110,H$110,$G546=$G$140,H$140,$G546=$G$142,H$142,$G546=$G$408,H$408)</f>
        <v>41.367100000000001</v>
      </c>
      <c r="I546" s="51" cm="1">
        <f t="array" ref="I546">_xlfn.IFS($G546=$G$5,I$5,$G546=$G$7,I$7,$G546=$G$10,I$10,$G546=$G$13,I$13,$G546=$G$14,I$14,$G546=$G$16,I$16,$G546=$G$17,I$17,$G546=$G$19,I$19,$G546=$G$20,I$20,$G546=$G$22,I$22,$G546=$G$23,I$23,$G546=$G$26,I$26,$G546=$G$29,I$29,$G546=$G$31,I$31,$G546=$G$34,I$34,$G546=$G$37,I$37,$G546=$G$107,I$107,$G546=$G$110,I$110,$G546=$G$140,I$140,$G546=$G$142,I$142,$G546=$G$408,I$408)</f>
        <v>2.1539079999999999</v>
      </c>
      <c r="J546" s="51" cm="1">
        <f t="array" ref="J546">_xlfn.IFS($G546=$G$5,J$5,$G546=$G$7,J$7,$G546=$G$10,J$10,$G546=$G$13,J$13,$G546=$G$14,J$14,$G546=$G$16,J$16,$G546=$G$17,J$17,$G546=$G$19,J$19,$G546=$G$20,J$20,$G546=$G$22,J$22,$G546=$G$23,J$23,$G546=$G$26,J$26,$G546=$G$29,J$29,$G546=$G$31,J$31,$G546=$G$34,J$34,$G546=$G$37,J$37,$G546=$G$107,J$107,$G546=$G$110,J$110,$G546=$G$140,J$140,$G546=$G$142,J$142,$G546=$G$408,J$408)</f>
        <v>68</v>
      </c>
      <c r="K546" s="13" t="str" cm="1">
        <f t="array" ref="K546">_xlfn.IFS($G546=$G$5,K$5,$G546=$G$7,K$7,$G546=$G$10,K$10,$G546=$G$13,K$13,$G546=$G$14,K$14,$G546=$G$16,K$16,$G546=$G$17,K$17,$G546=$G$19,K$19,$G546=$G$20,K$20,$G546=$G$22,K$22,$G546=$G$23,K$23,$G546=$G$26,K$26,$G546=$G$29,K$29,$G546=$G$31,K$31,$G546=$G$34,K$34,$G546=$G$37,K$37,$G546=$G$107,K$107,$G546=$G$110,K$110,$G546=$G$140,K$140,$G546=$G$142,K$142,$G546=$G$408,K$408)</f>
        <v>BG sentinel + BG lure7</v>
      </c>
      <c r="O546" s="13" t="str">
        <f t="shared" si="56"/>
        <v>A_SP_BCN_23_221011</v>
      </c>
      <c r="P546" s="27">
        <v>44845</v>
      </c>
      <c r="Q546" s="29">
        <v>0.56597222222222221</v>
      </c>
      <c r="R546" s="33"/>
      <c r="S546" s="27">
        <v>44852</v>
      </c>
      <c r="T546" s="29">
        <v>0.5625</v>
      </c>
      <c r="V546" s="13" t="s">
        <v>86</v>
      </c>
      <c r="X546" s="13">
        <f t="shared" si="52"/>
        <v>7</v>
      </c>
      <c r="Z546" s="13" t="s">
        <v>60</v>
      </c>
      <c r="AA546" s="13">
        <f t="shared" si="57"/>
        <v>25</v>
      </c>
      <c r="AB546" s="13" t="str">
        <f t="shared" si="53"/>
        <v>Adult</v>
      </c>
      <c r="AC546" s="13">
        <v>22</v>
      </c>
      <c r="AD546" s="13">
        <v>3</v>
      </c>
      <c r="AE546" s="13" t="str">
        <f t="shared" si="54"/>
        <v>Morphological</v>
      </c>
      <c r="AF546" s="2">
        <v>4</v>
      </c>
    </row>
    <row r="547" spans="1:32" x14ac:dyDescent="0.25">
      <c r="A547" s="13">
        <v>543</v>
      </c>
      <c r="B547" s="23" t="s">
        <v>56</v>
      </c>
      <c r="C547" s="23" t="s">
        <v>57</v>
      </c>
      <c r="D547" s="23" t="s">
        <v>58</v>
      </c>
      <c r="E547" s="23" t="s">
        <v>58</v>
      </c>
      <c r="F547" s="35" cm="1">
        <f t="array" ref="F547">_xlfn.IFS($G547=$G$5,F$5,$G547=$G$7,F$7,$G547=$G$10,F$10,$G547=$G$13,F$13,$G547=$G$14,F$14,$G547=$G$16,F$16,$G547=$G$17,F$17,$G547=$G$19,F$19,$G547=$G$20,F$20,$G547=$G$22,F$22,$G547=$G$23,F$23,$G547=$G$26,F$26,$G547=$G$29,F$29,$G547=$G$31,F$31,$G547=$G$34,F$34,$G547=$G$37,F$37,$G547=$G$107,F$107,$G547=$G$110,F$110,$G547=$G$140,F$140,$G547=$G$142,F$142,$G547=$G$408,F$408)</f>
        <v>8038</v>
      </c>
      <c r="G547" s="13" t="s">
        <v>79</v>
      </c>
      <c r="H547" s="51" cm="1">
        <f t="array" ref="H547">_xlfn.IFS($G547=$G$5,H$5,$G547=$G$7,H$7,$G547=$G$10,H$10,$G547=$G$13,H$13,$G547=$G$14,H$14,$G547=$G$16,H$16,$G547=$G$17,H$17,$G547=$G$19,H$19,$G547=$G$20,H$20,$G547=$G$22,H$22,$G547=$G$23,H$23,$G547=$G$26,H$26,$G547=$G$29,H$29,$G547=$G$31,H$31,$G547=$G$34,H$34,$G547=$G$37,H$37,$G547=$G$107,H$107,$G547=$G$110,H$110,$G547=$G$140,H$140,$G547=$G$142,H$142,$G547=$G$408,H$408)</f>
        <v>41.367100000000001</v>
      </c>
      <c r="I547" s="51" cm="1">
        <f t="array" ref="I547">_xlfn.IFS($G547=$G$5,I$5,$G547=$G$7,I$7,$G547=$G$10,I$10,$G547=$G$13,I$13,$G547=$G$14,I$14,$G547=$G$16,I$16,$G547=$G$17,I$17,$G547=$G$19,I$19,$G547=$G$20,I$20,$G547=$G$22,I$22,$G547=$G$23,I$23,$G547=$G$26,I$26,$G547=$G$29,I$29,$G547=$G$31,I$31,$G547=$G$34,I$34,$G547=$G$37,I$37,$G547=$G$107,I$107,$G547=$G$110,I$110,$G547=$G$140,I$140,$G547=$G$142,I$142,$G547=$G$408,I$408)</f>
        <v>2.1539079999999999</v>
      </c>
      <c r="J547" s="51" cm="1">
        <f t="array" ref="J547">_xlfn.IFS($G547=$G$5,J$5,$G547=$G$7,J$7,$G547=$G$10,J$10,$G547=$G$13,J$13,$G547=$G$14,J$14,$G547=$G$16,J$16,$G547=$G$17,J$17,$G547=$G$19,J$19,$G547=$G$20,J$20,$G547=$G$22,J$22,$G547=$G$23,J$23,$G547=$G$26,J$26,$G547=$G$29,J$29,$G547=$G$31,J$31,$G547=$G$34,J$34,$G547=$G$37,J$37,$G547=$G$107,J$107,$G547=$G$110,J$110,$G547=$G$140,J$140,$G547=$G$142,J$142,$G547=$G$408,J$408)</f>
        <v>68</v>
      </c>
      <c r="K547" s="13" t="str" cm="1">
        <f t="array" ref="K547">_xlfn.IFS($G547=$G$5,K$5,$G547=$G$7,K$7,$G547=$G$10,K$10,$G547=$G$13,K$13,$G547=$G$14,K$14,$G547=$G$16,K$16,$G547=$G$17,K$17,$G547=$G$19,K$19,$G547=$G$20,K$20,$G547=$G$22,K$22,$G547=$G$23,K$23,$G547=$G$26,K$26,$G547=$G$29,K$29,$G547=$G$31,K$31,$G547=$G$34,K$34,$G547=$G$37,K$37,$G547=$G$107,K$107,$G547=$G$110,K$110,$G547=$G$140,K$140,$G547=$G$142,K$142,$G547=$G$408,K$408)</f>
        <v>BG sentinel + BG lure7</v>
      </c>
      <c r="O547" s="13" t="str">
        <f t="shared" si="56"/>
        <v>A_SP_BCN_23_221011</v>
      </c>
      <c r="P547" s="27">
        <v>44845</v>
      </c>
      <c r="Q547" s="29">
        <v>0.56597222222222221</v>
      </c>
      <c r="R547" s="33"/>
      <c r="S547" s="27">
        <v>44852</v>
      </c>
      <c r="T547" s="29">
        <v>0.5625</v>
      </c>
      <c r="V547" s="13" t="s">
        <v>86</v>
      </c>
      <c r="X547" s="13">
        <f t="shared" si="52"/>
        <v>7</v>
      </c>
      <c r="Z547" s="13" t="s">
        <v>164</v>
      </c>
      <c r="AA547" s="13">
        <f t="shared" si="57"/>
        <v>15</v>
      </c>
      <c r="AB547" s="13" t="str">
        <f t="shared" si="53"/>
        <v>Adult</v>
      </c>
      <c r="AC547" s="13">
        <v>3</v>
      </c>
      <c r="AD547" s="13">
        <v>12</v>
      </c>
      <c r="AE547" s="13" t="str">
        <f t="shared" si="54"/>
        <v>Morphological</v>
      </c>
      <c r="AF547" s="2">
        <v>4</v>
      </c>
    </row>
    <row r="548" spans="1:32" x14ac:dyDescent="0.25">
      <c r="A548" s="13">
        <v>544</v>
      </c>
      <c r="B548" s="23" t="s">
        <v>56</v>
      </c>
      <c r="C548" s="23" t="s">
        <v>57</v>
      </c>
      <c r="D548" s="23" t="s">
        <v>58</v>
      </c>
      <c r="E548" s="23" t="s">
        <v>58</v>
      </c>
      <c r="F548" s="35" cm="1">
        <f t="array" ref="F548">_xlfn.IFS($G548=$G$5,F$5,$G548=$G$7,F$7,$G548=$G$10,F$10,$G548=$G$13,F$13,$G548=$G$14,F$14,$G548=$G$16,F$16,$G548=$G$17,F$17,$G548=$G$19,F$19,$G548=$G$20,F$20,$G548=$G$22,F$22,$G548=$G$23,F$23,$G548=$G$26,F$26,$G548=$G$29,F$29,$G548=$G$31,F$31,$G548=$G$34,F$34,$G548=$G$37,F$37,$G548=$G$107,F$107,$G548=$G$110,F$110,$G548=$G$140,F$140,$G548=$G$142,F$142,$G548=$G$408,F$408)</f>
        <v>8015</v>
      </c>
      <c r="G548" s="13" t="s">
        <v>78</v>
      </c>
      <c r="H548" s="51" cm="1">
        <f t="array" ref="H548">_xlfn.IFS($G548=$G$5,H$5,$G548=$G$7,H$7,$G548=$G$10,H$10,$G548=$G$13,H$13,$G548=$G$14,H$14,$G548=$G$16,H$16,$G548=$G$17,H$17,$G548=$G$19,H$19,$G548=$G$20,H$20,$G548=$G$22,H$22,$G548=$G$23,H$23,$G548=$G$26,H$26,$G548=$G$29,H$29,$G548=$G$31,H$31,$G548=$G$34,H$34,$G548=$G$37,H$37,$G548=$G$107,H$107,$G548=$G$110,H$110,$G548=$G$140,H$140,$G548=$G$142,H$142,$G548=$G$408,H$408)</f>
        <v>41.381725000000003</v>
      </c>
      <c r="I548" s="51" cm="1">
        <f t="array" ref="I548">_xlfn.IFS($G548=$G$5,I$5,$G548=$G$7,I$7,$G548=$G$10,I$10,$G548=$G$13,I$13,$G548=$G$14,I$14,$G548=$G$16,I$16,$G548=$G$17,I$17,$G548=$G$19,I$19,$G548=$G$20,I$20,$G548=$G$22,I$22,$G548=$G$23,I$23,$G548=$G$26,I$26,$G548=$G$29,I$29,$G548=$G$31,I$31,$G548=$G$34,I$34,$G548=$G$37,I$37,$G548=$G$107,I$107,$G548=$G$110,I$110,$G548=$G$140,I$140,$G548=$G$142,I$142,$G548=$G$408,I$408)</f>
        <v>2.1543679999999998</v>
      </c>
      <c r="J548" s="51" cm="1">
        <f t="array" ref="J548">_xlfn.IFS($G548=$G$5,J$5,$G548=$G$7,J$7,$G548=$G$10,J$10,$G548=$G$13,J$13,$G548=$G$14,J$14,$G548=$G$16,J$16,$G548=$G$17,J$17,$G548=$G$19,J$19,$G548=$G$20,J$20,$G548=$G$22,J$22,$G548=$G$23,J$23,$G548=$G$26,J$26,$G548=$G$29,J$29,$G548=$G$31,J$31,$G548=$G$34,J$34,$G548=$G$37,J$37,$G548=$G$107,J$107,$G548=$G$110,J$110,$G548=$G$140,J$140,$G548=$G$142,J$142,$G548=$G$408,J$408)</f>
        <v>20.7</v>
      </c>
      <c r="K548" s="13" t="str" cm="1">
        <f t="array" ref="K548">_xlfn.IFS($G548=$G$5,K$5,$G548=$G$7,K$7,$G548=$G$10,K$10,$G548=$G$13,K$13,$G548=$G$14,K$14,$G548=$G$16,K$16,$G548=$G$17,K$17,$G548=$G$19,K$19,$G548=$G$20,K$20,$G548=$G$22,K$22,$G548=$G$23,K$23,$G548=$G$26,K$26,$G548=$G$29,K$29,$G548=$G$31,K$31,$G548=$G$34,K$34,$G548=$G$37,K$37,$G548=$G$107,K$107,$G548=$G$110,K$110,$G548=$G$140,K$140,$G548=$G$142,K$142,$G548=$G$408,K$408)</f>
        <v>BG sentinel + BG lure7</v>
      </c>
      <c r="O548" s="13" t="str">
        <f t="shared" si="56"/>
        <v>A_SP_BCN_24_221011</v>
      </c>
      <c r="P548" s="27">
        <v>44845</v>
      </c>
      <c r="Q548" s="29">
        <v>0.88541666666666663</v>
      </c>
      <c r="R548" s="33"/>
      <c r="S548" s="27">
        <v>44852</v>
      </c>
      <c r="T548" s="29">
        <v>0.86805555555555547</v>
      </c>
      <c r="V548" s="13" t="s">
        <v>86</v>
      </c>
      <c r="X548" s="13">
        <f t="shared" si="52"/>
        <v>7</v>
      </c>
      <c r="Z548" s="13" t="s">
        <v>60</v>
      </c>
      <c r="AA548" s="13">
        <f t="shared" si="57"/>
        <v>129</v>
      </c>
      <c r="AB548" s="13" t="str">
        <f t="shared" si="53"/>
        <v>Adult</v>
      </c>
      <c r="AC548" s="13">
        <v>62</v>
      </c>
      <c r="AD548" s="13">
        <v>67</v>
      </c>
      <c r="AE548" s="13" t="str">
        <f t="shared" si="54"/>
        <v>Morphological</v>
      </c>
      <c r="AF548" s="2">
        <v>4</v>
      </c>
    </row>
    <row r="549" spans="1:32" x14ac:dyDescent="0.25">
      <c r="A549" s="13">
        <v>545</v>
      </c>
      <c r="B549" s="23" t="s">
        <v>56</v>
      </c>
      <c r="C549" s="23" t="s">
        <v>57</v>
      </c>
      <c r="D549" s="23" t="s">
        <v>58</v>
      </c>
      <c r="E549" s="23" t="s">
        <v>58</v>
      </c>
      <c r="F549" s="35" cm="1">
        <f t="array" ref="F549">_xlfn.IFS($G549=$G$5,F$5,$G549=$G$7,F$7,$G549=$G$10,F$10,$G549=$G$13,F$13,$G549=$G$14,F$14,$G549=$G$16,F$16,$G549=$G$17,F$17,$G549=$G$19,F$19,$G549=$G$20,F$20,$G549=$G$22,F$22,$G549=$G$23,F$23,$G549=$G$26,F$26,$G549=$G$29,F$29,$G549=$G$31,F$31,$G549=$G$34,F$34,$G549=$G$37,F$37,$G549=$G$107,F$107,$G549=$G$110,F$110,$G549=$G$140,F$140,$G549=$G$142,F$142,$G549=$G$408,F$408)</f>
        <v>8015</v>
      </c>
      <c r="G549" s="13" t="s">
        <v>78</v>
      </c>
      <c r="H549" s="51" cm="1">
        <f t="array" ref="H549">_xlfn.IFS($G549=$G$5,H$5,$G549=$G$7,H$7,$G549=$G$10,H$10,$G549=$G$13,H$13,$G549=$G$14,H$14,$G549=$G$16,H$16,$G549=$G$17,H$17,$G549=$G$19,H$19,$G549=$G$20,H$20,$G549=$G$22,H$22,$G549=$G$23,H$23,$G549=$G$26,H$26,$G549=$G$29,H$29,$G549=$G$31,H$31,$G549=$G$34,H$34,$G549=$G$37,H$37,$G549=$G$107,H$107,$G549=$G$110,H$110,$G549=$G$140,H$140,$G549=$G$142,H$142,$G549=$G$408,H$408)</f>
        <v>41.381725000000003</v>
      </c>
      <c r="I549" s="51" cm="1">
        <f t="array" ref="I549">_xlfn.IFS($G549=$G$5,I$5,$G549=$G$7,I$7,$G549=$G$10,I$10,$G549=$G$13,I$13,$G549=$G$14,I$14,$G549=$G$16,I$16,$G549=$G$17,I$17,$G549=$G$19,I$19,$G549=$G$20,I$20,$G549=$G$22,I$22,$G549=$G$23,I$23,$G549=$G$26,I$26,$G549=$G$29,I$29,$G549=$G$31,I$31,$G549=$G$34,I$34,$G549=$G$37,I$37,$G549=$G$107,I$107,$G549=$G$110,I$110,$G549=$G$140,I$140,$G549=$G$142,I$142,$G549=$G$408,I$408)</f>
        <v>2.1543679999999998</v>
      </c>
      <c r="J549" s="51" cm="1">
        <f t="array" ref="J549">_xlfn.IFS($G549=$G$5,J$5,$G549=$G$7,J$7,$G549=$G$10,J$10,$G549=$G$13,J$13,$G549=$G$14,J$14,$G549=$G$16,J$16,$G549=$G$17,J$17,$G549=$G$19,J$19,$G549=$G$20,J$20,$G549=$G$22,J$22,$G549=$G$23,J$23,$G549=$G$26,J$26,$G549=$G$29,J$29,$G549=$G$31,J$31,$G549=$G$34,J$34,$G549=$G$37,J$37,$G549=$G$107,J$107,$G549=$G$110,J$110,$G549=$G$140,J$140,$G549=$G$142,J$142,$G549=$G$408,J$408)</f>
        <v>20.7</v>
      </c>
      <c r="K549" s="13" t="str" cm="1">
        <f t="array" ref="K549">_xlfn.IFS($G549=$G$5,K$5,$G549=$G$7,K$7,$G549=$G$10,K$10,$G549=$G$13,K$13,$G549=$G$14,K$14,$G549=$G$16,K$16,$G549=$G$17,K$17,$G549=$G$19,K$19,$G549=$G$20,K$20,$G549=$G$22,K$22,$G549=$G$23,K$23,$G549=$G$26,K$26,$G549=$G$29,K$29,$G549=$G$31,K$31,$G549=$G$34,K$34,$G549=$G$37,K$37,$G549=$G$107,K$107,$G549=$G$110,K$110,$G549=$G$140,K$140,$G549=$G$142,K$142,$G549=$G$408,K$408)</f>
        <v>BG sentinel + BG lure7</v>
      </c>
      <c r="O549" s="13" t="str">
        <f t="shared" si="56"/>
        <v>A_SP_BCN_24_221011</v>
      </c>
      <c r="P549" s="27">
        <v>44845</v>
      </c>
      <c r="Q549" s="29">
        <v>0.88541666666666663</v>
      </c>
      <c r="R549" s="33"/>
      <c r="S549" s="27">
        <v>44852</v>
      </c>
      <c r="T549" s="29">
        <v>0.86805555555555547</v>
      </c>
      <c r="V549" s="13" t="s">
        <v>86</v>
      </c>
      <c r="X549" s="13">
        <f t="shared" si="52"/>
        <v>7</v>
      </c>
      <c r="Z549" s="13" t="s">
        <v>164</v>
      </c>
      <c r="AA549" s="13">
        <f t="shared" si="57"/>
        <v>7</v>
      </c>
      <c r="AB549" s="13" t="str">
        <f t="shared" si="53"/>
        <v>Adult</v>
      </c>
      <c r="AC549" s="13">
        <v>4</v>
      </c>
      <c r="AD549" s="13">
        <v>3</v>
      </c>
      <c r="AE549" s="13" t="str">
        <f t="shared" si="54"/>
        <v>Morphological</v>
      </c>
      <c r="AF549" s="2">
        <v>4</v>
      </c>
    </row>
    <row r="550" spans="1:32" x14ac:dyDescent="0.25">
      <c r="A550" s="13">
        <v>546</v>
      </c>
      <c r="B550" s="23" t="s">
        <v>56</v>
      </c>
      <c r="C550" s="23" t="s">
        <v>57</v>
      </c>
      <c r="D550" s="23" t="s">
        <v>58</v>
      </c>
      <c r="E550" s="23" t="s">
        <v>58</v>
      </c>
      <c r="F550" s="35" cm="1">
        <f t="array" ref="F550">_xlfn.IFS($G550=$G$5,F$5,$G550=$G$7,F$7,$G550=$G$10,F$10,$G550=$G$13,F$13,$G550=$G$14,F$14,$G550=$G$16,F$16,$G550=$G$17,F$17,$G550=$G$19,F$19,$G550=$G$20,F$20,$G550=$G$22,F$22,$G550=$G$23,F$23,$G550=$G$26,F$26,$G550=$G$29,F$29,$G550=$G$31,F$31,$G550=$G$34,F$34,$G550=$G$37,F$37,$G550=$G$107,F$107,$G550=$G$110,F$110,$G550=$G$140,F$140,$G550=$G$142,F$142,$G550=$G$408,F$408)</f>
        <v>8025</v>
      </c>
      <c r="G550" s="13" t="s">
        <v>122</v>
      </c>
      <c r="H550" s="51" cm="1">
        <f t="array" ref="H550">_xlfn.IFS($G550=$G$5,H$5,$G550=$G$7,H$7,$G550=$G$10,H$10,$G550=$G$13,H$13,$G550=$G$14,H$14,$G550=$G$16,H$16,$G550=$G$17,H$17,$G550=$G$19,H$19,$G550=$G$20,H$20,$G550=$G$22,H$22,$G550=$G$23,H$23,$G550=$G$26,H$26,$G550=$G$29,H$29,$G550=$G$31,H$31,$G550=$G$34,H$34,$G550=$G$37,H$37,$G550=$G$107,H$107,$G550=$G$110,H$110,$G550=$G$140,H$140,$G550=$G$142,H$142,$G550=$G$408,H$408)</f>
        <v>41.407992</v>
      </c>
      <c r="I550" s="51" cm="1">
        <f t="array" ref="I550">_xlfn.IFS($G550=$G$5,I$5,$G550=$G$7,I$7,$G550=$G$10,I$10,$G550=$G$13,I$13,$G550=$G$14,I$14,$G550=$G$16,I$16,$G550=$G$17,I$17,$G550=$G$19,I$19,$G550=$G$20,I$20,$G550=$G$22,I$22,$G550=$G$23,I$23,$G550=$G$26,I$26,$G550=$G$29,I$29,$G550=$G$31,I$31,$G550=$G$34,I$34,$G550=$G$37,I$37,$G550=$G$107,I$107,$G550=$G$110,I$110,$G550=$G$140,I$140,$G550=$G$142,I$142,$G550=$G$408,I$408)</f>
        <v>2.1679379999999999</v>
      </c>
      <c r="J550" s="51" cm="1">
        <f t="array" ref="J550">_xlfn.IFS($G550=$G$5,J$5,$G550=$G$7,J$7,$G550=$G$10,J$10,$G550=$G$13,J$13,$G550=$G$14,J$14,$G550=$G$16,J$16,$G550=$G$17,J$17,$G550=$G$19,J$19,$G550=$G$20,J$20,$G550=$G$22,J$22,$G550=$G$23,J$23,$G550=$G$26,J$26,$G550=$G$29,J$29,$G550=$G$31,J$31,$G550=$G$34,J$34,$G550=$G$37,J$37,$G550=$G$107,J$107,$G550=$G$110,J$110,$G550=$G$140,J$140,$G550=$G$142,J$142,$G550=$G$408,J$408)</f>
        <v>61</v>
      </c>
      <c r="K550" s="13" t="str" cm="1">
        <f t="array" ref="K550">_xlfn.IFS($G550=$G$5,K$5,$G550=$G$7,K$7,$G550=$G$10,K$10,$G550=$G$13,K$13,$G550=$G$14,K$14,$G550=$G$16,K$16,$G550=$G$17,K$17,$G550=$G$19,K$19,$G550=$G$20,K$20,$G550=$G$22,K$22,$G550=$G$23,K$23,$G550=$G$26,K$26,$G550=$G$29,K$29,$G550=$G$31,K$31,$G550=$G$34,K$34,$G550=$G$37,K$37,$G550=$G$107,K$107,$G550=$G$110,K$110,$G550=$G$140,K$140,$G550=$G$142,K$142,$G550=$G$408,K$408)</f>
        <v>BG sentinel</v>
      </c>
      <c r="O550" s="13" t="str">
        <f t="shared" si="56"/>
        <v>A_SP_BCN_25_221011</v>
      </c>
      <c r="P550" s="27">
        <v>44845</v>
      </c>
      <c r="Q550" s="29">
        <v>0.61111111111111105</v>
      </c>
      <c r="R550" s="33"/>
      <c r="S550" s="27">
        <v>44852</v>
      </c>
      <c r="T550" s="29">
        <v>0.60763888888888895</v>
      </c>
      <c r="V550" s="13" t="s">
        <v>86</v>
      </c>
      <c r="W550" t="s">
        <v>202</v>
      </c>
      <c r="X550" s="13">
        <f t="shared" si="52"/>
        <v>7</v>
      </c>
      <c r="Z550" s="13" t="s">
        <v>60</v>
      </c>
      <c r="AA550" s="13">
        <f t="shared" si="57"/>
        <v>11</v>
      </c>
      <c r="AB550" s="13" t="str">
        <f t="shared" si="53"/>
        <v>Adult</v>
      </c>
      <c r="AC550" s="13">
        <v>11</v>
      </c>
      <c r="AD550" s="13">
        <v>0</v>
      </c>
      <c r="AE550" s="13" t="str">
        <f t="shared" si="54"/>
        <v>Morphological</v>
      </c>
      <c r="AF550" s="2">
        <v>4</v>
      </c>
    </row>
    <row r="551" spans="1:32" x14ac:dyDescent="0.25">
      <c r="A551" s="13">
        <v>547</v>
      </c>
      <c r="B551" s="23" t="s">
        <v>56</v>
      </c>
      <c r="C551" s="23" t="s">
        <v>57</v>
      </c>
      <c r="D551" s="23" t="s">
        <v>58</v>
      </c>
      <c r="E551" s="23" t="s">
        <v>58</v>
      </c>
      <c r="F551" s="35" cm="1">
        <f t="array" ref="F551">_xlfn.IFS($G551=$G$5,F$5,$G551=$G$7,F$7,$G551=$G$10,F$10,$G551=$G$13,F$13,$G551=$G$14,F$14,$G551=$G$16,F$16,$G551=$G$17,F$17,$G551=$G$19,F$19,$G551=$G$20,F$20,$G551=$G$22,F$22,$G551=$G$23,F$23,$G551=$G$26,F$26,$G551=$G$29,F$29,$G551=$G$31,F$31,$G551=$G$34,F$34,$G551=$G$37,F$37,$G551=$G$107,F$107,$G551=$G$110,F$110,$G551=$G$140,F$140,$G551=$G$142,F$142,$G551=$G$408,F$408)</f>
        <v>8025</v>
      </c>
      <c r="G551" s="13" t="s">
        <v>122</v>
      </c>
      <c r="H551" s="51" cm="1">
        <f t="array" ref="H551">_xlfn.IFS($G551=$G$5,H$5,$G551=$G$7,H$7,$G551=$G$10,H$10,$G551=$G$13,H$13,$G551=$G$14,H$14,$G551=$G$16,H$16,$G551=$G$17,H$17,$G551=$G$19,H$19,$G551=$G$20,H$20,$G551=$G$22,H$22,$G551=$G$23,H$23,$G551=$G$26,H$26,$G551=$G$29,H$29,$G551=$G$31,H$31,$G551=$G$34,H$34,$G551=$G$37,H$37,$G551=$G$107,H$107,$G551=$G$110,H$110,$G551=$G$140,H$140,$G551=$G$142,H$142,$G551=$G$408,H$408)</f>
        <v>41.407992</v>
      </c>
      <c r="I551" s="51" cm="1">
        <f t="array" ref="I551">_xlfn.IFS($G551=$G$5,I$5,$G551=$G$7,I$7,$G551=$G$10,I$10,$G551=$G$13,I$13,$G551=$G$14,I$14,$G551=$G$16,I$16,$G551=$G$17,I$17,$G551=$G$19,I$19,$G551=$G$20,I$20,$G551=$G$22,I$22,$G551=$G$23,I$23,$G551=$G$26,I$26,$G551=$G$29,I$29,$G551=$G$31,I$31,$G551=$G$34,I$34,$G551=$G$37,I$37,$G551=$G$107,I$107,$G551=$G$110,I$110,$G551=$G$140,I$140,$G551=$G$142,I$142,$G551=$G$408,I$408)</f>
        <v>2.1679379999999999</v>
      </c>
      <c r="J551" s="51" cm="1">
        <f t="array" ref="J551">_xlfn.IFS($G551=$G$5,J$5,$G551=$G$7,J$7,$G551=$G$10,J$10,$G551=$G$13,J$13,$G551=$G$14,J$14,$G551=$G$16,J$16,$G551=$G$17,J$17,$G551=$G$19,J$19,$G551=$G$20,J$20,$G551=$G$22,J$22,$G551=$G$23,J$23,$G551=$G$26,J$26,$G551=$G$29,J$29,$G551=$G$31,J$31,$G551=$G$34,J$34,$G551=$G$37,J$37,$G551=$G$107,J$107,$G551=$G$110,J$110,$G551=$G$140,J$140,$G551=$G$142,J$142,$G551=$G$408,J$408)</f>
        <v>61</v>
      </c>
      <c r="K551" s="13" t="str" cm="1">
        <f t="array" ref="K551">_xlfn.IFS($G551=$G$5,K$5,$G551=$G$7,K$7,$G551=$G$10,K$10,$G551=$G$13,K$13,$G551=$G$14,K$14,$G551=$G$16,K$16,$G551=$G$17,K$17,$G551=$G$19,K$19,$G551=$G$20,K$20,$G551=$G$22,K$22,$G551=$G$23,K$23,$G551=$G$26,K$26,$G551=$G$29,K$29,$G551=$G$31,K$31,$G551=$G$34,K$34,$G551=$G$37,K$37,$G551=$G$107,K$107,$G551=$G$110,K$110,$G551=$G$140,K$140,$G551=$G$142,K$142,$G551=$G$408,K$408)</f>
        <v>BG sentinel</v>
      </c>
      <c r="O551" s="13" t="str">
        <f t="shared" si="56"/>
        <v>A_SP_BCN_25_221011</v>
      </c>
      <c r="P551" s="27">
        <v>44845</v>
      </c>
      <c r="Q551" s="29">
        <v>0.61111111111111105</v>
      </c>
      <c r="R551" s="33"/>
      <c r="S551" s="27">
        <v>44852</v>
      </c>
      <c r="T551" s="29">
        <v>0.60763888888888895</v>
      </c>
      <c r="V551" s="13" t="s">
        <v>86</v>
      </c>
      <c r="W551" t="s">
        <v>202</v>
      </c>
      <c r="X551" s="13">
        <f t="shared" si="52"/>
        <v>7</v>
      </c>
      <c r="Z551" s="13" t="s">
        <v>164</v>
      </c>
      <c r="AA551" s="13">
        <f t="shared" si="57"/>
        <v>22</v>
      </c>
      <c r="AB551" s="13" t="str">
        <f t="shared" si="53"/>
        <v>Adult</v>
      </c>
      <c r="AC551" s="13">
        <v>21</v>
      </c>
      <c r="AD551" s="13">
        <v>1</v>
      </c>
      <c r="AE551" s="13" t="str">
        <f t="shared" si="54"/>
        <v>Morphological</v>
      </c>
      <c r="AF551" s="2">
        <v>4</v>
      </c>
    </row>
    <row r="552" spans="1:32" x14ac:dyDescent="0.25">
      <c r="A552" s="13">
        <v>548</v>
      </c>
      <c r="B552" s="23" t="s">
        <v>56</v>
      </c>
      <c r="C552" s="23" t="s">
        <v>57</v>
      </c>
      <c r="D552" s="23" t="s">
        <v>58</v>
      </c>
      <c r="E552" s="23" t="s">
        <v>58</v>
      </c>
      <c r="F552" s="35" cm="1">
        <f t="array" ref="F552">_xlfn.IFS($G552=$G$5,F$5,$G552=$G$7,F$7,$G552=$G$10,F$10,$G552=$G$13,F$13,$G552=$G$14,F$14,$G552=$G$16,F$16,$G552=$G$17,F$17,$G552=$G$19,F$19,$G552=$G$20,F$20,$G552=$G$22,F$22,$G552=$G$23,F$23,$G552=$G$26,F$26,$G552=$G$29,F$29,$G552=$G$31,F$31,$G552=$G$34,F$34,$G552=$G$37,F$37,$G552=$G$107,F$107,$G552=$G$110,F$110,$G552=$G$140,F$140,$G552=$G$142,F$142,$G552=$G$408,F$408)</f>
        <v>8025</v>
      </c>
      <c r="G552" s="13" t="s">
        <v>122</v>
      </c>
      <c r="H552" s="51" cm="1">
        <f t="array" ref="H552">_xlfn.IFS($G552=$G$5,H$5,$G552=$G$7,H$7,$G552=$G$10,H$10,$G552=$G$13,H$13,$G552=$G$14,H$14,$G552=$G$16,H$16,$G552=$G$17,H$17,$G552=$G$19,H$19,$G552=$G$20,H$20,$G552=$G$22,H$22,$G552=$G$23,H$23,$G552=$G$26,H$26,$G552=$G$29,H$29,$G552=$G$31,H$31,$G552=$G$34,H$34,$G552=$G$37,H$37,$G552=$G$107,H$107,$G552=$G$110,H$110,$G552=$G$140,H$140,$G552=$G$142,H$142,$G552=$G$408,H$408)</f>
        <v>41.407992</v>
      </c>
      <c r="I552" s="51" cm="1">
        <f t="array" ref="I552">_xlfn.IFS($G552=$G$5,I$5,$G552=$G$7,I$7,$G552=$G$10,I$10,$G552=$G$13,I$13,$G552=$G$14,I$14,$G552=$G$16,I$16,$G552=$G$17,I$17,$G552=$G$19,I$19,$G552=$G$20,I$20,$G552=$G$22,I$22,$G552=$G$23,I$23,$G552=$G$26,I$26,$G552=$G$29,I$29,$G552=$G$31,I$31,$G552=$G$34,I$34,$G552=$G$37,I$37,$G552=$G$107,I$107,$G552=$G$110,I$110,$G552=$G$140,I$140,$G552=$G$142,I$142,$G552=$G$408,I$408)</f>
        <v>2.1679379999999999</v>
      </c>
      <c r="J552" s="51" cm="1">
        <f t="array" ref="J552">_xlfn.IFS($G552=$G$5,J$5,$G552=$G$7,J$7,$G552=$G$10,J$10,$G552=$G$13,J$13,$G552=$G$14,J$14,$G552=$G$16,J$16,$G552=$G$17,J$17,$G552=$G$19,J$19,$G552=$G$20,J$20,$G552=$G$22,J$22,$G552=$G$23,J$23,$G552=$G$26,J$26,$G552=$G$29,J$29,$G552=$G$31,J$31,$G552=$G$34,J$34,$G552=$G$37,J$37,$G552=$G$107,J$107,$G552=$G$110,J$110,$G552=$G$140,J$140,$G552=$G$142,J$142,$G552=$G$408,J$408)</f>
        <v>61</v>
      </c>
      <c r="K552" s="13" t="str" cm="1">
        <f t="array" ref="K552">_xlfn.IFS($G552=$G$5,K$5,$G552=$G$7,K$7,$G552=$G$10,K$10,$G552=$G$13,K$13,$G552=$G$14,K$14,$G552=$G$16,K$16,$G552=$G$17,K$17,$G552=$G$19,K$19,$G552=$G$20,K$20,$G552=$G$22,K$22,$G552=$G$23,K$23,$G552=$G$26,K$26,$G552=$G$29,K$29,$G552=$G$31,K$31,$G552=$G$34,K$34,$G552=$G$37,K$37,$G552=$G$107,K$107,$G552=$G$110,K$110,$G552=$G$140,K$140,$G552=$G$142,K$142,$G552=$G$408,K$408)</f>
        <v>BG sentinel</v>
      </c>
      <c r="O552" s="13" t="str">
        <f t="shared" si="56"/>
        <v>A_SP_BCN_25_221011</v>
      </c>
      <c r="P552" s="27">
        <v>44845</v>
      </c>
      <c r="Q552" s="29">
        <v>0.61111111111111105</v>
      </c>
      <c r="R552" s="33"/>
      <c r="S552" s="27">
        <v>44852</v>
      </c>
      <c r="T552" s="29">
        <v>0.60763888888888895</v>
      </c>
      <c r="V552" s="13" t="s">
        <v>86</v>
      </c>
      <c r="W552" t="s">
        <v>202</v>
      </c>
      <c r="X552" s="13">
        <f t="shared" si="52"/>
        <v>7</v>
      </c>
      <c r="Z552" s="32" t="s">
        <v>163</v>
      </c>
      <c r="AA552" s="13">
        <f t="shared" si="57"/>
        <v>1</v>
      </c>
      <c r="AB552" s="13" t="str">
        <f t="shared" si="53"/>
        <v>Adult</v>
      </c>
      <c r="AC552" s="13">
        <v>1</v>
      </c>
      <c r="AD552" s="13">
        <v>0</v>
      </c>
      <c r="AE552" s="13" t="str">
        <f t="shared" si="54"/>
        <v>Morphological</v>
      </c>
      <c r="AF552" s="2">
        <v>4</v>
      </c>
    </row>
    <row r="553" spans="1:32" x14ac:dyDescent="0.25">
      <c r="A553" s="13">
        <v>549</v>
      </c>
      <c r="B553" s="23" t="s">
        <v>56</v>
      </c>
      <c r="C553" s="23" t="s">
        <v>57</v>
      </c>
      <c r="D553" s="23" t="s">
        <v>58</v>
      </c>
      <c r="E553" s="23" t="s">
        <v>58</v>
      </c>
      <c r="F553" s="35" cm="1">
        <f t="array" ref="F553">_xlfn.IFS($G553=$G$5,F$5,$G553=$G$7,F$7,$G553=$G$10,F$10,$G553=$G$13,F$13,$G553=$G$14,F$14,$G553=$G$16,F$16,$G553=$G$17,F$17,$G553=$G$19,F$19,$G553=$G$20,F$20,$G553=$G$22,F$22,$G553=$G$23,F$23,$G553=$G$26,F$26,$G553=$G$29,F$29,$G553=$G$31,F$31,$G553=$G$34,F$34,$G553=$G$37,F$37,$G553=$G$107,F$107,$G553=$G$110,F$110,$G553=$G$140,F$140,$G553=$G$142,F$142,$G553=$G$408,F$408)</f>
        <v>8025</v>
      </c>
      <c r="G553" s="13" t="s">
        <v>104</v>
      </c>
      <c r="H553" s="51" cm="1">
        <f t="array" ref="H553">_xlfn.IFS($G553=$G$5,H$5,$G553=$G$7,H$7,$G553=$G$10,H$10,$G553=$G$13,H$13,$G553=$G$14,H$14,$G553=$G$16,H$16,$G553=$G$17,H$17,$G553=$G$19,H$19,$G553=$G$20,H$20,$G553=$G$22,H$22,$G553=$G$23,H$23,$G553=$G$26,H$26,$G553=$G$29,H$29,$G553=$G$31,H$31,$G553=$G$34,H$34,$G553=$G$37,H$37,$G553=$G$107,H$107,$G553=$G$110,H$110,$G553=$G$140,H$140,$G553=$G$142,H$142,$G553=$G$408,H$408)</f>
        <v>41.408046826557602</v>
      </c>
      <c r="I553" s="51" cm="1">
        <f t="array" ref="I553">_xlfn.IFS($G553=$G$5,I$5,$G553=$G$7,I$7,$G553=$G$10,I$10,$G553=$G$13,I$13,$G553=$G$14,I$14,$G553=$G$16,I$16,$G553=$G$17,I$17,$G553=$G$19,I$19,$G553=$G$20,I$20,$G553=$G$22,I$22,$G553=$G$23,I$23,$G553=$G$26,I$26,$G553=$G$29,I$29,$G553=$G$31,I$31,$G553=$G$34,I$34,$G553=$G$37,I$37,$G553=$G$107,I$107,$G553=$G$110,I$110,$G553=$G$140,I$140,$G553=$G$142,I$142,$G553=$G$408,I$408)</f>
        <v>2.1678084611616502</v>
      </c>
      <c r="J553" s="51" cm="1">
        <f t="array" ref="J553">_xlfn.IFS($G553=$G$5,J$5,$G553=$G$7,J$7,$G553=$G$10,J$10,$G553=$G$13,J$13,$G553=$G$14,J$14,$G553=$G$16,J$16,$G553=$G$17,J$17,$G553=$G$19,J$19,$G553=$G$20,J$20,$G553=$G$22,J$22,$G553=$G$23,J$23,$G553=$G$26,J$26,$G553=$G$29,J$29,$G553=$G$31,J$31,$G553=$G$34,J$34,$G553=$G$37,J$37,$G553=$G$107,J$107,$G553=$G$110,J$110,$G553=$G$140,J$140,$G553=$G$142,J$142,$G553=$G$408,J$408)</f>
        <v>61</v>
      </c>
      <c r="K553" s="13" t="str" cm="1">
        <f t="array" ref="K553">_xlfn.IFS($G553=$G$5,K$5,$G553=$G$7,K$7,$G553=$G$10,K$10,$G553=$G$13,K$13,$G553=$G$14,K$14,$G553=$G$16,K$16,$G553=$G$17,K$17,$G553=$G$19,K$19,$G553=$G$20,K$20,$G553=$G$22,K$22,$G553=$G$23,K$23,$G553=$G$26,K$26,$G553=$G$29,K$29,$G553=$G$31,K$31,$G553=$G$34,K$34,$G553=$G$37,K$37,$G553=$G$107,K$107,$G553=$G$110,K$110,$G553=$G$140,K$140,$G553=$G$142,K$142,$G553=$G$408,K$408)</f>
        <v>BG sentinel</v>
      </c>
      <c r="O553" s="13" t="str">
        <f t="shared" si="56"/>
        <v>A_SP_BCN_26_221011</v>
      </c>
      <c r="P553" s="27">
        <v>44845</v>
      </c>
      <c r="Q553" s="29">
        <v>0.61111111111111105</v>
      </c>
      <c r="R553" s="33"/>
      <c r="S553" s="27">
        <v>44852</v>
      </c>
      <c r="T553" s="29">
        <v>0.60763888888888895</v>
      </c>
      <c r="V553" s="13" t="s">
        <v>86</v>
      </c>
      <c r="X553" s="13">
        <f t="shared" si="52"/>
        <v>7</v>
      </c>
      <c r="Z553" s="13" t="s">
        <v>60</v>
      </c>
      <c r="AA553" s="13">
        <f t="shared" si="57"/>
        <v>70</v>
      </c>
      <c r="AB553" s="13" t="str">
        <f t="shared" si="53"/>
        <v>Adult</v>
      </c>
      <c r="AC553" s="13">
        <v>45</v>
      </c>
      <c r="AD553" s="13">
        <v>25</v>
      </c>
      <c r="AE553" s="13" t="str">
        <f t="shared" si="54"/>
        <v>Morphological</v>
      </c>
      <c r="AF553" s="2">
        <v>4</v>
      </c>
    </row>
    <row r="554" spans="1:32" x14ac:dyDescent="0.25">
      <c r="A554" s="13">
        <v>550</v>
      </c>
      <c r="B554" s="23" t="s">
        <v>56</v>
      </c>
      <c r="C554" s="23" t="s">
        <v>57</v>
      </c>
      <c r="D554" s="23" t="s">
        <v>58</v>
      </c>
      <c r="E554" s="23" t="s">
        <v>58</v>
      </c>
      <c r="F554" s="35" cm="1">
        <f t="array" ref="F554">_xlfn.IFS($G554=$G$5,F$5,$G554=$G$7,F$7,$G554=$G$10,F$10,$G554=$G$13,F$13,$G554=$G$14,F$14,$G554=$G$16,F$16,$G554=$G$17,F$17,$G554=$G$19,F$19,$G554=$G$20,F$20,$G554=$G$22,F$22,$G554=$G$23,F$23,$G554=$G$26,F$26,$G554=$G$29,F$29,$G554=$G$31,F$31,$G554=$G$34,F$34,$G554=$G$37,F$37,$G554=$G$107,F$107,$G554=$G$110,F$110,$G554=$G$140,F$140,$G554=$G$142,F$142,$G554=$G$408,F$408)</f>
        <v>8025</v>
      </c>
      <c r="G554" s="13" t="s">
        <v>104</v>
      </c>
      <c r="H554" s="51" cm="1">
        <f t="array" ref="H554">_xlfn.IFS($G554=$G$5,H$5,$G554=$G$7,H$7,$G554=$G$10,H$10,$G554=$G$13,H$13,$G554=$G$14,H$14,$G554=$G$16,H$16,$G554=$G$17,H$17,$G554=$G$19,H$19,$G554=$G$20,H$20,$G554=$G$22,H$22,$G554=$G$23,H$23,$G554=$G$26,H$26,$G554=$G$29,H$29,$G554=$G$31,H$31,$G554=$G$34,H$34,$G554=$G$37,H$37,$G554=$G$107,H$107,$G554=$G$110,H$110,$G554=$G$140,H$140,$G554=$G$142,H$142,$G554=$G$408,H$408)</f>
        <v>41.408046826557602</v>
      </c>
      <c r="I554" s="51" cm="1">
        <f t="array" ref="I554">_xlfn.IFS($G554=$G$5,I$5,$G554=$G$7,I$7,$G554=$G$10,I$10,$G554=$G$13,I$13,$G554=$G$14,I$14,$G554=$G$16,I$16,$G554=$G$17,I$17,$G554=$G$19,I$19,$G554=$G$20,I$20,$G554=$G$22,I$22,$G554=$G$23,I$23,$G554=$G$26,I$26,$G554=$G$29,I$29,$G554=$G$31,I$31,$G554=$G$34,I$34,$G554=$G$37,I$37,$G554=$G$107,I$107,$G554=$G$110,I$110,$G554=$G$140,I$140,$G554=$G$142,I$142,$G554=$G$408,I$408)</f>
        <v>2.1678084611616502</v>
      </c>
      <c r="J554" s="51" cm="1">
        <f t="array" ref="J554">_xlfn.IFS($G554=$G$5,J$5,$G554=$G$7,J$7,$G554=$G$10,J$10,$G554=$G$13,J$13,$G554=$G$14,J$14,$G554=$G$16,J$16,$G554=$G$17,J$17,$G554=$G$19,J$19,$G554=$G$20,J$20,$G554=$G$22,J$22,$G554=$G$23,J$23,$G554=$G$26,J$26,$G554=$G$29,J$29,$G554=$G$31,J$31,$G554=$G$34,J$34,$G554=$G$37,J$37,$G554=$G$107,J$107,$G554=$G$110,J$110,$G554=$G$140,J$140,$G554=$G$142,J$142,$G554=$G$408,J$408)</f>
        <v>61</v>
      </c>
      <c r="K554" s="13" t="str" cm="1">
        <f t="array" ref="K554">_xlfn.IFS($G554=$G$5,K$5,$G554=$G$7,K$7,$G554=$G$10,K$10,$G554=$G$13,K$13,$G554=$G$14,K$14,$G554=$G$16,K$16,$G554=$G$17,K$17,$G554=$G$19,K$19,$G554=$G$20,K$20,$G554=$G$22,K$22,$G554=$G$23,K$23,$G554=$G$26,K$26,$G554=$G$29,K$29,$G554=$G$31,K$31,$G554=$G$34,K$34,$G554=$G$37,K$37,$G554=$G$107,K$107,$G554=$G$110,K$110,$G554=$G$140,K$140,$G554=$G$142,K$142,$G554=$G$408,K$408)</f>
        <v>BG sentinel</v>
      </c>
      <c r="O554" s="13" t="str">
        <f t="shared" si="56"/>
        <v>A_SP_BCN_26_221011</v>
      </c>
      <c r="P554" s="27">
        <v>44845</v>
      </c>
      <c r="Q554" s="29">
        <v>0.61111111111111105</v>
      </c>
      <c r="R554" s="33"/>
      <c r="S554" s="27">
        <v>44852</v>
      </c>
      <c r="T554" s="29">
        <v>0.60763888888888895</v>
      </c>
      <c r="V554" s="13" t="s">
        <v>86</v>
      </c>
      <c r="W554" s="15" t="s">
        <v>145</v>
      </c>
      <c r="X554" s="13">
        <f t="shared" si="52"/>
        <v>7</v>
      </c>
      <c r="Z554" s="13" t="s">
        <v>164</v>
      </c>
      <c r="AA554" s="13">
        <f t="shared" si="57"/>
        <v>12</v>
      </c>
      <c r="AB554" s="13" t="str">
        <f t="shared" si="53"/>
        <v>Adult</v>
      </c>
      <c r="AC554" s="13">
        <v>12</v>
      </c>
      <c r="AD554" s="13">
        <v>0</v>
      </c>
      <c r="AE554" s="13" t="str">
        <f t="shared" si="54"/>
        <v>Morphological</v>
      </c>
      <c r="AF554" s="2">
        <v>4</v>
      </c>
    </row>
    <row r="555" spans="1:32" x14ac:dyDescent="0.25">
      <c r="A555" s="13">
        <v>551</v>
      </c>
      <c r="B555" s="23" t="s">
        <v>56</v>
      </c>
      <c r="C555" s="23" t="s">
        <v>57</v>
      </c>
      <c r="D555" s="23" t="s">
        <v>58</v>
      </c>
      <c r="E555" s="23" t="s">
        <v>58</v>
      </c>
      <c r="F555" s="35" cm="1">
        <f t="array" ref="F555">_xlfn.IFS($G555=$G$5,F$5,$G555=$G$7,F$7,$G555=$G$10,F$10,$G555=$G$13,F$13,$G555=$G$14,F$14,$G555=$G$16,F$16,$G555=$G$17,F$17,$G555=$G$19,F$19,$G555=$G$20,F$20,$G555=$G$22,F$22,$G555=$G$23,F$23,$G555=$G$26,F$26,$G555=$G$29,F$29,$G555=$G$31,F$31,$G555=$G$34,F$34,$G555=$G$37,F$37,$G555=$G$107,F$107,$G555=$G$110,F$110,$G555=$G$140,F$140,$G555=$G$142,F$142,$G555=$G$408,F$408)</f>
        <v>8025</v>
      </c>
      <c r="G555" s="13" t="s">
        <v>104</v>
      </c>
      <c r="H555" s="51" cm="1">
        <f t="array" ref="H555">_xlfn.IFS($G555=$G$5,H$5,$G555=$G$7,H$7,$G555=$G$10,H$10,$G555=$G$13,H$13,$G555=$G$14,H$14,$G555=$G$16,H$16,$G555=$G$17,H$17,$G555=$G$19,H$19,$G555=$G$20,H$20,$G555=$G$22,H$22,$G555=$G$23,H$23,$G555=$G$26,H$26,$G555=$G$29,H$29,$G555=$G$31,H$31,$G555=$G$34,H$34,$G555=$G$37,H$37,$G555=$G$107,H$107,$G555=$G$110,H$110,$G555=$G$140,H$140,$G555=$G$142,H$142,$G555=$G$408,H$408)</f>
        <v>41.408046826557602</v>
      </c>
      <c r="I555" s="51" cm="1">
        <f t="array" ref="I555">_xlfn.IFS($G555=$G$5,I$5,$G555=$G$7,I$7,$G555=$G$10,I$10,$G555=$G$13,I$13,$G555=$G$14,I$14,$G555=$G$16,I$16,$G555=$G$17,I$17,$G555=$G$19,I$19,$G555=$G$20,I$20,$G555=$G$22,I$22,$G555=$G$23,I$23,$G555=$G$26,I$26,$G555=$G$29,I$29,$G555=$G$31,I$31,$G555=$G$34,I$34,$G555=$G$37,I$37,$G555=$G$107,I$107,$G555=$G$110,I$110,$G555=$G$140,I$140,$G555=$G$142,I$142,$G555=$G$408,I$408)</f>
        <v>2.1678084611616502</v>
      </c>
      <c r="J555" s="51" cm="1">
        <f t="array" ref="J555">_xlfn.IFS($G555=$G$5,J$5,$G555=$G$7,J$7,$G555=$G$10,J$10,$G555=$G$13,J$13,$G555=$G$14,J$14,$G555=$G$16,J$16,$G555=$G$17,J$17,$G555=$G$19,J$19,$G555=$G$20,J$20,$G555=$G$22,J$22,$G555=$G$23,J$23,$G555=$G$26,J$26,$G555=$G$29,J$29,$G555=$G$31,J$31,$G555=$G$34,J$34,$G555=$G$37,J$37,$G555=$G$107,J$107,$G555=$G$110,J$110,$G555=$G$140,J$140,$G555=$G$142,J$142,$G555=$G$408,J$408)</f>
        <v>61</v>
      </c>
      <c r="K555" s="13" t="str" cm="1">
        <f t="array" ref="K555">_xlfn.IFS($G555=$G$5,K$5,$G555=$G$7,K$7,$G555=$G$10,K$10,$G555=$G$13,K$13,$G555=$G$14,K$14,$G555=$G$16,K$16,$G555=$G$17,K$17,$G555=$G$19,K$19,$G555=$G$20,K$20,$G555=$G$22,K$22,$G555=$G$23,K$23,$G555=$G$26,K$26,$G555=$G$29,K$29,$G555=$G$31,K$31,$G555=$G$34,K$34,$G555=$G$37,K$37,$G555=$G$107,K$107,$G555=$G$110,K$110,$G555=$G$140,K$140,$G555=$G$142,K$142,$G555=$G$408,K$408)</f>
        <v>BG sentinel</v>
      </c>
      <c r="O555" s="13" t="str">
        <f t="shared" si="56"/>
        <v>A_SP_BCN_26_221011</v>
      </c>
      <c r="P555" s="27">
        <v>44845</v>
      </c>
      <c r="Q555" s="29">
        <v>0.61111111111111105</v>
      </c>
      <c r="R555" s="33"/>
      <c r="S555" s="27">
        <v>44852</v>
      </c>
      <c r="T555" s="29">
        <v>0.60763888888888895</v>
      </c>
      <c r="V555" s="13" t="s">
        <v>86</v>
      </c>
      <c r="W555" s="15" t="s">
        <v>145</v>
      </c>
      <c r="X555" s="13">
        <f t="shared" si="52"/>
        <v>7</v>
      </c>
      <c r="Z555" s="32" t="s">
        <v>163</v>
      </c>
      <c r="AA555" s="13">
        <f t="shared" si="57"/>
        <v>3</v>
      </c>
      <c r="AB555" s="13" t="str">
        <f t="shared" si="53"/>
        <v>Adult</v>
      </c>
      <c r="AC555" s="13">
        <v>1</v>
      </c>
      <c r="AD555" s="13">
        <v>2</v>
      </c>
      <c r="AE555" s="13" t="str">
        <f t="shared" si="54"/>
        <v>Morphological</v>
      </c>
      <c r="AF555" s="2">
        <v>4</v>
      </c>
    </row>
    <row r="556" spans="1:32" x14ac:dyDescent="0.25">
      <c r="A556" s="13">
        <v>552</v>
      </c>
      <c r="B556" s="23" t="s">
        <v>56</v>
      </c>
      <c r="C556" s="23" t="s">
        <v>57</v>
      </c>
      <c r="D556" s="23" t="s">
        <v>58</v>
      </c>
      <c r="E556" s="23" t="s">
        <v>58</v>
      </c>
      <c r="F556" s="35" cm="1">
        <f t="array" ref="F556">_xlfn.IFS($G556=$G$5,F$5,$G556=$G$7,F$7,$G556=$G$10,F$10,$G556=$G$13,F$13,$G556=$G$14,F$14,$G556=$G$16,F$16,$G556=$G$17,F$17,$G556=$G$19,F$19,$G556=$G$20,F$20,$G556=$G$22,F$22,$G556=$G$23,F$23,$G556=$G$26,F$26,$G556=$G$29,F$29,$G556=$G$31,F$31,$G556=$G$34,F$34,$G556=$G$37,F$37,$G556=$G$107,F$107,$G556=$G$110,F$110,$G556=$G$140,F$140,$G556=$G$142,F$142,$G556=$G$408,F$408)</f>
        <v>8017</v>
      </c>
      <c r="G556" s="13" t="s">
        <v>97</v>
      </c>
      <c r="H556" s="51" cm="1">
        <f t="array" ref="H556">_xlfn.IFS($G556=$G$5,H$5,$G556=$G$7,H$7,$G556=$G$10,H$10,$G556=$G$13,H$13,$G556=$G$14,H$14,$G556=$G$16,H$16,$G556=$G$17,H$17,$G556=$G$19,H$19,$G556=$G$20,H$20,$G556=$G$22,H$22,$G556=$G$23,H$23,$G556=$G$26,H$26,$G556=$G$29,H$29,$G556=$G$31,H$31,$G556=$G$34,H$34,$G556=$G$37,H$37,$G556=$G$107,H$107,$G556=$G$110,H$110,$G556=$G$140,H$140,$G556=$G$142,H$142,$G556=$G$408,H$408)</f>
        <v>41.430372407595499</v>
      </c>
      <c r="I556" s="51" cm="1">
        <f t="array" ref="I556">_xlfn.IFS($G556=$G$5,I$5,$G556=$G$7,I$7,$G556=$G$10,I$10,$G556=$G$13,I$13,$G556=$G$14,I$14,$G556=$G$16,I$16,$G556=$G$17,I$17,$G556=$G$19,I$19,$G556=$G$20,I$20,$G556=$G$22,I$22,$G556=$G$23,I$23,$G556=$G$26,I$26,$G556=$G$29,I$29,$G556=$G$31,I$31,$G556=$G$34,I$34,$G556=$G$37,I$37,$G556=$G$107,I$107,$G556=$G$110,I$110,$G556=$G$140,I$140,$G556=$G$142,I$142,$G556=$G$408,I$408)</f>
        <v>2.0778358219819002</v>
      </c>
      <c r="J556" s="51" cm="1">
        <f t="array" ref="J556">_xlfn.IFS($G556=$G$5,J$5,$G556=$G$7,J$7,$G556=$G$10,J$10,$G556=$G$13,J$13,$G556=$G$14,J$14,$G556=$G$16,J$16,$G556=$G$17,J$17,$G556=$G$19,J$19,$G556=$G$20,J$20,$G556=$G$22,J$22,$G556=$G$23,J$23,$G556=$G$26,J$26,$G556=$G$29,J$29,$G556=$G$31,J$31,$G556=$G$34,J$34,$G556=$G$37,J$37,$G556=$G$107,J$107,$G556=$G$110,J$110,$G556=$G$140,J$140,$G556=$G$142,J$142,$G556=$G$408,J$408)</f>
        <v>242</v>
      </c>
      <c r="K556" s="13" t="str" cm="1">
        <f t="array" ref="K556">_xlfn.IFS($G556=$G$5,K$5,$G556=$G$7,K$7,$G556=$G$10,K$10,$G556=$G$13,K$13,$G556=$G$14,K$14,$G556=$G$16,K$16,$G556=$G$17,K$17,$G556=$G$19,K$19,$G556=$G$20,K$20,$G556=$G$22,K$22,$G556=$G$23,K$23,$G556=$G$26,K$26,$G556=$G$29,K$29,$G556=$G$31,K$31,$G556=$G$34,K$34,$G556=$G$37,K$37,$G556=$G$107,K$107,$G556=$G$110,K$110,$G556=$G$140,K$140,$G556=$G$142,K$142,$G556=$G$408,K$408)</f>
        <v>Mtego</v>
      </c>
      <c r="O556" s="13" t="str">
        <f t="shared" si="56"/>
        <v>Premal_1_221011</v>
      </c>
      <c r="P556" s="27">
        <v>44845</v>
      </c>
      <c r="Q556" s="29">
        <v>0.74305555555555547</v>
      </c>
      <c r="R556" s="33"/>
      <c r="S556" s="27">
        <v>44852</v>
      </c>
      <c r="T556" s="29">
        <v>0.73958333333333337</v>
      </c>
      <c r="V556" s="13" t="s">
        <v>86</v>
      </c>
      <c r="X556" s="13">
        <f t="shared" si="52"/>
        <v>7</v>
      </c>
      <c r="Z556" s="13" t="s">
        <v>60</v>
      </c>
      <c r="AA556" s="13">
        <f t="shared" si="57"/>
        <v>8</v>
      </c>
      <c r="AB556" s="13" t="str">
        <f t="shared" si="53"/>
        <v>Adult</v>
      </c>
      <c r="AC556" s="13">
        <v>8</v>
      </c>
      <c r="AD556" s="13">
        <v>0</v>
      </c>
      <c r="AE556" s="13" t="str">
        <f t="shared" si="54"/>
        <v>Morphological</v>
      </c>
      <c r="AF556" s="2">
        <v>4</v>
      </c>
    </row>
    <row r="557" spans="1:32" x14ac:dyDescent="0.25">
      <c r="A557" s="13">
        <v>553</v>
      </c>
      <c r="B557" s="23" t="s">
        <v>56</v>
      </c>
      <c r="C557" s="23" t="s">
        <v>57</v>
      </c>
      <c r="D557" s="23" t="s">
        <v>58</v>
      </c>
      <c r="E557" s="23" t="s">
        <v>58</v>
      </c>
      <c r="F557" s="35" cm="1">
        <f t="array" ref="F557">_xlfn.IFS($G557=$G$5,F$5,$G557=$G$7,F$7,$G557=$G$10,F$10,$G557=$G$13,F$13,$G557=$G$14,F$14,$G557=$G$16,F$16,$G557=$G$17,F$17,$G557=$G$19,F$19,$G557=$G$20,F$20,$G557=$G$22,F$22,$G557=$G$23,F$23,$G557=$G$26,F$26,$G557=$G$29,F$29,$G557=$G$31,F$31,$G557=$G$34,F$34,$G557=$G$37,F$37,$G557=$G$107,F$107,$G557=$G$110,F$110,$G557=$G$140,F$140,$G557=$G$142,F$142,$G557=$G$408,F$408)</f>
        <v>8017</v>
      </c>
      <c r="G557" s="13" t="s">
        <v>97</v>
      </c>
      <c r="H557" s="51" cm="1">
        <f t="array" ref="H557">_xlfn.IFS($G557=$G$5,H$5,$G557=$G$7,H$7,$G557=$G$10,H$10,$G557=$G$13,H$13,$G557=$G$14,H$14,$G557=$G$16,H$16,$G557=$G$17,H$17,$G557=$G$19,H$19,$G557=$G$20,H$20,$G557=$G$22,H$22,$G557=$G$23,H$23,$G557=$G$26,H$26,$G557=$G$29,H$29,$G557=$G$31,H$31,$G557=$G$34,H$34,$G557=$G$37,H$37,$G557=$G$107,H$107,$G557=$G$110,H$110,$G557=$G$140,H$140,$G557=$G$142,H$142,$G557=$G$408,H$408)</f>
        <v>41.430372407595499</v>
      </c>
      <c r="I557" s="51" cm="1">
        <f t="array" ref="I557">_xlfn.IFS($G557=$G$5,I$5,$G557=$G$7,I$7,$G557=$G$10,I$10,$G557=$G$13,I$13,$G557=$G$14,I$14,$G557=$G$16,I$16,$G557=$G$17,I$17,$G557=$G$19,I$19,$G557=$G$20,I$20,$G557=$G$22,I$22,$G557=$G$23,I$23,$G557=$G$26,I$26,$G557=$G$29,I$29,$G557=$G$31,I$31,$G557=$G$34,I$34,$G557=$G$37,I$37,$G557=$G$107,I$107,$G557=$G$110,I$110,$G557=$G$140,I$140,$G557=$G$142,I$142,$G557=$G$408,I$408)</f>
        <v>2.0778358219819002</v>
      </c>
      <c r="J557" s="51" cm="1">
        <f t="array" ref="J557">_xlfn.IFS($G557=$G$5,J$5,$G557=$G$7,J$7,$G557=$G$10,J$10,$G557=$G$13,J$13,$G557=$G$14,J$14,$G557=$G$16,J$16,$G557=$G$17,J$17,$G557=$G$19,J$19,$G557=$G$20,J$20,$G557=$G$22,J$22,$G557=$G$23,J$23,$G557=$G$26,J$26,$G557=$G$29,J$29,$G557=$G$31,J$31,$G557=$G$34,J$34,$G557=$G$37,J$37,$G557=$G$107,J$107,$G557=$G$110,J$110,$G557=$G$140,J$140,$G557=$G$142,J$142,$G557=$G$408,J$408)</f>
        <v>242</v>
      </c>
      <c r="K557" s="13" t="str" cm="1">
        <f t="array" ref="K557">_xlfn.IFS($G557=$G$5,K$5,$G557=$G$7,K$7,$G557=$G$10,K$10,$G557=$G$13,K$13,$G557=$G$14,K$14,$G557=$G$16,K$16,$G557=$G$17,K$17,$G557=$G$19,K$19,$G557=$G$20,K$20,$G557=$G$22,K$22,$G557=$G$23,K$23,$G557=$G$26,K$26,$G557=$G$29,K$29,$G557=$G$31,K$31,$G557=$G$34,K$34,$G557=$G$37,K$37,$G557=$G$107,K$107,$G557=$G$110,K$110,$G557=$G$140,K$140,$G557=$G$142,K$142,$G557=$G$408,K$408)</f>
        <v>Mtego</v>
      </c>
      <c r="O557" s="13" t="str">
        <f t="shared" si="56"/>
        <v>Premal_1_221011</v>
      </c>
      <c r="P557" s="27">
        <v>44845</v>
      </c>
      <c r="Q557" s="29">
        <v>0.74305555555555547</v>
      </c>
      <c r="R557" s="33"/>
      <c r="S557" s="27">
        <v>44852</v>
      </c>
      <c r="T557" s="29">
        <v>0.73958333333333337</v>
      </c>
      <c r="V557" s="13" t="s">
        <v>86</v>
      </c>
      <c r="X557" s="13">
        <f t="shared" si="52"/>
        <v>7</v>
      </c>
      <c r="Z557" s="13" t="s">
        <v>164</v>
      </c>
      <c r="AA557" s="13">
        <f t="shared" si="57"/>
        <v>3</v>
      </c>
      <c r="AB557" s="13" t="str">
        <f t="shared" si="53"/>
        <v>Adult</v>
      </c>
      <c r="AC557" s="13">
        <v>3</v>
      </c>
      <c r="AD557" s="13">
        <v>0</v>
      </c>
      <c r="AE557" s="13" t="str">
        <f t="shared" si="54"/>
        <v>Morphological</v>
      </c>
      <c r="AF557" s="2">
        <v>4</v>
      </c>
    </row>
    <row r="558" spans="1:32" x14ac:dyDescent="0.25">
      <c r="A558" s="13">
        <v>554</v>
      </c>
      <c r="B558" s="23" t="s">
        <v>56</v>
      </c>
      <c r="C558" s="23" t="s">
        <v>57</v>
      </c>
      <c r="D558" s="23" t="s">
        <v>58</v>
      </c>
      <c r="E558" s="23" t="s">
        <v>58</v>
      </c>
      <c r="F558" s="35" cm="1">
        <f t="array" ref="F558">_xlfn.IFS($G558=$G$5,F$5,$G558=$G$7,F$7,$G558=$G$10,F$10,$G558=$G$13,F$13,$G558=$G$14,F$14,$G558=$G$16,F$16,$G558=$G$17,F$17,$G558=$G$19,F$19,$G558=$G$20,F$20,$G558=$G$22,F$22,$G558=$G$23,F$23,$G558=$G$26,F$26,$G558=$G$29,F$29,$G558=$G$31,F$31,$G558=$G$34,F$34,$G558=$G$37,F$37,$G558=$G$107,F$107,$G558=$G$110,F$110,$G558=$G$140,F$140,$G558=$G$142,F$142,$G558=$G$408,F$408)</f>
        <v>8017</v>
      </c>
      <c r="G558" s="13" t="s">
        <v>97</v>
      </c>
      <c r="H558" s="51" cm="1">
        <f t="array" ref="H558">_xlfn.IFS($G558=$G$5,H$5,$G558=$G$7,H$7,$G558=$G$10,H$10,$G558=$G$13,H$13,$G558=$G$14,H$14,$G558=$G$16,H$16,$G558=$G$17,H$17,$G558=$G$19,H$19,$G558=$G$20,H$20,$G558=$G$22,H$22,$G558=$G$23,H$23,$G558=$G$26,H$26,$G558=$G$29,H$29,$G558=$G$31,H$31,$G558=$G$34,H$34,$G558=$G$37,H$37,$G558=$G$107,H$107,$G558=$G$110,H$110,$G558=$G$140,H$140,$G558=$G$142,H$142,$G558=$G$408,H$408)</f>
        <v>41.430372407595499</v>
      </c>
      <c r="I558" s="51" cm="1">
        <f t="array" ref="I558">_xlfn.IFS($G558=$G$5,I$5,$G558=$G$7,I$7,$G558=$G$10,I$10,$G558=$G$13,I$13,$G558=$G$14,I$14,$G558=$G$16,I$16,$G558=$G$17,I$17,$G558=$G$19,I$19,$G558=$G$20,I$20,$G558=$G$22,I$22,$G558=$G$23,I$23,$G558=$G$26,I$26,$G558=$G$29,I$29,$G558=$G$31,I$31,$G558=$G$34,I$34,$G558=$G$37,I$37,$G558=$G$107,I$107,$G558=$G$110,I$110,$G558=$G$140,I$140,$G558=$G$142,I$142,$G558=$G$408,I$408)</f>
        <v>2.0778358219819002</v>
      </c>
      <c r="J558" s="51" cm="1">
        <f t="array" ref="J558">_xlfn.IFS($G558=$G$5,J$5,$G558=$G$7,J$7,$G558=$G$10,J$10,$G558=$G$13,J$13,$G558=$G$14,J$14,$G558=$G$16,J$16,$G558=$G$17,J$17,$G558=$G$19,J$19,$G558=$G$20,J$20,$G558=$G$22,J$22,$G558=$G$23,J$23,$G558=$G$26,J$26,$G558=$G$29,J$29,$G558=$G$31,J$31,$G558=$G$34,J$34,$G558=$G$37,J$37,$G558=$G$107,J$107,$G558=$G$110,J$110,$G558=$G$140,J$140,$G558=$G$142,J$142,$G558=$G$408,J$408)</f>
        <v>242</v>
      </c>
      <c r="K558" s="13" t="str" cm="1">
        <f t="array" ref="K558">_xlfn.IFS($G558=$G$5,K$5,$G558=$G$7,K$7,$G558=$G$10,K$10,$G558=$G$13,K$13,$G558=$G$14,K$14,$G558=$G$16,K$16,$G558=$G$17,K$17,$G558=$G$19,K$19,$G558=$G$20,K$20,$G558=$G$22,K$22,$G558=$G$23,K$23,$G558=$G$26,K$26,$G558=$G$29,K$29,$G558=$G$31,K$31,$G558=$G$34,K$34,$G558=$G$37,K$37,$G558=$G$107,K$107,$G558=$G$110,K$110,$G558=$G$140,K$140,$G558=$G$142,K$142,$G558=$G$408,K$408)</f>
        <v>Mtego</v>
      </c>
      <c r="O558" s="13" t="str">
        <f t="shared" si="56"/>
        <v>Premal_1_221011</v>
      </c>
      <c r="P558" s="27">
        <v>44845</v>
      </c>
      <c r="Q558" s="29">
        <v>0.74305555555555547</v>
      </c>
      <c r="R558" s="33"/>
      <c r="S558" s="27">
        <v>44852</v>
      </c>
      <c r="T558" s="29">
        <v>0.73958333333333337</v>
      </c>
      <c r="V558" s="13" t="s">
        <v>86</v>
      </c>
      <c r="X558" s="13">
        <f t="shared" si="52"/>
        <v>7</v>
      </c>
      <c r="Z558" s="32" t="s">
        <v>163</v>
      </c>
      <c r="AA558" s="13">
        <f t="shared" si="57"/>
        <v>2</v>
      </c>
      <c r="AB558" s="13" t="str">
        <f t="shared" si="53"/>
        <v>Adult</v>
      </c>
      <c r="AC558" s="13">
        <v>2</v>
      </c>
      <c r="AD558" s="13">
        <v>0</v>
      </c>
      <c r="AE558" s="13" t="str">
        <f t="shared" si="54"/>
        <v>Morphological</v>
      </c>
      <c r="AF558" s="2">
        <v>4</v>
      </c>
    </row>
    <row r="559" spans="1:32" x14ac:dyDescent="0.25">
      <c r="A559" s="13">
        <v>555</v>
      </c>
      <c r="B559" s="23" t="s">
        <v>56</v>
      </c>
      <c r="C559" s="23" t="s">
        <v>57</v>
      </c>
      <c r="D559" s="23" t="s">
        <v>58</v>
      </c>
      <c r="E559" s="23" t="s">
        <v>58</v>
      </c>
      <c r="F559" s="35" cm="1">
        <f t="array" ref="F559">_xlfn.IFS($G559=$G$5,F$5,$G559=$G$7,F$7,$G559=$G$10,F$10,$G559=$G$13,F$13,$G559=$G$14,F$14,$G559=$G$16,F$16,$G559=$G$17,F$17,$G559=$G$19,F$19,$G559=$G$20,F$20,$G559=$G$22,F$22,$G559=$G$23,F$23,$G559=$G$26,F$26,$G559=$G$29,F$29,$G559=$G$31,F$31,$G559=$G$34,F$34,$G559=$G$37,F$37,$G559=$G$107,F$107,$G559=$G$110,F$110,$G559=$G$140,F$140,$G559=$G$142,F$142,$G559=$G$408,F$408)</f>
        <v>8035</v>
      </c>
      <c r="G559" s="13" t="s">
        <v>61</v>
      </c>
      <c r="H559" s="51" cm="1">
        <f t="array" ref="H559">_xlfn.IFS($G559=$G$5,H$5,$G559=$G$7,H$7,$G559=$G$10,H$10,$G559=$G$13,H$13,$G559=$G$14,H$14,$G559=$G$16,H$16,$G559=$G$17,H$17,$G559=$G$19,H$19,$G559=$G$20,H$20,$G559=$G$22,H$22,$G559=$G$23,H$23,$G559=$G$26,H$26,$G559=$G$29,H$29,$G559=$G$31,H$31,$G559=$G$34,H$34,$G559=$G$37,H$37,$G559=$G$107,H$107,$G559=$G$110,H$110,$G559=$G$140,H$140,$G559=$G$142,H$142,$G559=$G$408,H$408)</f>
        <v>41.424387000000003</v>
      </c>
      <c r="I559" s="51" cm="1">
        <f t="array" ref="I559">_xlfn.IFS($G559=$G$5,I$5,$G559=$G$7,I$7,$G559=$G$10,I$10,$G559=$G$13,I$13,$G559=$G$14,I$14,$G559=$G$16,I$16,$G559=$G$17,I$17,$G559=$G$19,I$19,$G559=$G$20,I$20,$G559=$G$22,I$22,$G559=$G$23,I$23,$G559=$G$26,I$26,$G559=$G$29,I$29,$G559=$G$31,I$31,$G559=$G$34,I$34,$G559=$G$37,I$37,$G559=$G$107,I$107,$G559=$G$110,I$110,$G559=$G$140,I$140,$G559=$G$142,I$142,$G559=$G$408,I$408)</f>
        <v>2.1431439999999999</v>
      </c>
      <c r="J559" s="51" cm="1">
        <f t="array" ref="J559">_xlfn.IFS($G559=$G$5,J$5,$G559=$G$7,J$7,$G559=$G$10,J$10,$G559=$G$13,J$13,$G559=$G$14,J$14,$G559=$G$16,J$16,$G559=$G$17,J$17,$G559=$G$19,J$19,$G559=$G$20,J$20,$G559=$G$22,J$22,$G559=$G$23,J$23,$G559=$G$26,J$26,$G559=$G$29,J$29,$G559=$G$31,J$31,$G559=$G$34,J$34,$G559=$G$37,J$37,$G559=$G$107,J$107,$G559=$G$110,J$110,$G559=$G$140,J$140,$G559=$G$142,J$142,$G559=$G$408,J$408)</f>
        <v>160</v>
      </c>
      <c r="K559" s="13" t="str" cm="1">
        <f t="array" ref="K559">_xlfn.IFS($G559=$G$5,K$5,$G559=$G$7,K$7,$G559=$G$10,K$10,$G559=$G$13,K$13,$G559=$G$14,K$14,$G559=$G$16,K$16,$G559=$G$17,K$17,$G559=$G$19,K$19,$G559=$G$20,K$20,$G559=$G$22,K$22,$G559=$G$23,K$23,$G559=$G$26,K$26,$G559=$G$29,K$29,$G559=$G$31,K$31,$G559=$G$34,K$34,$G559=$G$37,K$37,$G559=$G$107,K$107,$G559=$G$110,K$110,$G559=$G$140,K$140,$G559=$G$142,K$142,$G559=$G$408,K$408)</f>
        <v>BG sentinel + BG lure7</v>
      </c>
      <c r="O559" s="13" t="str">
        <f t="shared" si="56"/>
        <v>A_SP_BCN_2_221018</v>
      </c>
      <c r="P559" s="27">
        <v>44852</v>
      </c>
      <c r="Q559" s="29">
        <v>0.67361111111111116</v>
      </c>
      <c r="R559" s="33"/>
      <c r="S559" s="31">
        <v>44860</v>
      </c>
      <c r="T559" s="29">
        <v>0.65625</v>
      </c>
      <c r="V559" s="13" t="s">
        <v>86</v>
      </c>
      <c r="W559" s="15" t="s">
        <v>127</v>
      </c>
      <c r="X559" s="13">
        <f t="shared" si="52"/>
        <v>8</v>
      </c>
      <c r="Z559" s="13" t="s">
        <v>60</v>
      </c>
      <c r="AA559" s="13">
        <f t="shared" si="57"/>
        <v>13</v>
      </c>
      <c r="AB559" s="13" t="str">
        <f t="shared" si="53"/>
        <v>Adult</v>
      </c>
      <c r="AC559" s="13">
        <v>11</v>
      </c>
      <c r="AD559" s="13">
        <v>2</v>
      </c>
      <c r="AE559" s="13" t="str">
        <f t="shared" si="54"/>
        <v>Morphological</v>
      </c>
      <c r="AF559" s="2">
        <v>3</v>
      </c>
    </row>
    <row r="560" spans="1:32" x14ac:dyDescent="0.25">
      <c r="A560" s="13">
        <v>556</v>
      </c>
      <c r="B560" s="23" t="s">
        <v>56</v>
      </c>
      <c r="C560" s="23" t="s">
        <v>57</v>
      </c>
      <c r="D560" s="23" t="s">
        <v>58</v>
      </c>
      <c r="E560" s="23" t="s">
        <v>58</v>
      </c>
      <c r="F560" s="35" cm="1">
        <f t="array" ref="F560">_xlfn.IFS($G560=$G$5,F$5,$G560=$G$7,F$7,$G560=$G$10,F$10,$G560=$G$13,F$13,$G560=$G$14,F$14,$G560=$G$16,F$16,$G560=$G$17,F$17,$G560=$G$19,F$19,$G560=$G$20,F$20,$G560=$G$22,F$22,$G560=$G$23,F$23,$G560=$G$26,F$26,$G560=$G$29,F$29,$G560=$G$31,F$31,$G560=$G$34,F$34,$G560=$G$37,F$37,$G560=$G$107,F$107,$G560=$G$110,F$110,$G560=$G$140,F$140,$G560=$G$142,F$142,$G560=$G$408,F$408)</f>
        <v>8035</v>
      </c>
      <c r="G560" s="13" t="s">
        <v>61</v>
      </c>
      <c r="H560" s="51" cm="1">
        <f t="array" ref="H560">_xlfn.IFS($G560=$G$5,H$5,$G560=$G$7,H$7,$G560=$G$10,H$10,$G560=$G$13,H$13,$G560=$G$14,H$14,$G560=$G$16,H$16,$G560=$G$17,H$17,$G560=$G$19,H$19,$G560=$G$20,H$20,$G560=$G$22,H$22,$G560=$G$23,H$23,$G560=$G$26,H$26,$G560=$G$29,H$29,$G560=$G$31,H$31,$G560=$G$34,H$34,$G560=$G$37,H$37,$G560=$G$107,H$107,$G560=$G$110,H$110,$G560=$G$140,H$140,$G560=$G$142,H$142,$G560=$G$408,H$408)</f>
        <v>41.424387000000003</v>
      </c>
      <c r="I560" s="51" cm="1">
        <f t="array" ref="I560">_xlfn.IFS($G560=$G$5,I$5,$G560=$G$7,I$7,$G560=$G$10,I$10,$G560=$G$13,I$13,$G560=$G$14,I$14,$G560=$G$16,I$16,$G560=$G$17,I$17,$G560=$G$19,I$19,$G560=$G$20,I$20,$G560=$G$22,I$22,$G560=$G$23,I$23,$G560=$G$26,I$26,$G560=$G$29,I$29,$G560=$G$31,I$31,$G560=$G$34,I$34,$G560=$G$37,I$37,$G560=$G$107,I$107,$G560=$G$110,I$110,$G560=$G$140,I$140,$G560=$G$142,I$142,$G560=$G$408,I$408)</f>
        <v>2.1431439999999999</v>
      </c>
      <c r="J560" s="51" cm="1">
        <f t="array" ref="J560">_xlfn.IFS($G560=$G$5,J$5,$G560=$G$7,J$7,$G560=$G$10,J$10,$G560=$G$13,J$13,$G560=$G$14,J$14,$G560=$G$16,J$16,$G560=$G$17,J$17,$G560=$G$19,J$19,$G560=$G$20,J$20,$G560=$G$22,J$22,$G560=$G$23,J$23,$G560=$G$26,J$26,$G560=$G$29,J$29,$G560=$G$31,J$31,$G560=$G$34,J$34,$G560=$G$37,J$37,$G560=$G$107,J$107,$G560=$G$110,J$110,$G560=$G$140,J$140,$G560=$G$142,J$142,$G560=$G$408,J$408)</f>
        <v>160</v>
      </c>
      <c r="K560" s="13" t="str" cm="1">
        <f t="array" ref="K560">_xlfn.IFS($G560=$G$5,K$5,$G560=$G$7,K$7,$G560=$G$10,K$10,$G560=$G$13,K$13,$G560=$G$14,K$14,$G560=$G$16,K$16,$G560=$G$17,K$17,$G560=$G$19,K$19,$G560=$G$20,K$20,$G560=$G$22,K$22,$G560=$G$23,K$23,$G560=$G$26,K$26,$G560=$G$29,K$29,$G560=$G$31,K$31,$G560=$G$34,K$34,$G560=$G$37,K$37,$G560=$G$107,K$107,$G560=$G$110,K$110,$G560=$G$140,K$140,$G560=$G$142,K$142,$G560=$G$408,K$408)</f>
        <v>BG sentinel + BG lure7</v>
      </c>
      <c r="O560" s="13" t="str">
        <f t="shared" si="56"/>
        <v>A_SP_BCN_2_221018</v>
      </c>
      <c r="P560" s="27">
        <v>44852</v>
      </c>
      <c r="Q560" s="29">
        <v>0.67361111111111116</v>
      </c>
      <c r="R560" s="33"/>
      <c r="S560" s="31">
        <v>44860</v>
      </c>
      <c r="T560" s="29">
        <v>0.65625</v>
      </c>
      <c r="V560" s="13" t="s">
        <v>86</v>
      </c>
      <c r="W560" s="15" t="s">
        <v>127</v>
      </c>
      <c r="X560" s="13">
        <f t="shared" si="52"/>
        <v>8</v>
      </c>
      <c r="Z560" s="13" t="s">
        <v>164</v>
      </c>
      <c r="AA560" s="13">
        <f t="shared" si="57"/>
        <v>1</v>
      </c>
      <c r="AB560" s="13" t="str">
        <f t="shared" si="53"/>
        <v>Adult</v>
      </c>
      <c r="AC560" s="13">
        <v>1</v>
      </c>
      <c r="AD560" s="13">
        <v>0</v>
      </c>
      <c r="AE560" s="13" t="str">
        <f t="shared" si="54"/>
        <v>Morphological</v>
      </c>
      <c r="AF560" s="2">
        <v>3</v>
      </c>
    </row>
    <row r="561" spans="1:32" x14ac:dyDescent="0.25">
      <c r="A561" s="13">
        <v>557</v>
      </c>
      <c r="B561" s="23" t="s">
        <v>56</v>
      </c>
      <c r="C561" s="23" t="s">
        <v>57</v>
      </c>
      <c r="D561" s="23" t="s">
        <v>58</v>
      </c>
      <c r="E561" s="23" t="s">
        <v>58</v>
      </c>
      <c r="F561" s="35" cm="1">
        <f t="array" ref="F561">_xlfn.IFS($G561=$G$5,F$5,$G561=$G$7,F$7,$G561=$G$10,F$10,$G561=$G$13,F$13,$G561=$G$14,F$14,$G561=$G$16,F$16,$G561=$G$17,F$17,$G561=$G$19,F$19,$G561=$G$20,F$20,$G561=$G$22,F$22,$G561=$G$23,F$23,$G561=$G$26,F$26,$G561=$G$29,F$29,$G561=$G$31,F$31,$G561=$G$34,F$34,$G561=$G$37,F$37,$G561=$G$107,F$107,$G561=$G$110,F$110,$G561=$G$140,F$140,$G561=$G$142,F$142,$G561=$G$408,F$408)</f>
        <v>8016</v>
      </c>
      <c r="G561" s="13" t="s">
        <v>62</v>
      </c>
      <c r="H561" s="51" cm="1">
        <f t="array" ref="H561">_xlfn.IFS($G561=$G$5,H$5,$G561=$G$7,H$7,$G561=$G$10,H$10,$G561=$G$13,H$13,$G561=$G$14,H$14,$G561=$G$16,H$16,$G561=$G$17,H$17,$G561=$G$19,H$19,$G561=$G$20,H$20,$G561=$G$22,H$22,$G561=$G$23,H$23,$G561=$G$26,H$26,$G561=$G$29,H$29,$G561=$G$31,H$31,$G561=$G$34,H$34,$G561=$G$37,H$37,$G561=$G$107,H$107,$G561=$G$110,H$110,$G561=$G$140,H$140,$G561=$G$142,H$142,$G561=$G$408,H$408)</f>
        <v>41.437435000000001</v>
      </c>
      <c r="I561" s="51" cm="1">
        <f t="array" ref="I561">_xlfn.IFS($G561=$G$5,I$5,$G561=$G$7,I$7,$G561=$G$10,I$10,$G561=$G$13,I$13,$G561=$G$14,I$14,$G561=$G$16,I$16,$G561=$G$17,I$17,$G561=$G$19,I$19,$G561=$G$20,I$20,$G561=$G$22,I$22,$G561=$G$23,I$23,$G561=$G$26,I$26,$G561=$G$29,I$29,$G561=$G$31,I$31,$G561=$G$34,I$34,$G561=$G$37,I$37,$G561=$G$107,I$107,$G561=$G$110,I$110,$G561=$G$140,I$140,$G561=$G$142,I$142,$G561=$G$408,I$408)</f>
        <v>2.1812779999999998</v>
      </c>
      <c r="J561" s="51" cm="1">
        <f t="array" ref="J561">_xlfn.IFS($G561=$G$5,J$5,$G561=$G$7,J$7,$G561=$G$10,J$10,$G561=$G$13,J$13,$G561=$G$14,J$14,$G561=$G$16,J$16,$G561=$G$17,J$17,$G561=$G$19,J$19,$G561=$G$20,J$20,$G561=$G$22,J$22,$G561=$G$23,J$23,$G561=$G$26,J$26,$G561=$G$29,J$29,$G561=$G$31,J$31,$G561=$G$34,J$34,$G561=$G$37,J$37,$G561=$G$107,J$107,$G561=$G$110,J$110,$G561=$G$140,J$140,$G561=$G$142,J$142,$G561=$G$408,J$408)</f>
        <v>47</v>
      </c>
      <c r="K561" s="13" t="str" cm="1">
        <f t="array" ref="K561">_xlfn.IFS($G561=$G$5,K$5,$G561=$G$7,K$7,$G561=$G$10,K$10,$G561=$G$13,K$13,$G561=$G$14,K$14,$G561=$G$16,K$16,$G561=$G$17,K$17,$G561=$G$19,K$19,$G561=$G$20,K$20,$G561=$G$22,K$22,$G561=$G$23,K$23,$G561=$G$26,K$26,$G561=$G$29,K$29,$G561=$G$31,K$31,$G561=$G$34,K$34,$G561=$G$37,K$37,$G561=$G$107,K$107,$G561=$G$110,K$110,$G561=$G$140,K$140,$G561=$G$142,K$142,$G561=$G$408,K$408)</f>
        <v>BG sentinel + BG lure7</v>
      </c>
      <c r="O561" s="13" t="str">
        <f t="shared" si="56"/>
        <v>A_SP_BCN_3_221018</v>
      </c>
      <c r="P561" s="27">
        <v>44852</v>
      </c>
      <c r="Q561" s="29">
        <v>0.81597222222222221</v>
      </c>
      <c r="R561" s="33"/>
      <c r="S561" s="31">
        <v>44860</v>
      </c>
      <c r="T561" s="29">
        <v>0.79861111111111116</v>
      </c>
      <c r="V561" s="13" t="s">
        <v>86</v>
      </c>
      <c r="X561" s="13">
        <f t="shared" si="52"/>
        <v>8</v>
      </c>
      <c r="Z561" s="13" t="s">
        <v>60</v>
      </c>
      <c r="AA561" s="13">
        <f t="shared" si="57"/>
        <v>9</v>
      </c>
      <c r="AB561" s="13" t="str">
        <f t="shared" si="53"/>
        <v>Adult</v>
      </c>
      <c r="AC561" s="13">
        <v>7</v>
      </c>
      <c r="AD561" s="13">
        <v>2</v>
      </c>
      <c r="AE561" s="13" t="str">
        <f t="shared" si="54"/>
        <v>Morphological</v>
      </c>
      <c r="AF561" s="2">
        <v>4</v>
      </c>
    </row>
    <row r="562" spans="1:32" x14ac:dyDescent="0.25">
      <c r="A562" s="13">
        <v>558</v>
      </c>
      <c r="B562" s="23" t="s">
        <v>56</v>
      </c>
      <c r="C562" s="23" t="s">
        <v>57</v>
      </c>
      <c r="D562" s="23" t="s">
        <v>58</v>
      </c>
      <c r="E562" s="23" t="s">
        <v>58</v>
      </c>
      <c r="F562" s="35" cm="1">
        <f t="array" ref="F562">_xlfn.IFS($G562=$G$5,F$5,$G562=$G$7,F$7,$G562=$G$10,F$10,$G562=$G$13,F$13,$G562=$G$14,F$14,$G562=$G$16,F$16,$G562=$G$17,F$17,$G562=$G$19,F$19,$G562=$G$20,F$20,$G562=$G$22,F$22,$G562=$G$23,F$23,$G562=$G$26,F$26,$G562=$G$29,F$29,$G562=$G$31,F$31,$G562=$G$34,F$34,$G562=$G$37,F$37,$G562=$G$107,F$107,$G562=$G$110,F$110,$G562=$G$140,F$140,$G562=$G$142,F$142,$G562=$G$408,F$408)</f>
        <v>8016</v>
      </c>
      <c r="G562" s="13" t="s">
        <v>62</v>
      </c>
      <c r="H562" s="51" cm="1">
        <f t="array" ref="H562">_xlfn.IFS($G562=$G$5,H$5,$G562=$G$7,H$7,$G562=$G$10,H$10,$G562=$G$13,H$13,$G562=$G$14,H$14,$G562=$G$16,H$16,$G562=$G$17,H$17,$G562=$G$19,H$19,$G562=$G$20,H$20,$G562=$G$22,H$22,$G562=$G$23,H$23,$G562=$G$26,H$26,$G562=$G$29,H$29,$G562=$G$31,H$31,$G562=$G$34,H$34,$G562=$G$37,H$37,$G562=$G$107,H$107,$G562=$G$110,H$110,$G562=$G$140,H$140,$G562=$G$142,H$142,$G562=$G$408,H$408)</f>
        <v>41.437435000000001</v>
      </c>
      <c r="I562" s="51" cm="1">
        <f t="array" ref="I562">_xlfn.IFS($G562=$G$5,I$5,$G562=$G$7,I$7,$G562=$G$10,I$10,$G562=$G$13,I$13,$G562=$G$14,I$14,$G562=$G$16,I$16,$G562=$G$17,I$17,$G562=$G$19,I$19,$G562=$G$20,I$20,$G562=$G$22,I$22,$G562=$G$23,I$23,$G562=$G$26,I$26,$G562=$G$29,I$29,$G562=$G$31,I$31,$G562=$G$34,I$34,$G562=$G$37,I$37,$G562=$G$107,I$107,$G562=$G$110,I$110,$G562=$G$140,I$140,$G562=$G$142,I$142,$G562=$G$408,I$408)</f>
        <v>2.1812779999999998</v>
      </c>
      <c r="J562" s="51" cm="1">
        <f t="array" ref="J562">_xlfn.IFS($G562=$G$5,J$5,$G562=$G$7,J$7,$G562=$G$10,J$10,$G562=$G$13,J$13,$G562=$G$14,J$14,$G562=$G$16,J$16,$G562=$G$17,J$17,$G562=$G$19,J$19,$G562=$G$20,J$20,$G562=$G$22,J$22,$G562=$G$23,J$23,$G562=$G$26,J$26,$G562=$G$29,J$29,$G562=$G$31,J$31,$G562=$G$34,J$34,$G562=$G$37,J$37,$G562=$G$107,J$107,$G562=$G$110,J$110,$G562=$G$140,J$140,$G562=$G$142,J$142,$G562=$G$408,J$408)</f>
        <v>47</v>
      </c>
      <c r="K562" s="13" t="str" cm="1">
        <f t="array" ref="K562">_xlfn.IFS($G562=$G$5,K$5,$G562=$G$7,K$7,$G562=$G$10,K$10,$G562=$G$13,K$13,$G562=$G$14,K$14,$G562=$G$16,K$16,$G562=$G$17,K$17,$G562=$G$19,K$19,$G562=$G$20,K$20,$G562=$G$22,K$22,$G562=$G$23,K$23,$G562=$G$26,K$26,$G562=$G$29,K$29,$G562=$G$31,K$31,$G562=$G$34,K$34,$G562=$G$37,K$37,$G562=$G$107,K$107,$G562=$G$110,K$110,$G562=$G$140,K$140,$G562=$G$142,K$142,$G562=$G$408,K$408)</f>
        <v>BG sentinel + BG lure7</v>
      </c>
      <c r="O562" s="13" t="str">
        <f t="shared" si="56"/>
        <v>A_SP_BCN_3_221018</v>
      </c>
      <c r="P562" s="27">
        <v>44852</v>
      </c>
      <c r="Q562" s="29">
        <v>0.81597222222222221</v>
      </c>
      <c r="R562" s="33"/>
      <c r="S562" s="31">
        <v>44860</v>
      </c>
      <c r="T562" s="29">
        <v>0.79861111111111116</v>
      </c>
      <c r="V562" s="13" t="s">
        <v>86</v>
      </c>
      <c r="X562" s="13">
        <f t="shared" si="52"/>
        <v>8</v>
      </c>
      <c r="Z562" s="13" t="s">
        <v>164</v>
      </c>
      <c r="AA562" s="13">
        <f t="shared" si="57"/>
        <v>1</v>
      </c>
      <c r="AB562" s="13" t="str">
        <f t="shared" si="53"/>
        <v>Adult</v>
      </c>
      <c r="AC562" s="13">
        <v>1</v>
      </c>
      <c r="AD562" s="13">
        <v>0</v>
      </c>
      <c r="AE562" s="13" t="str">
        <f t="shared" si="54"/>
        <v>Morphological</v>
      </c>
      <c r="AF562" s="2">
        <v>4</v>
      </c>
    </row>
    <row r="563" spans="1:32" x14ac:dyDescent="0.25">
      <c r="A563" s="13">
        <v>559</v>
      </c>
      <c r="B563" s="23" t="s">
        <v>56</v>
      </c>
      <c r="C563" s="23" t="s">
        <v>57</v>
      </c>
      <c r="D563" s="23" t="s">
        <v>58</v>
      </c>
      <c r="E563" s="23" t="s">
        <v>58</v>
      </c>
      <c r="F563" s="35" cm="1">
        <f t="array" ref="F563">_xlfn.IFS($G563=$G$5,F$5,$G563=$G$7,F$7,$G563=$G$10,F$10,$G563=$G$13,F$13,$G563=$G$14,F$14,$G563=$G$16,F$16,$G563=$G$17,F$17,$G563=$G$19,F$19,$G563=$G$20,F$20,$G563=$G$22,F$22,$G563=$G$23,F$23,$G563=$G$26,F$26,$G563=$G$29,F$29,$G563=$G$31,F$31,$G563=$G$34,F$34,$G563=$G$37,F$37,$G563=$G$107,F$107,$G563=$G$110,F$110,$G563=$G$140,F$140,$G563=$G$142,F$142,$G563=$G$408,F$408)</f>
        <v>8018</v>
      </c>
      <c r="G563" s="13" t="s">
        <v>63</v>
      </c>
      <c r="H563" s="51" cm="1">
        <f t="array" ref="H563">_xlfn.IFS($G563=$G$5,H$5,$G563=$G$7,H$7,$G563=$G$10,H$10,$G563=$G$13,H$13,$G563=$G$14,H$14,$G563=$G$16,H$16,$G563=$G$17,H$17,$G563=$G$19,H$19,$G563=$G$20,H$20,$G563=$G$22,H$22,$G563=$G$23,H$23,$G563=$G$26,H$26,$G563=$G$29,H$29,$G563=$G$31,H$31,$G563=$G$34,H$34,$G563=$G$37,H$37,$G563=$G$107,H$107,$G563=$G$110,H$110,$G563=$G$140,H$140,$G563=$G$142,H$142,$G563=$G$408,H$408)</f>
        <v>41.404924999999999</v>
      </c>
      <c r="I563" s="51" cm="1">
        <f t="array" ref="I563">_xlfn.IFS($G563=$G$5,I$5,$G563=$G$7,I$7,$G563=$G$10,I$10,$G563=$G$13,I$13,$G563=$G$14,I$14,$G563=$G$16,I$16,$G563=$G$17,I$17,$G563=$G$19,I$19,$G563=$G$20,I$20,$G563=$G$22,I$22,$G563=$G$23,I$23,$G563=$G$26,I$26,$G563=$G$29,I$29,$G563=$G$31,I$31,$G563=$G$34,I$34,$G563=$G$37,I$37,$G563=$G$107,I$107,$G563=$G$110,I$110,$G563=$G$140,I$140,$G563=$G$142,I$142,$G563=$G$408,I$408)</f>
        <v>2.1987909999999999</v>
      </c>
      <c r="J563" s="51" cm="1">
        <f t="array" ref="J563">_xlfn.IFS($G563=$G$5,J$5,$G563=$G$7,J$7,$G563=$G$10,J$10,$G563=$G$13,J$13,$G563=$G$14,J$14,$G563=$G$16,J$16,$G563=$G$17,J$17,$G563=$G$19,J$19,$G563=$G$20,J$20,$G563=$G$22,J$22,$G563=$G$23,J$23,$G563=$G$26,J$26,$G563=$G$29,J$29,$G563=$G$31,J$31,$G563=$G$34,J$34,$G563=$G$37,J$37,$G563=$G$107,J$107,$G563=$G$110,J$110,$G563=$G$140,J$140,$G563=$G$142,J$142,$G563=$G$408,J$408)</f>
        <v>4</v>
      </c>
      <c r="K563" s="13" t="str" cm="1">
        <f t="array" ref="K563">_xlfn.IFS($G563=$G$5,K$5,$G563=$G$7,K$7,$G563=$G$10,K$10,$G563=$G$13,K$13,$G563=$G$14,K$14,$G563=$G$16,K$16,$G563=$G$17,K$17,$G563=$G$19,K$19,$G563=$G$20,K$20,$G563=$G$22,K$22,$G563=$G$23,K$23,$G563=$G$26,K$26,$G563=$G$29,K$29,$G563=$G$31,K$31,$G563=$G$34,K$34,$G563=$G$37,K$37,$G563=$G$107,K$107,$G563=$G$110,K$110,$G563=$G$140,K$140,$G563=$G$142,K$142,$G563=$G$408,K$408)</f>
        <v>BG sentinel + BG lure7</v>
      </c>
      <c r="O563" s="13" t="str">
        <f t="shared" si="56"/>
        <v>A_SP_BCN_4_221018</v>
      </c>
      <c r="P563" s="27">
        <v>44852</v>
      </c>
      <c r="Q563" s="29">
        <v>0.83333333333333337</v>
      </c>
      <c r="R563" s="33"/>
      <c r="S563" s="31">
        <v>44860</v>
      </c>
      <c r="T563" s="29">
        <v>0.8125</v>
      </c>
      <c r="V563" s="13" t="s">
        <v>86</v>
      </c>
      <c r="X563" s="13">
        <f t="shared" si="52"/>
        <v>8</v>
      </c>
      <c r="Z563" s="13" t="s">
        <v>60</v>
      </c>
      <c r="AA563" s="13">
        <f t="shared" si="57"/>
        <v>6</v>
      </c>
      <c r="AB563" s="13" t="str">
        <f t="shared" si="53"/>
        <v>Adult</v>
      </c>
      <c r="AC563" s="13">
        <v>5</v>
      </c>
      <c r="AD563" s="13">
        <v>1</v>
      </c>
      <c r="AE563" s="13" t="str">
        <f t="shared" si="54"/>
        <v>Morphological</v>
      </c>
      <c r="AF563" s="2">
        <v>4</v>
      </c>
    </row>
    <row r="564" spans="1:32" x14ac:dyDescent="0.25">
      <c r="A564" s="13">
        <v>560</v>
      </c>
      <c r="B564" s="23" t="s">
        <v>56</v>
      </c>
      <c r="C564" s="23" t="s">
        <v>57</v>
      </c>
      <c r="D564" s="23" t="s">
        <v>58</v>
      </c>
      <c r="E564" s="23" t="s">
        <v>58</v>
      </c>
      <c r="F564" s="35" cm="1">
        <f t="array" ref="F564">_xlfn.IFS($G564=$G$5,F$5,$G564=$G$7,F$7,$G564=$G$10,F$10,$G564=$G$13,F$13,$G564=$G$14,F$14,$G564=$G$16,F$16,$G564=$G$17,F$17,$G564=$G$19,F$19,$G564=$G$20,F$20,$G564=$G$22,F$22,$G564=$G$23,F$23,$G564=$G$26,F$26,$G564=$G$29,F$29,$G564=$G$31,F$31,$G564=$G$34,F$34,$G564=$G$37,F$37,$G564=$G$107,F$107,$G564=$G$110,F$110,$G564=$G$140,F$140,$G564=$G$142,F$142,$G564=$G$408,F$408)</f>
        <v>8018</v>
      </c>
      <c r="G564" s="13" t="s">
        <v>63</v>
      </c>
      <c r="H564" s="51" cm="1">
        <f t="array" ref="H564">_xlfn.IFS($G564=$G$5,H$5,$G564=$G$7,H$7,$G564=$G$10,H$10,$G564=$G$13,H$13,$G564=$G$14,H$14,$G564=$G$16,H$16,$G564=$G$17,H$17,$G564=$G$19,H$19,$G564=$G$20,H$20,$G564=$G$22,H$22,$G564=$G$23,H$23,$G564=$G$26,H$26,$G564=$G$29,H$29,$G564=$G$31,H$31,$G564=$G$34,H$34,$G564=$G$37,H$37,$G564=$G$107,H$107,$G564=$G$110,H$110,$G564=$G$140,H$140,$G564=$G$142,H$142,$G564=$G$408,H$408)</f>
        <v>41.404924999999999</v>
      </c>
      <c r="I564" s="51" cm="1">
        <f t="array" ref="I564">_xlfn.IFS($G564=$G$5,I$5,$G564=$G$7,I$7,$G564=$G$10,I$10,$G564=$G$13,I$13,$G564=$G$14,I$14,$G564=$G$16,I$16,$G564=$G$17,I$17,$G564=$G$19,I$19,$G564=$G$20,I$20,$G564=$G$22,I$22,$G564=$G$23,I$23,$G564=$G$26,I$26,$G564=$G$29,I$29,$G564=$G$31,I$31,$G564=$G$34,I$34,$G564=$G$37,I$37,$G564=$G$107,I$107,$G564=$G$110,I$110,$G564=$G$140,I$140,$G564=$G$142,I$142,$G564=$G$408,I$408)</f>
        <v>2.1987909999999999</v>
      </c>
      <c r="J564" s="51" cm="1">
        <f t="array" ref="J564">_xlfn.IFS($G564=$G$5,J$5,$G564=$G$7,J$7,$G564=$G$10,J$10,$G564=$G$13,J$13,$G564=$G$14,J$14,$G564=$G$16,J$16,$G564=$G$17,J$17,$G564=$G$19,J$19,$G564=$G$20,J$20,$G564=$G$22,J$22,$G564=$G$23,J$23,$G564=$G$26,J$26,$G564=$G$29,J$29,$G564=$G$31,J$31,$G564=$G$34,J$34,$G564=$G$37,J$37,$G564=$G$107,J$107,$G564=$G$110,J$110,$G564=$G$140,J$140,$G564=$G$142,J$142,$G564=$G$408,J$408)</f>
        <v>4</v>
      </c>
      <c r="K564" s="13" t="str" cm="1">
        <f t="array" ref="K564">_xlfn.IFS($G564=$G$5,K$5,$G564=$G$7,K$7,$G564=$G$10,K$10,$G564=$G$13,K$13,$G564=$G$14,K$14,$G564=$G$16,K$16,$G564=$G$17,K$17,$G564=$G$19,K$19,$G564=$G$20,K$20,$G564=$G$22,K$22,$G564=$G$23,K$23,$G564=$G$26,K$26,$G564=$G$29,K$29,$G564=$G$31,K$31,$G564=$G$34,K$34,$G564=$G$37,K$37,$G564=$G$107,K$107,$G564=$G$110,K$110,$G564=$G$140,K$140,$G564=$G$142,K$142,$G564=$G$408,K$408)</f>
        <v>BG sentinel + BG lure7</v>
      </c>
      <c r="O564" s="13" t="str">
        <f t="shared" si="56"/>
        <v>A_SP_BCN_4_221018</v>
      </c>
      <c r="P564" s="27">
        <v>44852</v>
      </c>
      <c r="Q564" s="29">
        <v>0.83333333333333337</v>
      </c>
      <c r="R564" s="33"/>
      <c r="S564" s="31">
        <v>44860</v>
      </c>
      <c r="T564" s="29">
        <v>0.8125</v>
      </c>
      <c r="V564" s="13" t="s">
        <v>86</v>
      </c>
      <c r="X564" s="13">
        <f t="shared" si="52"/>
        <v>8</v>
      </c>
      <c r="Z564" s="13" t="s">
        <v>164</v>
      </c>
      <c r="AA564" s="13">
        <f t="shared" si="57"/>
        <v>2</v>
      </c>
      <c r="AB564" s="13" t="str">
        <f t="shared" si="53"/>
        <v>Adult</v>
      </c>
      <c r="AC564" s="13">
        <v>2</v>
      </c>
      <c r="AD564" s="13">
        <v>0</v>
      </c>
      <c r="AE564" s="13" t="str">
        <f t="shared" si="54"/>
        <v>Morphological</v>
      </c>
      <c r="AF564" s="2">
        <v>4</v>
      </c>
    </row>
    <row r="565" spans="1:32" x14ac:dyDescent="0.25">
      <c r="A565" s="13">
        <v>561</v>
      </c>
      <c r="B565" s="23" t="s">
        <v>56</v>
      </c>
      <c r="C565" s="23" t="s">
        <v>57</v>
      </c>
      <c r="D565" s="23" t="s">
        <v>58</v>
      </c>
      <c r="E565" s="23" t="s">
        <v>58</v>
      </c>
      <c r="F565" s="35" cm="1">
        <f t="array" ref="F565">_xlfn.IFS($G565=$G$5,F$5,$G565=$G$7,F$7,$G565=$G$10,F$10,$G565=$G$13,F$13,$G565=$G$14,F$14,$G565=$G$16,F$16,$G565=$G$17,F$17,$G565=$G$19,F$19,$G565=$G$20,F$20,$G565=$G$22,F$22,$G565=$G$23,F$23,$G565=$G$26,F$26,$G565=$G$29,F$29,$G565=$G$31,F$31,$G565=$G$34,F$34,$G565=$G$37,F$37,$G565=$G$107,F$107,$G565=$G$110,F$110,$G565=$G$140,F$140,$G565=$G$142,F$142,$G565=$G$408,F$408)</f>
        <v>8018</v>
      </c>
      <c r="G565" s="13" t="s">
        <v>63</v>
      </c>
      <c r="H565" s="51" cm="1">
        <f t="array" ref="H565">_xlfn.IFS($G565=$G$5,H$5,$G565=$G$7,H$7,$G565=$G$10,H$10,$G565=$G$13,H$13,$G565=$G$14,H$14,$G565=$G$16,H$16,$G565=$G$17,H$17,$G565=$G$19,H$19,$G565=$G$20,H$20,$G565=$G$22,H$22,$G565=$G$23,H$23,$G565=$G$26,H$26,$G565=$G$29,H$29,$G565=$G$31,H$31,$G565=$G$34,H$34,$G565=$G$37,H$37,$G565=$G$107,H$107,$G565=$G$110,H$110,$G565=$G$140,H$140,$G565=$G$142,H$142,$G565=$G$408,H$408)</f>
        <v>41.404924999999999</v>
      </c>
      <c r="I565" s="51" cm="1">
        <f t="array" ref="I565">_xlfn.IFS($G565=$G$5,I$5,$G565=$G$7,I$7,$G565=$G$10,I$10,$G565=$G$13,I$13,$G565=$G$14,I$14,$G565=$G$16,I$16,$G565=$G$17,I$17,$G565=$G$19,I$19,$G565=$G$20,I$20,$G565=$G$22,I$22,$G565=$G$23,I$23,$G565=$G$26,I$26,$G565=$G$29,I$29,$G565=$G$31,I$31,$G565=$G$34,I$34,$G565=$G$37,I$37,$G565=$G$107,I$107,$G565=$G$110,I$110,$G565=$G$140,I$140,$G565=$G$142,I$142,$G565=$G$408,I$408)</f>
        <v>2.1987909999999999</v>
      </c>
      <c r="J565" s="51" cm="1">
        <f t="array" ref="J565">_xlfn.IFS($G565=$G$5,J$5,$G565=$G$7,J$7,$G565=$G$10,J$10,$G565=$G$13,J$13,$G565=$G$14,J$14,$G565=$G$16,J$16,$G565=$G$17,J$17,$G565=$G$19,J$19,$G565=$G$20,J$20,$G565=$G$22,J$22,$G565=$G$23,J$23,$G565=$G$26,J$26,$G565=$G$29,J$29,$G565=$G$31,J$31,$G565=$G$34,J$34,$G565=$G$37,J$37,$G565=$G$107,J$107,$G565=$G$110,J$110,$G565=$G$140,J$140,$G565=$G$142,J$142,$G565=$G$408,J$408)</f>
        <v>4</v>
      </c>
      <c r="K565" s="13" t="str" cm="1">
        <f t="array" ref="K565">_xlfn.IFS($G565=$G$5,K$5,$G565=$G$7,K$7,$G565=$G$10,K$10,$G565=$G$13,K$13,$G565=$G$14,K$14,$G565=$G$16,K$16,$G565=$G$17,K$17,$G565=$G$19,K$19,$G565=$G$20,K$20,$G565=$G$22,K$22,$G565=$G$23,K$23,$G565=$G$26,K$26,$G565=$G$29,K$29,$G565=$G$31,K$31,$G565=$G$34,K$34,$G565=$G$37,K$37,$G565=$G$107,K$107,$G565=$G$110,K$110,$G565=$G$140,K$140,$G565=$G$142,K$142,$G565=$G$408,K$408)</f>
        <v>BG sentinel + BG lure7</v>
      </c>
      <c r="O565" s="13" t="str">
        <f t="shared" si="56"/>
        <v>A_SP_BCN_4_221018</v>
      </c>
      <c r="P565" s="27">
        <v>44852</v>
      </c>
      <c r="Q565" s="29">
        <v>0.83333333333333337</v>
      </c>
      <c r="R565" s="33"/>
      <c r="S565" s="31">
        <v>44860</v>
      </c>
      <c r="T565" s="29">
        <v>0.8125</v>
      </c>
      <c r="V565" s="13" t="s">
        <v>86</v>
      </c>
      <c r="X565" s="13">
        <f t="shared" si="52"/>
        <v>8</v>
      </c>
      <c r="Z565" s="32" t="s">
        <v>163</v>
      </c>
      <c r="AA565" s="13">
        <f t="shared" si="57"/>
        <v>3</v>
      </c>
      <c r="AB565" s="13" t="str">
        <f t="shared" si="53"/>
        <v>Adult</v>
      </c>
      <c r="AC565" s="13">
        <v>2</v>
      </c>
      <c r="AD565" s="13">
        <v>1</v>
      </c>
      <c r="AE565" s="13" t="str">
        <f t="shared" si="54"/>
        <v>Morphological</v>
      </c>
      <c r="AF565" s="2">
        <v>4</v>
      </c>
    </row>
    <row r="566" spans="1:32" x14ac:dyDescent="0.25">
      <c r="A566" s="13">
        <v>562</v>
      </c>
      <c r="B566" s="23" t="s">
        <v>56</v>
      </c>
      <c r="C566" s="23" t="s">
        <v>57</v>
      </c>
      <c r="D566" s="23" t="s">
        <v>58</v>
      </c>
      <c r="E566" s="23" t="s">
        <v>58</v>
      </c>
      <c r="F566" s="35" cm="1">
        <f t="array" ref="F566">_xlfn.IFS($G566=$G$5,F$5,$G566=$G$7,F$7,$G566=$G$10,F$10,$G566=$G$13,F$13,$G566=$G$14,F$14,$G566=$G$16,F$16,$G566=$G$17,F$17,$G566=$G$19,F$19,$G566=$G$20,F$20,$G566=$G$22,F$22,$G566=$G$23,F$23,$G566=$G$26,F$26,$G566=$G$29,F$29,$G566=$G$31,F$31,$G566=$G$34,F$34,$G566=$G$37,F$37,$G566=$G$107,F$107,$G566=$G$110,F$110,$G566=$G$140,F$140,$G566=$G$142,F$142,$G566=$G$408,F$408)</f>
        <v>8019</v>
      </c>
      <c r="G566" s="13" t="s">
        <v>64</v>
      </c>
      <c r="H566" s="51" cm="1">
        <f t="array" ref="H566">_xlfn.IFS($G566=$G$5,H$5,$G566=$G$7,H$7,$G566=$G$10,H$10,$G566=$G$13,H$13,$G566=$G$14,H$14,$G566=$G$16,H$16,$G566=$G$17,H$17,$G566=$G$19,H$19,$G566=$G$20,H$20,$G566=$G$22,H$22,$G566=$G$23,H$23,$G566=$G$26,H$26,$G566=$G$29,H$29,$G566=$G$31,H$31,$G566=$G$34,H$34,$G566=$G$37,H$37,$G566=$G$107,H$107,$G566=$G$110,H$110,$G566=$G$140,H$140,$G566=$G$142,H$142,$G566=$G$408,H$408)</f>
        <v>41.410684000000003</v>
      </c>
      <c r="I566" s="51" cm="1">
        <f t="array" ref="I566">_xlfn.IFS($G566=$G$5,I$5,$G566=$G$7,I$7,$G566=$G$10,I$10,$G566=$G$13,I$13,$G566=$G$14,I$14,$G566=$G$16,I$16,$G566=$G$17,I$17,$G566=$G$19,I$19,$G566=$G$20,I$20,$G566=$G$22,I$22,$G566=$G$23,I$23,$G566=$G$26,I$26,$G566=$G$29,I$29,$G566=$G$31,I$31,$G566=$G$34,I$34,$G566=$G$37,I$37,$G566=$G$107,I$107,$G566=$G$110,I$110,$G566=$G$140,I$140,$G566=$G$142,I$142,$G566=$G$408,I$408)</f>
        <v>2.2208019999999999</v>
      </c>
      <c r="J566" s="51" cm="1">
        <f t="array" ref="J566">_xlfn.IFS($G566=$G$5,J$5,$G566=$G$7,J$7,$G566=$G$10,J$10,$G566=$G$13,J$13,$G566=$G$14,J$14,$G566=$G$16,J$16,$G566=$G$17,J$17,$G566=$G$19,J$19,$G566=$G$20,J$20,$G566=$G$22,J$22,$G566=$G$23,J$23,$G566=$G$26,J$26,$G566=$G$29,J$29,$G566=$G$31,J$31,$G566=$G$34,J$34,$G566=$G$37,J$37,$G566=$G$107,J$107,$G566=$G$110,J$110,$G566=$G$140,J$140,$G566=$G$142,J$142,$G566=$G$408,J$408)</f>
        <v>18</v>
      </c>
      <c r="K566" s="13" t="str" cm="1">
        <f t="array" ref="K566">_xlfn.IFS($G566=$G$5,K$5,$G566=$G$7,K$7,$G566=$G$10,K$10,$G566=$G$13,K$13,$G566=$G$14,K$14,$G566=$G$16,K$16,$G566=$G$17,K$17,$G566=$G$19,K$19,$G566=$G$20,K$20,$G566=$G$22,K$22,$G566=$G$23,K$23,$G566=$G$26,K$26,$G566=$G$29,K$29,$G566=$G$31,K$31,$G566=$G$34,K$34,$G566=$G$37,K$37,$G566=$G$107,K$107,$G566=$G$110,K$110,$G566=$G$140,K$140,$G566=$G$142,K$142,$G566=$G$408,K$408)</f>
        <v>BG sentinel + BG lure7</v>
      </c>
      <c r="O566" s="13" t="str">
        <f t="shared" si="56"/>
        <v>A_SP_BCN_5_221018</v>
      </c>
      <c r="P566" s="27">
        <v>44852</v>
      </c>
      <c r="Q566" s="29">
        <v>0.69097222222222221</v>
      </c>
      <c r="R566" s="33"/>
      <c r="S566" s="31">
        <v>44860</v>
      </c>
      <c r="T566" s="29">
        <v>0.67708333333333337</v>
      </c>
      <c r="V566" s="13" t="s">
        <v>86</v>
      </c>
      <c r="X566" s="13">
        <f t="shared" si="52"/>
        <v>8</v>
      </c>
      <c r="Z566" s="13" t="s">
        <v>164</v>
      </c>
      <c r="AA566" s="13">
        <f t="shared" si="57"/>
        <v>2</v>
      </c>
      <c r="AB566" s="13" t="str">
        <f t="shared" si="53"/>
        <v>Adult</v>
      </c>
      <c r="AC566" s="13">
        <v>1</v>
      </c>
      <c r="AD566" s="13">
        <v>1</v>
      </c>
      <c r="AE566" s="13" t="str">
        <f t="shared" si="54"/>
        <v>Morphological</v>
      </c>
      <c r="AF566" s="2">
        <v>4</v>
      </c>
    </row>
    <row r="567" spans="1:32" x14ac:dyDescent="0.25">
      <c r="A567" s="13">
        <v>563</v>
      </c>
      <c r="B567" s="23" t="s">
        <v>56</v>
      </c>
      <c r="C567" s="23" t="s">
        <v>57</v>
      </c>
      <c r="D567" s="23" t="s">
        <v>58</v>
      </c>
      <c r="E567" s="23" t="s">
        <v>58</v>
      </c>
      <c r="F567" s="35" cm="1">
        <f t="array" ref="F567">_xlfn.IFS($G567=$G$5,F$5,$G567=$G$7,F$7,$G567=$G$10,F$10,$G567=$G$13,F$13,$G567=$G$14,F$14,$G567=$G$16,F$16,$G567=$G$17,F$17,$G567=$G$19,F$19,$G567=$G$20,F$20,$G567=$G$22,F$22,$G567=$G$23,F$23,$G567=$G$26,F$26,$G567=$G$29,F$29,$G567=$G$31,F$31,$G567=$G$34,F$34,$G567=$G$37,F$37,$G567=$G$107,F$107,$G567=$G$110,F$110,$G567=$G$140,F$140,$G567=$G$142,F$142,$G567=$G$408,F$408)</f>
        <v>8002</v>
      </c>
      <c r="G567" s="13" t="s">
        <v>65</v>
      </c>
      <c r="H567" s="51" cm="1">
        <f t="array" ref="H567">_xlfn.IFS($G567=$G$5,H$5,$G567=$G$7,H$7,$G567=$G$10,H$10,$G567=$G$13,H$13,$G567=$G$14,H$14,$G567=$G$16,H$16,$G567=$G$17,H$17,$G567=$G$19,H$19,$G567=$G$20,H$20,$G567=$G$22,H$22,$G567=$G$23,H$23,$G567=$G$26,H$26,$G567=$G$29,H$29,$G567=$G$31,H$31,$G567=$G$34,H$34,$G567=$G$37,H$37,$G567=$G$107,H$107,$G567=$G$110,H$110,$G567=$G$140,H$140,$G567=$G$142,H$142,$G567=$G$408,H$408)</f>
        <v>41.382339999999999</v>
      </c>
      <c r="I567" s="51" cm="1">
        <f t="array" ref="I567">_xlfn.IFS($G567=$G$5,I$5,$G567=$G$7,I$7,$G567=$G$10,I$10,$G567=$G$13,I$13,$G567=$G$14,I$14,$G567=$G$16,I$16,$G567=$G$17,I$17,$G567=$G$19,I$19,$G567=$G$20,I$20,$G567=$G$22,I$22,$G567=$G$23,I$23,$G567=$G$26,I$26,$G567=$G$29,I$29,$G567=$G$31,I$31,$G567=$G$34,I$34,$G567=$G$37,I$37,$G567=$G$107,I$107,$G567=$G$110,I$110,$G567=$G$140,I$140,$G567=$G$142,I$142,$G567=$G$408,I$408)</f>
        <v>2.1714790000000002</v>
      </c>
      <c r="J567" s="51" cm="1">
        <f t="array" ref="J567">_xlfn.IFS($G567=$G$5,J$5,$G567=$G$7,J$7,$G567=$G$10,J$10,$G567=$G$13,J$13,$G567=$G$14,J$14,$G567=$G$16,J$16,$G567=$G$17,J$17,$G567=$G$19,J$19,$G567=$G$20,J$20,$G567=$G$22,J$22,$G567=$G$23,J$23,$G567=$G$26,J$26,$G567=$G$29,J$29,$G567=$G$31,J$31,$G567=$G$34,J$34,$G567=$G$37,J$37,$G567=$G$107,J$107,$G567=$G$110,J$110,$G567=$G$140,J$140,$G567=$G$142,J$142,$G567=$G$408,J$408)</f>
        <v>19</v>
      </c>
      <c r="K567" s="13" t="str" cm="1">
        <f t="array" ref="K567">_xlfn.IFS($G567=$G$5,K$5,$G567=$G$7,K$7,$G567=$G$10,K$10,$G567=$G$13,K$13,$G567=$G$14,K$14,$G567=$G$16,K$16,$G567=$G$17,K$17,$G567=$G$19,K$19,$G567=$G$20,K$20,$G567=$G$22,K$22,$G567=$G$23,K$23,$G567=$G$26,K$26,$G567=$G$29,K$29,$G567=$G$31,K$31,$G567=$G$34,K$34,$G567=$G$37,K$37,$G567=$G$107,K$107,$G567=$G$110,K$110,$G567=$G$140,K$140,$G567=$G$142,K$142,$G567=$G$408,K$408)</f>
        <v>BG sentinel + BG lure7</v>
      </c>
      <c r="O567" s="13" t="str">
        <f t="shared" si="56"/>
        <v>A_SP_BCN_6_221018</v>
      </c>
      <c r="P567" s="27">
        <v>44852</v>
      </c>
      <c r="Q567" s="29">
        <v>0.85416666666666663</v>
      </c>
      <c r="R567" s="33"/>
      <c r="S567" s="31">
        <v>44860</v>
      </c>
      <c r="T567" s="29">
        <v>0.84027777777777779</v>
      </c>
      <c r="V567" s="13" t="s">
        <v>86</v>
      </c>
      <c r="X567" s="13">
        <f t="shared" si="52"/>
        <v>8</v>
      </c>
      <c r="Z567" s="13" t="s">
        <v>60</v>
      </c>
      <c r="AA567" s="13">
        <f t="shared" si="57"/>
        <v>5</v>
      </c>
      <c r="AB567" s="13" t="str">
        <f t="shared" si="53"/>
        <v>Adult</v>
      </c>
      <c r="AC567" s="13">
        <v>4</v>
      </c>
      <c r="AD567" s="13">
        <v>1</v>
      </c>
      <c r="AE567" s="13" t="str">
        <f t="shared" si="54"/>
        <v>Morphological</v>
      </c>
      <c r="AF567" s="2">
        <v>4</v>
      </c>
    </row>
    <row r="568" spans="1:32" x14ac:dyDescent="0.25">
      <c r="A568" s="13">
        <v>564</v>
      </c>
      <c r="B568" s="23" t="s">
        <v>56</v>
      </c>
      <c r="C568" s="23" t="s">
        <v>57</v>
      </c>
      <c r="D568" s="23" t="s">
        <v>58</v>
      </c>
      <c r="E568" s="23" t="s">
        <v>58</v>
      </c>
      <c r="F568" s="35" cm="1">
        <f t="array" ref="F568">_xlfn.IFS($G568=$G$5,F$5,$G568=$G$7,F$7,$G568=$G$10,F$10,$G568=$G$13,F$13,$G568=$G$14,F$14,$G568=$G$16,F$16,$G568=$G$17,F$17,$G568=$G$19,F$19,$G568=$G$20,F$20,$G568=$G$22,F$22,$G568=$G$23,F$23,$G568=$G$26,F$26,$G568=$G$29,F$29,$G568=$G$31,F$31,$G568=$G$34,F$34,$G568=$G$37,F$37,$G568=$G$107,F$107,$G568=$G$110,F$110,$G568=$G$140,F$140,$G568=$G$142,F$142,$G568=$G$408,F$408)</f>
        <v>8002</v>
      </c>
      <c r="G568" s="13" t="s">
        <v>65</v>
      </c>
      <c r="H568" s="51" cm="1">
        <f t="array" ref="H568">_xlfn.IFS($G568=$G$5,H$5,$G568=$G$7,H$7,$G568=$G$10,H$10,$G568=$G$13,H$13,$G568=$G$14,H$14,$G568=$G$16,H$16,$G568=$G$17,H$17,$G568=$G$19,H$19,$G568=$G$20,H$20,$G568=$G$22,H$22,$G568=$G$23,H$23,$G568=$G$26,H$26,$G568=$G$29,H$29,$G568=$G$31,H$31,$G568=$G$34,H$34,$G568=$G$37,H$37,$G568=$G$107,H$107,$G568=$G$110,H$110,$G568=$G$140,H$140,$G568=$G$142,H$142,$G568=$G$408,H$408)</f>
        <v>41.382339999999999</v>
      </c>
      <c r="I568" s="51" cm="1">
        <f t="array" ref="I568">_xlfn.IFS($G568=$G$5,I$5,$G568=$G$7,I$7,$G568=$G$10,I$10,$G568=$G$13,I$13,$G568=$G$14,I$14,$G568=$G$16,I$16,$G568=$G$17,I$17,$G568=$G$19,I$19,$G568=$G$20,I$20,$G568=$G$22,I$22,$G568=$G$23,I$23,$G568=$G$26,I$26,$G568=$G$29,I$29,$G568=$G$31,I$31,$G568=$G$34,I$34,$G568=$G$37,I$37,$G568=$G$107,I$107,$G568=$G$110,I$110,$G568=$G$140,I$140,$G568=$G$142,I$142,$G568=$G$408,I$408)</f>
        <v>2.1714790000000002</v>
      </c>
      <c r="J568" s="51" cm="1">
        <f t="array" ref="J568">_xlfn.IFS($G568=$G$5,J$5,$G568=$G$7,J$7,$G568=$G$10,J$10,$G568=$G$13,J$13,$G568=$G$14,J$14,$G568=$G$16,J$16,$G568=$G$17,J$17,$G568=$G$19,J$19,$G568=$G$20,J$20,$G568=$G$22,J$22,$G568=$G$23,J$23,$G568=$G$26,J$26,$G568=$G$29,J$29,$G568=$G$31,J$31,$G568=$G$34,J$34,$G568=$G$37,J$37,$G568=$G$107,J$107,$G568=$G$110,J$110,$G568=$G$140,J$140,$G568=$G$142,J$142,$G568=$G$408,J$408)</f>
        <v>19</v>
      </c>
      <c r="K568" s="13" t="str" cm="1">
        <f t="array" ref="K568">_xlfn.IFS($G568=$G$5,K$5,$G568=$G$7,K$7,$G568=$G$10,K$10,$G568=$G$13,K$13,$G568=$G$14,K$14,$G568=$G$16,K$16,$G568=$G$17,K$17,$G568=$G$19,K$19,$G568=$G$20,K$20,$G568=$G$22,K$22,$G568=$G$23,K$23,$G568=$G$26,K$26,$G568=$G$29,K$29,$G568=$G$31,K$31,$G568=$G$34,K$34,$G568=$G$37,K$37,$G568=$G$107,K$107,$G568=$G$110,K$110,$G568=$G$140,K$140,$G568=$G$142,K$142,$G568=$G$408,K$408)</f>
        <v>BG sentinel + BG lure7</v>
      </c>
      <c r="O568" s="13" t="str">
        <f t="shared" si="56"/>
        <v>A_SP_BCN_6_221018</v>
      </c>
      <c r="P568" s="27">
        <v>44852</v>
      </c>
      <c r="Q568" s="29">
        <v>0.85416666666666663</v>
      </c>
      <c r="R568" s="33"/>
      <c r="S568" s="31">
        <v>44860</v>
      </c>
      <c r="T568" s="29">
        <v>0.84027777777777779</v>
      </c>
      <c r="V568" s="13" t="s">
        <v>86</v>
      </c>
      <c r="X568" s="13">
        <f t="shared" si="52"/>
        <v>8</v>
      </c>
      <c r="Z568" s="13" t="s">
        <v>164</v>
      </c>
      <c r="AA568" s="13">
        <f t="shared" si="57"/>
        <v>2</v>
      </c>
      <c r="AB568" s="13" t="str">
        <f t="shared" si="53"/>
        <v>Adult</v>
      </c>
      <c r="AC568" s="13">
        <v>1</v>
      </c>
      <c r="AD568" s="13">
        <v>1</v>
      </c>
      <c r="AE568" s="13" t="str">
        <f t="shared" si="54"/>
        <v>Morphological</v>
      </c>
      <c r="AF568" s="2">
        <v>4</v>
      </c>
    </row>
    <row r="569" spans="1:32" x14ac:dyDescent="0.25">
      <c r="A569" s="13">
        <v>565</v>
      </c>
      <c r="B569" s="23" t="s">
        <v>56</v>
      </c>
      <c r="C569" s="23" t="s">
        <v>57</v>
      </c>
      <c r="D569" s="23" t="s">
        <v>58</v>
      </c>
      <c r="E569" s="23" t="s">
        <v>58</v>
      </c>
      <c r="F569" s="35" cm="1">
        <f t="array" ref="F569">_xlfn.IFS($G569=$G$5,F$5,$G569=$G$7,F$7,$G569=$G$10,F$10,$G569=$G$13,F$13,$G569=$G$14,F$14,$G569=$G$16,F$16,$G569=$G$17,F$17,$G569=$G$19,F$19,$G569=$G$20,F$20,$G569=$G$22,F$22,$G569=$G$23,F$23,$G569=$G$26,F$26,$G569=$G$29,F$29,$G569=$G$31,F$31,$G569=$G$34,F$34,$G569=$G$37,F$37,$G569=$G$107,F$107,$G569=$G$110,F$110,$G569=$G$140,F$140,$G569=$G$142,F$142,$G569=$G$408,F$408)</f>
        <v>8040</v>
      </c>
      <c r="G569" s="13" t="s">
        <v>68</v>
      </c>
      <c r="H569" s="51" cm="1">
        <f t="array" ref="H569">_xlfn.IFS($G569=$G$5,H$5,$G569=$G$7,H$7,$G569=$G$10,H$10,$G569=$G$13,H$13,$G569=$G$14,H$14,$G569=$G$16,H$16,$G569=$G$17,H$17,$G569=$G$19,H$19,$G569=$G$20,H$20,$G569=$G$22,H$22,$G569=$G$23,H$23,$G569=$G$26,H$26,$G569=$G$29,H$29,$G569=$G$31,H$31,$G569=$G$34,H$34,$G569=$G$37,H$37,$G569=$G$107,H$107,$G569=$G$110,H$110,$G569=$G$140,H$140,$G569=$G$142,H$142,$G569=$G$408,H$408)</f>
        <v>41.343685000000001</v>
      </c>
      <c r="I569" s="51" cm="1">
        <f t="array" ref="I569">_xlfn.IFS($G569=$G$5,I$5,$G569=$G$7,I$7,$G569=$G$10,I$10,$G569=$G$13,I$13,$G569=$G$14,I$14,$G569=$G$16,I$16,$G569=$G$17,I$17,$G569=$G$19,I$19,$G569=$G$20,I$20,$G569=$G$22,I$22,$G569=$G$23,I$23,$G569=$G$26,I$26,$G569=$G$29,I$29,$G569=$G$31,I$31,$G569=$G$34,I$34,$G569=$G$37,I$37,$G569=$G$107,I$107,$G569=$G$110,I$110,$G569=$G$140,I$140,$G569=$G$142,I$142,$G569=$G$408,I$408)</f>
        <v>2.1441490000000001</v>
      </c>
      <c r="J569" s="51" cm="1">
        <f t="array" ref="J569">_xlfn.IFS($G569=$G$5,J$5,$G569=$G$7,J$7,$G569=$G$10,J$10,$G569=$G$13,J$13,$G569=$G$14,J$14,$G569=$G$16,J$16,$G569=$G$17,J$17,$G569=$G$19,J$19,$G569=$G$20,J$20,$G569=$G$22,J$22,$G569=$G$23,J$23,$G569=$G$26,J$26,$G569=$G$29,J$29,$G569=$G$31,J$31,$G569=$G$34,J$34,$G569=$G$37,J$37,$G569=$G$107,J$107,$G569=$G$110,J$110,$G569=$G$140,J$140,$G569=$G$142,J$142,$G569=$G$408,J$408)</f>
        <v>4</v>
      </c>
      <c r="K569" s="13" t="str" cm="1">
        <f t="array" ref="K569">_xlfn.IFS($G569=$G$5,K$5,$G569=$G$7,K$7,$G569=$G$10,K$10,$G569=$G$13,K$13,$G569=$G$14,K$14,$G569=$G$16,K$16,$G569=$G$17,K$17,$G569=$G$19,K$19,$G569=$G$20,K$20,$G569=$G$22,K$22,$G569=$G$23,K$23,$G569=$G$26,K$26,$G569=$G$29,K$29,$G569=$G$31,K$31,$G569=$G$34,K$34,$G569=$G$37,K$37,$G569=$G$107,K$107,$G569=$G$110,K$110,$G569=$G$140,K$140,$G569=$G$142,K$142,$G569=$G$408,K$408)</f>
        <v>BG sentinel + BG lure7</v>
      </c>
      <c r="O569" s="13" t="str">
        <f t="shared" si="56"/>
        <v>A_SP_BCN_10_221018</v>
      </c>
      <c r="P569" s="27">
        <v>44852</v>
      </c>
      <c r="Q569" s="29">
        <v>0.53472222222222221</v>
      </c>
      <c r="R569" s="33"/>
      <c r="S569" s="31">
        <v>44860</v>
      </c>
      <c r="T569" s="29">
        <v>0.53472222222222221</v>
      </c>
      <c r="V569" s="13" t="s">
        <v>86</v>
      </c>
      <c r="X569" s="13">
        <f t="shared" si="52"/>
        <v>8</v>
      </c>
      <c r="Z569" s="13" t="s">
        <v>60</v>
      </c>
      <c r="AA569" s="13">
        <f t="shared" si="57"/>
        <v>23</v>
      </c>
      <c r="AB569" s="13" t="str">
        <f t="shared" si="53"/>
        <v>Adult</v>
      </c>
      <c r="AC569" s="13">
        <v>18</v>
      </c>
      <c r="AD569" s="13">
        <v>5</v>
      </c>
      <c r="AE569" s="13" t="str">
        <f t="shared" si="54"/>
        <v>Morphological</v>
      </c>
      <c r="AF569" s="2">
        <v>4</v>
      </c>
    </row>
    <row r="570" spans="1:32" x14ac:dyDescent="0.25">
      <c r="A570" s="13">
        <v>566</v>
      </c>
      <c r="B570" s="23" t="s">
        <v>56</v>
      </c>
      <c r="C570" s="23" t="s">
        <v>57</v>
      </c>
      <c r="D570" s="23" t="s">
        <v>58</v>
      </c>
      <c r="E570" s="23" t="s">
        <v>58</v>
      </c>
      <c r="F570" s="35" cm="1">
        <f t="array" ref="F570">_xlfn.IFS($G570=$G$5,F$5,$G570=$G$7,F$7,$G570=$G$10,F$10,$G570=$G$13,F$13,$G570=$G$14,F$14,$G570=$G$16,F$16,$G570=$G$17,F$17,$G570=$G$19,F$19,$G570=$G$20,F$20,$G570=$G$22,F$22,$G570=$G$23,F$23,$G570=$G$26,F$26,$G570=$G$29,F$29,$G570=$G$31,F$31,$G570=$G$34,F$34,$G570=$G$37,F$37,$G570=$G$107,F$107,$G570=$G$110,F$110,$G570=$G$140,F$140,$G570=$G$142,F$142,$G570=$G$408,F$408)</f>
        <v>8040</v>
      </c>
      <c r="G570" s="13" t="s">
        <v>68</v>
      </c>
      <c r="H570" s="51" cm="1">
        <f t="array" ref="H570">_xlfn.IFS($G570=$G$5,H$5,$G570=$G$7,H$7,$G570=$G$10,H$10,$G570=$G$13,H$13,$G570=$G$14,H$14,$G570=$G$16,H$16,$G570=$G$17,H$17,$G570=$G$19,H$19,$G570=$G$20,H$20,$G570=$G$22,H$22,$G570=$G$23,H$23,$G570=$G$26,H$26,$G570=$G$29,H$29,$G570=$G$31,H$31,$G570=$G$34,H$34,$G570=$G$37,H$37,$G570=$G$107,H$107,$G570=$G$110,H$110,$G570=$G$140,H$140,$G570=$G$142,H$142,$G570=$G$408,H$408)</f>
        <v>41.343685000000001</v>
      </c>
      <c r="I570" s="51" cm="1">
        <f t="array" ref="I570">_xlfn.IFS($G570=$G$5,I$5,$G570=$G$7,I$7,$G570=$G$10,I$10,$G570=$G$13,I$13,$G570=$G$14,I$14,$G570=$G$16,I$16,$G570=$G$17,I$17,$G570=$G$19,I$19,$G570=$G$20,I$20,$G570=$G$22,I$22,$G570=$G$23,I$23,$G570=$G$26,I$26,$G570=$G$29,I$29,$G570=$G$31,I$31,$G570=$G$34,I$34,$G570=$G$37,I$37,$G570=$G$107,I$107,$G570=$G$110,I$110,$G570=$G$140,I$140,$G570=$G$142,I$142,$G570=$G$408,I$408)</f>
        <v>2.1441490000000001</v>
      </c>
      <c r="J570" s="51" cm="1">
        <f t="array" ref="J570">_xlfn.IFS($G570=$G$5,J$5,$G570=$G$7,J$7,$G570=$G$10,J$10,$G570=$G$13,J$13,$G570=$G$14,J$14,$G570=$G$16,J$16,$G570=$G$17,J$17,$G570=$G$19,J$19,$G570=$G$20,J$20,$G570=$G$22,J$22,$G570=$G$23,J$23,$G570=$G$26,J$26,$G570=$G$29,J$29,$G570=$G$31,J$31,$G570=$G$34,J$34,$G570=$G$37,J$37,$G570=$G$107,J$107,$G570=$G$110,J$110,$G570=$G$140,J$140,$G570=$G$142,J$142,$G570=$G$408,J$408)</f>
        <v>4</v>
      </c>
      <c r="K570" s="13" t="str" cm="1">
        <f t="array" ref="K570">_xlfn.IFS($G570=$G$5,K$5,$G570=$G$7,K$7,$G570=$G$10,K$10,$G570=$G$13,K$13,$G570=$G$14,K$14,$G570=$G$16,K$16,$G570=$G$17,K$17,$G570=$G$19,K$19,$G570=$G$20,K$20,$G570=$G$22,K$22,$G570=$G$23,K$23,$G570=$G$26,K$26,$G570=$G$29,K$29,$G570=$G$31,K$31,$G570=$G$34,K$34,$G570=$G$37,K$37,$G570=$G$107,K$107,$G570=$G$110,K$110,$G570=$G$140,K$140,$G570=$G$142,K$142,$G570=$G$408,K$408)</f>
        <v>BG sentinel + BG lure7</v>
      </c>
      <c r="O570" s="13" t="str">
        <f t="shared" si="56"/>
        <v>A_SP_BCN_10_221018</v>
      </c>
      <c r="P570" s="27">
        <v>44852</v>
      </c>
      <c r="Q570" s="29">
        <v>0.53472222222222221</v>
      </c>
      <c r="R570" s="33"/>
      <c r="S570" s="31">
        <v>44860</v>
      </c>
      <c r="T570" s="29">
        <v>0.53472222222222221</v>
      </c>
      <c r="V570" s="13" t="s">
        <v>86</v>
      </c>
      <c r="X570" s="13">
        <f t="shared" si="52"/>
        <v>8</v>
      </c>
      <c r="Z570" s="13" t="s">
        <v>164</v>
      </c>
      <c r="AA570" s="13">
        <f t="shared" si="57"/>
        <v>11</v>
      </c>
      <c r="AB570" s="13" t="str">
        <f t="shared" si="53"/>
        <v>Adult</v>
      </c>
      <c r="AC570" s="13">
        <v>10</v>
      </c>
      <c r="AD570" s="13">
        <v>1</v>
      </c>
      <c r="AE570" s="13" t="str">
        <f t="shared" si="54"/>
        <v>Morphological</v>
      </c>
      <c r="AF570" s="2">
        <v>4</v>
      </c>
    </row>
    <row r="571" spans="1:32" x14ac:dyDescent="0.25">
      <c r="A571" s="13">
        <v>567</v>
      </c>
      <c r="B571" s="23" t="s">
        <v>56</v>
      </c>
      <c r="C571" s="23" t="s">
        <v>57</v>
      </c>
      <c r="D571" s="23" t="s">
        <v>58</v>
      </c>
      <c r="E571" s="23" t="s">
        <v>58</v>
      </c>
      <c r="F571" s="35" cm="1">
        <f t="array" ref="F571">_xlfn.IFS($G571=$G$5,F$5,$G571=$G$7,F$7,$G571=$G$10,F$10,$G571=$G$13,F$13,$G571=$G$14,F$14,$G571=$G$16,F$16,$G571=$G$17,F$17,$G571=$G$19,F$19,$G571=$G$20,F$20,$G571=$G$22,F$22,$G571=$G$23,F$23,$G571=$G$26,F$26,$G571=$G$29,F$29,$G571=$G$31,F$31,$G571=$G$34,F$34,$G571=$G$37,F$37,$G571=$G$107,F$107,$G571=$G$110,F$110,$G571=$G$140,F$140,$G571=$G$142,F$142,$G571=$G$408,F$408)</f>
        <v>8038</v>
      </c>
      <c r="G571" s="13" t="s">
        <v>69</v>
      </c>
      <c r="H571" s="51" cm="1">
        <f t="array" ref="H571">_xlfn.IFS($G571=$G$5,H$5,$G571=$G$7,H$7,$G571=$G$10,H$10,$G571=$G$13,H$13,$G571=$G$14,H$14,$G571=$G$16,H$16,$G571=$G$17,H$17,$G571=$G$19,H$19,$G571=$G$20,H$20,$G571=$G$22,H$22,$G571=$G$23,H$23,$G571=$G$26,H$26,$G571=$G$29,H$29,$G571=$G$31,H$31,$G571=$G$34,H$34,$G571=$G$37,H$37,$G571=$G$107,H$107,$G571=$G$110,H$110,$G571=$G$140,H$140,$G571=$G$142,H$142,$G571=$G$408,H$408)</f>
        <v>41.363377999999997</v>
      </c>
      <c r="I571" s="51" cm="1">
        <f t="array" ref="I571">_xlfn.IFS($G571=$G$5,I$5,$G571=$G$7,I$7,$G571=$G$10,I$10,$G571=$G$13,I$13,$G571=$G$14,I$14,$G571=$G$16,I$16,$G571=$G$17,I$17,$G571=$G$19,I$19,$G571=$G$20,I$20,$G571=$G$22,I$22,$G571=$G$23,I$23,$G571=$G$26,I$26,$G571=$G$29,I$29,$G571=$G$31,I$31,$G571=$G$34,I$34,$G571=$G$37,I$37,$G571=$G$107,I$107,$G571=$G$110,I$110,$G571=$G$140,I$140,$G571=$G$142,I$142,$G571=$G$408,I$408)</f>
        <v>2.164879</v>
      </c>
      <c r="J571" s="51" cm="1">
        <f t="array" ref="J571">_xlfn.IFS($G571=$G$5,J$5,$G571=$G$7,J$7,$G571=$G$10,J$10,$G571=$G$13,J$13,$G571=$G$14,J$14,$G571=$G$16,J$16,$G571=$G$17,J$17,$G571=$G$19,J$19,$G571=$G$20,J$20,$G571=$G$22,J$22,$G571=$G$23,J$23,$G571=$G$26,J$26,$G571=$G$29,J$29,$G571=$G$31,J$31,$G571=$G$34,J$34,$G571=$G$37,J$37,$G571=$G$107,J$107,$G571=$G$110,J$110,$G571=$G$140,J$140,$G571=$G$142,J$142,$G571=$G$408,J$408)</f>
        <v>185</v>
      </c>
      <c r="K571" s="13" t="str" cm="1">
        <f t="array" ref="K571">_xlfn.IFS($G571=$G$5,K$5,$G571=$G$7,K$7,$G571=$G$10,K$10,$G571=$G$13,K$13,$G571=$G$14,K$14,$G571=$G$16,K$16,$G571=$G$17,K$17,$G571=$G$19,K$19,$G571=$G$20,K$20,$G571=$G$22,K$22,$G571=$G$23,K$23,$G571=$G$26,K$26,$G571=$G$29,K$29,$G571=$G$31,K$31,$G571=$G$34,K$34,$G571=$G$37,K$37,$G571=$G$107,K$107,$G571=$G$110,K$110,$G571=$G$140,K$140,$G571=$G$142,K$142,$G571=$G$408,K$408)</f>
        <v>BG sentinel + BG lure7</v>
      </c>
      <c r="O571" s="13" t="str">
        <f t="shared" si="56"/>
        <v>A_SP_BCN_12_221018</v>
      </c>
      <c r="P571" s="27">
        <v>44852</v>
      </c>
      <c r="Q571" s="29">
        <v>0.57638888888888895</v>
      </c>
      <c r="R571" s="33"/>
      <c r="S571" s="31">
        <v>44860</v>
      </c>
      <c r="T571" s="29">
        <v>0.57638888888888895</v>
      </c>
      <c r="V571" s="13" t="s">
        <v>86</v>
      </c>
      <c r="W571" s="15" t="s">
        <v>130</v>
      </c>
      <c r="X571" s="13">
        <f t="shared" si="52"/>
        <v>8</v>
      </c>
      <c r="Z571" s="13" t="s">
        <v>60</v>
      </c>
      <c r="AA571" s="13">
        <f t="shared" si="57"/>
        <v>6</v>
      </c>
      <c r="AB571" s="13" t="str">
        <f t="shared" si="53"/>
        <v>Adult</v>
      </c>
      <c r="AC571" s="13">
        <v>5</v>
      </c>
      <c r="AD571" s="13">
        <v>1</v>
      </c>
      <c r="AE571" s="13" t="str">
        <f t="shared" si="54"/>
        <v>Morphological</v>
      </c>
      <c r="AF571" s="2">
        <v>3</v>
      </c>
    </row>
    <row r="572" spans="1:32" x14ac:dyDescent="0.25">
      <c r="A572" s="13">
        <v>568</v>
      </c>
      <c r="B572" s="23" t="s">
        <v>56</v>
      </c>
      <c r="C572" s="23" t="s">
        <v>57</v>
      </c>
      <c r="D572" s="23" t="s">
        <v>58</v>
      </c>
      <c r="E572" s="23" t="s">
        <v>58</v>
      </c>
      <c r="F572" s="35" cm="1">
        <f t="array" ref="F572">_xlfn.IFS($G572=$G$5,F$5,$G572=$G$7,F$7,$G572=$G$10,F$10,$G572=$G$13,F$13,$G572=$G$14,F$14,$G572=$G$16,F$16,$G572=$G$17,F$17,$G572=$G$19,F$19,$G572=$G$20,F$20,$G572=$G$22,F$22,$G572=$G$23,F$23,$G572=$G$26,F$26,$G572=$G$29,F$29,$G572=$G$31,F$31,$G572=$G$34,F$34,$G572=$G$37,F$37,$G572=$G$107,F$107,$G572=$G$110,F$110,$G572=$G$140,F$140,$G572=$G$142,F$142,$G572=$G$408,F$408)</f>
        <v>8038</v>
      </c>
      <c r="G572" s="13" t="s">
        <v>69</v>
      </c>
      <c r="H572" s="51" cm="1">
        <f t="array" ref="H572">_xlfn.IFS($G572=$G$5,H$5,$G572=$G$7,H$7,$G572=$G$10,H$10,$G572=$G$13,H$13,$G572=$G$14,H$14,$G572=$G$16,H$16,$G572=$G$17,H$17,$G572=$G$19,H$19,$G572=$G$20,H$20,$G572=$G$22,H$22,$G572=$G$23,H$23,$G572=$G$26,H$26,$G572=$G$29,H$29,$G572=$G$31,H$31,$G572=$G$34,H$34,$G572=$G$37,H$37,$G572=$G$107,H$107,$G572=$G$110,H$110,$G572=$G$140,H$140,$G572=$G$142,H$142,$G572=$G$408,H$408)</f>
        <v>41.363377999999997</v>
      </c>
      <c r="I572" s="51" cm="1">
        <f t="array" ref="I572">_xlfn.IFS($G572=$G$5,I$5,$G572=$G$7,I$7,$G572=$G$10,I$10,$G572=$G$13,I$13,$G572=$G$14,I$14,$G572=$G$16,I$16,$G572=$G$17,I$17,$G572=$G$19,I$19,$G572=$G$20,I$20,$G572=$G$22,I$22,$G572=$G$23,I$23,$G572=$G$26,I$26,$G572=$G$29,I$29,$G572=$G$31,I$31,$G572=$G$34,I$34,$G572=$G$37,I$37,$G572=$G$107,I$107,$G572=$G$110,I$110,$G572=$G$140,I$140,$G572=$G$142,I$142,$G572=$G$408,I$408)</f>
        <v>2.164879</v>
      </c>
      <c r="J572" s="51" cm="1">
        <f t="array" ref="J572">_xlfn.IFS($G572=$G$5,J$5,$G572=$G$7,J$7,$G572=$G$10,J$10,$G572=$G$13,J$13,$G572=$G$14,J$14,$G572=$G$16,J$16,$G572=$G$17,J$17,$G572=$G$19,J$19,$G572=$G$20,J$20,$G572=$G$22,J$22,$G572=$G$23,J$23,$G572=$G$26,J$26,$G572=$G$29,J$29,$G572=$G$31,J$31,$G572=$G$34,J$34,$G572=$G$37,J$37,$G572=$G$107,J$107,$G572=$G$110,J$110,$G572=$G$140,J$140,$G572=$G$142,J$142,$G572=$G$408,J$408)</f>
        <v>185</v>
      </c>
      <c r="K572" s="13" t="str" cm="1">
        <f t="array" ref="K572">_xlfn.IFS($G572=$G$5,K$5,$G572=$G$7,K$7,$G572=$G$10,K$10,$G572=$G$13,K$13,$G572=$G$14,K$14,$G572=$G$16,K$16,$G572=$G$17,K$17,$G572=$G$19,K$19,$G572=$G$20,K$20,$G572=$G$22,K$22,$G572=$G$23,K$23,$G572=$G$26,K$26,$G572=$G$29,K$29,$G572=$G$31,K$31,$G572=$G$34,K$34,$G572=$G$37,K$37,$G572=$G$107,K$107,$G572=$G$110,K$110,$G572=$G$140,K$140,$G572=$G$142,K$142,$G572=$G$408,K$408)</f>
        <v>BG sentinel + BG lure7</v>
      </c>
      <c r="O572" s="13" t="str">
        <f t="shared" si="56"/>
        <v>A_SP_BCN_12_221018</v>
      </c>
      <c r="P572" s="27">
        <v>44852</v>
      </c>
      <c r="Q572" s="29">
        <v>0.57638888888888895</v>
      </c>
      <c r="R572" s="33"/>
      <c r="S572" s="31">
        <v>44860</v>
      </c>
      <c r="T572" s="29">
        <v>0.57638888888888895</v>
      </c>
      <c r="V572" s="13" t="s">
        <v>86</v>
      </c>
      <c r="W572" s="15" t="s">
        <v>131</v>
      </c>
      <c r="X572" s="13">
        <f t="shared" si="52"/>
        <v>8</v>
      </c>
      <c r="Z572" s="13" t="s">
        <v>164</v>
      </c>
      <c r="AA572" s="13">
        <f t="shared" si="57"/>
        <v>50</v>
      </c>
      <c r="AB572" s="13" t="str">
        <f t="shared" si="53"/>
        <v>Adult</v>
      </c>
      <c r="AC572" s="13">
        <v>23</v>
      </c>
      <c r="AD572" s="13">
        <v>27</v>
      </c>
      <c r="AE572" s="13" t="str">
        <f t="shared" si="54"/>
        <v>Morphological</v>
      </c>
      <c r="AF572" s="2">
        <v>3</v>
      </c>
    </row>
    <row r="573" spans="1:32" x14ac:dyDescent="0.25">
      <c r="A573" s="13">
        <v>569</v>
      </c>
      <c r="B573" s="23" t="s">
        <v>56</v>
      </c>
      <c r="C573" s="23" t="s">
        <v>57</v>
      </c>
      <c r="D573" s="23" t="s">
        <v>58</v>
      </c>
      <c r="E573" s="23" t="s">
        <v>58</v>
      </c>
      <c r="F573" s="35" cm="1">
        <f t="array" ref="F573">_xlfn.IFS($G573=$G$5,F$5,$G573=$G$7,F$7,$G573=$G$10,F$10,$G573=$G$13,F$13,$G573=$G$14,F$14,$G573=$G$16,F$16,$G573=$G$17,F$17,$G573=$G$19,F$19,$G573=$G$20,F$20,$G573=$G$22,F$22,$G573=$G$23,F$23,$G573=$G$26,F$26,$G573=$G$29,F$29,$G573=$G$31,F$31,$G573=$G$34,F$34,$G573=$G$37,F$37,$G573=$G$107,F$107,$G573=$G$110,F$110,$G573=$G$140,F$140,$G573=$G$142,F$142,$G573=$G$408,F$408)</f>
        <v>8038</v>
      </c>
      <c r="G573" s="13" t="s">
        <v>69</v>
      </c>
      <c r="H573" s="51" cm="1">
        <f t="array" ref="H573">_xlfn.IFS($G573=$G$5,H$5,$G573=$G$7,H$7,$G573=$G$10,H$10,$G573=$G$13,H$13,$G573=$G$14,H$14,$G573=$G$16,H$16,$G573=$G$17,H$17,$G573=$G$19,H$19,$G573=$G$20,H$20,$G573=$G$22,H$22,$G573=$G$23,H$23,$G573=$G$26,H$26,$G573=$G$29,H$29,$G573=$G$31,H$31,$G573=$G$34,H$34,$G573=$G$37,H$37,$G573=$G$107,H$107,$G573=$G$110,H$110,$G573=$G$140,H$140,$G573=$G$142,H$142,$G573=$G$408,H$408)</f>
        <v>41.363377999999997</v>
      </c>
      <c r="I573" s="51" cm="1">
        <f t="array" ref="I573">_xlfn.IFS($G573=$G$5,I$5,$G573=$G$7,I$7,$G573=$G$10,I$10,$G573=$G$13,I$13,$G573=$G$14,I$14,$G573=$G$16,I$16,$G573=$G$17,I$17,$G573=$G$19,I$19,$G573=$G$20,I$20,$G573=$G$22,I$22,$G573=$G$23,I$23,$G573=$G$26,I$26,$G573=$G$29,I$29,$G573=$G$31,I$31,$G573=$G$34,I$34,$G573=$G$37,I$37,$G573=$G$107,I$107,$G573=$G$110,I$110,$G573=$G$140,I$140,$G573=$G$142,I$142,$G573=$G$408,I$408)</f>
        <v>2.164879</v>
      </c>
      <c r="J573" s="51" cm="1">
        <f t="array" ref="J573">_xlfn.IFS($G573=$G$5,J$5,$G573=$G$7,J$7,$G573=$G$10,J$10,$G573=$G$13,J$13,$G573=$G$14,J$14,$G573=$G$16,J$16,$G573=$G$17,J$17,$G573=$G$19,J$19,$G573=$G$20,J$20,$G573=$G$22,J$22,$G573=$G$23,J$23,$G573=$G$26,J$26,$G573=$G$29,J$29,$G573=$G$31,J$31,$G573=$G$34,J$34,$G573=$G$37,J$37,$G573=$G$107,J$107,$G573=$G$110,J$110,$G573=$G$140,J$140,$G573=$G$142,J$142,$G573=$G$408,J$408)</f>
        <v>185</v>
      </c>
      <c r="K573" s="13" t="str" cm="1">
        <f t="array" ref="K573">_xlfn.IFS($G573=$G$5,K$5,$G573=$G$7,K$7,$G573=$G$10,K$10,$G573=$G$13,K$13,$G573=$G$14,K$14,$G573=$G$16,K$16,$G573=$G$17,K$17,$G573=$G$19,K$19,$G573=$G$20,K$20,$G573=$G$22,K$22,$G573=$G$23,K$23,$G573=$G$26,K$26,$G573=$G$29,K$29,$G573=$G$31,K$31,$G573=$G$34,K$34,$G573=$G$37,K$37,$G573=$G$107,K$107,$G573=$G$110,K$110,$G573=$G$140,K$140,$G573=$G$142,K$142,$G573=$G$408,K$408)</f>
        <v>BG sentinel + BG lure7</v>
      </c>
      <c r="O573" s="13" t="str">
        <f t="shared" si="56"/>
        <v>A_SP_BCN_12_221018</v>
      </c>
      <c r="P573" s="27">
        <v>44852</v>
      </c>
      <c r="Q573" s="29">
        <v>0.57638888888888895</v>
      </c>
      <c r="R573" s="33"/>
      <c r="S573" s="31">
        <v>44860</v>
      </c>
      <c r="T573" s="29">
        <v>0.57638888888888895</v>
      </c>
      <c r="V573" s="13" t="s">
        <v>86</v>
      </c>
      <c r="W573" s="15" t="s">
        <v>131</v>
      </c>
      <c r="X573" s="13">
        <f t="shared" si="52"/>
        <v>8</v>
      </c>
      <c r="Z573" s="32" t="s">
        <v>163</v>
      </c>
      <c r="AA573" s="13">
        <f t="shared" si="57"/>
        <v>2</v>
      </c>
      <c r="AB573" s="13" t="str">
        <f t="shared" si="53"/>
        <v>Adult</v>
      </c>
      <c r="AC573" s="13">
        <v>0</v>
      </c>
      <c r="AD573" s="13">
        <v>2</v>
      </c>
      <c r="AE573" s="13" t="str">
        <f t="shared" si="54"/>
        <v>Morphological</v>
      </c>
      <c r="AF573" s="2">
        <v>3</v>
      </c>
    </row>
    <row r="574" spans="1:32" x14ac:dyDescent="0.25">
      <c r="A574" s="13">
        <v>570</v>
      </c>
      <c r="B574" s="23" t="s">
        <v>56</v>
      </c>
      <c r="C574" s="23" t="s">
        <v>57</v>
      </c>
      <c r="D574" s="23" t="s">
        <v>58</v>
      </c>
      <c r="E574" s="23" t="s">
        <v>58</v>
      </c>
      <c r="F574" s="35" cm="1">
        <f t="array" ref="F574">_xlfn.IFS($G574=$G$5,F$5,$G574=$G$7,F$7,$G574=$G$10,F$10,$G574=$G$13,F$13,$G574=$G$14,F$14,$G574=$G$16,F$16,$G574=$G$17,F$17,$G574=$G$19,F$19,$G574=$G$20,F$20,$G574=$G$22,F$22,$G574=$G$23,F$23,$G574=$G$26,F$26,$G574=$G$29,F$29,$G574=$G$31,F$31,$G574=$G$34,F$34,$G574=$G$37,F$37,$G574=$G$107,F$107,$G574=$G$110,F$110,$G574=$G$140,F$140,$G574=$G$142,F$142,$G574=$G$408,F$408)</f>
        <v>8035</v>
      </c>
      <c r="G574" s="13" t="s">
        <v>70</v>
      </c>
      <c r="H574" s="51" cm="1">
        <f t="array" ref="H574">_xlfn.IFS($G574=$G$5,H$5,$G574=$G$7,H$7,$G574=$G$10,H$10,$G574=$G$13,H$13,$G574=$G$14,H$14,$G574=$G$16,H$16,$G574=$G$17,H$17,$G574=$G$19,H$19,$G574=$G$20,H$20,$G574=$G$22,H$22,$G574=$G$23,H$23,$G574=$G$26,H$26,$G574=$G$29,H$29,$G574=$G$31,H$31,$G574=$G$34,H$34,$G574=$G$37,H$37,$G574=$G$107,H$107,$G574=$G$110,H$110,$G574=$G$140,H$140,$G574=$G$142,H$142,$G574=$G$408,H$408)</f>
        <v>41.434472</v>
      </c>
      <c r="I574" s="51" cm="1">
        <f t="array" ref="I574">_xlfn.IFS($G574=$G$5,I$5,$G574=$G$7,I$7,$G574=$G$10,I$10,$G574=$G$13,I$13,$G574=$G$14,I$14,$G574=$G$16,I$16,$G574=$G$17,I$17,$G574=$G$19,I$19,$G574=$G$20,I$20,$G574=$G$22,I$22,$G574=$G$23,I$23,$G574=$G$26,I$26,$G574=$G$29,I$29,$G574=$G$31,I$31,$G574=$G$34,I$34,$G574=$G$37,I$37,$G574=$G$107,I$107,$G574=$G$110,I$110,$G574=$G$140,I$140,$G574=$G$142,I$142,$G574=$G$408,I$408)</f>
        <v>2.1315789999999999</v>
      </c>
      <c r="J574" s="51" cm="1">
        <f t="array" ref="J574">_xlfn.IFS($G574=$G$5,J$5,$G574=$G$7,J$7,$G574=$G$10,J$10,$G574=$G$13,J$13,$G574=$G$14,J$14,$G574=$G$16,J$16,$G574=$G$17,J$17,$G574=$G$19,J$19,$G574=$G$20,J$20,$G574=$G$22,J$22,$G574=$G$23,J$23,$G574=$G$26,J$26,$G574=$G$29,J$29,$G574=$G$31,J$31,$G574=$G$34,J$34,$G574=$G$37,J$37,$G574=$G$107,J$107,$G574=$G$110,J$110,$G574=$G$140,J$140,$G574=$G$142,J$142,$G574=$G$408,J$408)</f>
        <v>365</v>
      </c>
      <c r="K574" s="13" t="str" cm="1">
        <f t="array" ref="K574">_xlfn.IFS($G574=$G$5,K$5,$G574=$G$7,K$7,$G574=$G$10,K$10,$G574=$G$13,K$13,$G574=$G$14,K$14,$G574=$G$16,K$16,$G574=$G$17,K$17,$G574=$G$19,K$19,$G574=$G$20,K$20,$G574=$G$22,K$22,$G574=$G$23,K$23,$G574=$G$26,K$26,$G574=$G$29,K$29,$G574=$G$31,K$31,$G574=$G$34,K$34,$G574=$G$37,K$37,$G574=$G$107,K$107,$G574=$G$110,K$110,$G574=$G$140,K$140,$G574=$G$142,K$142,$G574=$G$408,K$408)</f>
        <v>BG sentinel + BG lure7</v>
      </c>
      <c r="O574" s="13" t="str">
        <f t="shared" si="56"/>
        <v>A_SP_BCN_13_221018</v>
      </c>
      <c r="P574" s="27">
        <v>44852</v>
      </c>
      <c r="Q574" s="29">
        <v>0.71527777777777779</v>
      </c>
      <c r="R574" s="33"/>
      <c r="S574" s="31">
        <v>44860</v>
      </c>
      <c r="T574" s="29">
        <v>0.70138888888888884</v>
      </c>
      <c r="V574" s="13" t="s">
        <v>86</v>
      </c>
      <c r="X574" s="13">
        <f t="shared" si="52"/>
        <v>8</v>
      </c>
      <c r="Z574" s="13" t="s">
        <v>60</v>
      </c>
      <c r="AA574" s="13">
        <f t="shared" si="57"/>
        <v>1</v>
      </c>
      <c r="AB574" s="13" t="str">
        <f t="shared" si="53"/>
        <v>Adult</v>
      </c>
      <c r="AC574" s="13">
        <v>1</v>
      </c>
      <c r="AD574" s="13">
        <v>0</v>
      </c>
      <c r="AE574" s="13" t="str">
        <f t="shared" si="54"/>
        <v>Morphological</v>
      </c>
      <c r="AF574" s="2">
        <v>4</v>
      </c>
    </row>
    <row r="575" spans="1:32" x14ac:dyDescent="0.25">
      <c r="A575" s="13">
        <v>571</v>
      </c>
      <c r="B575" s="23" t="s">
        <v>56</v>
      </c>
      <c r="C575" s="23" t="s">
        <v>57</v>
      </c>
      <c r="D575" s="23" t="s">
        <v>58</v>
      </c>
      <c r="E575" s="23" t="s">
        <v>58</v>
      </c>
      <c r="F575" s="35" cm="1">
        <f t="array" ref="F575">_xlfn.IFS($G575=$G$5,F$5,$G575=$G$7,F$7,$G575=$G$10,F$10,$G575=$G$13,F$13,$G575=$G$14,F$14,$G575=$G$16,F$16,$G575=$G$17,F$17,$G575=$G$19,F$19,$G575=$G$20,F$20,$G575=$G$22,F$22,$G575=$G$23,F$23,$G575=$G$26,F$26,$G575=$G$29,F$29,$G575=$G$31,F$31,$G575=$G$34,F$34,$G575=$G$37,F$37,$G575=$G$107,F$107,$G575=$G$110,F$110,$G575=$G$140,F$140,$G575=$G$142,F$142,$G575=$G$408,F$408)</f>
        <v>8035</v>
      </c>
      <c r="G575" s="13" t="s">
        <v>70</v>
      </c>
      <c r="H575" s="51" cm="1">
        <f t="array" ref="H575">_xlfn.IFS($G575=$G$5,H$5,$G575=$G$7,H$7,$G575=$G$10,H$10,$G575=$G$13,H$13,$G575=$G$14,H$14,$G575=$G$16,H$16,$G575=$G$17,H$17,$G575=$G$19,H$19,$G575=$G$20,H$20,$G575=$G$22,H$22,$G575=$G$23,H$23,$G575=$G$26,H$26,$G575=$G$29,H$29,$G575=$G$31,H$31,$G575=$G$34,H$34,$G575=$G$37,H$37,$G575=$G$107,H$107,$G575=$G$110,H$110,$G575=$G$140,H$140,$G575=$G$142,H$142,$G575=$G$408,H$408)</f>
        <v>41.434472</v>
      </c>
      <c r="I575" s="51" cm="1">
        <f t="array" ref="I575">_xlfn.IFS($G575=$G$5,I$5,$G575=$G$7,I$7,$G575=$G$10,I$10,$G575=$G$13,I$13,$G575=$G$14,I$14,$G575=$G$16,I$16,$G575=$G$17,I$17,$G575=$G$19,I$19,$G575=$G$20,I$20,$G575=$G$22,I$22,$G575=$G$23,I$23,$G575=$G$26,I$26,$G575=$G$29,I$29,$G575=$G$31,I$31,$G575=$G$34,I$34,$G575=$G$37,I$37,$G575=$G$107,I$107,$G575=$G$110,I$110,$G575=$G$140,I$140,$G575=$G$142,I$142,$G575=$G$408,I$408)</f>
        <v>2.1315789999999999</v>
      </c>
      <c r="J575" s="51" cm="1">
        <f t="array" ref="J575">_xlfn.IFS($G575=$G$5,J$5,$G575=$G$7,J$7,$G575=$G$10,J$10,$G575=$G$13,J$13,$G575=$G$14,J$14,$G575=$G$16,J$16,$G575=$G$17,J$17,$G575=$G$19,J$19,$G575=$G$20,J$20,$G575=$G$22,J$22,$G575=$G$23,J$23,$G575=$G$26,J$26,$G575=$G$29,J$29,$G575=$G$31,J$31,$G575=$G$34,J$34,$G575=$G$37,J$37,$G575=$G$107,J$107,$G575=$G$110,J$110,$G575=$G$140,J$140,$G575=$G$142,J$142,$G575=$G$408,J$408)</f>
        <v>365</v>
      </c>
      <c r="K575" s="13" t="str" cm="1">
        <f t="array" ref="K575">_xlfn.IFS($G575=$G$5,K$5,$G575=$G$7,K$7,$G575=$G$10,K$10,$G575=$G$13,K$13,$G575=$G$14,K$14,$G575=$G$16,K$16,$G575=$G$17,K$17,$G575=$G$19,K$19,$G575=$G$20,K$20,$G575=$G$22,K$22,$G575=$G$23,K$23,$G575=$G$26,K$26,$G575=$G$29,K$29,$G575=$G$31,K$31,$G575=$G$34,K$34,$G575=$G$37,K$37,$G575=$G$107,K$107,$G575=$G$110,K$110,$G575=$G$140,K$140,$G575=$G$142,K$142,$G575=$G$408,K$408)</f>
        <v>BG sentinel + BG lure7</v>
      </c>
      <c r="O575" s="13" t="str">
        <f t="shared" si="56"/>
        <v>A_SP_BCN_13_221018</v>
      </c>
      <c r="P575" s="27">
        <v>44852</v>
      </c>
      <c r="Q575" s="29">
        <v>0.71527777777777779</v>
      </c>
      <c r="R575" s="33"/>
      <c r="S575" s="31">
        <v>44860</v>
      </c>
      <c r="T575" s="29">
        <v>0.70138888888888884</v>
      </c>
      <c r="V575" s="13" t="s">
        <v>86</v>
      </c>
      <c r="X575" s="13">
        <f t="shared" si="52"/>
        <v>8</v>
      </c>
      <c r="Z575" s="13" t="s">
        <v>164</v>
      </c>
      <c r="AA575" s="13">
        <f t="shared" si="57"/>
        <v>1</v>
      </c>
      <c r="AB575" s="13" t="str">
        <f t="shared" si="53"/>
        <v>Adult</v>
      </c>
      <c r="AC575" s="13">
        <v>1</v>
      </c>
      <c r="AD575" s="13">
        <v>0</v>
      </c>
      <c r="AE575" s="13" t="str">
        <f t="shared" si="54"/>
        <v>Morphological</v>
      </c>
      <c r="AF575" s="2">
        <v>4</v>
      </c>
    </row>
    <row r="576" spans="1:32" x14ac:dyDescent="0.25">
      <c r="A576" s="13">
        <v>572</v>
      </c>
      <c r="B576" s="23" t="s">
        <v>56</v>
      </c>
      <c r="C576" s="23" t="s">
        <v>57</v>
      </c>
      <c r="D576" s="23" t="s">
        <v>58</v>
      </c>
      <c r="E576" s="23" t="s">
        <v>58</v>
      </c>
      <c r="F576" s="35" cm="1">
        <f t="array" ref="F576">_xlfn.IFS($G576=$G$5,F$5,$G576=$G$7,F$7,$G576=$G$10,F$10,$G576=$G$13,F$13,$G576=$G$14,F$14,$G576=$G$16,F$16,$G576=$G$17,F$17,$G576=$G$19,F$19,$G576=$G$20,F$20,$G576=$G$22,F$22,$G576=$G$23,F$23,$G576=$G$26,F$26,$G576=$G$29,F$29,$G576=$G$31,F$31,$G576=$G$34,F$34,$G576=$G$37,F$37,$G576=$G$107,F$107,$G576=$G$110,F$110,$G576=$G$140,F$140,$G576=$G$142,F$142,$G576=$G$408,F$408)</f>
        <v>8035</v>
      </c>
      <c r="G576" s="13" t="s">
        <v>70</v>
      </c>
      <c r="H576" s="51" cm="1">
        <f t="array" ref="H576">_xlfn.IFS($G576=$G$5,H$5,$G576=$G$7,H$7,$G576=$G$10,H$10,$G576=$G$13,H$13,$G576=$G$14,H$14,$G576=$G$16,H$16,$G576=$G$17,H$17,$G576=$G$19,H$19,$G576=$G$20,H$20,$G576=$G$22,H$22,$G576=$G$23,H$23,$G576=$G$26,H$26,$G576=$G$29,H$29,$G576=$G$31,H$31,$G576=$G$34,H$34,$G576=$G$37,H$37,$G576=$G$107,H$107,$G576=$G$110,H$110,$G576=$G$140,H$140,$G576=$G$142,H$142,$G576=$G$408,H$408)</f>
        <v>41.434472</v>
      </c>
      <c r="I576" s="51" cm="1">
        <f t="array" ref="I576">_xlfn.IFS($G576=$G$5,I$5,$G576=$G$7,I$7,$G576=$G$10,I$10,$G576=$G$13,I$13,$G576=$G$14,I$14,$G576=$G$16,I$16,$G576=$G$17,I$17,$G576=$G$19,I$19,$G576=$G$20,I$20,$G576=$G$22,I$22,$G576=$G$23,I$23,$G576=$G$26,I$26,$G576=$G$29,I$29,$G576=$G$31,I$31,$G576=$G$34,I$34,$G576=$G$37,I$37,$G576=$G$107,I$107,$G576=$G$110,I$110,$G576=$G$140,I$140,$G576=$G$142,I$142,$G576=$G$408,I$408)</f>
        <v>2.1315789999999999</v>
      </c>
      <c r="J576" s="51" cm="1">
        <f t="array" ref="J576">_xlfn.IFS($G576=$G$5,J$5,$G576=$G$7,J$7,$G576=$G$10,J$10,$G576=$G$13,J$13,$G576=$G$14,J$14,$G576=$G$16,J$16,$G576=$G$17,J$17,$G576=$G$19,J$19,$G576=$G$20,J$20,$G576=$G$22,J$22,$G576=$G$23,J$23,$G576=$G$26,J$26,$G576=$G$29,J$29,$G576=$G$31,J$31,$G576=$G$34,J$34,$G576=$G$37,J$37,$G576=$G$107,J$107,$G576=$G$110,J$110,$G576=$G$140,J$140,$G576=$G$142,J$142,$G576=$G$408,J$408)</f>
        <v>365</v>
      </c>
      <c r="K576" s="13" t="str" cm="1">
        <f t="array" ref="K576">_xlfn.IFS($G576=$G$5,K$5,$G576=$G$7,K$7,$G576=$G$10,K$10,$G576=$G$13,K$13,$G576=$G$14,K$14,$G576=$G$16,K$16,$G576=$G$17,K$17,$G576=$G$19,K$19,$G576=$G$20,K$20,$G576=$G$22,K$22,$G576=$G$23,K$23,$G576=$G$26,K$26,$G576=$G$29,K$29,$G576=$G$31,K$31,$G576=$G$34,K$34,$G576=$G$37,K$37,$G576=$G$107,K$107,$G576=$G$110,K$110,$G576=$G$140,K$140,$G576=$G$142,K$142,$G576=$G$408,K$408)</f>
        <v>BG sentinel + BG lure7</v>
      </c>
      <c r="O576" s="13" t="str">
        <f t="shared" si="56"/>
        <v>A_SP_BCN_13_221018</v>
      </c>
      <c r="P576" s="27">
        <v>44852</v>
      </c>
      <c r="Q576" s="29">
        <v>0.71527777777777779</v>
      </c>
      <c r="R576" s="33"/>
      <c r="S576" s="31">
        <v>44860</v>
      </c>
      <c r="T576" s="29">
        <v>0.70138888888888884</v>
      </c>
      <c r="V576" s="13" t="s">
        <v>86</v>
      </c>
      <c r="X576" s="13">
        <f t="shared" si="52"/>
        <v>8</v>
      </c>
      <c r="Z576" s="32" t="s">
        <v>163</v>
      </c>
      <c r="AA576" s="13">
        <f t="shared" si="57"/>
        <v>1</v>
      </c>
      <c r="AB576" s="13" t="str">
        <f t="shared" si="53"/>
        <v>Adult</v>
      </c>
      <c r="AC576" s="13">
        <v>1</v>
      </c>
      <c r="AD576" s="13">
        <v>0</v>
      </c>
      <c r="AE576" s="13" t="str">
        <f t="shared" si="54"/>
        <v>Morphological</v>
      </c>
      <c r="AF576" s="2">
        <v>4</v>
      </c>
    </row>
    <row r="577" spans="1:32" x14ac:dyDescent="0.25">
      <c r="A577" s="13">
        <v>573</v>
      </c>
      <c r="B577" s="23" t="s">
        <v>56</v>
      </c>
      <c r="C577" s="23" t="s">
        <v>57</v>
      </c>
      <c r="D577" s="23" t="s">
        <v>58</v>
      </c>
      <c r="E577" s="23" t="s">
        <v>58</v>
      </c>
      <c r="F577" s="35" cm="1">
        <f t="array" ref="F577">_xlfn.IFS($G577=$G$5,F$5,$G577=$G$7,F$7,$G577=$G$10,F$10,$G577=$G$13,F$13,$G577=$G$14,F$14,$G577=$G$16,F$16,$G577=$G$17,F$17,$G577=$G$19,F$19,$G577=$G$20,F$20,$G577=$G$22,F$22,$G577=$G$23,F$23,$G577=$G$26,F$26,$G577=$G$29,F$29,$G577=$G$31,F$31,$G577=$G$34,F$34,$G577=$G$37,F$37,$G577=$G$107,F$107,$G577=$G$110,F$110,$G577=$G$140,F$140,$G577=$G$142,F$142,$G577=$G$408,F$408)</f>
        <v>8017</v>
      </c>
      <c r="G577" s="13" t="s">
        <v>71</v>
      </c>
      <c r="H577" s="51" cm="1">
        <f t="array" ref="H577">_xlfn.IFS($G577=$G$5,H$5,$G577=$G$7,H$7,$G577=$G$10,H$10,$G577=$G$13,H$13,$G577=$G$14,H$14,$G577=$G$16,H$16,$G577=$G$17,H$17,$G577=$G$19,H$19,$G577=$G$20,H$20,$G577=$G$22,H$22,$G577=$G$23,H$23,$G577=$G$26,H$26,$G577=$G$29,H$29,$G577=$G$31,H$31,$G577=$G$34,H$34,$G577=$G$37,H$37,$G577=$G$107,H$107,$G577=$G$110,H$110,$G577=$G$140,H$140,$G577=$G$142,H$142,$G577=$G$408,H$408)</f>
        <v>41.428533999999999</v>
      </c>
      <c r="I577" s="51" cm="1">
        <f t="array" ref="I577">_xlfn.IFS($G577=$G$5,I$5,$G577=$G$7,I$7,$G577=$G$10,I$10,$G577=$G$13,I$13,$G577=$G$14,I$14,$G577=$G$16,I$16,$G577=$G$17,I$17,$G577=$G$19,I$19,$G577=$G$20,I$20,$G577=$G$22,I$22,$G577=$G$23,I$23,$G577=$G$26,I$26,$G577=$G$29,I$29,$G577=$G$31,I$31,$G577=$G$34,I$34,$G577=$G$37,I$37,$G577=$G$107,I$107,$G577=$G$110,I$110,$G577=$G$140,I$140,$G577=$G$142,I$142,$G577=$G$408,I$408)</f>
        <v>2.090954</v>
      </c>
      <c r="J577" s="51" cm="1">
        <f t="array" ref="J577">_xlfn.IFS($G577=$G$5,J$5,$G577=$G$7,J$7,$G577=$G$10,J$10,$G577=$G$13,J$13,$G577=$G$14,J$14,$G577=$G$16,J$16,$G577=$G$17,J$17,$G577=$G$19,J$19,$G577=$G$20,J$20,$G577=$G$22,J$22,$G577=$G$23,J$23,$G577=$G$26,J$26,$G577=$G$29,J$29,$G577=$G$31,J$31,$G577=$G$34,J$34,$G577=$G$37,J$37,$G577=$G$107,J$107,$G577=$G$110,J$110,$G577=$G$140,J$140,$G577=$G$142,J$142,$G577=$G$408,J$408)</f>
        <v>215</v>
      </c>
      <c r="K577" s="13" t="str" cm="1">
        <f t="array" ref="K577">_xlfn.IFS($G577=$G$5,K$5,$G577=$G$7,K$7,$G577=$G$10,K$10,$G577=$G$13,K$13,$G577=$G$14,K$14,$G577=$G$16,K$16,$G577=$G$17,K$17,$G577=$G$19,K$19,$G577=$G$20,K$20,$G577=$G$22,K$22,$G577=$G$23,K$23,$G577=$G$26,K$26,$G577=$G$29,K$29,$G577=$G$31,K$31,$G577=$G$34,K$34,$G577=$G$37,K$37,$G577=$G$107,K$107,$G577=$G$110,K$110,$G577=$G$140,K$140,$G577=$G$142,K$142,$G577=$G$408,K$408)</f>
        <v>BG sentinel + BG lure7</v>
      </c>
      <c r="O577" s="13" t="str">
        <f t="shared" si="56"/>
        <v>A_SP_BCN_14_221018</v>
      </c>
      <c r="P577" s="27">
        <v>44852</v>
      </c>
      <c r="Q577" s="29">
        <v>0.75</v>
      </c>
      <c r="R577" s="33"/>
      <c r="S577" s="31">
        <v>44860</v>
      </c>
      <c r="T577" s="29">
        <v>0.73611111111111116</v>
      </c>
      <c r="V577" s="13" t="s">
        <v>86</v>
      </c>
      <c r="W577" s="15" t="s">
        <v>128</v>
      </c>
      <c r="X577" s="13">
        <f t="shared" si="52"/>
        <v>8</v>
      </c>
      <c r="AA577" s="13">
        <v>0</v>
      </c>
      <c r="AB577" s="13" t="str">
        <f t="shared" si="53"/>
        <v/>
      </c>
      <c r="AE577" s="13" t="str">
        <f t="shared" si="54"/>
        <v/>
      </c>
      <c r="AF577" s="2">
        <v>2</v>
      </c>
    </row>
    <row r="578" spans="1:32" x14ac:dyDescent="0.25">
      <c r="A578" s="13">
        <v>574</v>
      </c>
      <c r="B578" s="23" t="s">
        <v>56</v>
      </c>
      <c r="C578" s="23" t="s">
        <v>57</v>
      </c>
      <c r="D578" s="23" t="s">
        <v>58</v>
      </c>
      <c r="E578" s="23" t="s">
        <v>58</v>
      </c>
      <c r="F578" s="35" cm="1">
        <f t="array" ref="F578">_xlfn.IFS($G578=$G$5,F$5,$G578=$G$7,F$7,$G578=$G$10,F$10,$G578=$G$13,F$13,$G578=$G$14,F$14,$G578=$G$16,F$16,$G578=$G$17,F$17,$G578=$G$19,F$19,$G578=$G$20,F$20,$G578=$G$22,F$22,$G578=$G$23,F$23,$G578=$G$26,F$26,$G578=$G$29,F$29,$G578=$G$31,F$31,$G578=$G$34,F$34,$G578=$G$37,F$37,$G578=$G$107,F$107,$G578=$G$110,F$110,$G578=$G$140,F$140,$G578=$G$142,F$142,$G578=$G$408,F$408)</f>
        <v>8017</v>
      </c>
      <c r="G578" s="13" t="s">
        <v>72</v>
      </c>
      <c r="H578" s="51" cm="1">
        <f t="array" ref="H578">_xlfn.IFS($G578=$G$5,H$5,$G578=$G$7,H$7,$G578=$G$10,H$10,$G578=$G$13,H$13,$G578=$G$14,H$14,$G578=$G$16,H$16,$G578=$G$17,H$17,$G578=$G$19,H$19,$G578=$G$20,H$20,$G578=$G$22,H$22,$G578=$G$23,H$23,$G578=$G$26,H$26,$G578=$G$29,H$29,$G578=$G$31,H$31,$G578=$G$34,H$34,$G578=$G$37,H$37,$G578=$G$107,H$107,$G578=$G$110,H$110,$G578=$G$140,H$140,$G578=$G$142,H$142,$G578=$G$408,H$408)</f>
        <v>41.419471000000001</v>
      </c>
      <c r="I578" s="51" cm="1">
        <f t="array" ref="I578">_xlfn.IFS($G578=$G$5,I$5,$G578=$G$7,I$7,$G578=$G$10,I$10,$G578=$G$13,I$13,$G578=$G$14,I$14,$G578=$G$16,I$16,$G578=$G$17,I$17,$G578=$G$19,I$19,$G578=$G$20,I$20,$G578=$G$22,I$22,$G578=$G$23,I$23,$G578=$G$26,I$26,$G578=$G$29,I$29,$G578=$G$31,I$31,$G578=$G$34,I$34,$G578=$G$37,I$37,$G578=$G$107,I$107,$G578=$G$110,I$110,$G578=$G$140,I$140,$G578=$G$142,I$142,$G578=$G$408,I$408)</f>
        <v>2.1010149999999999</v>
      </c>
      <c r="J578" s="51" cm="1">
        <f t="array" ref="J578">_xlfn.IFS($G578=$G$5,J$5,$G578=$G$7,J$7,$G578=$G$10,J$10,$G578=$G$13,J$13,$G578=$G$14,J$14,$G578=$G$16,J$16,$G578=$G$17,J$17,$G578=$G$19,J$19,$G578=$G$20,J$20,$G578=$G$22,J$22,$G578=$G$23,J$23,$G578=$G$26,J$26,$G578=$G$29,J$29,$G578=$G$31,J$31,$G578=$G$34,J$34,$G578=$G$37,J$37,$G578=$G$107,J$107,$G578=$G$110,J$110,$G578=$G$140,J$140,$G578=$G$142,J$142,$G578=$G$408,J$408)</f>
        <v>284</v>
      </c>
      <c r="K578" s="13" t="str" cm="1">
        <f t="array" ref="K578">_xlfn.IFS($G578=$G$5,K$5,$G578=$G$7,K$7,$G578=$G$10,K$10,$G578=$G$13,K$13,$G578=$G$14,K$14,$G578=$G$16,K$16,$G578=$G$17,K$17,$G578=$G$19,K$19,$G578=$G$20,K$20,$G578=$G$22,K$22,$G578=$G$23,K$23,$G578=$G$26,K$26,$G578=$G$29,K$29,$G578=$G$31,K$31,$G578=$G$34,K$34,$G578=$G$37,K$37,$G578=$G$107,K$107,$G578=$G$110,K$110,$G578=$G$140,K$140,$G578=$G$142,K$142,$G578=$G$408,K$408)</f>
        <v>BG sentinel + BG lure7</v>
      </c>
      <c r="O578" s="13" t="str">
        <f t="shared" si="56"/>
        <v>A_SP_BCN_15_221018</v>
      </c>
      <c r="P578" s="27">
        <v>44852</v>
      </c>
      <c r="Q578" s="29">
        <v>0.72916666666666663</v>
      </c>
      <c r="R578" s="33"/>
      <c r="S578" s="31">
        <v>44860</v>
      </c>
      <c r="T578" s="29">
        <v>0.71527777777777779</v>
      </c>
      <c r="V578" s="13" t="s">
        <v>86</v>
      </c>
      <c r="X578" s="13">
        <f t="shared" si="52"/>
        <v>8</v>
      </c>
      <c r="Z578" s="13" t="s">
        <v>60</v>
      </c>
      <c r="AA578" s="13">
        <f t="shared" ref="AA578:AA604" si="58">SUM(AC578:AD578)</f>
        <v>10</v>
      </c>
      <c r="AB578" s="13" t="str">
        <f t="shared" si="53"/>
        <v>Adult</v>
      </c>
      <c r="AC578" s="13">
        <v>10</v>
      </c>
      <c r="AD578" s="13">
        <v>0</v>
      </c>
      <c r="AE578" s="13" t="str">
        <f t="shared" si="54"/>
        <v>Morphological</v>
      </c>
      <c r="AF578" s="2">
        <v>4</v>
      </c>
    </row>
    <row r="579" spans="1:32" x14ac:dyDescent="0.25">
      <c r="A579" s="13">
        <v>575</v>
      </c>
      <c r="B579" s="23" t="s">
        <v>56</v>
      </c>
      <c r="C579" s="23" t="s">
        <v>57</v>
      </c>
      <c r="D579" s="23" t="s">
        <v>58</v>
      </c>
      <c r="E579" s="23" t="s">
        <v>58</v>
      </c>
      <c r="F579" s="35" cm="1">
        <f t="array" ref="F579">_xlfn.IFS($G579=$G$5,F$5,$G579=$G$7,F$7,$G579=$G$10,F$10,$G579=$G$13,F$13,$G579=$G$14,F$14,$G579=$G$16,F$16,$G579=$G$17,F$17,$G579=$G$19,F$19,$G579=$G$20,F$20,$G579=$G$22,F$22,$G579=$G$23,F$23,$G579=$G$26,F$26,$G579=$G$29,F$29,$G579=$G$31,F$31,$G579=$G$34,F$34,$G579=$G$37,F$37,$G579=$G$107,F$107,$G579=$G$110,F$110,$G579=$G$140,F$140,$G579=$G$142,F$142,$G579=$G$408,F$408)</f>
        <v>8017</v>
      </c>
      <c r="G579" s="13" t="s">
        <v>73</v>
      </c>
      <c r="H579" s="51" cm="1">
        <f t="array" ref="H579">_xlfn.IFS($G579=$G$5,H$5,$G579=$G$7,H$7,$G579=$G$10,H$10,$G579=$G$13,H$13,$G579=$G$14,H$14,$G579=$G$16,H$16,$G579=$G$17,H$17,$G579=$G$19,H$19,$G579=$G$20,H$20,$G579=$G$22,H$22,$G579=$G$23,H$23,$G579=$G$26,H$26,$G579=$G$29,H$29,$G579=$G$31,H$31,$G579=$G$34,H$34,$G579=$G$37,H$37,$G579=$G$107,H$107,$G579=$G$110,H$110,$G579=$G$140,H$140,$G579=$G$142,H$142,$G579=$G$408,H$408)</f>
        <v>41.398387</v>
      </c>
      <c r="I579" s="51" cm="1">
        <f t="array" ref="I579">_xlfn.IFS($G579=$G$5,I$5,$G579=$G$7,I$7,$G579=$G$10,I$10,$G579=$G$13,I$13,$G579=$G$14,I$14,$G579=$G$16,I$16,$G579=$G$17,I$17,$G579=$G$19,I$19,$G579=$G$20,I$20,$G579=$G$22,I$22,$G579=$G$23,I$23,$G579=$G$26,I$26,$G579=$G$29,I$29,$G579=$G$31,I$31,$G579=$G$34,I$34,$G579=$G$37,I$37,$G579=$G$107,I$107,$G579=$G$110,I$110,$G579=$G$140,I$140,$G579=$G$142,I$142,$G579=$G$408,I$408)</f>
        <v>2.1244429999999999</v>
      </c>
      <c r="J579" s="51" cm="1">
        <f t="array" ref="J579">_xlfn.IFS($G579=$G$5,J$5,$G579=$G$7,J$7,$G579=$G$10,J$10,$G579=$G$13,J$13,$G579=$G$14,J$14,$G579=$G$16,J$16,$G579=$G$17,J$17,$G579=$G$19,J$19,$G579=$G$20,J$20,$G579=$G$22,J$22,$G579=$G$23,J$23,$G579=$G$26,J$26,$G579=$G$29,J$29,$G579=$G$31,J$31,$G579=$G$34,J$34,$G579=$G$37,J$37,$G579=$G$107,J$107,$G579=$G$110,J$110,$G579=$G$140,J$140,$G579=$G$142,J$142,$G579=$G$408,J$408)</f>
        <v>106</v>
      </c>
      <c r="K579" s="13" t="str" cm="1">
        <f t="array" ref="K579">_xlfn.IFS($G579=$G$5,K$5,$G579=$G$7,K$7,$G579=$G$10,K$10,$G579=$G$13,K$13,$G579=$G$14,K$14,$G579=$G$16,K$16,$G579=$G$17,K$17,$G579=$G$19,K$19,$G579=$G$20,K$20,$G579=$G$22,K$22,$G579=$G$23,K$23,$G579=$G$26,K$26,$G579=$G$29,K$29,$G579=$G$31,K$31,$G579=$G$34,K$34,$G579=$G$37,K$37,$G579=$G$107,K$107,$G579=$G$110,K$110,$G579=$G$140,K$140,$G579=$G$142,K$142,$G579=$G$408,K$408)</f>
        <v>BG sentinel + BG lure7</v>
      </c>
      <c r="O579" s="13" t="str">
        <f t="shared" si="56"/>
        <v>A_SP_BCN_16_221018</v>
      </c>
      <c r="P579" s="27">
        <v>44852</v>
      </c>
      <c r="Q579" s="29">
        <v>0.77083333333333337</v>
      </c>
      <c r="R579" s="33"/>
      <c r="S579" s="31">
        <v>44860</v>
      </c>
      <c r="T579" s="29">
        <v>0.75694444444444453</v>
      </c>
      <c r="V579" s="13" t="s">
        <v>86</v>
      </c>
      <c r="X579" s="13">
        <f t="shared" si="52"/>
        <v>8</v>
      </c>
      <c r="Z579" s="13" t="s">
        <v>60</v>
      </c>
      <c r="AA579" s="13">
        <f t="shared" si="58"/>
        <v>51</v>
      </c>
      <c r="AB579" s="13" t="str">
        <f t="shared" si="53"/>
        <v>Adult</v>
      </c>
      <c r="AC579" s="13">
        <v>25</v>
      </c>
      <c r="AD579" s="13">
        <v>26</v>
      </c>
      <c r="AE579" s="13" t="str">
        <f t="shared" si="54"/>
        <v>Morphological</v>
      </c>
      <c r="AF579" s="2">
        <v>4</v>
      </c>
    </row>
    <row r="580" spans="1:32" x14ac:dyDescent="0.25">
      <c r="A580" s="13">
        <v>576</v>
      </c>
      <c r="B580" s="23" t="s">
        <v>56</v>
      </c>
      <c r="C580" s="23" t="s">
        <v>57</v>
      </c>
      <c r="D580" s="23" t="s">
        <v>58</v>
      </c>
      <c r="E580" s="23" t="s">
        <v>58</v>
      </c>
      <c r="F580" s="35" cm="1">
        <f t="array" ref="F580">_xlfn.IFS($G580=$G$5,F$5,$G580=$G$7,F$7,$G580=$G$10,F$10,$G580=$G$13,F$13,$G580=$G$14,F$14,$G580=$G$16,F$16,$G580=$G$17,F$17,$G580=$G$19,F$19,$G580=$G$20,F$20,$G580=$G$22,F$22,$G580=$G$23,F$23,$G580=$G$26,F$26,$G580=$G$29,F$29,$G580=$G$31,F$31,$G580=$G$34,F$34,$G580=$G$37,F$37,$G580=$G$107,F$107,$G580=$G$110,F$110,$G580=$G$140,F$140,$G580=$G$142,F$142,$G580=$G$408,F$408)</f>
        <v>8017</v>
      </c>
      <c r="G580" s="13" t="s">
        <v>73</v>
      </c>
      <c r="H580" s="51" cm="1">
        <f t="array" ref="H580">_xlfn.IFS($G580=$G$5,H$5,$G580=$G$7,H$7,$G580=$G$10,H$10,$G580=$G$13,H$13,$G580=$G$14,H$14,$G580=$G$16,H$16,$G580=$G$17,H$17,$G580=$G$19,H$19,$G580=$G$20,H$20,$G580=$G$22,H$22,$G580=$G$23,H$23,$G580=$G$26,H$26,$G580=$G$29,H$29,$G580=$G$31,H$31,$G580=$G$34,H$34,$G580=$G$37,H$37,$G580=$G$107,H$107,$G580=$G$110,H$110,$G580=$G$140,H$140,$G580=$G$142,H$142,$G580=$G$408,H$408)</f>
        <v>41.398387</v>
      </c>
      <c r="I580" s="51" cm="1">
        <f t="array" ref="I580">_xlfn.IFS($G580=$G$5,I$5,$G580=$G$7,I$7,$G580=$G$10,I$10,$G580=$G$13,I$13,$G580=$G$14,I$14,$G580=$G$16,I$16,$G580=$G$17,I$17,$G580=$G$19,I$19,$G580=$G$20,I$20,$G580=$G$22,I$22,$G580=$G$23,I$23,$G580=$G$26,I$26,$G580=$G$29,I$29,$G580=$G$31,I$31,$G580=$G$34,I$34,$G580=$G$37,I$37,$G580=$G$107,I$107,$G580=$G$110,I$110,$G580=$G$140,I$140,$G580=$G$142,I$142,$G580=$G$408,I$408)</f>
        <v>2.1244429999999999</v>
      </c>
      <c r="J580" s="51" cm="1">
        <f t="array" ref="J580">_xlfn.IFS($G580=$G$5,J$5,$G580=$G$7,J$7,$G580=$G$10,J$10,$G580=$G$13,J$13,$G580=$G$14,J$14,$G580=$G$16,J$16,$G580=$G$17,J$17,$G580=$G$19,J$19,$G580=$G$20,J$20,$G580=$G$22,J$22,$G580=$G$23,J$23,$G580=$G$26,J$26,$G580=$G$29,J$29,$G580=$G$31,J$31,$G580=$G$34,J$34,$G580=$G$37,J$37,$G580=$G$107,J$107,$G580=$G$110,J$110,$G580=$G$140,J$140,$G580=$G$142,J$142,$G580=$G$408,J$408)</f>
        <v>106</v>
      </c>
      <c r="K580" s="13" t="str" cm="1">
        <f t="array" ref="K580">_xlfn.IFS($G580=$G$5,K$5,$G580=$G$7,K$7,$G580=$G$10,K$10,$G580=$G$13,K$13,$G580=$G$14,K$14,$G580=$G$16,K$16,$G580=$G$17,K$17,$G580=$G$19,K$19,$G580=$G$20,K$20,$G580=$G$22,K$22,$G580=$G$23,K$23,$G580=$G$26,K$26,$G580=$G$29,K$29,$G580=$G$31,K$31,$G580=$G$34,K$34,$G580=$G$37,K$37,$G580=$G$107,K$107,$G580=$G$110,K$110,$G580=$G$140,K$140,$G580=$G$142,K$142,$G580=$G$408,K$408)</f>
        <v>BG sentinel + BG lure7</v>
      </c>
      <c r="O580" s="13" t="str">
        <f t="shared" si="56"/>
        <v>A_SP_BCN_16_221018</v>
      </c>
      <c r="P580" s="27">
        <v>44852</v>
      </c>
      <c r="Q580" s="29">
        <v>0.77083333333333337</v>
      </c>
      <c r="R580" s="33"/>
      <c r="S580" s="31">
        <v>44860</v>
      </c>
      <c r="T580" s="29">
        <v>0.75694444444444453</v>
      </c>
      <c r="V580" s="13" t="s">
        <v>86</v>
      </c>
      <c r="X580" s="13">
        <f t="shared" si="52"/>
        <v>8</v>
      </c>
      <c r="Z580" s="13" t="s">
        <v>164</v>
      </c>
      <c r="AA580" s="13">
        <f t="shared" si="58"/>
        <v>8</v>
      </c>
      <c r="AB580" s="13" t="str">
        <f t="shared" si="53"/>
        <v>Adult</v>
      </c>
      <c r="AC580" s="13">
        <v>5</v>
      </c>
      <c r="AD580" s="13">
        <v>3</v>
      </c>
      <c r="AE580" s="13" t="str">
        <f t="shared" si="54"/>
        <v>Morphological</v>
      </c>
      <c r="AF580" s="2">
        <v>4</v>
      </c>
    </row>
    <row r="581" spans="1:32" x14ac:dyDescent="0.25">
      <c r="A581" s="13">
        <v>577</v>
      </c>
      <c r="B581" s="23" t="s">
        <v>56</v>
      </c>
      <c r="C581" s="23" t="s">
        <v>57</v>
      </c>
      <c r="D581" s="23" t="s">
        <v>58</v>
      </c>
      <c r="E581" s="23" t="s">
        <v>58</v>
      </c>
      <c r="F581" s="35" cm="1">
        <f t="array" ref="F581">_xlfn.IFS($G581=$G$5,F$5,$G581=$G$7,F$7,$G581=$G$10,F$10,$G581=$G$13,F$13,$G581=$G$14,F$14,$G581=$G$16,F$16,$G581=$G$17,F$17,$G581=$G$19,F$19,$G581=$G$20,F$20,$G581=$G$22,F$22,$G581=$G$23,F$23,$G581=$G$26,F$26,$G581=$G$29,F$29,$G581=$G$31,F$31,$G581=$G$34,F$34,$G581=$G$37,F$37,$G581=$G$107,F$107,$G581=$G$110,F$110,$G581=$G$140,F$140,$G581=$G$142,F$142,$G581=$G$408,F$408)</f>
        <v>8017</v>
      </c>
      <c r="G581" s="13" t="s">
        <v>73</v>
      </c>
      <c r="H581" s="51" cm="1">
        <f t="array" ref="H581">_xlfn.IFS($G581=$G$5,H$5,$G581=$G$7,H$7,$G581=$G$10,H$10,$G581=$G$13,H$13,$G581=$G$14,H$14,$G581=$G$16,H$16,$G581=$G$17,H$17,$G581=$G$19,H$19,$G581=$G$20,H$20,$G581=$G$22,H$22,$G581=$G$23,H$23,$G581=$G$26,H$26,$G581=$G$29,H$29,$G581=$G$31,H$31,$G581=$G$34,H$34,$G581=$G$37,H$37,$G581=$G$107,H$107,$G581=$G$110,H$110,$G581=$G$140,H$140,$G581=$G$142,H$142,$G581=$G$408,H$408)</f>
        <v>41.398387</v>
      </c>
      <c r="I581" s="51" cm="1">
        <f t="array" ref="I581">_xlfn.IFS($G581=$G$5,I$5,$G581=$G$7,I$7,$G581=$G$10,I$10,$G581=$G$13,I$13,$G581=$G$14,I$14,$G581=$G$16,I$16,$G581=$G$17,I$17,$G581=$G$19,I$19,$G581=$G$20,I$20,$G581=$G$22,I$22,$G581=$G$23,I$23,$G581=$G$26,I$26,$G581=$G$29,I$29,$G581=$G$31,I$31,$G581=$G$34,I$34,$G581=$G$37,I$37,$G581=$G$107,I$107,$G581=$G$110,I$110,$G581=$G$140,I$140,$G581=$G$142,I$142,$G581=$G$408,I$408)</f>
        <v>2.1244429999999999</v>
      </c>
      <c r="J581" s="51" cm="1">
        <f t="array" ref="J581">_xlfn.IFS($G581=$G$5,J$5,$G581=$G$7,J$7,$G581=$G$10,J$10,$G581=$G$13,J$13,$G581=$G$14,J$14,$G581=$G$16,J$16,$G581=$G$17,J$17,$G581=$G$19,J$19,$G581=$G$20,J$20,$G581=$G$22,J$22,$G581=$G$23,J$23,$G581=$G$26,J$26,$G581=$G$29,J$29,$G581=$G$31,J$31,$G581=$G$34,J$34,$G581=$G$37,J$37,$G581=$G$107,J$107,$G581=$G$110,J$110,$G581=$G$140,J$140,$G581=$G$142,J$142,$G581=$G$408,J$408)</f>
        <v>106</v>
      </c>
      <c r="K581" s="13" t="str" cm="1">
        <f t="array" ref="K581">_xlfn.IFS($G581=$G$5,K$5,$G581=$G$7,K$7,$G581=$G$10,K$10,$G581=$G$13,K$13,$G581=$G$14,K$14,$G581=$G$16,K$16,$G581=$G$17,K$17,$G581=$G$19,K$19,$G581=$G$20,K$20,$G581=$G$22,K$22,$G581=$G$23,K$23,$G581=$G$26,K$26,$G581=$G$29,K$29,$G581=$G$31,K$31,$G581=$G$34,K$34,$G581=$G$37,K$37,$G581=$G$107,K$107,$G581=$G$110,K$110,$G581=$G$140,K$140,$G581=$G$142,K$142,$G581=$G$408,K$408)</f>
        <v>BG sentinel + BG lure7</v>
      </c>
      <c r="O581" s="13" t="str">
        <f t="shared" si="56"/>
        <v>A_SP_BCN_16_221018</v>
      </c>
      <c r="P581" s="27">
        <v>44852</v>
      </c>
      <c r="Q581" s="29">
        <v>0.77083333333333337</v>
      </c>
      <c r="R581" s="33"/>
      <c r="S581" s="31">
        <v>44860</v>
      </c>
      <c r="T581" s="29">
        <v>0.75694444444444453</v>
      </c>
      <c r="V581" s="13" t="s">
        <v>86</v>
      </c>
      <c r="X581" s="13">
        <f t="shared" si="52"/>
        <v>8</v>
      </c>
      <c r="Z581" s="32" t="s">
        <v>163</v>
      </c>
      <c r="AA581" s="13">
        <f t="shared" si="58"/>
        <v>1</v>
      </c>
      <c r="AB581" s="13" t="str">
        <f t="shared" si="53"/>
        <v>Adult</v>
      </c>
      <c r="AC581" s="13">
        <v>1</v>
      </c>
      <c r="AD581" s="13">
        <v>0</v>
      </c>
      <c r="AE581" s="13" t="str">
        <f t="shared" si="54"/>
        <v>Morphological</v>
      </c>
      <c r="AF581" s="2">
        <v>4</v>
      </c>
    </row>
    <row r="582" spans="1:32" x14ac:dyDescent="0.25">
      <c r="A582" s="13">
        <v>578</v>
      </c>
      <c r="B582" s="23" t="s">
        <v>56</v>
      </c>
      <c r="C582" s="23" t="s">
        <v>57</v>
      </c>
      <c r="D582" s="23" t="s">
        <v>58</v>
      </c>
      <c r="E582" s="23" t="s">
        <v>58</v>
      </c>
      <c r="F582" s="35" cm="1">
        <f t="array" ref="F582">_xlfn.IFS($G582=$G$5,F$5,$G582=$G$7,F$7,$G582=$G$10,F$10,$G582=$G$13,F$13,$G582=$G$14,F$14,$G582=$G$16,F$16,$G582=$G$17,F$17,$G582=$G$19,F$19,$G582=$G$20,F$20,$G582=$G$22,F$22,$G582=$G$23,F$23,$G582=$G$26,F$26,$G582=$G$29,F$29,$G582=$G$31,F$31,$G582=$G$34,F$34,$G582=$G$37,F$37,$G582=$G$107,F$107,$G582=$G$110,F$110,$G582=$G$140,F$140,$G582=$G$142,F$142,$G582=$G$408,F$408)</f>
        <v>8023</v>
      </c>
      <c r="G582" s="13" t="s">
        <v>74</v>
      </c>
      <c r="H582" s="51" cm="1">
        <f t="array" ref="H582">_xlfn.IFS($G582=$G$5,H$5,$G582=$G$7,H$7,$G582=$G$10,H$10,$G582=$G$13,H$13,$G582=$G$14,H$14,$G582=$G$16,H$16,$G582=$G$17,H$17,$G582=$G$19,H$19,$G582=$G$20,H$20,$G582=$G$22,H$22,$G582=$G$23,H$23,$G582=$G$26,H$26,$G582=$G$29,H$29,$G582=$G$31,H$31,$G582=$G$34,H$34,$G582=$G$37,H$37,$G582=$G$107,H$107,$G582=$G$110,H$110,$G582=$G$140,H$140,$G582=$G$142,H$142,$G582=$G$408,H$408)</f>
        <v>41.417256000000002</v>
      </c>
      <c r="I582" s="51" cm="1">
        <f t="array" ref="I582">_xlfn.IFS($G582=$G$5,I$5,$G582=$G$7,I$7,$G582=$G$10,I$10,$G582=$G$13,I$13,$G582=$G$14,I$14,$G582=$G$16,I$16,$G582=$G$17,I$17,$G582=$G$19,I$19,$G582=$G$20,I$20,$G582=$G$22,I$22,$G582=$G$23,I$23,$G582=$G$26,I$26,$G582=$G$29,I$29,$G582=$G$31,I$31,$G582=$G$34,I$34,$G582=$G$37,I$37,$G582=$G$107,I$107,$G582=$G$110,I$110,$G582=$G$140,I$140,$G582=$G$142,I$142,$G582=$G$408,I$408)</f>
        <v>2.1455709999999999</v>
      </c>
      <c r="J582" s="51" cm="1">
        <f t="array" ref="J582">_xlfn.IFS($G582=$G$5,J$5,$G582=$G$7,J$7,$G582=$G$10,J$10,$G582=$G$13,J$13,$G582=$G$14,J$14,$G582=$G$16,J$16,$G582=$G$17,J$17,$G582=$G$19,J$19,$G582=$G$20,J$20,$G582=$G$22,J$22,$G582=$G$23,J$23,$G582=$G$26,J$26,$G582=$G$29,J$29,$G582=$G$31,J$31,$G582=$G$34,J$34,$G582=$G$37,J$37,$G582=$G$107,J$107,$G582=$G$110,J$110,$G582=$G$140,J$140,$G582=$G$142,J$142,$G582=$G$408,J$408)</f>
        <v>186</v>
      </c>
      <c r="K582" s="13" t="str" cm="1">
        <f t="array" ref="K582">_xlfn.IFS($G582=$G$5,K$5,$G582=$G$7,K$7,$G582=$G$10,K$10,$G582=$G$13,K$13,$G582=$G$14,K$14,$G582=$G$16,K$16,$G582=$G$17,K$17,$G582=$G$19,K$19,$G582=$G$20,K$20,$G582=$G$22,K$22,$G582=$G$23,K$23,$G582=$G$26,K$26,$G582=$G$29,K$29,$G582=$G$31,K$31,$G582=$G$34,K$34,$G582=$G$37,K$37,$G582=$G$107,K$107,$G582=$G$110,K$110,$G582=$G$140,K$140,$G582=$G$142,K$142,$G582=$G$408,K$408)</f>
        <v>BG sentinel + BG lure7</v>
      </c>
      <c r="O582" s="13" t="str">
        <f t="shared" si="56"/>
        <v>A_SP_BCN_17_221018</v>
      </c>
      <c r="P582" s="27">
        <v>44852</v>
      </c>
      <c r="Q582" s="29">
        <v>0.65972222222222221</v>
      </c>
      <c r="R582" s="33"/>
      <c r="S582" s="31">
        <v>44860</v>
      </c>
      <c r="T582" s="29">
        <v>0.63541666666666663</v>
      </c>
      <c r="V582" s="13" t="s">
        <v>86</v>
      </c>
      <c r="X582" s="13">
        <f t="shared" ref="X582:X645" si="59">S582-P582</f>
        <v>8</v>
      </c>
      <c r="Z582" s="13" t="s">
        <v>60</v>
      </c>
      <c r="AA582" s="13">
        <f t="shared" si="58"/>
        <v>13</v>
      </c>
      <c r="AB582" s="13" t="str">
        <f t="shared" ref="AB582:AB645" si="60">IF(AA582=0,"",IF(AA582="","",IF(AA582&gt;0,"Adult")))</f>
        <v>Adult</v>
      </c>
      <c r="AC582" s="13">
        <v>9</v>
      </c>
      <c r="AD582" s="13">
        <v>4</v>
      </c>
      <c r="AE582" s="13" t="str">
        <f t="shared" ref="AE582:AE645" si="61">IF(AA582=0,"",IF(AA582="","",IF(AA582&gt;0,"Morphological")))</f>
        <v>Morphological</v>
      </c>
      <c r="AF582" s="2">
        <v>4</v>
      </c>
    </row>
    <row r="583" spans="1:32" x14ac:dyDescent="0.25">
      <c r="A583" s="13">
        <v>579</v>
      </c>
      <c r="B583" s="23" t="s">
        <v>56</v>
      </c>
      <c r="C583" s="23" t="s">
        <v>57</v>
      </c>
      <c r="D583" s="23" t="s">
        <v>58</v>
      </c>
      <c r="E583" s="23" t="s">
        <v>58</v>
      </c>
      <c r="F583" s="35" cm="1">
        <f t="array" ref="F583">_xlfn.IFS($G583=$G$5,F$5,$G583=$G$7,F$7,$G583=$G$10,F$10,$G583=$G$13,F$13,$G583=$G$14,F$14,$G583=$G$16,F$16,$G583=$G$17,F$17,$G583=$G$19,F$19,$G583=$G$20,F$20,$G583=$G$22,F$22,$G583=$G$23,F$23,$G583=$G$26,F$26,$G583=$G$29,F$29,$G583=$G$31,F$31,$G583=$G$34,F$34,$G583=$G$37,F$37,$G583=$G$107,F$107,$G583=$G$110,F$110,$G583=$G$140,F$140,$G583=$G$142,F$142,$G583=$G$408,F$408)</f>
        <v>8023</v>
      </c>
      <c r="G583" s="13" t="s">
        <v>74</v>
      </c>
      <c r="H583" s="51" cm="1">
        <f t="array" ref="H583">_xlfn.IFS($G583=$G$5,H$5,$G583=$G$7,H$7,$G583=$G$10,H$10,$G583=$G$13,H$13,$G583=$G$14,H$14,$G583=$G$16,H$16,$G583=$G$17,H$17,$G583=$G$19,H$19,$G583=$G$20,H$20,$G583=$G$22,H$22,$G583=$G$23,H$23,$G583=$G$26,H$26,$G583=$G$29,H$29,$G583=$G$31,H$31,$G583=$G$34,H$34,$G583=$G$37,H$37,$G583=$G$107,H$107,$G583=$G$110,H$110,$G583=$G$140,H$140,$G583=$G$142,H$142,$G583=$G$408,H$408)</f>
        <v>41.417256000000002</v>
      </c>
      <c r="I583" s="51" cm="1">
        <f t="array" ref="I583">_xlfn.IFS($G583=$G$5,I$5,$G583=$G$7,I$7,$G583=$G$10,I$10,$G583=$G$13,I$13,$G583=$G$14,I$14,$G583=$G$16,I$16,$G583=$G$17,I$17,$G583=$G$19,I$19,$G583=$G$20,I$20,$G583=$G$22,I$22,$G583=$G$23,I$23,$G583=$G$26,I$26,$G583=$G$29,I$29,$G583=$G$31,I$31,$G583=$G$34,I$34,$G583=$G$37,I$37,$G583=$G$107,I$107,$G583=$G$110,I$110,$G583=$G$140,I$140,$G583=$G$142,I$142,$G583=$G$408,I$408)</f>
        <v>2.1455709999999999</v>
      </c>
      <c r="J583" s="51" cm="1">
        <f t="array" ref="J583">_xlfn.IFS($G583=$G$5,J$5,$G583=$G$7,J$7,$G583=$G$10,J$10,$G583=$G$13,J$13,$G583=$G$14,J$14,$G583=$G$16,J$16,$G583=$G$17,J$17,$G583=$G$19,J$19,$G583=$G$20,J$20,$G583=$G$22,J$22,$G583=$G$23,J$23,$G583=$G$26,J$26,$G583=$G$29,J$29,$G583=$G$31,J$31,$G583=$G$34,J$34,$G583=$G$37,J$37,$G583=$G$107,J$107,$G583=$G$110,J$110,$G583=$G$140,J$140,$G583=$G$142,J$142,$G583=$G$408,J$408)</f>
        <v>186</v>
      </c>
      <c r="K583" s="13" t="str" cm="1">
        <f t="array" ref="K583">_xlfn.IFS($G583=$G$5,K$5,$G583=$G$7,K$7,$G583=$G$10,K$10,$G583=$G$13,K$13,$G583=$G$14,K$14,$G583=$G$16,K$16,$G583=$G$17,K$17,$G583=$G$19,K$19,$G583=$G$20,K$20,$G583=$G$22,K$22,$G583=$G$23,K$23,$G583=$G$26,K$26,$G583=$G$29,K$29,$G583=$G$31,K$31,$G583=$G$34,K$34,$G583=$G$37,K$37,$G583=$G$107,K$107,$G583=$G$110,K$110,$G583=$G$140,K$140,$G583=$G$142,K$142,$G583=$G$408,K$408)</f>
        <v>BG sentinel + BG lure7</v>
      </c>
      <c r="O583" s="13" t="str">
        <f t="shared" si="56"/>
        <v>A_SP_BCN_17_221018</v>
      </c>
      <c r="P583" s="27">
        <v>44852</v>
      </c>
      <c r="Q583" s="29">
        <v>0.65972222222222221</v>
      </c>
      <c r="R583" s="33"/>
      <c r="S583" s="31">
        <v>44860</v>
      </c>
      <c r="T583" s="29">
        <v>0.63541666666666663</v>
      </c>
      <c r="V583" s="13" t="s">
        <v>86</v>
      </c>
      <c r="X583" s="13">
        <f t="shared" si="59"/>
        <v>8</v>
      </c>
      <c r="Z583" s="13" t="s">
        <v>164</v>
      </c>
      <c r="AA583" s="13">
        <f t="shared" si="58"/>
        <v>3</v>
      </c>
      <c r="AB583" s="13" t="str">
        <f t="shared" si="60"/>
        <v>Adult</v>
      </c>
      <c r="AC583" s="13">
        <v>3</v>
      </c>
      <c r="AD583" s="13">
        <v>0</v>
      </c>
      <c r="AE583" s="13" t="str">
        <f t="shared" si="61"/>
        <v>Morphological</v>
      </c>
      <c r="AF583" s="2">
        <v>4</v>
      </c>
    </row>
    <row r="584" spans="1:32" x14ac:dyDescent="0.25">
      <c r="A584" s="13">
        <v>580</v>
      </c>
      <c r="B584" s="23" t="s">
        <v>56</v>
      </c>
      <c r="C584" s="23" t="s">
        <v>57</v>
      </c>
      <c r="D584" s="23" t="s">
        <v>58</v>
      </c>
      <c r="E584" s="23" t="s">
        <v>58</v>
      </c>
      <c r="F584" s="35" cm="1">
        <f t="array" ref="F584">_xlfn.IFS($G584=$G$5,F$5,$G584=$G$7,F$7,$G584=$G$10,F$10,$G584=$G$13,F$13,$G584=$G$14,F$14,$G584=$G$16,F$16,$G584=$G$17,F$17,$G584=$G$19,F$19,$G584=$G$20,F$20,$G584=$G$22,F$22,$G584=$G$23,F$23,$G584=$G$26,F$26,$G584=$G$29,F$29,$G584=$G$31,F$31,$G584=$G$34,F$34,$G584=$G$37,F$37,$G584=$G$107,F$107,$G584=$G$110,F$110,$G584=$G$140,F$140,$G584=$G$142,F$142,$G584=$G$408,F$408)</f>
        <v>8031</v>
      </c>
      <c r="G584" s="13" t="s">
        <v>75</v>
      </c>
      <c r="H584" s="51" cm="1">
        <f t="array" ref="H584">_xlfn.IFS($G584=$G$5,H$5,$G584=$G$7,H$7,$G584=$G$10,H$10,$G584=$G$13,H$13,$G584=$G$14,H$14,$G584=$G$16,H$16,$G584=$G$17,H$17,$G584=$G$19,H$19,$G584=$G$20,H$20,$G584=$G$22,H$22,$G584=$G$23,H$23,$G584=$G$26,H$26,$G584=$G$29,H$29,$G584=$G$31,H$31,$G584=$G$34,H$34,$G584=$G$37,H$37,$G584=$G$107,H$107,$G584=$G$110,H$110,$G584=$G$140,H$140,$G584=$G$142,H$142,$G584=$G$408,H$408)</f>
        <v>41.433618000000003</v>
      </c>
      <c r="I584" s="51" cm="1">
        <f t="array" ref="I584">_xlfn.IFS($G584=$G$5,I$5,$G584=$G$7,I$7,$G584=$G$10,I$10,$G584=$G$13,I$13,$G584=$G$14,I$14,$G584=$G$16,I$16,$G584=$G$17,I$17,$G584=$G$19,I$19,$G584=$G$20,I$20,$G584=$G$22,I$22,$G584=$G$23,I$23,$G584=$G$26,I$26,$G584=$G$29,I$29,$G584=$G$31,I$31,$G584=$G$34,I$34,$G584=$G$37,I$37,$G584=$G$107,I$107,$G584=$G$110,I$110,$G584=$G$140,I$140,$G584=$G$142,I$142,$G584=$G$408,I$408)</f>
        <v>2.1677469999999999</v>
      </c>
      <c r="J584" s="51" cm="1">
        <f t="array" ref="J584">_xlfn.IFS($G584=$G$5,J$5,$G584=$G$7,J$7,$G584=$G$10,J$10,$G584=$G$13,J$13,$G584=$G$14,J$14,$G584=$G$16,J$16,$G584=$G$17,J$17,$G584=$G$19,J$19,$G584=$G$20,J$20,$G584=$G$22,J$22,$G584=$G$23,J$23,$G584=$G$26,J$26,$G584=$G$29,J$29,$G584=$G$31,J$31,$G584=$G$34,J$34,$G584=$G$37,J$37,$G584=$G$107,J$107,$G584=$G$110,J$110,$G584=$G$140,J$140,$G584=$G$142,J$142,$G584=$G$408,J$408)</f>
        <v>96.85</v>
      </c>
      <c r="K584" s="13" t="str" cm="1">
        <f t="array" ref="K584">_xlfn.IFS($G584=$G$5,K$5,$G584=$G$7,K$7,$G584=$G$10,K$10,$G584=$G$13,K$13,$G584=$G$14,K$14,$G584=$G$16,K$16,$G584=$G$17,K$17,$G584=$G$19,K$19,$G584=$G$20,K$20,$G584=$G$22,K$22,$G584=$G$23,K$23,$G584=$G$26,K$26,$G584=$G$29,K$29,$G584=$G$31,K$31,$G584=$G$34,K$34,$G584=$G$37,K$37,$G584=$G$107,K$107,$G584=$G$110,K$110,$G584=$G$140,K$140,$G584=$G$142,K$142,$G584=$G$408,K$408)</f>
        <v>BG sentinel + BG lure7</v>
      </c>
      <c r="O584" s="13" t="str">
        <f t="shared" si="56"/>
        <v>A_SP_BCN_18_221018</v>
      </c>
      <c r="P584" s="27">
        <v>44852</v>
      </c>
      <c r="Q584" s="29">
        <v>0.80208333333333337</v>
      </c>
      <c r="R584" s="33"/>
      <c r="S584" s="31">
        <v>44860</v>
      </c>
      <c r="T584" s="29">
        <v>0.78472222222222221</v>
      </c>
      <c r="V584" s="13" t="s">
        <v>86</v>
      </c>
      <c r="W584" s="15" t="s">
        <v>125</v>
      </c>
      <c r="X584" s="13">
        <f t="shared" si="59"/>
        <v>8</v>
      </c>
      <c r="Z584" s="13" t="s">
        <v>60</v>
      </c>
      <c r="AA584" s="13">
        <f t="shared" si="58"/>
        <v>19</v>
      </c>
      <c r="AB584" s="13" t="str">
        <f t="shared" si="60"/>
        <v>Adult</v>
      </c>
      <c r="AC584" s="13">
        <v>19</v>
      </c>
      <c r="AD584" s="13">
        <v>0</v>
      </c>
      <c r="AE584" s="13" t="str">
        <f t="shared" si="61"/>
        <v>Morphological</v>
      </c>
      <c r="AF584" s="2">
        <v>4</v>
      </c>
    </row>
    <row r="585" spans="1:32" x14ac:dyDescent="0.25">
      <c r="A585" s="13">
        <v>581</v>
      </c>
      <c r="B585" s="23" t="s">
        <v>56</v>
      </c>
      <c r="C585" s="23" t="s">
        <v>57</v>
      </c>
      <c r="D585" s="23" t="s">
        <v>58</v>
      </c>
      <c r="E585" s="23" t="s">
        <v>58</v>
      </c>
      <c r="F585" s="35" cm="1">
        <f t="array" ref="F585">_xlfn.IFS($G585=$G$5,F$5,$G585=$G$7,F$7,$G585=$G$10,F$10,$G585=$G$13,F$13,$G585=$G$14,F$14,$G585=$G$16,F$16,$G585=$G$17,F$17,$G585=$G$19,F$19,$G585=$G$20,F$20,$G585=$G$22,F$22,$G585=$G$23,F$23,$G585=$G$26,F$26,$G585=$G$29,F$29,$G585=$G$31,F$31,$G585=$G$34,F$34,$G585=$G$37,F$37,$G585=$G$107,F$107,$G585=$G$110,F$110,$G585=$G$140,F$140,$G585=$G$142,F$142,$G585=$G$408,F$408)</f>
        <v>8031</v>
      </c>
      <c r="G585" s="13" t="s">
        <v>75</v>
      </c>
      <c r="H585" s="51" cm="1">
        <f t="array" ref="H585">_xlfn.IFS($G585=$G$5,H$5,$G585=$G$7,H$7,$G585=$G$10,H$10,$G585=$G$13,H$13,$G585=$G$14,H$14,$G585=$G$16,H$16,$G585=$G$17,H$17,$G585=$G$19,H$19,$G585=$G$20,H$20,$G585=$G$22,H$22,$G585=$G$23,H$23,$G585=$G$26,H$26,$G585=$G$29,H$29,$G585=$G$31,H$31,$G585=$G$34,H$34,$G585=$G$37,H$37,$G585=$G$107,H$107,$G585=$G$110,H$110,$G585=$G$140,H$140,$G585=$G$142,H$142,$G585=$G$408,H$408)</f>
        <v>41.433618000000003</v>
      </c>
      <c r="I585" s="51" cm="1">
        <f t="array" ref="I585">_xlfn.IFS($G585=$G$5,I$5,$G585=$G$7,I$7,$G585=$G$10,I$10,$G585=$G$13,I$13,$G585=$G$14,I$14,$G585=$G$16,I$16,$G585=$G$17,I$17,$G585=$G$19,I$19,$G585=$G$20,I$20,$G585=$G$22,I$22,$G585=$G$23,I$23,$G585=$G$26,I$26,$G585=$G$29,I$29,$G585=$G$31,I$31,$G585=$G$34,I$34,$G585=$G$37,I$37,$G585=$G$107,I$107,$G585=$G$110,I$110,$G585=$G$140,I$140,$G585=$G$142,I$142,$G585=$G$408,I$408)</f>
        <v>2.1677469999999999</v>
      </c>
      <c r="J585" s="51" cm="1">
        <f t="array" ref="J585">_xlfn.IFS($G585=$G$5,J$5,$G585=$G$7,J$7,$G585=$G$10,J$10,$G585=$G$13,J$13,$G585=$G$14,J$14,$G585=$G$16,J$16,$G585=$G$17,J$17,$G585=$G$19,J$19,$G585=$G$20,J$20,$G585=$G$22,J$22,$G585=$G$23,J$23,$G585=$G$26,J$26,$G585=$G$29,J$29,$G585=$G$31,J$31,$G585=$G$34,J$34,$G585=$G$37,J$37,$G585=$G$107,J$107,$G585=$G$110,J$110,$G585=$G$140,J$140,$G585=$G$142,J$142,$G585=$G$408,J$408)</f>
        <v>96.85</v>
      </c>
      <c r="K585" s="13" t="str" cm="1">
        <f t="array" ref="K585">_xlfn.IFS($G585=$G$5,K$5,$G585=$G$7,K$7,$G585=$G$10,K$10,$G585=$G$13,K$13,$G585=$G$14,K$14,$G585=$G$16,K$16,$G585=$G$17,K$17,$G585=$G$19,K$19,$G585=$G$20,K$20,$G585=$G$22,K$22,$G585=$G$23,K$23,$G585=$G$26,K$26,$G585=$G$29,K$29,$G585=$G$31,K$31,$G585=$G$34,K$34,$G585=$G$37,K$37,$G585=$G$107,K$107,$G585=$G$110,K$110,$G585=$G$140,K$140,$G585=$G$142,K$142,$G585=$G$408,K$408)</f>
        <v>BG sentinel + BG lure7</v>
      </c>
      <c r="O585" s="13" t="str">
        <f t="shared" si="56"/>
        <v>A_SP_BCN_18_221018</v>
      </c>
      <c r="P585" s="27">
        <v>44852</v>
      </c>
      <c r="Q585" s="29">
        <v>0.80208333333333337</v>
      </c>
      <c r="R585" s="33"/>
      <c r="S585" s="31">
        <v>44860</v>
      </c>
      <c r="T585" s="29">
        <v>0.78472222222222221</v>
      </c>
      <c r="V585" s="13" t="s">
        <v>86</v>
      </c>
      <c r="X585" s="13">
        <f t="shared" si="59"/>
        <v>8</v>
      </c>
      <c r="Z585" s="13" t="s">
        <v>164</v>
      </c>
      <c r="AA585" s="13">
        <f t="shared" si="58"/>
        <v>4</v>
      </c>
      <c r="AB585" s="13" t="str">
        <f t="shared" si="60"/>
        <v>Adult</v>
      </c>
      <c r="AC585" s="13">
        <v>3</v>
      </c>
      <c r="AD585" s="13">
        <v>1</v>
      </c>
      <c r="AE585" s="13" t="str">
        <f t="shared" si="61"/>
        <v>Morphological</v>
      </c>
      <c r="AF585" s="2">
        <v>4</v>
      </c>
    </row>
    <row r="586" spans="1:32" x14ac:dyDescent="0.25">
      <c r="A586" s="13">
        <v>582</v>
      </c>
      <c r="B586" s="23" t="s">
        <v>56</v>
      </c>
      <c r="C586" s="23" t="s">
        <v>57</v>
      </c>
      <c r="D586" s="23" t="s">
        <v>58</v>
      </c>
      <c r="E586" s="23" t="s">
        <v>58</v>
      </c>
      <c r="F586" s="35" cm="1">
        <f t="array" ref="F586">_xlfn.IFS($G586=$G$5,F$5,$G586=$G$7,F$7,$G586=$G$10,F$10,$G586=$G$13,F$13,$G586=$G$14,F$14,$G586=$G$16,F$16,$G586=$G$17,F$17,$G586=$G$19,F$19,$G586=$G$20,F$20,$G586=$G$22,F$22,$G586=$G$23,F$23,$G586=$G$26,F$26,$G586=$G$29,F$29,$G586=$G$31,F$31,$G586=$G$34,F$34,$G586=$G$37,F$37,$G586=$G$107,F$107,$G586=$G$110,F$110,$G586=$G$140,F$140,$G586=$G$142,F$142,$G586=$G$408,F$408)</f>
        <v>8031</v>
      </c>
      <c r="G586" s="13" t="s">
        <v>75</v>
      </c>
      <c r="H586" s="51" cm="1">
        <f t="array" ref="H586">_xlfn.IFS($G586=$G$5,H$5,$G586=$G$7,H$7,$G586=$G$10,H$10,$G586=$G$13,H$13,$G586=$G$14,H$14,$G586=$G$16,H$16,$G586=$G$17,H$17,$G586=$G$19,H$19,$G586=$G$20,H$20,$G586=$G$22,H$22,$G586=$G$23,H$23,$G586=$G$26,H$26,$G586=$G$29,H$29,$G586=$G$31,H$31,$G586=$G$34,H$34,$G586=$G$37,H$37,$G586=$G$107,H$107,$G586=$G$110,H$110,$G586=$G$140,H$140,$G586=$G$142,H$142,$G586=$G$408,H$408)</f>
        <v>41.433618000000003</v>
      </c>
      <c r="I586" s="51" cm="1">
        <f t="array" ref="I586">_xlfn.IFS($G586=$G$5,I$5,$G586=$G$7,I$7,$G586=$G$10,I$10,$G586=$G$13,I$13,$G586=$G$14,I$14,$G586=$G$16,I$16,$G586=$G$17,I$17,$G586=$G$19,I$19,$G586=$G$20,I$20,$G586=$G$22,I$22,$G586=$G$23,I$23,$G586=$G$26,I$26,$G586=$G$29,I$29,$G586=$G$31,I$31,$G586=$G$34,I$34,$G586=$G$37,I$37,$G586=$G$107,I$107,$G586=$G$110,I$110,$G586=$G$140,I$140,$G586=$G$142,I$142,$G586=$G$408,I$408)</f>
        <v>2.1677469999999999</v>
      </c>
      <c r="J586" s="51" cm="1">
        <f t="array" ref="J586">_xlfn.IFS($G586=$G$5,J$5,$G586=$G$7,J$7,$G586=$G$10,J$10,$G586=$G$13,J$13,$G586=$G$14,J$14,$G586=$G$16,J$16,$G586=$G$17,J$17,$G586=$G$19,J$19,$G586=$G$20,J$20,$G586=$G$22,J$22,$G586=$G$23,J$23,$G586=$G$26,J$26,$G586=$G$29,J$29,$G586=$G$31,J$31,$G586=$G$34,J$34,$G586=$G$37,J$37,$G586=$G$107,J$107,$G586=$G$110,J$110,$G586=$G$140,J$140,$G586=$G$142,J$142,$G586=$G$408,J$408)</f>
        <v>96.85</v>
      </c>
      <c r="K586" s="13" t="str" cm="1">
        <f t="array" ref="K586">_xlfn.IFS($G586=$G$5,K$5,$G586=$G$7,K$7,$G586=$G$10,K$10,$G586=$G$13,K$13,$G586=$G$14,K$14,$G586=$G$16,K$16,$G586=$G$17,K$17,$G586=$G$19,K$19,$G586=$G$20,K$20,$G586=$G$22,K$22,$G586=$G$23,K$23,$G586=$G$26,K$26,$G586=$G$29,K$29,$G586=$G$31,K$31,$G586=$G$34,K$34,$G586=$G$37,K$37,$G586=$G$107,K$107,$G586=$G$110,K$110,$G586=$G$140,K$140,$G586=$G$142,K$142,$G586=$G$408,K$408)</f>
        <v>BG sentinel + BG lure7</v>
      </c>
      <c r="O586" s="13" t="str">
        <f t="shared" si="56"/>
        <v>A_SP_BCN_18_221018</v>
      </c>
      <c r="P586" s="27">
        <v>44852</v>
      </c>
      <c r="Q586" s="29">
        <v>0.80208333333333337</v>
      </c>
      <c r="R586" s="33"/>
      <c r="S586" s="31">
        <v>44860</v>
      </c>
      <c r="T586" s="29">
        <v>0.78472222222222221</v>
      </c>
      <c r="V586" s="13" t="s">
        <v>86</v>
      </c>
      <c r="X586" s="13">
        <f t="shared" si="59"/>
        <v>8</v>
      </c>
      <c r="Z586" s="32" t="s">
        <v>163</v>
      </c>
      <c r="AA586" s="13">
        <f t="shared" si="58"/>
        <v>1</v>
      </c>
      <c r="AB586" s="13" t="str">
        <f t="shared" si="60"/>
        <v>Adult</v>
      </c>
      <c r="AC586" s="13">
        <v>1</v>
      </c>
      <c r="AD586" s="13">
        <v>0</v>
      </c>
      <c r="AE586" s="13" t="str">
        <f t="shared" si="61"/>
        <v>Morphological</v>
      </c>
      <c r="AF586" s="2">
        <v>4</v>
      </c>
    </row>
    <row r="587" spans="1:32" x14ac:dyDescent="0.25">
      <c r="A587" s="13">
        <v>583</v>
      </c>
      <c r="B587" s="23" t="s">
        <v>56</v>
      </c>
      <c r="C587" s="23" t="s">
        <v>57</v>
      </c>
      <c r="D587" s="23" t="s">
        <v>58</v>
      </c>
      <c r="E587" s="23" t="s">
        <v>58</v>
      </c>
      <c r="F587" s="35" cm="1">
        <f t="array" ref="F587">_xlfn.IFS($G587=$G$5,F$5,$G587=$G$7,F$7,$G587=$G$10,F$10,$G587=$G$13,F$13,$G587=$G$14,F$14,$G587=$G$16,F$16,$G587=$G$17,F$17,$G587=$G$19,F$19,$G587=$G$20,F$20,$G587=$G$22,F$22,$G587=$G$23,F$23,$G587=$G$26,F$26,$G587=$G$29,F$29,$G587=$G$31,F$31,$G587=$G$34,F$34,$G587=$G$37,F$37,$G587=$G$107,F$107,$G587=$G$110,F$110,$G587=$G$140,F$140,$G587=$G$142,F$142,$G587=$G$408,F$408)</f>
        <v>8038</v>
      </c>
      <c r="G587" s="13" t="s">
        <v>76</v>
      </c>
      <c r="H587" s="51" cm="1">
        <f t="array" ref="H587">_xlfn.IFS($G587=$G$5,H$5,$G587=$G$7,H$7,$G587=$G$10,H$10,$G587=$G$13,H$13,$G587=$G$14,H$14,$G587=$G$16,H$16,$G587=$G$17,H$17,$G587=$G$19,H$19,$G587=$G$20,H$20,$G587=$G$22,H$22,$G587=$G$23,H$23,$G587=$G$26,H$26,$G587=$G$29,H$29,$G587=$G$31,H$31,$G587=$G$34,H$34,$G587=$G$37,H$37,$G587=$G$107,H$107,$G587=$G$110,H$110,$G587=$G$140,H$140,$G587=$G$142,H$142,$G587=$G$408,H$408)</f>
        <v>41.359864999999999</v>
      </c>
      <c r="I587" s="51" cm="1">
        <f t="array" ref="I587">_xlfn.IFS($G587=$G$5,I$5,$G587=$G$7,I$7,$G587=$G$10,I$10,$G587=$G$13,I$13,$G587=$G$14,I$14,$G587=$G$16,I$16,$G587=$G$17,I$17,$G587=$G$19,I$19,$G587=$G$20,I$20,$G587=$G$22,I$22,$G587=$G$23,I$23,$G587=$G$26,I$26,$G587=$G$29,I$29,$G587=$G$31,I$31,$G587=$G$34,I$34,$G587=$G$37,I$37,$G587=$G$107,I$107,$G587=$G$110,I$110,$G587=$G$140,I$140,$G587=$G$142,I$142,$G587=$G$408,I$408)</f>
        <v>2.1445430000000001</v>
      </c>
      <c r="J587" s="51" cm="1">
        <f t="array" ref="J587">_xlfn.IFS($G587=$G$5,J$5,$G587=$G$7,J$7,$G587=$G$10,J$10,$G587=$G$13,J$13,$G587=$G$14,J$14,$G587=$G$16,J$16,$G587=$G$17,J$17,$G587=$G$19,J$19,$G587=$G$20,J$20,$G587=$G$22,J$22,$G587=$G$23,J$23,$G587=$G$26,J$26,$G587=$G$29,J$29,$G587=$G$31,J$31,$G587=$G$34,J$34,$G587=$G$37,J$37,$G587=$G$107,J$107,$G587=$G$110,J$110,$G587=$G$140,J$140,$G587=$G$142,J$142,$G587=$G$408,J$408)</f>
        <v>11.4</v>
      </c>
      <c r="K587" s="13" t="str" cm="1">
        <f t="array" ref="K587">_xlfn.IFS($G587=$G$5,K$5,$G587=$G$7,K$7,$G587=$G$10,K$10,$G587=$G$13,K$13,$G587=$G$14,K$14,$G587=$G$16,K$16,$G587=$G$17,K$17,$G587=$G$19,K$19,$G587=$G$20,K$20,$G587=$G$22,K$22,$G587=$G$23,K$23,$G587=$G$26,K$26,$G587=$G$29,K$29,$G587=$G$31,K$31,$G587=$G$34,K$34,$G587=$G$37,K$37,$G587=$G$107,K$107,$G587=$G$110,K$110,$G587=$G$140,K$140,$G587=$G$142,K$142,$G587=$G$408,K$408)</f>
        <v>BG sentinel + BG lure7</v>
      </c>
      <c r="O587" s="13" t="str">
        <f t="shared" si="56"/>
        <v>A_SP_BCN_19_221018</v>
      </c>
      <c r="P587" s="27">
        <v>44852</v>
      </c>
      <c r="Q587" s="29">
        <v>0.54861111111111105</v>
      </c>
      <c r="R587" s="33"/>
      <c r="S587" s="31">
        <v>44860</v>
      </c>
      <c r="T587" s="29">
        <v>0.55208333333333337</v>
      </c>
      <c r="V587" s="13" t="s">
        <v>86</v>
      </c>
      <c r="X587" s="13">
        <f t="shared" si="59"/>
        <v>8</v>
      </c>
      <c r="Z587" s="13" t="s">
        <v>60</v>
      </c>
      <c r="AA587" s="13">
        <f t="shared" si="58"/>
        <v>12</v>
      </c>
      <c r="AB587" s="13" t="str">
        <f t="shared" si="60"/>
        <v>Adult</v>
      </c>
      <c r="AC587" s="13">
        <v>7</v>
      </c>
      <c r="AD587" s="13">
        <v>5</v>
      </c>
      <c r="AE587" s="13" t="str">
        <f t="shared" si="61"/>
        <v>Morphological</v>
      </c>
      <c r="AF587" s="2">
        <v>4</v>
      </c>
    </row>
    <row r="588" spans="1:32" x14ac:dyDescent="0.25">
      <c r="A588" s="13">
        <v>584</v>
      </c>
      <c r="B588" s="23" t="s">
        <v>56</v>
      </c>
      <c r="C588" s="23" t="s">
        <v>57</v>
      </c>
      <c r="D588" s="23" t="s">
        <v>58</v>
      </c>
      <c r="E588" s="23" t="s">
        <v>58</v>
      </c>
      <c r="F588" s="35" cm="1">
        <f t="array" ref="F588">_xlfn.IFS($G588=$G$5,F$5,$G588=$G$7,F$7,$G588=$G$10,F$10,$G588=$G$13,F$13,$G588=$G$14,F$14,$G588=$G$16,F$16,$G588=$G$17,F$17,$G588=$G$19,F$19,$G588=$G$20,F$20,$G588=$G$22,F$22,$G588=$G$23,F$23,$G588=$G$26,F$26,$G588=$G$29,F$29,$G588=$G$31,F$31,$G588=$G$34,F$34,$G588=$G$37,F$37,$G588=$G$107,F$107,$G588=$G$110,F$110,$G588=$G$140,F$140,$G588=$G$142,F$142,$G588=$G$408,F$408)</f>
        <v>8038</v>
      </c>
      <c r="G588" s="13" t="s">
        <v>76</v>
      </c>
      <c r="H588" s="51" cm="1">
        <f t="array" ref="H588">_xlfn.IFS($G588=$G$5,H$5,$G588=$G$7,H$7,$G588=$G$10,H$10,$G588=$G$13,H$13,$G588=$G$14,H$14,$G588=$G$16,H$16,$G588=$G$17,H$17,$G588=$G$19,H$19,$G588=$G$20,H$20,$G588=$G$22,H$22,$G588=$G$23,H$23,$G588=$G$26,H$26,$G588=$G$29,H$29,$G588=$G$31,H$31,$G588=$G$34,H$34,$G588=$G$37,H$37,$G588=$G$107,H$107,$G588=$G$110,H$110,$G588=$G$140,H$140,$G588=$G$142,H$142,$G588=$G$408,H$408)</f>
        <v>41.359864999999999</v>
      </c>
      <c r="I588" s="51" cm="1">
        <f t="array" ref="I588">_xlfn.IFS($G588=$G$5,I$5,$G588=$G$7,I$7,$G588=$G$10,I$10,$G588=$G$13,I$13,$G588=$G$14,I$14,$G588=$G$16,I$16,$G588=$G$17,I$17,$G588=$G$19,I$19,$G588=$G$20,I$20,$G588=$G$22,I$22,$G588=$G$23,I$23,$G588=$G$26,I$26,$G588=$G$29,I$29,$G588=$G$31,I$31,$G588=$G$34,I$34,$G588=$G$37,I$37,$G588=$G$107,I$107,$G588=$G$110,I$110,$G588=$G$140,I$140,$G588=$G$142,I$142,$G588=$G$408,I$408)</f>
        <v>2.1445430000000001</v>
      </c>
      <c r="J588" s="51" cm="1">
        <f t="array" ref="J588">_xlfn.IFS($G588=$G$5,J$5,$G588=$G$7,J$7,$G588=$G$10,J$10,$G588=$G$13,J$13,$G588=$G$14,J$14,$G588=$G$16,J$16,$G588=$G$17,J$17,$G588=$G$19,J$19,$G588=$G$20,J$20,$G588=$G$22,J$22,$G588=$G$23,J$23,$G588=$G$26,J$26,$G588=$G$29,J$29,$G588=$G$31,J$31,$G588=$G$34,J$34,$G588=$G$37,J$37,$G588=$G$107,J$107,$G588=$G$110,J$110,$G588=$G$140,J$140,$G588=$G$142,J$142,$G588=$G$408,J$408)</f>
        <v>11.4</v>
      </c>
      <c r="K588" s="13" t="str" cm="1">
        <f t="array" ref="K588">_xlfn.IFS($G588=$G$5,K$5,$G588=$G$7,K$7,$G588=$G$10,K$10,$G588=$G$13,K$13,$G588=$G$14,K$14,$G588=$G$16,K$16,$G588=$G$17,K$17,$G588=$G$19,K$19,$G588=$G$20,K$20,$G588=$G$22,K$22,$G588=$G$23,K$23,$G588=$G$26,K$26,$G588=$G$29,K$29,$G588=$G$31,K$31,$G588=$G$34,K$34,$G588=$G$37,K$37,$G588=$G$107,K$107,$G588=$G$110,K$110,$G588=$G$140,K$140,$G588=$G$142,K$142,$G588=$G$408,K$408)</f>
        <v>BG sentinel + BG lure7</v>
      </c>
      <c r="O588" s="13" t="str">
        <f t="shared" si="56"/>
        <v>A_SP_BCN_19_221018</v>
      </c>
      <c r="P588" s="27">
        <v>44852</v>
      </c>
      <c r="Q588" s="29">
        <v>0.54861111111111105</v>
      </c>
      <c r="R588" s="33"/>
      <c r="S588" s="31">
        <v>44860</v>
      </c>
      <c r="T588" s="29">
        <v>0.55208333333333337</v>
      </c>
      <c r="V588" s="13" t="s">
        <v>86</v>
      </c>
      <c r="X588" s="13">
        <f t="shared" si="59"/>
        <v>8</v>
      </c>
      <c r="Z588" s="13" t="s">
        <v>164</v>
      </c>
      <c r="AA588" s="13">
        <f t="shared" si="58"/>
        <v>10</v>
      </c>
      <c r="AB588" s="13" t="str">
        <f t="shared" si="60"/>
        <v>Adult</v>
      </c>
      <c r="AC588" s="13">
        <v>10</v>
      </c>
      <c r="AD588" s="13">
        <v>0</v>
      </c>
      <c r="AE588" s="13" t="str">
        <f t="shared" si="61"/>
        <v>Morphological</v>
      </c>
      <c r="AF588" s="2">
        <v>4</v>
      </c>
    </row>
    <row r="589" spans="1:32" x14ac:dyDescent="0.25">
      <c r="A589" s="13">
        <v>585</v>
      </c>
      <c r="B589" s="23" t="s">
        <v>56</v>
      </c>
      <c r="C589" s="23" t="s">
        <v>57</v>
      </c>
      <c r="D589" s="23" t="s">
        <v>58</v>
      </c>
      <c r="E589" s="23" t="s">
        <v>58</v>
      </c>
      <c r="F589" s="35" cm="1">
        <f t="array" ref="F589">_xlfn.IFS($G589=$G$5,F$5,$G589=$G$7,F$7,$G589=$G$10,F$10,$G589=$G$13,F$13,$G589=$G$14,F$14,$G589=$G$16,F$16,$G589=$G$17,F$17,$G589=$G$19,F$19,$G589=$G$20,F$20,$G589=$G$22,F$22,$G589=$G$23,F$23,$G589=$G$26,F$26,$G589=$G$29,F$29,$G589=$G$31,F$31,$G589=$G$34,F$34,$G589=$G$37,F$37,$G589=$G$107,F$107,$G589=$G$110,F$110,$G589=$G$140,F$140,$G589=$G$142,F$142,$G589=$G$408,F$408)</f>
        <v>8017</v>
      </c>
      <c r="G589" s="13" t="s">
        <v>77</v>
      </c>
      <c r="H589" s="51" cm="1">
        <f t="array" ref="H589">_xlfn.IFS($G589=$G$5,H$5,$G589=$G$7,H$7,$G589=$G$10,H$10,$G589=$G$13,H$13,$G589=$G$14,H$14,$G589=$G$16,H$16,$G589=$G$17,H$17,$G589=$G$19,H$19,$G589=$G$20,H$20,$G589=$G$22,H$22,$G589=$G$23,H$23,$G589=$G$26,H$26,$G589=$G$29,H$29,$G589=$G$31,H$31,$G589=$G$34,H$34,$G589=$G$37,H$37,$G589=$G$107,H$107,$G589=$G$110,H$110,$G589=$G$140,H$140,$G589=$G$142,H$142,$G589=$G$408,H$408)</f>
        <v>41.430315999999998</v>
      </c>
      <c r="I589" s="51" cm="1">
        <f t="array" ref="I589">_xlfn.IFS($G589=$G$5,I$5,$G589=$G$7,I$7,$G589=$G$10,I$10,$G589=$G$13,I$13,$G589=$G$14,I$14,$G589=$G$16,I$16,$G589=$G$17,I$17,$G589=$G$19,I$19,$G589=$G$20,I$20,$G589=$G$22,I$22,$G589=$G$23,I$23,$G589=$G$26,I$26,$G589=$G$29,I$29,$G589=$G$31,I$31,$G589=$G$34,I$34,$G589=$G$37,I$37,$G589=$G$107,I$107,$G589=$G$110,I$110,$G589=$G$140,I$140,$G589=$G$142,I$142,$G589=$G$408,I$408)</f>
        <v>2.077556</v>
      </c>
      <c r="J589" s="51" cm="1">
        <f t="array" ref="J589">_xlfn.IFS($G589=$G$5,J$5,$G589=$G$7,J$7,$G589=$G$10,J$10,$G589=$G$13,J$13,$G589=$G$14,J$14,$G589=$G$16,J$16,$G589=$G$17,J$17,$G589=$G$19,J$19,$G589=$G$20,J$20,$G589=$G$22,J$22,$G589=$G$23,J$23,$G589=$G$26,J$26,$G589=$G$29,J$29,$G589=$G$31,J$31,$G589=$G$34,J$34,$G589=$G$37,J$37,$G589=$G$107,J$107,$G589=$G$110,J$110,$G589=$G$140,J$140,$G589=$G$142,J$142,$G589=$G$408,J$408)</f>
        <v>243.3</v>
      </c>
      <c r="K589" s="13" t="str" cm="1">
        <f t="array" ref="K589">_xlfn.IFS($G589=$G$5,K$5,$G589=$G$7,K$7,$G589=$G$10,K$10,$G589=$G$13,K$13,$G589=$G$14,K$14,$G589=$G$16,K$16,$G589=$G$17,K$17,$G589=$G$19,K$19,$G589=$G$20,K$20,$G589=$G$22,K$22,$G589=$G$23,K$23,$G589=$G$26,K$26,$G589=$G$29,K$29,$G589=$G$31,K$31,$G589=$G$34,K$34,$G589=$G$37,K$37,$G589=$G$107,K$107,$G589=$G$110,K$110,$G589=$G$140,K$140,$G589=$G$142,K$142,$G589=$G$408,K$408)</f>
        <v>BG sentinel + BG lure7</v>
      </c>
      <c r="O589" s="13" t="str">
        <f t="shared" si="56"/>
        <v>A_SP_BCN_22_221018</v>
      </c>
      <c r="P589" s="27">
        <v>44852</v>
      </c>
      <c r="Q589" s="29">
        <v>0.73958333333333337</v>
      </c>
      <c r="R589" s="33"/>
      <c r="S589" s="31">
        <v>44860</v>
      </c>
      <c r="T589" s="29">
        <v>0.72569444444444453</v>
      </c>
      <c r="V589" s="13" t="s">
        <v>86</v>
      </c>
      <c r="X589" s="13">
        <f t="shared" si="59"/>
        <v>8</v>
      </c>
      <c r="Z589" s="13" t="s">
        <v>60</v>
      </c>
      <c r="AA589" s="13">
        <f t="shared" si="58"/>
        <v>14</v>
      </c>
      <c r="AB589" s="13" t="str">
        <f t="shared" si="60"/>
        <v>Adult</v>
      </c>
      <c r="AC589" s="13">
        <v>14</v>
      </c>
      <c r="AD589" s="13">
        <v>0</v>
      </c>
      <c r="AE589" s="13" t="str">
        <f t="shared" si="61"/>
        <v>Morphological</v>
      </c>
      <c r="AF589" s="2">
        <v>4</v>
      </c>
    </row>
    <row r="590" spans="1:32" x14ac:dyDescent="0.25">
      <c r="A590" s="13">
        <v>586</v>
      </c>
      <c r="B590" s="23" t="s">
        <v>56</v>
      </c>
      <c r="C590" s="23" t="s">
        <v>57</v>
      </c>
      <c r="D590" s="23" t="s">
        <v>58</v>
      </c>
      <c r="E590" s="23" t="s">
        <v>58</v>
      </c>
      <c r="F590" s="35" cm="1">
        <f t="array" ref="F590">_xlfn.IFS($G590=$G$5,F$5,$G590=$G$7,F$7,$G590=$G$10,F$10,$G590=$G$13,F$13,$G590=$G$14,F$14,$G590=$G$16,F$16,$G590=$G$17,F$17,$G590=$G$19,F$19,$G590=$G$20,F$20,$G590=$G$22,F$22,$G590=$G$23,F$23,$G590=$G$26,F$26,$G590=$G$29,F$29,$G590=$G$31,F$31,$G590=$G$34,F$34,$G590=$G$37,F$37,$G590=$G$107,F$107,$G590=$G$110,F$110,$G590=$G$140,F$140,$G590=$G$142,F$142,$G590=$G$408,F$408)</f>
        <v>8017</v>
      </c>
      <c r="G590" s="13" t="s">
        <v>77</v>
      </c>
      <c r="H590" s="51" cm="1">
        <f t="array" ref="H590">_xlfn.IFS($G590=$G$5,H$5,$G590=$G$7,H$7,$G590=$G$10,H$10,$G590=$G$13,H$13,$G590=$G$14,H$14,$G590=$G$16,H$16,$G590=$G$17,H$17,$G590=$G$19,H$19,$G590=$G$20,H$20,$G590=$G$22,H$22,$G590=$G$23,H$23,$G590=$G$26,H$26,$G590=$G$29,H$29,$G590=$G$31,H$31,$G590=$G$34,H$34,$G590=$G$37,H$37,$G590=$G$107,H$107,$G590=$G$110,H$110,$G590=$G$140,H$140,$G590=$G$142,H$142,$G590=$G$408,H$408)</f>
        <v>41.430315999999998</v>
      </c>
      <c r="I590" s="51" cm="1">
        <f t="array" ref="I590">_xlfn.IFS($G590=$G$5,I$5,$G590=$G$7,I$7,$G590=$G$10,I$10,$G590=$G$13,I$13,$G590=$G$14,I$14,$G590=$G$16,I$16,$G590=$G$17,I$17,$G590=$G$19,I$19,$G590=$G$20,I$20,$G590=$G$22,I$22,$G590=$G$23,I$23,$G590=$G$26,I$26,$G590=$G$29,I$29,$G590=$G$31,I$31,$G590=$G$34,I$34,$G590=$G$37,I$37,$G590=$G$107,I$107,$G590=$G$110,I$110,$G590=$G$140,I$140,$G590=$G$142,I$142,$G590=$G$408,I$408)</f>
        <v>2.077556</v>
      </c>
      <c r="J590" s="51" cm="1">
        <f t="array" ref="J590">_xlfn.IFS($G590=$G$5,J$5,$G590=$G$7,J$7,$G590=$G$10,J$10,$G590=$G$13,J$13,$G590=$G$14,J$14,$G590=$G$16,J$16,$G590=$G$17,J$17,$G590=$G$19,J$19,$G590=$G$20,J$20,$G590=$G$22,J$22,$G590=$G$23,J$23,$G590=$G$26,J$26,$G590=$G$29,J$29,$G590=$G$31,J$31,$G590=$G$34,J$34,$G590=$G$37,J$37,$G590=$G$107,J$107,$G590=$G$110,J$110,$G590=$G$140,J$140,$G590=$G$142,J$142,$G590=$G$408,J$408)</f>
        <v>243.3</v>
      </c>
      <c r="K590" s="13" t="str" cm="1">
        <f t="array" ref="K590">_xlfn.IFS($G590=$G$5,K$5,$G590=$G$7,K$7,$G590=$G$10,K$10,$G590=$G$13,K$13,$G590=$G$14,K$14,$G590=$G$16,K$16,$G590=$G$17,K$17,$G590=$G$19,K$19,$G590=$G$20,K$20,$G590=$G$22,K$22,$G590=$G$23,K$23,$G590=$G$26,K$26,$G590=$G$29,K$29,$G590=$G$31,K$31,$G590=$G$34,K$34,$G590=$G$37,K$37,$G590=$G$107,K$107,$G590=$G$110,K$110,$G590=$G$140,K$140,$G590=$G$142,K$142,$G590=$G$408,K$408)</f>
        <v>BG sentinel + BG lure7</v>
      </c>
      <c r="O590" s="13" t="str">
        <f t="shared" si="56"/>
        <v>A_SP_BCN_22_221018</v>
      </c>
      <c r="P590" s="27">
        <v>44852</v>
      </c>
      <c r="Q590" s="29">
        <v>0.73958333333333337</v>
      </c>
      <c r="R590" s="33"/>
      <c r="S590" s="31">
        <v>44860</v>
      </c>
      <c r="T590" s="29">
        <v>0.72569444444444453</v>
      </c>
      <c r="V590" s="13" t="s">
        <v>86</v>
      </c>
      <c r="X590" s="13">
        <f t="shared" si="59"/>
        <v>8</v>
      </c>
      <c r="Z590" s="13" t="s">
        <v>164</v>
      </c>
      <c r="AA590" s="13">
        <f t="shared" si="58"/>
        <v>2</v>
      </c>
      <c r="AB590" s="13" t="str">
        <f t="shared" si="60"/>
        <v>Adult</v>
      </c>
      <c r="AC590" s="13">
        <v>1</v>
      </c>
      <c r="AD590" s="13">
        <v>1</v>
      </c>
      <c r="AE590" s="13" t="str">
        <f t="shared" si="61"/>
        <v>Morphological</v>
      </c>
      <c r="AF590" s="2">
        <v>4</v>
      </c>
    </row>
    <row r="591" spans="1:32" x14ac:dyDescent="0.25">
      <c r="A591" s="13">
        <v>587</v>
      </c>
      <c r="B591" s="23" t="s">
        <v>56</v>
      </c>
      <c r="C591" s="23" t="s">
        <v>57</v>
      </c>
      <c r="D591" s="23" t="s">
        <v>58</v>
      </c>
      <c r="E591" s="23" t="s">
        <v>58</v>
      </c>
      <c r="F591" s="35" cm="1">
        <f t="array" ref="F591">_xlfn.IFS($G591=$G$5,F$5,$G591=$G$7,F$7,$G591=$G$10,F$10,$G591=$G$13,F$13,$G591=$G$14,F$14,$G591=$G$16,F$16,$G591=$G$17,F$17,$G591=$G$19,F$19,$G591=$G$20,F$20,$G591=$G$22,F$22,$G591=$G$23,F$23,$G591=$G$26,F$26,$G591=$G$29,F$29,$G591=$G$31,F$31,$G591=$G$34,F$34,$G591=$G$37,F$37,$G591=$G$107,F$107,$G591=$G$110,F$110,$G591=$G$140,F$140,$G591=$G$142,F$142,$G591=$G$408,F$408)</f>
        <v>8038</v>
      </c>
      <c r="G591" s="13" t="s">
        <v>79</v>
      </c>
      <c r="H591" s="51" cm="1">
        <f t="array" ref="H591">_xlfn.IFS($G591=$G$5,H$5,$G591=$G$7,H$7,$G591=$G$10,H$10,$G591=$G$13,H$13,$G591=$G$14,H$14,$G591=$G$16,H$16,$G591=$G$17,H$17,$G591=$G$19,H$19,$G591=$G$20,H$20,$G591=$G$22,H$22,$G591=$G$23,H$23,$G591=$G$26,H$26,$G591=$G$29,H$29,$G591=$G$31,H$31,$G591=$G$34,H$34,$G591=$G$37,H$37,$G591=$G$107,H$107,$G591=$G$110,H$110,$G591=$G$140,H$140,$G591=$G$142,H$142,$G591=$G$408,H$408)</f>
        <v>41.367100000000001</v>
      </c>
      <c r="I591" s="51" cm="1">
        <f t="array" ref="I591">_xlfn.IFS($G591=$G$5,I$5,$G591=$G$7,I$7,$G591=$G$10,I$10,$G591=$G$13,I$13,$G591=$G$14,I$14,$G591=$G$16,I$16,$G591=$G$17,I$17,$G591=$G$19,I$19,$G591=$G$20,I$20,$G591=$G$22,I$22,$G591=$G$23,I$23,$G591=$G$26,I$26,$G591=$G$29,I$29,$G591=$G$31,I$31,$G591=$G$34,I$34,$G591=$G$37,I$37,$G591=$G$107,I$107,$G591=$G$110,I$110,$G591=$G$140,I$140,$G591=$G$142,I$142,$G591=$G$408,I$408)</f>
        <v>2.1539079999999999</v>
      </c>
      <c r="J591" s="51" cm="1">
        <f t="array" ref="J591">_xlfn.IFS($G591=$G$5,J$5,$G591=$G$7,J$7,$G591=$G$10,J$10,$G591=$G$13,J$13,$G591=$G$14,J$14,$G591=$G$16,J$16,$G591=$G$17,J$17,$G591=$G$19,J$19,$G591=$G$20,J$20,$G591=$G$22,J$22,$G591=$G$23,J$23,$G591=$G$26,J$26,$G591=$G$29,J$29,$G591=$G$31,J$31,$G591=$G$34,J$34,$G591=$G$37,J$37,$G591=$G$107,J$107,$G591=$G$110,J$110,$G591=$G$140,J$140,$G591=$G$142,J$142,$G591=$G$408,J$408)</f>
        <v>68</v>
      </c>
      <c r="K591" s="13" t="str" cm="1">
        <f t="array" ref="K591">_xlfn.IFS($G591=$G$5,K$5,$G591=$G$7,K$7,$G591=$G$10,K$10,$G591=$G$13,K$13,$G591=$G$14,K$14,$G591=$G$16,K$16,$G591=$G$17,K$17,$G591=$G$19,K$19,$G591=$G$20,K$20,$G591=$G$22,K$22,$G591=$G$23,K$23,$G591=$G$26,K$26,$G591=$G$29,K$29,$G591=$G$31,K$31,$G591=$G$34,K$34,$G591=$G$37,K$37,$G591=$G$107,K$107,$G591=$G$110,K$110,$G591=$G$140,K$140,$G591=$G$142,K$142,$G591=$G$408,K$408)</f>
        <v>BG sentinel + BG lure7</v>
      </c>
      <c r="O591" s="13" t="str">
        <f t="shared" si="56"/>
        <v>A_SP_BCN_23_221018</v>
      </c>
      <c r="P591" s="27">
        <v>44852</v>
      </c>
      <c r="Q591" s="29">
        <v>0.5625</v>
      </c>
      <c r="R591" s="33"/>
      <c r="S591" s="31">
        <v>44860</v>
      </c>
      <c r="T591" s="29">
        <v>0.5625</v>
      </c>
      <c r="V591" s="13" t="s">
        <v>86</v>
      </c>
      <c r="X591" s="13">
        <f t="shared" si="59"/>
        <v>8</v>
      </c>
      <c r="Z591" s="13" t="s">
        <v>60</v>
      </c>
      <c r="AA591" s="13">
        <f t="shared" si="58"/>
        <v>17</v>
      </c>
      <c r="AB591" s="13" t="str">
        <f t="shared" si="60"/>
        <v>Adult</v>
      </c>
      <c r="AC591" s="13">
        <v>15</v>
      </c>
      <c r="AD591" s="13">
        <v>2</v>
      </c>
      <c r="AE591" s="13" t="str">
        <f t="shared" si="61"/>
        <v>Morphological</v>
      </c>
      <c r="AF591" s="2">
        <v>4</v>
      </c>
    </row>
    <row r="592" spans="1:32" x14ac:dyDescent="0.25">
      <c r="A592" s="13">
        <v>588</v>
      </c>
      <c r="B592" s="23" t="s">
        <v>56</v>
      </c>
      <c r="C592" s="23" t="s">
        <v>57</v>
      </c>
      <c r="D592" s="23" t="s">
        <v>58</v>
      </c>
      <c r="E592" s="23" t="s">
        <v>58</v>
      </c>
      <c r="F592" s="35" cm="1">
        <f t="array" ref="F592">_xlfn.IFS($G592=$G$5,F$5,$G592=$G$7,F$7,$G592=$G$10,F$10,$G592=$G$13,F$13,$G592=$G$14,F$14,$G592=$G$16,F$16,$G592=$G$17,F$17,$G592=$G$19,F$19,$G592=$G$20,F$20,$G592=$G$22,F$22,$G592=$G$23,F$23,$G592=$G$26,F$26,$G592=$G$29,F$29,$G592=$G$31,F$31,$G592=$G$34,F$34,$G592=$G$37,F$37,$G592=$G$107,F$107,$G592=$G$110,F$110,$G592=$G$140,F$140,$G592=$G$142,F$142,$G592=$G$408,F$408)</f>
        <v>8038</v>
      </c>
      <c r="G592" s="13" t="s">
        <v>79</v>
      </c>
      <c r="H592" s="51" cm="1">
        <f t="array" ref="H592">_xlfn.IFS($G592=$G$5,H$5,$G592=$G$7,H$7,$G592=$G$10,H$10,$G592=$G$13,H$13,$G592=$G$14,H$14,$G592=$G$16,H$16,$G592=$G$17,H$17,$G592=$G$19,H$19,$G592=$G$20,H$20,$G592=$G$22,H$22,$G592=$G$23,H$23,$G592=$G$26,H$26,$G592=$G$29,H$29,$G592=$G$31,H$31,$G592=$G$34,H$34,$G592=$G$37,H$37,$G592=$G$107,H$107,$G592=$G$110,H$110,$G592=$G$140,H$140,$G592=$G$142,H$142,$G592=$G$408,H$408)</f>
        <v>41.367100000000001</v>
      </c>
      <c r="I592" s="51" cm="1">
        <f t="array" ref="I592">_xlfn.IFS($G592=$G$5,I$5,$G592=$G$7,I$7,$G592=$G$10,I$10,$G592=$G$13,I$13,$G592=$G$14,I$14,$G592=$G$16,I$16,$G592=$G$17,I$17,$G592=$G$19,I$19,$G592=$G$20,I$20,$G592=$G$22,I$22,$G592=$G$23,I$23,$G592=$G$26,I$26,$G592=$G$29,I$29,$G592=$G$31,I$31,$G592=$G$34,I$34,$G592=$G$37,I$37,$G592=$G$107,I$107,$G592=$G$110,I$110,$G592=$G$140,I$140,$G592=$G$142,I$142,$G592=$G$408,I$408)</f>
        <v>2.1539079999999999</v>
      </c>
      <c r="J592" s="51" cm="1">
        <f t="array" ref="J592">_xlfn.IFS($G592=$G$5,J$5,$G592=$G$7,J$7,$G592=$G$10,J$10,$G592=$G$13,J$13,$G592=$G$14,J$14,$G592=$G$16,J$16,$G592=$G$17,J$17,$G592=$G$19,J$19,$G592=$G$20,J$20,$G592=$G$22,J$22,$G592=$G$23,J$23,$G592=$G$26,J$26,$G592=$G$29,J$29,$G592=$G$31,J$31,$G592=$G$34,J$34,$G592=$G$37,J$37,$G592=$G$107,J$107,$G592=$G$110,J$110,$G592=$G$140,J$140,$G592=$G$142,J$142,$G592=$G$408,J$408)</f>
        <v>68</v>
      </c>
      <c r="K592" s="13" t="str" cm="1">
        <f t="array" ref="K592">_xlfn.IFS($G592=$G$5,K$5,$G592=$G$7,K$7,$G592=$G$10,K$10,$G592=$G$13,K$13,$G592=$G$14,K$14,$G592=$G$16,K$16,$G592=$G$17,K$17,$G592=$G$19,K$19,$G592=$G$20,K$20,$G592=$G$22,K$22,$G592=$G$23,K$23,$G592=$G$26,K$26,$G592=$G$29,K$29,$G592=$G$31,K$31,$G592=$G$34,K$34,$G592=$G$37,K$37,$G592=$G$107,K$107,$G592=$G$110,K$110,$G592=$G$140,K$140,$G592=$G$142,K$142,$G592=$G$408,K$408)</f>
        <v>BG sentinel + BG lure7</v>
      </c>
      <c r="O592" s="13" t="str">
        <f t="shared" si="56"/>
        <v>A_SP_BCN_23_221018</v>
      </c>
      <c r="P592" s="27">
        <v>44852</v>
      </c>
      <c r="Q592" s="29">
        <v>0.5625</v>
      </c>
      <c r="R592" s="33"/>
      <c r="S592" s="31">
        <v>44860</v>
      </c>
      <c r="T592" s="29">
        <v>0.5625</v>
      </c>
      <c r="V592" s="13" t="s">
        <v>86</v>
      </c>
      <c r="X592" s="13">
        <f t="shared" si="59"/>
        <v>8</v>
      </c>
      <c r="Z592" s="13" t="s">
        <v>164</v>
      </c>
      <c r="AA592" s="13">
        <f t="shared" si="58"/>
        <v>12</v>
      </c>
      <c r="AB592" s="13" t="str">
        <f t="shared" si="60"/>
        <v>Adult</v>
      </c>
      <c r="AC592" s="13">
        <v>8</v>
      </c>
      <c r="AD592" s="13">
        <v>4</v>
      </c>
      <c r="AE592" s="13" t="str">
        <f t="shared" si="61"/>
        <v>Morphological</v>
      </c>
      <c r="AF592" s="2">
        <v>4</v>
      </c>
    </row>
    <row r="593" spans="1:32" x14ac:dyDescent="0.25">
      <c r="A593" s="13">
        <v>589</v>
      </c>
      <c r="B593" s="23" t="s">
        <v>56</v>
      </c>
      <c r="C593" s="23" t="s">
        <v>57</v>
      </c>
      <c r="D593" s="23" t="s">
        <v>58</v>
      </c>
      <c r="E593" s="23" t="s">
        <v>58</v>
      </c>
      <c r="F593" s="35" cm="1">
        <f t="array" ref="F593">_xlfn.IFS($G593=$G$5,F$5,$G593=$G$7,F$7,$G593=$G$10,F$10,$G593=$G$13,F$13,$G593=$G$14,F$14,$G593=$G$16,F$16,$G593=$G$17,F$17,$G593=$G$19,F$19,$G593=$G$20,F$20,$G593=$G$22,F$22,$G593=$G$23,F$23,$G593=$G$26,F$26,$G593=$G$29,F$29,$G593=$G$31,F$31,$G593=$G$34,F$34,$G593=$G$37,F$37,$G593=$G$107,F$107,$G593=$G$110,F$110,$G593=$G$140,F$140,$G593=$G$142,F$142,$G593=$G$408,F$408)</f>
        <v>8015</v>
      </c>
      <c r="G593" s="13" t="s">
        <v>78</v>
      </c>
      <c r="H593" s="51" cm="1">
        <f t="array" ref="H593">_xlfn.IFS($G593=$G$5,H$5,$G593=$G$7,H$7,$G593=$G$10,H$10,$G593=$G$13,H$13,$G593=$G$14,H$14,$G593=$G$16,H$16,$G593=$G$17,H$17,$G593=$G$19,H$19,$G593=$G$20,H$20,$G593=$G$22,H$22,$G593=$G$23,H$23,$G593=$G$26,H$26,$G593=$G$29,H$29,$G593=$G$31,H$31,$G593=$G$34,H$34,$G593=$G$37,H$37,$G593=$G$107,H$107,$G593=$G$110,H$110,$G593=$G$140,H$140,$G593=$G$142,H$142,$G593=$G$408,H$408)</f>
        <v>41.381725000000003</v>
      </c>
      <c r="I593" s="51" cm="1">
        <f t="array" ref="I593">_xlfn.IFS($G593=$G$5,I$5,$G593=$G$7,I$7,$G593=$G$10,I$10,$G593=$G$13,I$13,$G593=$G$14,I$14,$G593=$G$16,I$16,$G593=$G$17,I$17,$G593=$G$19,I$19,$G593=$G$20,I$20,$G593=$G$22,I$22,$G593=$G$23,I$23,$G593=$G$26,I$26,$G593=$G$29,I$29,$G593=$G$31,I$31,$G593=$G$34,I$34,$G593=$G$37,I$37,$G593=$G$107,I$107,$G593=$G$110,I$110,$G593=$G$140,I$140,$G593=$G$142,I$142,$G593=$G$408,I$408)</f>
        <v>2.1543679999999998</v>
      </c>
      <c r="J593" s="51" cm="1">
        <f t="array" ref="J593">_xlfn.IFS($G593=$G$5,J$5,$G593=$G$7,J$7,$G593=$G$10,J$10,$G593=$G$13,J$13,$G593=$G$14,J$14,$G593=$G$16,J$16,$G593=$G$17,J$17,$G593=$G$19,J$19,$G593=$G$20,J$20,$G593=$G$22,J$22,$G593=$G$23,J$23,$G593=$G$26,J$26,$G593=$G$29,J$29,$G593=$G$31,J$31,$G593=$G$34,J$34,$G593=$G$37,J$37,$G593=$G$107,J$107,$G593=$G$110,J$110,$G593=$G$140,J$140,$G593=$G$142,J$142,$G593=$G$408,J$408)</f>
        <v>20.7</v>
      </c>
      <c r="K593" s="13" t="str" cm="1">
        <f t="array" ref="K593">_xlfn.IFS($G593=$G$5,K$5,$G593=$G$7,K$7,$G593=$G$10,K$10,$G593=$G$13,K$13,$G593=$G$14,K$14,$G593=$G$16,K$16,$G593=$G$17,K$17,$G593=$G$19,K$19,$G593=$G$20,K$20,$G593=$G$22,K$22,$G593=$G$23,K$23,$G593=$G$26,K$26,$G593=$G$29,K$29,$G593=$G$31,K$31,$G593=$G$34,K$34,$G593=$G$37,K$37,$G593=$G$107,K$107,$G593=$G$110,K$110,$G593=$G$140,K$140,$G593=$G$142,K$142,$G593=$G$408,K$408)</f>
        <v>BG sentinel + BG lure7</v>
      </c>
      <c r="O593" s="13" t="str">
        <f t="shared" si="56"/>
        <v>A_SP_BCN_24_221018</v>
      </c>
      <c r="P593" s="27">
        <v>44852</v>
      </c>
      <c r="Q593" s="29">
        <v>0.86805555555555547</v>
      </c>
      <c r="R593" s="33"/>
      <c r="S593" s="31">
        <v>44860</v>
      </c>
      <c r="T593" s="29">
        <v>0.86458333333333337</v>
      </c>
      <c r="V593" s="13" t="s">
        <v>86</v>
      </c>
      <c r="X593" s="13">
        <f t="shared" si="59"/>
        <v>8</v>
      </c>
      <c r="Z593" s="13" t="s">
        <v>60</v>
      </c>
      <c r="AA593" s="13">
        <f t="shared" si="58"/>
        <v>107</v>
      </c>
      <c r="AB593" s="13" t="str">
        <f t="shared" si="60"/>
        <v>Adult</v>
      </c>
      <c r="AC593" s="13">
        <v>43</v>
      </c>
      <c r="AD593" s="13">
        <v>64</v>
      </c>
      <c r="AE593" s="13" t="str">
        <f t="shared" si="61"/>
        <v>Morphological</v>
      </c>
      <c r="AF593" s="2">
        <v>4</v>
      </c>
    </row>
    <row r="594" spans="1:32" x14ac:dyDescent="0.25">
      <c r="A594" s="13">
        <v>590</v>
      </c>
      <c r="B594" s="23" t="s">
        <v>56</v>
      </c>
      <c r="C594" s="23" t="s">
        <v>57</v>
      </c>
      <c r="D594" s="23" t="s">
        <v>58</v>
      </c>
      <c r="E594" s="23" t="s">
        <v>58</v>
      </c>
      <c r="F594" s="35" cm="1">
        <f t="array" ref="F594">_xlfn.IFS($G594=$G$5,F$5,$G594=$G$7,F$7,$G594=$G$10,F$10,$G594=$G$13,F$13,$G594=$G$14,F$14,$G594=$G$16,F$16,$G594=$G$17,F$17,$G594=$G$19,F$19,$G594=$G$20,F$20,$G594=$G$22,F$22,$G594=$G$23,F$23,$G594=$G$26,F$26,$G594=$G$29,F$29,$G594=$G$31,F$31,$G594=$G$34,F$34,$G594=$G$37,F$37,$G594=$G$107,F$107,$G594=$G$110,F$110,$G594=$G$140,F$140,$G594=$G$142,F$142,$G594=$G$408,F$408)</f>
        <v>8015</v>
      </c>
      <c r="G594" s="13" t="s">
        <v>78</v>
      </c>
      <c r="H594" s="51" cm="1">
        <f t="array" ref="H594">_xlfn.IFS($G594=$G$5,H$5,$G594=$G$7,H$7,$G594=$G$10,H$10,$G594=$G$13,H$13,$G594=$G$14,H$14,$G594=$G$16,H$16,$G594=$G$17,H$17,$G594=$G$19,H$19,$G594=$G$20,H$20,$G594=$G$22,H$22,$G594=$G$23,H$23,$G594=$G$26,H$26,$G594=$G$29,H$29,$G594=$G$31,H$31,$G594=$G$34,H$34,$G594=$G$37,H$37,$G594=$G$107,H$107,$G594=$G$110,H$110,$G594=$G$140,H$140,$G594=$G$142,H$142,$G594=$G$408,H$408)</f>
        <v>41.381725000000003</v>
      </c>
      <c r="I594" s="51" cm="1">
        <f t="array" ref="I594">_xlfn.IFS($G594=$G$5,I$5,$G594=$G$7,I$7,$G594=$G$10,I$10,$G594=$G$13,I$13,$G594=$G$14,I$14,$G594=$G$16,I$16,$G594=$G$17,I$17,$G594=$G$19,I$19,$G594=$G$20,I$20,$G594=$G$22,I$22,$G594=$G$23,I$23,$G594=$G$26,I$26,$G594=$G$29,I$29,$G594=$G$31,I$31,$G594=$G$34,I$34,$G594=$G$37,I$37,$G594=$G$107,I$107,$G594=$G$110,I$110,$G594=$G$140,I$140,$G594=$G$142,I$142,$G594=$G$408,I$408)</f>
        <v>2.1543679999999998</v>
      </c>
      <c r="J594" s="51" cm="1">
        <f t="array" ref="J594">_xlfn.IFS($G594=$G$5,J$5,$G594=$G$7,J$7,$G594=$G$10,J$10,$G594=$G$13,J$13,$G594=$G$14,J$14,$G594=$G$16,J$16,$G594=$G$17,J$17,$G594=$G$19,J$19,$G594=$G$20,J$20,$G594=$G$22,J$22,$G594=$G$23,J$23,$G594=$G$26,J$26,$G594=$G$29,J$29,$G594=$G$31,J$31,$G594=$G$34,J$34,$G594=$G$37,J$37,$G594=$G$107,J$107,$G594=$G$110,J$110,$G594=$G$140,J$140,$G594=$G$142,J$142,$G594=$G$408,J$408)</f>
        <v>20.7</v>
      </c>
      <c r="K594" s="13" t="str" cm="1">
        <f t="array" ref="K594">_xlfn.IFS($G594=$G$5,K$5,$G594=$G$7,K$7,$G594=$G$10,K$10,$G594=$G$13,K$13,$G594=$G$14,K$14,$G594=$G$16,K$16,$G594=$G$17,K$17,$G594=$G$19,K$19,$G594=$G$20,K$20,$G594=$G$22,K$22,$G594=$G$23,K$23,$G594=$G$26,K$26,$G594=$G$29,K$29,$G594=$G$31,K$31,$G594=$G$34,K$34,$G594=$G$37,K$37,$G594=$G$107,K$107,$G594=$G$110,K$110,$G594=$G$140,K$140,$G594=$G$142,K$142,$G594=$G$408,K$408)</f>
        <v>BG sentinel + BG lure7</v>
      </c>
      <c r="O594" s="13" t="str">
        <f t="shared" si="56"/>
        <v>A_SP_BCN_24_221018</v>
      </c>
      <c r="P594" s="27">
        <v>44852</v>
      </c>
      <c r="Q594" s="29">
        <v>0.86805555555555547</v>
      </c>
      <c r="R594" s="33"/>
      <c r="S594" s="31">
        <v>44860</v>
      </c>
      <c r="T594" s="29">
        <v>0.86458333333333337</v>
      </c>
      <c r="V594" s="13" t="s">
        <v>86</v>
      </c>
      <c r="X594" s="13">
        <f t="shared" si="59"/>
        <v>8</v>
      </c>
      <c r="Z594" s="13" t="s">
        <v>164</v>
      </c>
      <c r="AA594" s="13">
        <f t="shared" si="58"/>
        <v>5</v>
      </c>
      <c r="AB594" s="13" t="str">
        <f t="shared" si="60"/>
        <v>Adult</v>
      </c>
      <c r="AC594" s="13">
        <v>3</v>
      </c>
      <c r="AD594" s="13">
        <v>2</v>
      </c>
      <c r="AE594" s="13" t="str">
        <f t="shared" si="61"/>
        <v>Morphological</v>
      </c>
      <c r="AF594" s="2">
        <v>4</v>
      </c>
    </row>
    <row r="595" spans="1:32" x14ac:dyDescent="0.25">
      <c r="A595" s="13">
        <v>591</v>
      </c>
      <c r="B595" s="23" t="s">
        <v>56</v>
      </c>
      <c r="C595" s="23" t="s">
        <v>57</v>
      </c>
      <c r="D595" s="23" t="s">
        <v>58</v>
      </c>
      <c r="E595" s="23" t="s">
        <v>58</v>
      </c>
      <c r="F595" s="35" cm="1">
        <f t="array" ref="F595">_xlfn.IFS($G595=$G$5,F$5,$G595=$G$7,F$7,$G595=$G$10,F$10,$G595=$G$13,F$13,$G595=$G$14,F$14,$G595=$G$16,F$16,$G595=$G$17,F$17,$G595=$G$19,F$19,$G595=$G$20,F$20,$G595=$G$22,F$22,$G595=$G$23,F$23,$G595=$G$26,F$26,$G595=$G$29,F$29,$G595=$G$31,F$31,$G595=$G$34,F$34,$G595=$G$37,F$37,$G595=$G$107,F$107,$G595=$G$110,F$110,$G595=$G$140,F$140,$G595=$G$142,F$142,$G595=$G$408,F$408)</f>
        <v>8025</v>
      </c>
      <c r="G595" s="13" t="s">
        <v>122</v>
      </c>
      <c r="H595" s="51" cm="1">
        <f t="array" ref="H595">_xlfn.IFS($G595=$G$5,H$5,$G595=$G$7,H$7,$G595=$G$10,H$10,$G595=$G$13,H$13,$G595=$G$14,H$14,$G595=$G$16,H$16,$G595=$G$17,H$17,$G595=$G$19,H$19,$G595=$G$20,H$20,$G595=$G$22,H$22,$G595=$G$23,H$23,$G595=$G$26,H$26,$G595=$G$29,H$29,$G595=$G$31,H$31,$G595=$G$34,H$34,$G595=$G$37,H$37,$G595=$G$107,H$107,$G595=$G$110,H$110,$G595=$G$140,H$140,$G595=$G$142,H$142,$G595=$G$408,H$408)</f>
        <v>41.407992</v>
      </c>
      <c r="I595" s="51" cm="1">
        <f t="array" ref="I595">_xlfn.IFS($G595=$G$5,I$5,$G595=$G$7,I$7,$G595=$G$10,I$10,$G595=$G$13,I$13,$G595=$G$14,I$14,$G595=$G$16,I$16,$G595=$G$17,I$17,$G595=$G$19,I$19,$G595=$G$20,I$20,$G595=$G$22,I$22,$G595=$G$23,I$23,$G595=$G$26,I$26,$G595=$G$29,I$29,$G595=$G$31,I$31,$G595=$G$34,I$34,$G595=$G$37,I$37,$G595=$G$107,I$107,$G595=$G$110,I$110,$G595=$G$140,I$140,$G595=$G$142,I$142,$G595=$G$408,I$408)</f>
        <v>2.1679379999999999</v>
      </c>
      <c r="J595" s="51" cm="1">
        <f t="array" ref="J595">_xlfn.IFS($G595=$G$5,J$5,$G595=$G$7,J$7,$G595=$G$10,J$10,$G595=$G$13,J$13,$G595=$G$14,J$14,$G595=$G$16,J$16,$G595=$G$17,J$17,$G595=$G$19,J$19,$G595=$G$20,J$20,$G595=$G$22,J$22,$G595=$G$23,J$23,$G595=$G$26,J$26,$G595=$G$29,J$29,$G595=$G$31,J$31,$G595=$G$34,J$34,$G595=$G$37,J$37,$G595=$G$107,J$107,$G595=$G$110,J$110,$G595=$G$140,J$140,$G595=$G$142,J$142,$G595=$G$408,J$408)</f>
        <v>61</v>
      </c>
      <c r="K595" s="13" t="str" cm="1">
        <f t="array" ref="K595">_xlfn.IFS($G595=$G$5,K$5,$G595=$G$7,K$7,$G595=$G$10,K$10,$G595=$G$13,K$13,$G595=$G$14,K$14,$G595=$G$16,K$16,$G595=$G$17,K$17,$G595=$G$19,K$19,$G595=$G$20,K$20,$G595=$G$22,K$22,$G595=$G$23,K$23,$G595=$G$26,K$26,$G595=$G$29,K$29,$G595=$G$31,K$31,$G595=$G$34,K$34,$G595=$G$37,K$37,$G595=$G$107,K$107,$G595=$G$110,K$110,$G595=$G$140,K$140,$G595=$G$142,K$142,$G595=$G$408,K$408)</f>
        <v>BG sentinel</v>
      </c>
      <c r="O595" s="13" t="str">
        <f t="shared" si="56"/>
        <v>A_SP_BCN_25_221018</v>
      </c>
      <c r="P595" s="27">
        <v>44852</v>
      </c>
      <c r="Q595" s="29">
        <v>0.60763888888888895</v>
      </c>
      <c r="R595" s="33"/>
      <c r="S595" s="31">
        <v>44860</v>
      </c>
      <c r="T595" s="29">
        <v>0.61458333333333337</v>
      </c>
      <c r="V595" s="13" t="s">
        <v>86</v>
      </c>
      <c r="X595" s="13">
        <f t="shared" si="59"/>
        <v>8</v>
      </c>
      <c r="Z595" s="13" t="s">
        <v>60</v>
      </c>
      <c r="AA595" s="13">
        <f t="shared" si="58"/>
        <v>19</v>
      </c>
      <c r="AB595" s="13" t="str">
        <f t="shared" si="60"/>
        <v>Adult</v>
      </c>
      <c r="AC595" s="13">
        <v>15</v>
      </c>
      <c r="AD595" s="13">
        <v>4</v>
      </c>
      <c r="AE595" s="13" t="str">
        <f t="shared" si="61"/>
        <v>Morphological</v>
      </c>
      <c r="AF595" s="2">
        <v>4</v>
      </c>
    </row>
    <row r="596" spans="1:32" x14ac:dyDescent="0.25">
      <c r="A596" s="13">
        <v>592</v>
      </c>
      <c r="B596" s="23" t="s">
        <v>56</v>
      </c>
      <c r="C596" s="23" t="s">
        <v>57</v>
      </c>
      <c r="D596" s="23" t="s">
        <v>58</v>
      </c>
      <c r="E596" s="23" t="s">
        <v>58</v>
      </c>
      <c r="F596" s="35" cm="1">
        <f t="array" ref="F596">_xlfn.IFS($G596=$G$5,F$5,$G596=$G$7,F$7,$G596=$G$10,F$10,$G596=$G$13,F$13,$G596=$G$14,F$14,$G596=$G$16,F$16,$G596=$G$17,F$17,$G596=$G$19,F$19,$G596=$G$20,F$20,$G596=$G$22,F$22,$G596=$G$23,F$23,$G596=$G$26,F$26,$G596=$G$29,F$29,$G596=$G$31,F$31,$G596=$G$34,F$34,$G596=$G$37,F$37,$G596=$G$107,F$107,$G596=$G$110,F$110,$G596=$G$140,F$140,$G596=$G$142,F$142,$G596=$G$408,F$408)</f>
        <v>8025</v>
      </c>
      <c r="G596" s="13" t="s">
        <v>122</v>
      </c>
      <c r="H596" s="51" cm="1">
        <f t="array" ref="H596">_xlfn.IFS($G596=$G$5,H$5,$G596=$G$7,H$7,$G596=$G$10,H$10,$G596=$G$13,H$13,$G596=$G$14,H$14,$G596=$G$16,H$16,$G596=$G$17,H$17,$G596=$G$19,H$19,$G596=$G$20,H$20,$G596=$G$22,H$22,$G596=$G$23,H$23,$G596=$G$26,H$26,$G596=$G$29,H$29,$G596=$G$31,H$31,$G596=$G$34,H$34,$G596=$G$37,H$37,$G596=$G$107,H$107,$G596=$G$110,H$110,$G596=$G$140,H$140,$G596=$G$142,H$142,$G596=$G$408,H$408)</f>
        <v>41.407992</v>
      </c>
      <c r="I596" s="51" cm="1">
        <f t="array" ref="I596">_xlfn.IFS($G596=$G$5,I$5,$G596=$G$7,I$7,$G596=$G$10,I$10,$G596=$G$13,I$13,$G596=$G$14,I$14,$G596=$G$16,I$16,$G596=$G$17,I$17,$G596=$G$19,I$19,$G596=$G$20,I$20,$G596=$G$22,I$22,$G596=$G$23,I$23,$G596=$G$26,I$26,$G596=$G$29,I$29,$G596=$G$31,I$31,$G596=$G$34,I$34,$G596=$G$37,I$37,$G596=$G$107,I$107,$G596=$G$110,I$110,$G596=$G$140,I$140,$G596=$G$142,I$142,$G596=$G$408,I$408)</f>
        <v>2.1679379999999999</v>
      </c>
      <c r="J596" s="51" cm="1">
        <f t="array" ref="J596">_xlfn.IFS($G596=$G$5,J$5,$G596=$G$7,J$7,$G596=$G$10,J$10,$G596=$G$13,J$13,$G596=$G$14,J$14,$G596=$G$16,J$16,$G596=$G$17,J$17,$G596=$G$19,J$19,$G596=$G$20,J$20,$G596=$G$22,J$22,$G596=$G$23,J$23,$G596=$G$26,J$26,$G596=$G$29,J$29,$G596=$G$31,J$31,$G596=$G$34,J$34,$G596=$G$37,J$37,$G596=$G$107,J$107,$G596=$G$110,J$110,$G596=$G$140,J$140,$G596=$G$142,J$142,$G596=$G$408,J$408)</f>
        <v>61</v>
      </c>
      <c r="K596" s="13" t="str" cm="1">
        <f t="array" ref="K596">_xlfn.IFS($G596=$G$5,K$5,$G596=$G$7,K$7,$G596=$G$10,K$10,$G596=$G$13,K$13,$G596=$G$14,K$14,$G596=$G$16,K$16,$G596=$G$17,K$17,$G596=$G$19,K$19,$G596=$G$20,K$20,$G596=$G$22,K$22,$G596=$G$23,K$23,$G596=$G$26,K$26,$G596=$G$29,K$29,$G596=$G$31,K$31,$G596=$G$34,K$34,$G596=$G$37,K$37,$G596=$G$107,K$107,$G596=$G$110,K$110,$G596=$G$140,K$140,$G596=$G$142,K$142,$G596=$G$408,K$408)</f>
        <v>BG sentinel</v>
      </c>
      <c r="O596" s="13" t="str">
        <f t="shared" ref="O596:O709" si="62">G596&amp;"_"&amp;TEXT(P596, "AAMMDD")</f>
        <v>A_SP_BCN_25_221018</v>
      </c>
      <c r="P596" s="27">
        <v>44852</v>
      </c>
      <c r="Q596" s="29">
        <v>0.60763888888888895</v>
      </c>
      <c r="R596" s="33"/>
      <c r="S596" s="31">
        <v>44860</v>
      </c>
      <c r="T596" s="29">
        <v>0.61458333333333337</v>
      </c>
      <c r="V596" s="13" t="s">
        <v>86</v>
      </c>
      <c r="X596" s="13">
        <f t="shared" si="59"/>
        <v>8</v>
      </c>
      <c r="Z596" s="13" t="s">
        <v>164</v>
      </c>
      <c r="AA596" s="13">
        <f t="shared" si="58"/>
        <v>25</v>
      </c>
      <c r="AB596" s="13" t="str">
        <f t="shared" si="60"/>
        <v>Adult</v>
      </c>
      <c r="AC596" s="13">
        <v>23</v>
      </c>
      <c r="AD596" s="13">
        <v>2</v>
      </c>
      <c r="AE596" s="13" t="str">
        <f t="shared" si="61"/>
        <v>Morphological</v>
      </c>
      <c r="AF596" s="2">
        <v>4</v>
      </c>
    </row>
    <row r="597" spans="1:32" x14ac:dyDescent="0.25">
      <c r="A597" s="13">
        <v>593</v>
      </c>
      <c r="B597" s="23" t="s">
        <v>56</v>
      </c>
      <c r="C597" s="23" t="s">
        <v>57</v>
      </c>
      <c r="D597" s="23" t="s">
        <v>58</v>
      </c>
      <c r="E597" s="23" t="s">
        <v>58</v>
      </c>
      <c r="F597" s="35" cm="1">
        <f t="array" ref="F597">_xlfn.IFS($G597=$G$5,F$5,$G597=$G$7,F$7,$G597=$G$10,F$10,$G597=$G$13,F$13,$G597=$G$14,F$14,$G597=$G$16,F$16,$G597=$G$17,F$17,$G597=$G$19,F$19,$G597=$G$20,F$20,$G597=$G$22,F$22,$G597=$G$23,F$23,$G597=$G$26,F$26,$G597=$G$29,F$29,$G597=$G$31,F$31,$G597=$G$34,F$34,$G597=$G$37,F$37,$G597=$G$107,F$107,$G597=$G$110,F$110,$G597=$G$140,F$140,$G597=$G$142,F$142,$G597=$G$408,F$408)</f>
        <v>8025</v>
      </c>
      <c r="G597" s="13" t="s">
        <v>122</v>
      </c>
      <c r="H597" s="51" cm="1">
        <f t="array" ref="H597">_xlfn.IFS($G597=$G$5,H$5,$G597=$G$7,H$7,$G597=$G$10,H$10,$G597=$G$13,H$13,$G597=$G$14,H$14,$G597=$G$16,H$16,$G597=$G$17,H$17,$G597=$G$19,H$19,$G597=$G$20,H$20,$G597=$G$22,H$22,$G597=$G$23,H$23,$G597=$G$26,H$26,$G597=$G$29,H$29,$G597=$G$31,H$31,$G597=$G$34,H$34,$G597=$G$37,H$37,$G597=$G$107,H$107,$G597=$G$110,H$110,$G597=$G$140,H$140,$G597=$G$142,H$142,$G597=$G$408,H$408)</f>
        <v>41.407992</v>
      </c>
      <c r="I597" s="51" cm="1">
        <f t="array" ref="I597">_xlfn.IFS($G597=$G$5,I$5,$G597=$G$7,I$7,$G597=$G$10,I$10,$G597=$G$13,I$13,$G597=$G$14,I$14,$G597=$G$16,I$16,$G597=$G$17,I$17,$G597=$G$19,I$19,$G597=$G$20,I$20,$G597=$G$22,I$22,$G597=$G$23,I$23,$G597=$G$26,I$26,$G597=$G$29,I$29,$G597=$G$31,I$31,$G597=$G$34,I$34,$G597=$G$37,I$37,$G597=$G$107,I$107,$G597=$G$110,I$110,$G597=$G$140,I$140,$G597=$G$142,I$142,$G597=$G$408,I$408)</f>
        <v>2.1679379999999999</v>
      </c>
      <c r="J597" s="51" cm="1">
        <f t="array" ref="J597">_xlfn.IFS($G597=$G$5,J$5,$G597=$G$7,J$7,$G597=$G$10,J$10,$G597=$G$13,J$13,$G597=$G$14,J$14,$G597=$G$16,J$16,$G597=$G$17,J$17,$G597=$G$19,J$19,$G597=$G$20,J$20,$G597=$G$22,J$22,$G597=$G$23,J$23,$G597=$G$26,J$26,$G597=$G$29,J$29,$G597=$G$31,J$31,$G597=$G$34,J$34,$G597=$G$37,J$37,$G597=$G$107,J$107,$G597=$G$110,J$110,$G597=$G$140,J$140,$G597=$G$142,J$142,$G597=$G$408,J$408)</f>
        <v>61</v>
      </c>
      <c r="K597" s="13" t="str" cm="1">
        <f t="array" ref="K597">_xlfn.IFS($G597=$G$5,K$5,$G597=$G$7,K$7,$G597=$G$10,K$10,$G597=$G$13,K$13,$G597=$G$14,K$14,$G597=$G$16,K$16,$G597=$G$17,K$17,$G597=$G$19,K$19,$G597=$G$20,K$20,$G597=$G$22,K$22,$G597=$G$23,K$23,$G597=$G$26,K$26,$G597=$G$29,K$29,$G597=$G$31,K$31,$G597=$G$34,K$34,$G597=$G$37,K$37,$G597=$G$107,K$107,$G597=$G$110,K$110,$G597=$G$140,K$140,$G597=$G$142,K$142,$G597=$G$408,K$408)</f>
        <v>BG sentinel</v>
      </c>
      <c r="O597" s="13" t="str">
        <f t="shared" si="62"/>
        <v>A_SP_BCN_25_221018</v>
      </c>
      <c r="P597" s="27">
        <v>44852</v>
      </c>
      <c r="Q597" s="29">
        <v>0.60763888888888895</v>
      </c>
      <c r="R597" s="33"/>
      <c r="S597" s="31">
        <v>44860</v>
      </c>
      <c r="T597" s="29">
        <v>0.61458333333333337</v>
      </c>
      <c r="V597" s="13" t="s">
        <v>86</v>
      </c>
      <c r="X597" s="13">
        <f t="shared" si="59"/>
        <v>8</v>
      </c>
      <c r="Z597" s="32" t="s">
        <v>163</v>
      </c>
      <c r="AA597" s="13">
        <f t="shared" si="58"/>
        <v>1</v>
      </c>
      <c r="AB597" s="13" t="str">
        <f t="shared" si="60"/>
        <v>Adult</v>
      </c>
      <c r="AC597" s="13">
        <v>1</v>
      </c>
      <c r="AD597" s="13">
        <v>0</v>
      </c>
      <c r="AE597" s="13" t="str">
        <f t="shared" si="61"/>
        <v>Morphological</v>
      </c>
      <c r="AF597" s="2">
        <v>4</v>
      </c>
    </row>
    <row r="598" spans="1:32" x14ac:dyDescent="0.25">
      <c r="A598" s="13">
        <v>594</v>
      </c>
      <c r="B598" s="23" t="s">
        <v>56</v>
      </c>
      <c r="C598" s="23" t="s">
        <v>57</v>
      </c>
      <c r="D598" s="23" t="s">
        <v>58</v>
      </c>
      <c r="E598" s="23" t="s">
        <v>58</v>
      </c>
      <c r="F598" s="35" cm="1">
        <f t="array" ref="F598">_xlfn.IFS($G598=$G$5,F$5,$G598=$G$7,F$7,$G598=$G$10,F$10,$G598=$G$13,F$13,$G598=$G$14,F$14,$G598=$G$16,F$16,$G598=$G$17,F$17,$G598=$G$19,F$19,$G598=$G$20,F$20,$G598=$G$22,F$22,$G598=$G$23,F$23,$G598=$G$26,F$26,$G598=$G$29,F$29,$G598=$G$31,F$31,$G598=$G$34,F$34,$G598=$G$37,F$37,$G598=$G$107,F$107,$G598=$G$110,F$110,$G598=$G$140,F$140,$G598=$G$142,F$142,$G598=$G$408,F$408)</f>
        <v>8025</v>
      </c>
      <c r="G598" s="13" t="s">
        <v>104</v>
      </c>
      <c r="H598" s="51" cm="1">
        <f t="array" ref="H598">_xlfn.IFS($G598=$G$5,H$5,$G598=$G$7,H$7,$G598=$G$10,H$10,$G598=$G$13,H$13,$G598=$G$14,H$14,$G598=$G$16,H$16,$G598=$G$17,H$17,$G598=$G$19,H$19,$G598=$G$20,H$20,$G598=$G$22,H$22,$G598=$G$23,H$23,$G598=$G$26,H$26,$G598=$G$29,H$29,$G598=$G$31,H$31,$G598=$G$34,H$34,$G598=$G$37,H$37,$G598=$G$107,H$107,$G598=$G$110,H$110,$G598=$G$140,H$140,$G598=$G$142,H$142,$G598=$G$408,H$408)</f>
        <v>41.408046826557602</v>
      </c>
      <c r="I598" s="51" cm="1">
        <f t="array" ref="I598">_xlfn.IFS($G598=$G$5,I$5,$G598=$G$7,I$7,$G598=$G$10,I$10,$G598=$G$13,I$13,$G598=$G$14,I$14,$G598=$G$16,I$16,$G598=$G$17,I$17,$G598=$G$19,I$19,$G598=$G$20,I$20,$G598=$G$22,I$22,$G598=$G$23,I$23,$G598=$G$26,I$26,$G598=$G$29,I$29,$G598=$G$31,I$31,$G598=$G$34,I$34,$G598=$G$37,I$37,$G598=$G$107,I$107,$G598=$G$110,I$110,$G598=$G$140,I$140,$G598=$G$142,I$142,$G598=$G$408,I$408)</f>
        <v>2.1678084611616502</v>
      </c>
      <c r="J598" s="51" cm="1">
        <f t="array" ref="J598">_xlfn.IFS($G598=$G$5,J$5,$G598=$G$7,J$7,$G598=$G$10,J$10,$G598=$G$13,J$13,$G598=$G$14,J$14,$G598=$G$16,J$16,$G598=$G$17,J$17,$G598=$G$19,J$19,$G598=$G$20,J$20,$G598=$G$22,J$22,$G598=$G$23,J$23,$G598=$G$26,J$26,$G598=$G$29,J$29,$G598=$G$31,J$31,$G598=$G$34,J$34,$G598=$G$37,J$37,$G598=$G$107,J$107,$G598=$G$110,J$110,$G598=$G$140,J$140,$G598=$G$142,J$142,$G598=$G$408,J$408)</f>
        <v>61</v>
      </c>
      <c r="K598" s="13" t="str" cm="1">
        <f t="array" ref="K598">_xlfn.IFS($G598=$G$5,K$5,$G598=$G$7,K$7,$G598=$G$10,K$10,$G598=$G$13,K$13,$G598=$G$14,K$14,$G598=$G$16,K$16,$G598=$G$17,K$17,$G598=$G$19,K$19,$G598=$G$20,K$20,$G598=$G$22,K$22,$G598=$G$23,K$23,$G598=$G$26,K$26,$G598=$G$29,K$29,$G598=$G$31,K$31,$G598=$G$34,K$34,$G598=$G$37,K$37,$G598=$G$107,K$107,$G598=$G$110,K$110,$G598=$G$140,K$140,$G598=$G$142,K$142,$G598=$G$408,K$408)</f>
        <v>BG sentinel</v>
      </c>
      <c r="O598" s="13" t="str">
        <f t="shared" si="62"/>
        <v>A_SP_BCN_26_221018</v>
      </c>
      <c r="P598" s="27">
        <v>44852</v>
      </c>
      <c r="Q598" s="29">
        <v>0.60763888888888895</v>
      </c>
      <c r="R598" s="33"/>
      <c r="S598" s="31">
        <v>44860</v>
      </c>
      <c r="T598" s="29">
        <v>0.61458333333333337</v>
      </c>
      <c r="V598" s="13" t="s">
        <v>86</v>
      </c>
      <c r="X598" s="13">
        <f t="shared" si="59"/>
        <v>8</v>
      </c>
      <c r="Z598" s="13" t="s">
        <v>60</v>
      </c>
      <c r="AA598" s="13">
        <f t="shared" si="58"/>
        <v>66</v>
      </c>
      <c r="AB598" s="13" t="str">
        <f t="shared" si="60"/>
        <v>Adult</v>
      </c>
      <c r="AC598" s="13">
        <v>43</v>
      </c>
      <c r="AD598" s="13">
        <v>23</v>
      </c>
      <c r="AE598" s="13" t="str">
        <f t="shared" si="61"/>
        <v>Morphological</v>
      </c>
      <c r="AF598" s="2">
        <v>4</v>
      </c>
    </row>
    <row r="599" spans="1:32" x14ac:dyDescent="0.25">
      <c r="A599" s="13">
        <v>595</v>
      </c>
      <c r="B599" s="23" t="s">
        <v>56</v>
      </c>
      <c r="C599" s="23" t="s">
        <v>57</v>
      </c>
      <c r="D599" s="23" t="s">
        <v>58</v>
      </c>
      <c r="E599" s="23" t="s">
        <v>58</v>
      </c>
      <c r="F599" s="35" cm="1">
        <f t="array" ref="F599">_xlfn.IFS($G599=$G$5,F$5,$G599=$G$7,F$7,$G599=$G$10,F$10,$G599=$G$13,F$13,$G599=$G$14,F$14,$G599=$G$16,F$16,$G599=$G$17,F$17,$G599=$G$19,F$19,$G599=$G$20,F$20,$G599=$G$22,F$22,$G599=$G$23,F$23,$G599=$G$26,F$26,$G599=$G$29,F$29,$G599=$G$31,F$31,$G599=$G$34,F$34,$G599=$G$37,F$37,$G599=$G$107,F$107,$G599=$G$110,F$110,$G599=$G$140,F$140,$G599=$G$142,F$142,$G599=$G$408,F$408)</f>
        <v>8025</v>
      </c>
      <c r="G599" s="13" t="s">
        <v>104</v>
      </c>
      <c r="H599" s="51" cm="1">
        <f t="array" ref="H599">_xlfn.IFS($G599=$G$5,H$5,$G599=$G$7,H$7,$G599=$G$10,H$10,$G599=$G$13,H$13,$G599=$G$14,H$14,$G599=$G$16,H$16,$G599=$G$17,H$17,$G599=$G$19,H$19,$G599=$G$20,H$20,$G599=$G$22,H$22,$G599=$G$23,H$23,$G599=$G$26,H$26,$G599=$G$29,H$29,$G599=$G$31,H$31,$G599=$G$34,H$34,$G599=$G$37,H$37,$G599=$G$107,H$107,$G599=$G$110,H$110,$G599=$G$140,H$140,$G599=$G$142,H$142,$G599=$G$408,H$408)</f>
        <v>41.408046826557602</v>
      </c>
      <c r="I599" s="51" cm="1">
        <f t="array" ref="I599">_xlfn.IFS($G599=$G$5,I$5,$G599=$G$7,I$7,$G599=$G$10,I$10,$G599=$G$13,I$13,$G599=$G$14,I$14,$G599=$G$16,I$16,$G599=$G$17,I$17,$G599=$G$19,I$19,$G599=$G$20,I$20,$G599=$G$22,I$22,$G599=$G$23,I$23,$G599=$G$26,I$26,$G599=$G$29,I$29,$G599=$G$31,I$31,$G599=$G$34,I$34,$G599=$G$37,I$37,$G599=$G$107,I$107,$G599=$G$110,I$110,$G599=$G$140,I$140,$G599=$G$142,I$142,$G599=$G$408,I$408)</f>
        <v>2.1678084611616502</v>
      </c>
      <c r="J599" s="51" cm="1">
        <f t="array" ref="J599">_xlfn.IFS($G599=$G$5,J$5,$G599=$G$7,J$7,$G599=$G$10,J$10,$G599=$G$13,J$13,$G599=$G$14,J$14,$G599=$G$16,J$16,$G599=$G$17,J$17,$G599=$G$19,J$19,$G599=$G$20,J$20,$G599=$G$22,J$22,$G599=$G$23,J$23,$G599=$G$26,J$26,$G599=$G$29,J$29,$G599=$G$31,J$31,$G599=$G$34,J$34,$G599=$G$37,J$37,$G599=$G$107,J$107,$G599=$G$110,J$110,$G599=$G$140,J$140,$G599=$G$142,J$142,$G599=$G$408,J$408)</f>
        <v>61</v>
      </c>
      <c r="K599" s="13" t="str" cm="1">
        <f t="array" ref="K599">_xlfn.IFS($G599=$G$5,K$5,$G599=$G$7,K$7,$G599=$G$10,K$10,$G599=$G$13,K$13,$G599=$G$14,K$14,$G599=$G$16,K$16,$G599=$G$17,K$17,$G599=$G$19,K$19,$G599=$G$20,K$20,$G599=$G$22,K$22,$G599=$G$23,K$23,$G599=$G$26,K$26,$G599=$G$29,K$29,$G599=$G$31,K$31,$G599=$G$34,K$34,$G599=$G$37,K$37,$G599=$G$107,K$107,$G599=$G$110,K$110,$G599=$G$140,K$140,$G599=$G$142,K$142,$G599=$G$408,K$408)</f>
        <v>BG sentinel</v>
      </c>
      <c r="O599" s="13" t="str">
        <f t="shared" si="62"/>
        <v>A_SP_BCN_26_221018</v>
      </c>
      <c r="P599" s="27">
        <v>44852</v>
      </c>
      <c r="Q599" s="29">
        <v>0.60763888888888895</v>
      </c>
      <c r="R599" s="33"/>
      <c r="S599" s="31">
        <v>44860</v>
      </c>
      <c r="T599" s="29">
        <v>0.61458333333333337</v>
      </c>
      <c r="V599" s="13" t="s">
        <v>86</v>
      </c>
      <c r="X599" s="13">
        <f t="shared" si="59"/>
        <v>8</v>
      </c>
      <c r="Z599" s="13" t="s">
        <v>164</v>
      </c>
      <c r="AA599" s="13">
        <f t="shared" si="58"/>
        <v>11</v>
      </c>
      <c r="AB599" s="13" t="str">
        <f t="shared" si="60"/>
        <v>Adult</v>
      </c>
      <c r="AC599" s="13">
        <v>9</v>
      </c>
      <c r="AD599" s="13">
        <v>2</v>
      </c>
      <c r="AE599" s="13" t="str">
        <f t="shared" si="61"/>
        <v>Morphological</v>
      </c>
      <c r="AF599" s="2">
        <v>4</v>
      </c>
    </row>
    <row r="600" spans="1:32" x14ac:dyDescent="0.25">
      <c r="A600" s="13">
        <v>596</v>
      </c>
      <c r="B600" s="23" t="s">
        <v>56</v>
      </c>
      <c r="C600" s="23" t="s">
        <v>57</v>
      </c>
      <c r="D600" s="23" t="s">
        <v>58</v>
      </c>
      <c r="E600" s="23" t="s">
        <v>58</v>
      </c>
      <c r="F600" s="35" cm="1">
        <f t="array" ref="F600">_xlfn.IFS($G600=$G$5,F$5,$G600=$G$7,F$7,$G600=$G$10,F$10,$G600=$G$13,F$13,$G600=$G$14,F$14,$G600=$G$16,F$16,$G600=$G$17,F$17,$G600=$G$19,F$19,$G600=$G$20,F$20,$G600=$G$22,F$22,$G600=$G$23,F$23,$G600=$G$26,F$26,$G600=$G$29,F$29,$G600=$G$31,F$31,$G600=$G$34,F$34,$G600=$G$37,F$37,$G600=$G$107,F$107,$G600=$G$110,F$110,$G600=$G$140,F$140,$G600=$G$142,F$142,$G600=$G$408,F$408)</f>
        <v>8025</v>
      </c>
      <c r="G600" s="13" t="s">
        <v>104</v>
      </c>
      <c r="H600" s="51" cm="1">
        <f t="array" ref="H600">_xlfn.IFS($G600=$G$5,H$5,$G600=$G$7,H$7,$G600=$G$10,H$10,$G600=$G$13,H$13,$G600=$G$14,H$14,$G600=$G$16,H$16,$G600=$G$17,H$17,$G600=$G$19,H$19,$G600=$G$20,H$20,$G600=$G$22,H$22,$G600=$G$23,H$23,$G600=$G$26,H$26,$G600=$G$29,H$29,$G600=$G$31,H$31,$G600=$G$34,H$34,$G600=$G$37,H$37,$G600=$G$107,H$107,$G600=$G$110,H$110,$G600=$G$140,H$140,$G600=$G$142,H$142,$G600=$G$408,H$408)</f>
        <v>41.408046826557602</v>
      </c>
      <c r="I600" s="51" cm="1">
        <f t="array" ref="I600">_xlfn.IFS($G600=$G$5,I$5,$G600=$G$7,I$7,$G600=$G$10,I$10,$G600=$G$13,I$13,$G600=$G$14,I$14,$G600=$G$16,I$16,$G600=$G$17,I$17,$G600=$G$19,I$19,$G600=$G$20,I$20,$G600=$G$22,I$22,$G600=$G$23,I$23,$G600=$G$26,I$26,$G600=$G$29,I$29,$G600=$G$31,I$31,$G600=$G$34,I$34,$G600=$G$37,I$37,$G600=$G$107,I$107,$G600=$G$110,I$110,$G600=$G$140,I$140,$G600=$G$142,I$142,$G600=$G$408,I$408)</f>
        <v>2.1678084611616502</v>
      </c>
      <c r="J600" s="51" cm="1">
        <f t="array" ref="J600">_xlfn.IFS($G600=$G$5,J$5,$G600=$G$7,J$7,$G600=$G$10,J$10,$G600=$G$13,J$13,$G600=$G$14,J$14,$G600=$G$16,J$16,$G600=$G$17,J$17,$G600=$G$19,J$19,$G600=$G$20,J$20,$G600=$G$22,J$22,$G600=$G$23,J$23,$G600=$G$26,J$26,$G600=$G$29,J$29,$G600=$G$31,J$31,$G600=$G$34,J$34,$G600=$G$37,J$37,$G600=$G$107,J$107,$G600=$G$110,J$110,$G600=$G$140,J$140,$G600=$G$142,J$142,$G600=$G$408,J$408)</f>
        <v>61</v>
      </c>
      <c r="K600" s="13" t="str" cm="1">
        <f t="array" ref="K600">_xlfn.IFS($G600=$G$5,K$5,$G600=$G$7,K$7,$G600=$G$10,K$10,$G600=$G$13,K$13,$G600=$G$14,K$14,$G600=$G$16,K$16,$G600=$G$17,K$17,$G600=$G$19,K$19,$G600=$G$20,K$20,$G600=$G$22,K$22,$G600=$G$23,K$23,$G600=$G$26,K$26,$G600=$G$29,K$29,$G600=$G$31,K$31,$G600=$G$34,K$34,$G600=$G$37,K$37,$G600=$G$107,K$107,$G600=$G$110,K$110,$G600=$G$140,K$140,$G600=$G$142,K$142,$G600=$G$408,K$408)</f>
        <v>BG sentinel</v>
      </c>
      <c r="O600" s="13" t="str">
        <f t="shared" si="62"/>
        <v>A_SP_BCN_26_221018</v>
      </c>
      <c r="P600" s="27">
        <v>44852</v>
      </c>
      <c r="Q600" s="29">
        <v>0.60763888888888895</v>
      </c>
      <c r="R600" s="33"/>
      <c r="S600" s="31">
        <v>44860</v>
      </c>
      <c r="T600" s="29">
        <v>0.61458333333333337</v>
      </c>
      <c r="V600" s="13" t="s">
        <v>86</v>
      </c>
      <c r="X600" s="13">
        <f t="shared" si="59"/>
        <v>8</v>
      </c>
      <c r="Z600" s="32" t="s">
        <v>163</v>
      </c>
      <c r="AA600" s="13">
        <f t="shared" si="58"/>
        <v>1</v>
      </c>
      <c r="AB600" s="13" t="str">
        <f t="shared" si="60"/>
        <v>Adult</v>
      </c>
      <c r="AC600" s="13">
        <v>0</v>
      </c>
      <c r="AD600" s="13">
        <v>1</v>
      </c>
      <c r="AE600" s="13" t="str">
        <f t="shared" si="61"/>
        <v>Morphological</v>
      </c>
      <c r="AF600" s="2">
        <v>4</v>
      </c>
    </row>
    <row r="601" spans="1:32" x14ac:dyDescent="0.25">
      <c r="A601" s="13">
        <v>597</v>
      </c>
      <c r="B601" s="23" t="s">
        <v>56</v>
      </c>
      <c r="C601" s="23" t="s">
        <v>57</v>
      </c>
      <c r="D601" s="23" t="s">
        <v>58</v>
      </c>
      <c r="E601" s="23" t="s">
        <v>58</v>
      </c>
      <c r="F601" s="35" cm="1">
        <f t="array" ref="F601">_xlfn.IFS($G601=$G$5,F$5,$G601=$G$7,F$7,$G601=$G$10,F$10,$G601=$G$13,F$13,$G601=$G$14,F$14,$G601=$G$16,F$16,$G601=$G$17,F$17,$G601=$G$19,F$19,$G601=$G$20,F$20,$G601=$G$22,F$22,$G601=$G$23,F$23,$G601=$G$26,F$26,$G601=$G$29,F$29,$G601=$G$31,F$31,$G601=$G$34,F$34,$G601=$G$37,F$37,$G601=$G$107,F$107,$G601=$G$110,F$110,$G601=$G$140,F$140,$G601=$G$142,F$142,$G601=$G$408,F$408)</f>
        <v>8017</v>
      </c>
      <c r="G601" s="13" t="s">
        <v>97</v>
      </c>
      <c r="H601" s="51" cm="1">
        <f t="array" ref="H601">_xlfn.IFS($G601=$G$5,H$5,$G601=$G$7,H$7,$G601=$G$10,H$10,$G601=$G$13,H$13,$G601=$G$14,H$14,$G601=$G$16,H$16,$G601=$G$17,H$17,$G601=$G$19,H$19,$G601=$G$20,H$20,$G601=$G$22,H$22,$G601=$G$23,H$23,$G601=$G$26,H$26,$G601=$G$29,H$29,$G601=$G$31,H$31,$G601=$G$34,H$34,$G601=$G$37,H$37,$G601=$G$107,H$107,$G601=$G$110,H$110,$G601=$G$140,H$140,$G601=$G$142,H$142,$G601=$G$408,H$408)</f>
        <v>41.430372407595499</v>
      </c>
      <c r="I601" s="51" cm="1">
        <f t="array" ref="I601">_xlfn.IFS($G601=$G$5,I$5,$G601=$G$7,I$7,$G601=$G$10,I$10,$G601=$G$13,I$13,$G601=$G$14,I$14,$G601=$G$16,I$16,$G601=$G$17,I$17,$G601=$G$19,I$19,$G601=$G$20,I$20,$G601=$G$22,I$22,$G601=$G$23,I$23,$G601=$G$26,I$26,$G601=$G$29,I$29,$G601=$G$31,I$31,$G601=$G$34,I$34,$G601=$G$37,I$37,$G601=$G$107,I$107,$G601=$G$110,I$110,$G601=$G$140,I$140,$G601=$G$142,I$142,$G601=$G$408,I$408)</f>
        <v>2.0778358219819002</v>
      </c>
      <c r="J601" s="51" cm="1">
        <f t="array" ref="J601">_xlfn.IFS($G601=$G$5,J$5,$G601=$G$7,J$7,$G601=$G$10,J$10,$G601=$G$13,J$13,$G601=$G$14,J$14,$G601=$G$16,J$16,$G601=$G$17,J$17,$G601=$G$19,J$19,$G601=$G$20,J$20,$G601=$G$22,J$22,$G601=$G$23,J$23,$G601=$G$26,J$26,$G601=$G$29,J$29,$G601=$G$31,J$31,$G601=$G$34,J$34,$G601=$G$37,J$37,$G601=$G$107,J$107,$G601=$G$110,J$110,$G601=$G$140,J$140,$G601=$G$142,J$142,$G601=$G$408,J$408)</f>
        <v>242</v>
      </c>
      <c r="K601" s="13" t="str" cm="1">
        <f t="array" ref="K601">_xlfn.IFS($G601=$G$5,K$5,$G601=$G$7,K$7,$G601=$G$10,K$10,$G601=$G$13,K$13,$G601=$G$14,K$14,$G601=$G$16,K$16,$G601=$G$17,K$17,$G601=$G$19,K$19,$G601=$G$20,K$20,$G601=$G$22,K$22,$G601=$G$23,K$23,$G601=$G$26,K$26,$G601=$G$29,K$29,$G601=$G$31,K$31,$G601=$G$34,K$34,$G601=$G$37,K$37,$G601=$G$107,K$107,$G601=$G$110,K$110,$G601=$G$140,K$140,$G601=$G$142,K$142,$G601=$G$408,K$408)</f>
        <v>Mtego</v>
      </c>
      <c r="O601" s="13" t="str">
        <f t="shared" si="62"/>
        <v>Premal_1_221018</v>
      </c>
      <c r="P601" s="27">
        <v>44852</v>
      </c>
      <c r="Q601" s="29">
        <v>0.73958333333333337</v>
      </c>
      <c r="R601" s="33"/>
      <c r="S601" s="31">
        <v>44860</v>
      </c>
      <c r="T601" s="29">
        <v>0.72569444444444453</v>
      </c>
      <c r="V601" s="13" t="s">
        <v>86</v>
      </c>
      <c r="W601" t="s">
        <v>203</v>
      </c>
      <c r="X601" s="13">
        <f t="shared" si="59"/>
        <v>8</v>
      </c>
      <c r="Z601" s="13" t="s">
        <v>60</v>
      </c>
      <c r="AA601" s="13">
        <f t="shared" si="58"/>
        <v>7</v>
      </c>
      <c r="AB601" s="13" t="str">
        <f t="shared" si="60"/>
        <v>Adult</v>
      </c>
      <c r="AC601" s="13">
        <v>7</v>
      </c>
      <c r="AD601" s="13">
        <v>0</v>
      </c>
      <c r="AE601" s="13" t="str">
        <f t="shared" si="61"/>
        <v>Morphological</v>
      </c>
      <c r="AF601" s="2">
        <v>3</v>
      </c>
    </row>
    <row r="602" spans="1:32" x14ac:dyDescent="0.25">
      <c r="A602" s="13">
        <v>598</v>
      </c>
      <c r="B602" s="23" t="s">
        <v>56</v>
      </c>
      <c r="C602" s="23" t="s">
        <v>57</v>
      </c>
      <c r="D602" s="23" t="s">
        <v>58</v>
      </c>
      <c r="E602" s="23" t="s">
        <v>58</v>
      </c>
      <c r="F602" s="35" cm="1">
        <f t="array" ref="F602">_xlfn.IFS($G602=$G$5,F$5,$G602=$G$7,F$7,$G602=$G$10,F$10,$G602=$G$13,F$13,$G602=$G$14,F$14,$G602=$G$16,F$16,$G602=$G$17,F$17,$G602=$G$19,F$19,$G602=$G$20,F$20,$G602=$G$22,F$22,$G602=$G$23,F$23,$G602=$G$26,F$26,$G602=$G$29,F$29,$G602=$G$31,F$31,$G602=$G$34,F$34,$G602=$G$37,F$37,$G602=$G$107,F$107,$G602=$G$110,F$110,$G602=$G$140,F$140,$G602=$G$142,F$142,$G602=$G$408,F$408)</f>
        <v>8017</v>
      </c>
      <c r="G602" s="13" t="s">
        <v>97</v>
      </c>
      <c r="H602" s="51" cm="1">
        <f t="array" ref="H602">_xlfn.IFS($G602=$G$5,H$5,$G602=$G$7,H$7,$G602=$G$10,H$10,$G602=$G$13,H$13,$G602=$G$14,H$14,$G602=$G$16,H$16,$G602=$G$17,H$17,$G602=$G$19,H$19,$G602=$G$20,H$20,$G602=$G$22,H$22,$G602=$G$23,H$23,$G602=$G$26,H$26,$G602=$G$29,H$29,$G602=$G$31,H$31,$G602=$G$34,H$34,$G602=$G$37,H$37,$G602=$G$107,H$107,$G602=$G$110,H$110,$G602=$G$140,H$140,$G602=$G$142,H$142,$G602=$G$408,H$408)</f>
        <v>41.430372407595499</v>
      </c>
      <c r="I602" s="51" cm="1">
        <f t="array" ref="I602">_xlfn.IFS($G602=$G$5,I$5,$G602=$G$7,I$7,$G602=$G$10,I$10,$G602=$G$13,I$13,$G602=$G$14,I$14,$G602=$G$16,I$16,$G602=$G$17,I$17,$G602=$G$19,I$19,$G602=$G$20,I$20,$G602=$G$22,I$22,$G602=$G$23,I$23,$G602=$G$26,I$26,$G602=$G$29,I$29,$G602=$G$31,I$31,$G602=$G$34,I$34,$G602=$G$37,I$37,$G602=$G$107,I$107,$G602=$G$110,I$110,$G602=$G$140,I$140,$G602=$G$142,I$142,$G602=$G$408,I$408)</f>
        <v>2.0778358219819002</v>
      </c>
      <c r="J602" s="51" cm="1">
        <f t="array" ref="J602">_xlfn.IFS($G602=$G$5,J$5,$G602=$G$7,J$7,$G602=$G$10,J$10,$G602=$G$13,J$13,$G602=$G$14,J$14,$G602=$G$16,J$16,$G602=$G$17,J$17,$G602=$G$19,J$19,$G602=$G$20,J$20,$G602=$G$22,J$22,$G602=$G$23,J$23,$G602=$G$26,J$26,$G602=$G$29,J$29,$G602=$G$31,J$31,$G602=$G$34,J$34,$G602=$G$37,J$37,$G602=$G$107,J$107,$G602=$G$110,J$110,$G602=$G$140,J$140,$G602=$G$142,J$142,$G602=$G$408,J$408)</f>
        <v>242</v>
      </c>
      <c r="K602" s="13" t="str" cm="1">
        <f t="array" ref="K602">_xlfn.IFS($G602=$G$5,K$5,$G602=$G$7,K$7,$G602=$G$10,K$10,$G602=$G$13,K$13,$G602=$G$14,K$14,$G602=$G$16,K$16,$G602=$G$17,K$17,$G602=$G$19,K$19,$G602=$G$20,K$20,$G602=$G$22,K$22,$G602=$G$23,K$23,$G602=$G$26,K$26,$G602=$G$29,K$29,$G602=$G$31,K$31,$G602=$G$34,K$34,$G602=$G$37,K$37,$G602=$G$107,K$107,$G602=$G$110,K$110,$G602=$G$140,K$140,$G602=$G$142,K$142,$G602=$G$408,K$408)</f>
        <v>Mtego</v>
      </c>
      <c r="O602" s="13" t="str">
        <f t="shared" si="62"/>
        <v>Premal_1_221018</v>
      </c>
      <c r="P602" s="27">
        <v>44852</v>
      </c>
      <c r="Q602" s="29">
        <v>0.73958333333333337</v>
      </c>
      <c r="R602" s="33"/>
      <c r="S602" s="31">
        <v>44860</v>
      </c>
      <c r="T602" s="29">
        <v>0.72569444444444453</v>
      </c>
      <c r="V602" s="13" t="s">
        <v>86</v>
      </c>
      <c r="W602" t="s">
        <v>203</v>
      </c>
      <c r="X602" s="13">
        <f t="shared" si="59"/>
        <v>8</v>
      </c>
      <c r="Z602" s="13" t="s">
        <v>164</v>
      </c>
      <c r="AA602" s="13">
        <f t="shared" si="58"/>
        <v>1</v>
      </c>
      <c r="AB602" s="13" t="str">
        <f t="shared" si="60"/>
        <v>Adult</v>
      </c>
      <c r="AC602" s="13">
        <v>1</v>
      </c>
      <c r="AD602" s="13">
        <v>0</v>
      </c>
      <c r="AE602" s="13" t="str">
        <f t="shared" si="61"/>
        <v>Morphological</v>
      </c>
      <c r="AF602" s="2">
        <v>3</v>
      </c>
    </row>
    <row r="603" spans="1:32" x14ac:dyDescent="0.25">
      <c r="A603" s="13">
        <v>599</v>
      </c>
      <c r="B603" s="23" t="s">
        <v>56</v>
      </c>
      <c r="C603" s="23" t="s">
        <v>57</v>
      </c>
      <c r="D603" s="23" t="s">
        <v>58</v>
      </c>
      <c r="E603" s="23" t="s">
        <v>58</v>
      </c>
      <c r="F603" s="35" cm="1">
        <f t="array" ref="F603">_xlfn.IFS($G603=$G$5,F$5,$G603=$G$7,F$7,$G603=$G$10,F$10,$G603=$G$13,F$13,$G603=$G$14,F$14,$G603=$G$16,F$16,$G603=$G$17,F$17,$G603=$G$19,F$19,$G603=$G$20,F$20,$G603=$G$22,F$22,$G603=$G$23,F$23,$G603=$G$26,F$26,$G603=$G$29,F$29,$G603=$G$31,F$31,$G603=$G$34,F$34,$G603=$G$37,F$37,$G603=$G$107,F$107,$G603=$G$110,F$110,$G603=$G$140,F$140,$G603=$G$142,F$142,$G603=$G$408,F$408)</f>
        <v>8017</v>
      </c>
      <c r="G603" s="13" t="s">
        <v>97</v>
      </c>
      <c r="H603" s="51" cm="1">
        <f t="array" ref="H603">_xlfn.IFS($G603=$G$5,H$5,$G603=$G$7,H$7,$G603=$G$10,H$10,$G603=$G$13,H$13,$G603=$G$14,H$14,$G603=$G$16,H$16,$G603=$G$17,H$17,$G603=$G$19,H$19,$G603=$G$20,H$20,$G603=$G$22,H$22,$G603=$G$23,H$23,$G603=$G$26,H$26,$G603=$G$29,H$29,$G603=$G$31,H$31,$G603=$G$34,H$34,$G603=$G$37,H$37,$G603=$G$107,H$107,$G603=$G$110,H$110,$G603=$G$140,H$140,$G603=$G$142,H$142,$G603=$G$408,H$408)</f>
        <v>41.430372407595499</v>
      </c>
      <c r="I603" s="51" cm="1">
        <f t="array" ref="I603">_xlfn.IFS($G603=$G$5,I$5,$G603=$G$7,I$7,$G603=$G$10,I$10,$G603=$G$13,I$13,$G603=$G$14,I$14,$G603=$G$16,I$16,$G603=$G$17,I$17,$G603=$G$19,I$19,$G603=$G$20,I$20,$G603=$G$22,I$22,$G603=$G$23,I$23,$G603=$G$26,I$26,$G603=$G$29,I$29,$G603=$G$31,I$31,$G603=$G$34,I$34,$G603=$G$37,I$37,$G603=$G$107,I$107,$G603=$G$110,I$110,$G603=$G$140,I$140,$G603=$G$142,I$142,$G603=$G$408,I$408)</f>
        <v>2.0778358219819002</v>
      </c>
      <c r="J603" s="51" cm="1">
        <f t="array" ref="J603">_xlfn.IFS($G603=$G$5,J$5,$G603=$G$7,J$7,$G603=$G$10,J$10,$G603=$G$13,J$13,$G603=$G$14,J$14,$G603=$G$16,J$16,$G603=$G$17,J$17,$G603=$G$19,J$19,$G603=$G$20,J$20,$G603=$G$22,J$22,$G603=$G$23,J$23,$G603=$G$26,J$26,$G603=$G$29,J$29,$G603=$G$31,J$31,$G603=$G$34,J$34,$G603=$G$37,J$37,$G603=$G$107,J$107,$G603=$G$110,J$110,$G603=$G$140,J$140,$G603=$G$142,J$142,$G603=$G$408,J$408)</f>
        <v>242</v>
      </c>
      <c r="K603" s="13" t="str" cm="1">
        <f t="array" ref="K603">_xlfn.IFS($G603=$G$5,K$5,$G603=$G$7,K$7,$G603=$G$10,K$10,$G603=$G$13,K$13,$G603=$G$14,K$14,$G603=$G$16,K$16,$G603=$G$17,K$17,$G603=$G$19,K$19,$G603=$G$20,K$20,$G603=$G$22,K$22,$G603=$G$23,K$23,$G603=$G$26,K$26,$G603=$G$29,K$29,$G603=$G$31,K$31,$G603=$G$34,K$34,$G603=$G$37,K$37,$G603=$G$107,K$107,$G603=$G$110,K$110,$G603=$G$140,K$140,$G603=$G$142,K$142,$G603=$G$408,K$408)</f>
        <v>Mtego</v>
      </c>
      <c r="O603" s="13" t="str">
        <f t="shared" si="62"/>
        <v>Premal_1_221018</v>
      </c>
      <c r="P603" s="27">
        <v>44852</v>
      </c>
      <c r="Q603" s="29">
        <v>0.73958333333333337</v>
      </c>
      <c r="R603" s="33"/>
      <c r="S603" s="31">
        <v>44860</v>
      </c>
      <c r="T603" s="29">
        <v>0.72569444444444453</v>
      </c>
      <c r="V603" s="13" t="s">
        <v>86</v>
      </c>
      <c r="W603" t="s">
        <v>203</v>
      </c>
      <c r="X603" s="13">
        <f t="shared" si="59"/>
        <v>8</v>
      </c>
      <c r="Z603" s="32" t="s">
        <v>163</v>
      </c>
      <c r="AA603" s="13">
        <f t="shared" si="58"/>
        <v>2</v>
      </c>
      <c r="AB603" s="13" t="str">
        <f t="shared" si="60"/>
        <v>Adult</v>
      </c>
      <c r="AC603" s="13">
        <v>0</v>
      </c>
      <c r="AD603" s="13">
        <v>2</v>
      </c>
      <c r="AE603" s="13" t="str">
        <f t="shared" si="61"/>
        <v>Morphological</v>
      </c>
      <c r="AF603" s="2">
        <v>3</v>
      </c>
    </row>
    <row r="604" spans="1:32" x14ac:dyDescent="0.25">
      <c r="A604" s="13">
        <v>600</v>
      </c>
      <c r="B604" s="23" t="s">
        <v>56</v>
      </c>
      <c r="C604" s="23" t="s">
        <v>57</v>
      </c>
      <c r="D604" s="23" t="s">
        <v>58</v>
      </c>
      <c r="E604" s="23" t="s">
        <v>58</v>
      </c>
      <c r="F604" s="35" cm="1">
        <f t="array" ref="F604">_xlfn.IFS($G604=$G$5,F$5,$G604=$G$7,F$7,$G604=$G$10,F$10,$G604=$G$13,F$13,$G604=$G$14,F$14,$G604=$G$16,F$16,$G604=$G$17,F$17,$G604=$G$19,F$19,$G604=$G$20,F$20,$G604=$G$22,F$22,$G604=$G$23,F$23,$G604=$G$26,F$26,$G604=$G$29,F$29,$G604=$G$31,F$31,$G604=$G$34,F$34,$G604=$G$37,F$37,$G604=$G$107,F$107,$G604=$G$110,F$110,$G604=$G$140,F$140,$G604=$G$142,F$142,$G604=$G$408,F$408)</f>
        <v>8035</v>
      </c>
      <c r="G604" s="13" t="s">
        <v>61</v>
      </c>
      <c r="H604" s="51" cm="1">
        <f t="array" ref="H604">_xlfn.IFS($G604=$G$5,H$5,$G604=$G$7,H$7,$G604=$G$10,H$10,$G604=$G$13,H$13,$G604=$G$14,H$14,$G604=$G$16,H$16,$G604=$G$17,H$17,$G604=$G$19,H$19,$G604=$G$20,H$20,$G604=$G$22,H$22,$G604=$G$23,H$23,$G604=$G$26,H$26,$G604=$G$29,H$29,$G604=$G$31,H$31,$G604=$G$34,H$34,$G604=$G$37,H$37,$G604=$G$107,H$107,$G604=$G$110,H$110,$G604=$G$140,H$140,$G604=$G$142,H$142,$G604=$G$408,H$408)</f>
        <v>41.424387000000003</v>
      </c>
      <c r="I604" s="51" cm="1">
        <f t="array" ref="I604">_xlfn.IFS($G604=$G$5,I$5,$G604=$G$7,I$7,$G604=$G$10,I$10,$G604=$G$13,I$13,$G604=$G$14,I$14,$G604=$G$16,I$16,$G604=$G$17,I$17,$G604=$G$19,I$19,$G604=$G$20,I$20,$G604=$G$22,I$22,$G604=$G$23,I$23,$G604=$G$26,I$26,$G604=$G$29,I$29,$G604=$G$31,I$31,$G604=$G$34,I$34,$G604=$G$37,I$37,$G604=$G$107,I$107,$G604=$G$110,I$110,$G604=$G$140,I$140,$G604=$G$142,I$142,$G604=$G$408,I$408)</f>
        <v>2.1431439999999999</v>
      </c>
      <c r="J604" s="51" cm="1">
        <f t="array" ref="J604">_xlfn.IFS($G604=$G$5,J$5,$G604=$G$7,J$7,$G604=$G$10,J$10,$G604=$G$13,J$13,$G604=$G$14,J$14,$G604=$G$16,J$16,$G604=$G$17,J$17,$G604=$G$19,J$19,$G604=$G$20,J$20,$G604=$G$22,J$22,$G604=$G$23,J$23,$G604=$G$26,J$26,$G604=$G$29,J$29,$G604=$G$31,J$31,$G604=$G$34,J$34,$G604=$G$37,J$37,$G604=$G$107,J$107,$G604=$G$110,J$110,$G604=$G$140,J$140,$G604=$G$142,J$142,$G604=$G$408,J$408)</f>
        <v>160</v>
      </c>
      <c r="K604" s="13" t="str" cm="1">
        <f t="array" ref="K604">_xlfn.IFS($G604=$G$5,K$5,$G604=$G$7,K$7,$G604=$G$10,K$10,$G604=$G$13,K$13,$G604=$G$14,K$14,$G604=$G$16,K$16,$G604=$G$17,K$17,$G604=$G$19,K$19,$G604=$G$20,K$20,$G604=$G$22,K$22,$G604=$G$23,K$23,$G604=$G$26,K$26,$G604=$G$29,K$29,$G604=$G$31,K$31,$G604=$G$34,K$34,$G604=$G$37,K$37,$G604=$G$107,K$107,$G604=$G$110,K$110,$G604=$G$140,K$140,$G604=$G$142,K$142,$G604=$G$408,K$408)</f>
        <v>BG sentinel + BG lure7</v>
      </c>
      <c r="O604" s="13" t="str">
        <f t="shared" si="62"/>
        <v>A_SP_BCN_2_221026</v>
      </c>
      <c r="P604" s="27">
        <v>44860</v>
      </c>
      <c r="Q604" s="29">
        <v>0.65625</v>
      </c>
      <c r="R604" s="33"/>
      <c r="S604" s="27">
        <v>44867</v>
      </c>
      <c r="T604" s="29">
        <v>0.72916666666666663</v>
      </c>
      <c r="V604" s="13" t="s">
        <v>86</v>
      </c>
      <c r="X604" s="13">
        <f t="shared" si="59"/>
        <v>7</v>
      </c>
      <c r="Z604" s="13" t="s">
        <v>60</v>
      </c>
      <c r="AA604" s="13">
        <f t="shared" si="58"/>
        <v>3</v>
      </c>
      <c r="AB604" s="13" t="str">
        <f t="shared" si="60"/>
        <v>Adult</v>
      </c>
      <c r="AC604" s="13">
        <v>3</v>
      </c>
      <c r="AD604" s="13">
        <v>0</v>
      </c>
      <c r="AE604" s="13" t="str">
        <f t="shared" si="61"/>
        <v>Morphological</v>
      </c>
      <c r="AF604" s="2">
        <v>4</v>
      </c>
    </row>
    <row r="605" spans="1:32" x14ac:dyDescent="0.25">
      <c r="A605" s="13">
        <v>601</v>
      </c>
      <c r="B605" s="23" t="s">
        <v>56</v>
      </c>
      <c r="C605" s="23" t="s">
        <v>57</v>
      </c>
      <c r="D605" s="23" t="s">
        <v>58</v>
      </c>
      <c r="E605" s="23" t="s">
        <v>58</v>
      </c>
      <c r="F605" s="35" cm="1">
        <f t="array" ref="F605">_xlfn.IFS($G605=$G$5,F$5,$G605=$G$7,F$7,$G605=$G$10,F$10,$G605=$G$13,F$13,$G605=$G$14,F$14,$G605=$G$16,F$16,$G605=$G$17,F$17,$G605=$G$19,F$19,$G605=$G$20,F$20,$G605=$G$22,F$22,$G605=$G$23,F$23,$G605=$G$26,F$26,$G605=$G$29,F$29,$G605=$G$31,F$31,$G605=$G$34,F$34,$G605=$G$37,F$37,$G605=$G$107,F$107,$G605=$G$110,F$110,$G605=$G$140,F$140,$G605=$G$142,F$142,$G605=$G$408,F$408)</f>
        <v>8016</v>
      </c>
      <c r="G605" s="13" t="s">
        <v>62</v>
      </c>
      <c r="H605" s="51" cm="1">
        <f t="array" ref="H605">_xlfn.IFS($G605=$G$5,H$5,$G605=$G$7,H$7,$G605=$G$10,H$10,$G605=$G$13,H$13,$G605=$G$14,H$14,$G605=$G$16,H$16,$G605=$G$17,H$17,$G605=$G$19,H$19,$G605=$G$20,H$20,$G605=$G$22,H$22,$G605=$G$23,H$23,$G605=$G$26,H$26,$G605=$G$29,H$29,$G605=$G$31,H$31,$G605=$G$34,H$34,$G605=$G$37,H$37,$G605=$G$107,H$107,$G605=$G$110,H$110,$G605=$G$140,H$140,$G605=$G$142,H$142,$G605=$G$408,H$408)</f>
        <v>41.437435000000001</v>
      </c>
      <c r="I605" s="51" cm="1">
        <f t="array" ref="I605">_xlfn.IFS($G605=$G$5,I$5,$G605=$G$7,I$7,$G605=$G$10,I$10,$G605=$G$13,I$13,$G605=$G$14,I$14,$G605=$G$16,I$16,$G605=$G$17,I$17,$G605=$G$19,I$19,$G605=$G$20,I$20,$G605=$G$22,I$22,$G605=$G$23,I$23,$G605=$G$26,I$26,$G605=$G$29,I$29,$G605=$G$31,I$31,$G605=$G$34,I$34,$G605=$G$37,I$37,$G605=$G$107,I$107,$G605=$G$110,I$110,$G605=$G$140,I$140,$G605=$G$142,I$142,$G605=$G$408,I$408)</f>
        <v>2.1812779999999998</v>
      </c>
      <c r="J605" s="51" cm="1">
        <f t="array" ref="J605">_xlfn.IFS($G605=$G$5,J$5,$G605=$G$7,J$7,$G605=$G$10,J$10,$G605=$G$13,J$13,$G605=$G$14,J$14,$G605=$G$16,J$16,$G605=$G$17,J$17,$G605=$G$19,J$19,$G605=$G$20,J$20,$G605=$G$22,J$22,$G605=$G$23,J$23,$G605=$G$26,J$26,$G605=$G$29,J$29,$G605=$G$31,J$31,$G605=$G$34,J$34,$G605=$G$37,J$37,$G605=$G$107,J$107,$G605=$G$110,J$110,$G605=$G$140,J$140,$G605=$G$142,J$142,$G605=$G$408,J$408)</f>
        <v>47</v>
      </c>
      <c r="K605" s="13" t="str" cm="1">
        <f t="array" ref="K605">_xlfn.IFS($G605=$G$5,K$5,$G605=$G$7,K$7,$G605=$G$10,K$10,$G605=$G$13,K$13,$G605=$G$14,K$14,$G605=$G$16,K$16,$G605=$G$17,K$17,$G605=$G$19,K$19,$G605=$G$20,K$20,$G605=$G$22,K$22,$G605=$G$23,K$23,$G605=$G$26,K$26,$G605=$G$29,K$29,$G605=$G$31,K$31,$G605=$G$34,K$34,$G605=$G$37,K$37,$G605=$G$107,K$107,$G605=$G$110,K$110,$G605=$G$140,K$140,$G605=$G$142,K$142,$G605=$G$408,K$408)</f>
        <v>BG sentinel + BG lure7</v>
      </c>
      <c r="O605" s="13" t="str">
        <f t="shared" si="62"/>
        <v>A_SP_BCN_3_221026</v>
      </c>
      <c r="P605" s="31">
        <v>44860</v>
      </c>
      <c r="Q605" s="29">
        <v>0.79861111111111116</v>
      </c>
      <c r="R605" s="33"/>
      <c r="S605" s="27">
        <v>44867</v>
      </c>
      <c r="T605" s="29">
        <v>0.84722222222222221</v>
      </c>
      <c r="V605" s="13" t="s">
        <v>86</v>
      </c>
      <c r="X605" s="13">
        <f t="shared" si="59"/>
        <v>7</v>
      </c>
      <c r="AA605" s="13">
        <v>0</v>
      </c>
      <c r="AB605" s="13" t="str">
        <f t="shared" si="60"/>
        <v/>
      </c>
      <c r="AE605" s="13" t="str">
        <f t="shared" si="61"/>
        <v/>
      </c>
      <c r="AF605" s="2">
        <v>4</v>
      </c>
    </row>
    <row r="606" spans="1:32" x14ac:dyDescent="0.25">
      <c r="A606" s="13">
        <v>602</v>
      </c>
      <c r="B606" s="23" t="s">
        <v>56</v>
      </c>
      <c r="C606" s="23" t="s">
        <v>57</v>
      </c>
      <c r="D606" s="23" t="s">
        <v>58</v>
      </c>
      <c r="E606" s="23" t="s">
        <v>58</v>
      </c>
      <c r="F606" s="35" cm="1">
        <f t="array" ref="F606">_xlfn.IFS($G606=$G$5,F$5,$G606=$G$7,F$7,$G606=$G$10,F$10,$G606=$G$13,F$13,$G606=$G$14,F$14,$G606=$G$16,F$16,$G606=$G$17,F$17,$G606=$G$19,F$19,$G606=$G$20,F$20,$G606=$G$22,F$22,$G606=$G$23,F$23,$G606=$G$26,F$26,$G606=$G$29,F$29,$G606=$G$31,F$31,$G606=$G$34,F$34,$G606=$G$37,F$37,$G606=$G$107,F$107,$G606=$G$110,F$110,$G606=$G$140,F$140,$G606=$G$142,F$142,$G606=$G$408,F$408)</f>
        <v>8018</v>
      </c>
      <c r="G606" s="13" t="s">
        <v>63</v>
      </c>
      <c r="H606" s="51" cm="1">
        <f t="array" ref="H606">_xlfn.IFS($G606=$G$5,H$5,$G606=$G$7,H$7,$G606=$G$10,H$10,$G606=$G$13,H$13,$G606=$G$14,H$14,$G606=$G$16,H$16,$G606=$G$17,H$17,$G606=$G$19,H$19,$G606=$G$20,H$20,$G606=$G$22,H$22,$G606=$G$23,H$23,$G606=$G$26,H$26,$G606=$G$29,H$29,$G606=$G$31,H$31,$G606=$G$34,H$34,$G606=$G$37,H$37,$G606=$G$107,H$107,$G606=$G$110,H$110,$G606=$G$140,H$140,$G606=$G$142,H$142,$G606=$G$408,H$408)</f>
        <v>41.404924999999999</v>
      </c>
      <c r="I606" s="51" cm="1">
        <f t="array" ref="I606">_xlfn.IFS($G606=$G$5,I$5,$G606=$G$7,I$7,$G606=$G$10,I$10,$G606=$G$13,I$13,$G606=$G$14,I$14,$G606=$G$16,I$16,$G606=$G$17,I$17,$G606=$G$19,I$19,$G606=$G$20,I$20,$G606=$G$22,I$22,$G606=$G$23,I$23,$G606=$G$26,I$26,$G606=$G$29,I$29,$G606=$G$31,I$31,$G606=$G$34,I$34,$G606=$G$37,I$37,$G606=$G$107,I$107,$G606=$G$110,I$110,$G606=$G$140,I$140,$G606=$G$142,I$142,$G606=$G$408,I$408)</f>
        <v>2.1987909999999999</v>
      </c>
      <c r="J606" s="51" cm="1">
        <f t="array" ref="J606">_xlfn.IFS($G606=$G$5,J$5,$G606=$G$7,J$7,$G606=$G$10,J$10,$G606=$G$13,J$13,$G606=$G$14,J$14,$G606=$G$16,J$16,$G606=$G$17,J$17,$G606=$G$19,J$19,$G606=$G$20,J$20,$G606=$G$22,J$22,$G606=$G$23,J$23,$G606=$G$26,J$26,$G606=$G$29,J$29,$G606=$G$31,J$31,$G606=$G$34,J$34,$G606=$G$37,J$37,$G606=$G$107,J$107,$G606=$G$110,J$110,$G606=$G$140,J$140,$G606=$G$142,J$142,$G606=$G$408,J$408)</f>
        <v>4</v>
      </c>
      <c r="K606" s="13" t="str" cm="1">
        <f t="array" ref="K606">_xlfn.IFS($G606=$G$5,K$5,$G606=$G$7,K$7,$G606=$G$10,K$10,$G606=$G$13,K$13,$G606=$G$14,K$14,$G606=$G$16,K$16,$G606=$G$17,K$17,$G606=$G$19,K$19,$G606=$G$20,K$20,$G606=$G$22,K$22,$G606=$G$23,K$23,$G606=$G$26,K$26,$G606=$G$29,K$29,$G606=$G$31,K$31,$G606=$G$34,K$34,$G606=$G$37,K$37,$G606=$G$107,K$107,$G606=$G$110,K$110,$G606=$G$140,K$140,$G606=$G$142,K$142,$G606=$G$408,K$408)</f>
        <v>BG sentinel + BG lure7</v>
      </c>
      <c r="O606" s="13" t="str">
        <f t="shared" si="62"/>
        <v>A_SP_BCN_4_221026</v>
      </c>
      <c r="P606" s="31">
        <v>44860</v>
      </c>
      <c r="Q606" s="29">
        <v>0.8125</v>
      </c>
      <c r="R606" s="33"/>
      <c r="S606" s="31">
        <v>44868</v>
      </c>
      <c r="T606" s="29">
        <v>0.40972222222222227</v>
      </c>
      <c r="V606" s="13" t="s">
        <v>86</v>
      </c>
      <c r="W606" s="15" t="s">
        <v>150</v>
      </c>
      <c r="X606" s="13">
        <f t="shared" si="59"/>
        <v>8</v>
      </c>
      <c r="Z606" s="13" t="s">
        <v>60</v>
      </c>
      <c r="AA606" s="13">
        <f t="shared" ref="AA606:AA640" si="63">SUM(AC606:AD606)</f>
        <v>2</v>
      </c>
      <c r="AB606" s="13" t="str">
        <f t="shared" si="60"/>
        <v>Adult</v>
      </c>
      <c r="AC606" s="13">
        <v>2</v>
      </c>
      <c r="AD606" s="13">
        <v>0</v>
      </c>
      <c r="AE606" s="13" t="str">
        <f t="shared" si="61"/>
        <v>Morphological</v>
      </c>
      <c r="AF606" s="2">
        <v>4</v>
      </c>
    </row>
    <row r="607" spans="1:32" x14ac:dyDescent="0.25">
      <c r="A607" s="13">
        <v>603</v>
      </c>
      <c r="B607" s="23" t="s">
        <v>56</v>
      </c>
      <c r="C607" s="23" t="s">
        <v>57</v>
      </c>
      <c r="D607" s="23" t="s">
        <v>58</v>
      </c>
      <c r="E607" s="23" t="s">
        <v>58</v>
      </c>
      <c r="F607" s="35" cm="1">
        <f t="array" ref="F607">_xlfn.IFS($G607=$G$5,F$5,$G607=$G$7,F$7,$G607=$G$10,F$10,$G607=$G$13,F$13,$G607=$G$14,F$14,$G607=$G$16,F$16,$G607=$G$17,F$17,$G607=$G$19,F$19,$G607=$G$20,F$20,$G607=$G$22,F$22,$G607=$G$23,F$23,$G607=$G$26,F$26,$G607=$G$29,F$29,$G607=$G$31,F$31,$G607=$G$34,F$34,$G607=$G$37,F$37,$G607=$G$107,F$107,$G607=$G$110,F$110,$G607=$G$140,F$140,$G607=$G$142,F$142,$G607=$G$408,F$408)</f>
        <v>8018</v>
      </c>
      <c r="G607" s="13" t="s">
        <v>63</v>
      </c>
      <c r="H607" s="51" cm="1">
        <f t="array" ref="H607">_xlfn.IFS($G607=$G$5,H$5,$G607=$G$7,H$7,$G607=$G$10,H$10,$G607=$G$13,H$13,$G607=$G$14,H$14,$G607=$G$16,H$16,$G607=$G$17,H$17,$G607=$G$19,H$19,$G607=$G$20,H$20,$G607=$G$22,H$22,$G607=$G$23,H$23,$G607=$G$26,H$26,$G607=$G$29,H$29,$G607=$G$31,H$31,$G607=$G$34,H$34,$G607=$G$37,H$37,$G607=$G$107,H$107,$G607=$G$110,H$110,$G607=$G$140,H$140,$G607=$G$142,H$142,$G607=$G$408,H$408)</f>
        <v>41.404924999999999</v>
      </c>
      <c r="I607" s="51" cm="1">
        <f t="array" ref="I607">_xlfn.IFS($G607=$G$5,I$5,$G607=$G$7,I$7,$G607=$G$10,I$10,$G607=$G$13,I$13,$G607=$G$14,I$14,$G607=$G$16,I$16,$G607=$G$17,I$17,$G607=$G$19,I$19,$G607=$G$20,I$20,$G607=$G$22,I$22,$G607=$G$23,I$23,$G607=$G$26,I$26,$G607=$G$29,I$29,$G607=$G$31,I$31,$G607=$G$34,I$34,$G607=$G$37,I$37,$G607=$G$107,I$107,$G607=$G$110,I$110,$G607=$G$140,I$140,$G607=$G$142,I$142,$G607=$G$408,I$408)</f>
        <v>2.1987909999999999</v>
      </c>
      <c r="J607" s="51" cm="1">
        <f t="array" ref="J607">_xlfn.IFS($G607=$G$5,J$5,$G607=$G$7,J$7,$G607=$G$10,J$10,$G607=$G$13,J$13,$G607=$G$14,J$14,$G607=$G$16,J$16,$G607=$G$17,J$17,$G607=$G$19,J$19,$G607=$G$20,J$20,$G607=$G$22,J$22,$G607=$G$23,J$23,$G607=$G$26,J$26,$G607=$G$29,J$29,$G607=$G$31,J$31,$G607=$G$34,J$34,$G607=$G$37,J$37,$G607=$G$107,J$107,$G607=$G$110,J$110,$G607=$G$140,J$140,$G607=$G$142,J$142,$G607=$G$408,J$408)</f>
        <v>4</v>
      </c>
      <c r="K607" s="13" t="str" cm="1">
        <f t="array" ref="K607">_xlfn.IFS($G607=$G$5,K$5,$G607=$G$7,K$7,$G607=$G$10,K$10,$G607=$G$13,K$13,$G607=$G$14,K$14,$G607=$G$16,K$16,$G607=$G$17,K$17,$G607=$G$19,K$19,$G607=$G$20,K$20,$G607=$G$22,K$22,$G607=$G$23,K$23,$G607=$G$26,K$26,$G607=$G$29,K$29,$G607=$G$31,K$31,$G607=$G$34,K$34,$G607=$G$37,K$37,$G607=$G$107,K$107,$G607=$G$110,K$110,$G607=$G$140,K$140,$G607=$G$142,K$142,$G607=$G$408,K$408)</f>
        <v>BG sentinel + BG lure7</v>
      </c>
      <c r="O607" s="13" t="str">
        <f t="shared" si="62"/>
        <v>A_SP_BCN_4_221026</v>
      </c>
      <c r="P607" s="31">
        <v>44860</v>
      </c>
      <c r="Q607" s="29">
        <v>0.8125</v>
      </c>
      <c r="R607" s="33"/>
      <c r="S607" s="31">
        <v>44868</v>
      </c>
      <c r="T607" s="29">
        <v>0.40972222222222227</v>
      </c>
      <c r="V607" s="13" t="s">
        <v>86</v>
      </c>
      <c r="W607" s="15" t="s">
        <v>150</v>
      </c>
      <c r="X607" s="13">
        <f t="shared" si="59"/>
        <v>8</v>
      </c>
      <c r="Z607" s="13" t="s">
        <v>164</v>
      </c>
      <c r="AA607" s="13">
        <f t="shared" si="63"/>
        <v>22</v>
      </c>
      <c r="AB607" s="13" t="str">
        <f t="shared" si="60"/>
        <v>Adult</v>
      </c>
      <c r="AC607" s="13">
        <v>19</v>
      </c>
      <c r="AD607" s="13">
        <v>3</v>
      </c>
      <c r="AE607" s="13" t="str">
        <f t="shared" si="61"/>
        <v>Morphological</v>
      </c>
      <c r="AF607" s="2">
        <v>4</v>
      </c>
    </row>
    <row r="608" spans="1:32" x14ac:dyDescent="0.25">
      <c r="A608" s="13">
        <v>604</v>
      </c>
      <c r="B608" s="23" t="s">
        <v>56</v>
      </c>
      <c r="C608" s="23" t="s">
        <v>57</v>
      </c>
      <c r="D608" s="23" t="s">
        <v>58</v>
      </c>
      <c r="E608" s="23" t="s">
        <v>58</v>
      </c>
      <c r="F608" s="35" cm="1">
        <f t="array" ref="F608">_xlfn.IFS($G608=$G$5,F$5,$G608=$G$7,F$7,$G608=$G$10,F$10,$G608=$G$13,F$13,$G608=$G$14,F$14,$G608=$G$16,F$16,$G608=$G$17,F$17,$G608=$G$19,F$19,$G608=$G$20,F$20,$G608=$G$22,F$22,$G608=$G$23,F$23,$G608=$G$26,F$26,$G608=$G$29,F$29,$G608=$G$31,F$31,$G608=$G$34,F$34,$G608=$G$37,F$37,$G608=$G$107,F$107,$G608=$G$110,F$110,$G608=$G$140,F$140,$G608=$G$142,F$142,$G608=$G$408,F$408)</f>
        <v>8019</v>
      </c>
      <c r="G608" s="13" t="s">
        <v>64</v>
      </c>
      <c r="H608" s="51" cm="1">
        <f t="array" ref="H608">_xlfn.IFS($G608=$G$5,H$5,$G608=$G$7,H$7,$G608=$G$10,H$10,$G608=$G$13,H$13,$G608=$G$14,H$14,$G608=$G$16,H$16,$G608=$G$17,H$17,$G608=$G$19,H$19,$G608=$G$20,H$20,$G608=$G$22,H$22,$G608=$G$23,H$23,$G608=$G$26,H$26,$G608=$G$29,H$29,$G608=$G$31,H$31,$G608=$G$34,H$34,$G608=$G$37,H$37,$G608=$G$107,H$107,$G608=$G$110,H$110,$G608=$G$140,H$140,$G608=$G$142,H$142,$G608=$G$408,H$408)</f>
        <v>41.410684000000003</v>
      </c>
      <c r="I608" s="51" cm="1">
        <f t="array" ref="I608">_xlfn.IFS($G608=$G$5,I$5,$G608=$G$7,I$7,$G608=$G$10,I$10,$G608=$G$13,I$13,$G608=$G$14,I$14,$G608=$G$16,I$16,$G608=$G$17,I$17,$G608=$G$19,I$19,$G608=$G$20,I$20,$G608=$G$22,I$22,$G608=$G$23,I$23,$G608=$G$26,I$26,$G608=$G$29,I$29,$G608=$G$31,I$31,$G608=$G$34,I$34,$G608=$G$37,I$37,$G608=$G$107,I$107,$G608=$G$110,I$110,$G608=$G$140,I$140,$G608=$G$142,I$142,$G608=$G$408,I$408)</f>
        <v>2.2208019999999999</v>
      </c>
      <c r="J608" s="51" cm="1">
        <f t="array" ref="J608">_xlfn.IFS($G608=$G$5,J$5,$G608=$G$7,J$7,$G608=$G$10,J$10,$G608=$G$13,J$13,$G608=$G$14,J$14,$G608=$G$16,J$16,$G608=$G$17,J$17,$G608=$G$19,J$19,$G608=$G$20,J$20,$G608=$G$22,J$22,$G608=$G$23,J$23,$G608=$G$26,J$26,$G608=$G$29,J$29,$G608=$G$31,J$31,$G608=$G$34,J$34,$G608=$G$37,J$37,$G608=$G$107,J$107,$G608=$G$110,J$110,$G608=$G$140,J$140,$G608=$G$142,J$142,$G608=$G$408,J$408)</f>
        <v>18</v>
      </c>
      <c r="K608" s="13" t="str" cm="1">
        <f t="array" ref="K608">_xlfn.IFS($G608=$G$5,K$5,$G608=$G$7,K$7,$G608=$G$10,K$10,$G608=$G$13,K$13,$G608=$G$14,K$14,$G608=$G$16,K$16,$G608=$G$17,K$17,$G608=$G$19,K$19,$G608=$G$20,K$20,$G608=$G$22,K$22,$G608=$G$23,K$23,$G608=$G$26,K$26,$G608=$G$29,K$29,$G608=$G$31,K$31,$G608=$G$34,K$34,$G608=$G$37,K$37,$G608=$G$107,K$107,$G608=$G$110,K$110,$G608=$G$140,K$140,$G608=$G$142,K$142,$G608=$G$408,K$408)</f>
        <v>BG sentinel + BG lure7</v>
      </c>
      <c r="O608" s="13" t="str">
        <f t="shared" si="62"/>
        <v>A_SP_BCN_5_221026</v>
      </c>
      <c r="P608" s="31">
        <v>44860</v>
      </c>
      <c r="Q608" s="29">
        <v>0.67708333333333337</v>
      </c>
      <c r="R608" s="33"/>
      <c r="S608" s="31">
        <v>44868</v>
      </c>
      <c r="T608" s="29">
        <v>0.4201388888888889</v>
      </c>
      <c r="V608" s="13" t="s">
        <v>86</v>
      </c>
      <c r="W608" s="15" t="s">
        <v>150</v>
      </c>
      <c r="X608" s="13">
        <f t="shared" si="59"/>
        <v>8</v>
      </c>
      <c r="Z608" s="13" t="s">
        <v>60</v>
      </c>
      <c r="AA608" s="13">
        <f t="shared" si="63"/>
        <v>1</v>
      </c>
      <c r="AB608" s="13" t="str">
        <f t="shared" si="60"/>
        <v>Adult</v>
      </c>
      <c r="AC608" s="13">
        <v>0</v>
      </c>
      <c r="AD608" s="13">
        <v>1</v>
      </c>
      <c r="AE608" s="13" t="str">
        <f t="shared" si="61"/>
        <v>Morphological</v>
      </c>
      <c r="AF608" s="2">
        <v>4</v>
      </c>
    </row>
    <row r="609" spans="1:32" x14ac:dyDescent="0.25">
      <c r="A609" s="13">
        <v>605</v>
      </c>
      <c r="B609" s="23" t="s">
        <v>56</v>
      </c>
      <c r="C609" s="23" t="s">
        <v>57</v>
      </c>
      <c r="D609" s="23" t="s">
        <v>58</v>
      </c>
      <c r="E609" s="23" t="s">
        <v>58</v>
      </c>
      <c r="F609" s="35" cm="1">
        <f t="array" ref="F609">_xlfn.IFS($G609=$G$5,F$5,$G609=$G$7,F$7,$G609=$G$10,F$10,$G609=$G$13,F$13,$G609=$G$14,F$14,$G609=$G$16,F$16,$G609=$G$17,F$17,$G609=$G$19,F$19,$G609=$G$20,F$20,$G609=$G$22,F$22,$G609=$G$23,F$23,$G609=$G$26,F$26,$G609=$G$29,F$29,$G609=$G$31,F$31,$G609=$G$34,F$34,$G609=$G$37,F$37,$G609=$G$107,F$107,$G609=$G$110,F$110,$G609=$G$140,F$140,$G609=$G$142,F$142,$G609=$G$408,F$408)</f>
        <v>8019</v>
      </c>
      <c r="G609" s="13" t="s">
        <v>64</v>
      </c>
      <c r="H609" s="51" cm="1">
        <f t="array" ref="H609">_xlfn.IFS($G609=$G$5,H$5,$G609=$G$7,H$7,$G609=$G$10,H$10,$G609=$G$13,H$13,$G609=$G$14,H$14,$G609=$G$16,H$16,$G609=$G$17,H$17,$G609=$G$19,H$19,$G609=$G$20,H$20,$G609=$G$22,H$22,$G609=$G$23,H$23,$G609=$G$26,H$26,$G609=$G$29,H$29,$G609=$G$31,H$31,$G609=$G$34,H$34,$G609=$G$37,H$37,$G609=$G$107,H$107,$G609=$G$110,H$110,$G609=$G$140,H$140,$G609=$G$142,H$142,$G609=$G$408,H$408)</f>
        <v>41.410684000000003</v>
      </c>
      <c r="I609" s="51" cm="1">
        <f t="array" ref="I609">_xlfn.IFS($G609=$G$5,I$5,$G609=$G$7,I$7,$G609=$G$10,I$10,$G609=$G$13,I$13,$G609=$G$14,I$14,$G609=$G$16,I$16,$G609=$G$17,I$17,$G609=$G$19,I$19,$G609=$G$20,I$20,$G609=$G$22,I$22,$G609=$G$23,I$23,$G609=$G$26,I$26,$G609=$G$29,I$29,$G609=$G$31,I$31,$G609=$G$34,I$34,$G609=$G$37,I$37,$G609=$G$107,I$107,$G609=$G$110,I$110,$G609=$G$140,I$140,$G609=$G$142,I$142,$G609=$G$408,I$408)</f>
        <v>2.2208019999999999</v>
      </c>
      <c r="J609" s="51" cm="1">
        <f t="array" ref="J609">_xlfn.IFS($G609=$G$5,J$5,$G609=$G$7,J$7,$G609=$G$10,J$10,$G609=$G$13,J$13,$G609=$G$14,J$14,$G609=$G$16,J$16,$G609=$G$17,J$17,$G609=$G$19,J$19,$G609=$G$20,J$20,$G609=$G$22,J$22,$G609=$G$23,J$23,$G609=$G$26,J$26,$G609=$G$29,J$29,$G609=$G$31,J$31,$G609=$G$34,J$34,$G609=$G$37,J$37,$G609=$G$107,J$107,$G609=$G$110,J$110,$G609=$G$140,J$140,$G609=$G$142,J$142,$G609=$G$408,J$408)</f>
        <v>18</v>
      </c>
      <c r="K609" s="13" t="str" cm="1">
        <f t="array" ref="K609">_xlfn.IFS($G609=$G$5,K$5,$G609=$G$7,K$7,$G609=$G$10,K$10,$G609=$G$13,K$13,$G609=$G$14,K$14,$G609=$G$16,K$16,$G609=$G$17,K$17,$G609=$G$19,K$19,$G609=$G$20,K$20,$G609=$G$22,K$22,$G609=$G$23,K$23,$G609=$G$26,K$26,$G609=$G$29,K$29,$G609=$G$31,K$31,$G609=$G$34,K$34,$G609=$G$37,K$37,$G609=$G$107,K$107,$G609=$G$110,K$110,$G609=$G$140,K$140,$G609=$G$142,K$142,$G609=$G$408,K$408)</f>
        <v>BG sentinel + BG lure7</v>
      </c>
      <c r="O609" s="13" t="str">
        <f t="shared" si="62"/>
        <v>A_SP_BCN_5_221026</v>
      </c>
      <c r="P609" s="31">
        <v>44860</v>
      </c>
      <c r="Q609" s="29">
        <v>0.67708333333333337</v>
      </c>
      <c r="R609" s="33"/>
      <c r="S609" s="31">
        <v>44868</v>
      </c>
      <c r="T609" s="29">
        <v>0.4201388888888889</v>
      </c>
      <c r="V609" s="13" t="s">
        <v>86</v>
      </c>
      <c r="W609" s="15" t="s">
        <v>150</v>
      </c>
      <c r="X609" s="13">
        <f t="shared" si="59"/>
        <v>8</v>
      </c>
      <c r="Z609" s="13" t="s">
        <v>164</v>
      </c>
      <c r="AA609" s="13">
        <f t="shared" si="63"/>
        <v>3</v>
      </c>
      <c r="AB609" s="13" t="str">
        <f t="shared" si="60"/>
        <v>Adult</v>
      </c>
      <c r="AC609" s="13">
        <v>3</v>
      </c>
      <c r="AD609" s="13">
        <v>0</v>
      </c>
      <c r="AE609" s="13" t="str">
        <f t="shared" si="61"/>
        <v>Morphological</v>
      </c>
      <c r="AF609" s="2">
        <v>4</v>
      </c>
    </row>
    <row r="610" spans="1:32" x14ac:dyDescent="0.25">
      <c r="A610" s="13">
        <v>606</v>
      </c>
      <c r="B610" s="23" t="s">
        <v>56</v>
      </c>
      <c r="C610" s="23" t="s">
        <v>57</v>
      </c>
      <c r="D610" s="23" t="s">
        <v>58</v>
      </c>
      <c r="E610" s="23" t="s">
        <v>58</v>
      </c>
      <c r="F610" s="35" cm="1">
        <f t="array" ref="F610">_xlfn.IFS($G610=$G$5,F$5,$G610=$G$7,F$7,$G610=$G$10,F$10,$G610=$G$13,F$13,$G610=$G$14,F$14,$G610=$G$16,F$16,$G610=$G$17,F$17,$G610=$G$19,F$19,$G610=$G$20,F$20,$G610=$G$22,F$22,$G610=$G$23,F$23,$G610=$G$26,F$26,$G610=$G$29,F$29,$G610=$G$31,F$31,$G610=$G$34,F$34,$G610=$G$37,F$37,$G610=$G$107,F$107,$G610=$G$110,F$110,$G610=$G$140,F$140,$G610=$G$142,F$142,$G610=$G$408,F$408)</f>
        <v>8002</v>
      </c>
      <c r="G610" s="2" t="s">
        <v>65</v>
      </c>
      <c r="H610" s="51" cm="1">
        <f t="array" ref="H610">_xlfn.IFS($G610=$G$5,H$5,$G610=$G$7,H$7,$G610=$G$10,H$10,$G610=$G$13,H$13,$G610=$G$14,H$14,$G610=$G$16,H$16,$G610=$G$17,H$17,$G610=$G$19,H$19,$G610=$G$20,H$20,$G610=$G$22,H$22,$G610=$G$23,H$23,$G610=$G$26,H$26,$G610=$G$29,H$29,$G610=$G$31,H$31,$G610=$G$34,H$34,$G610=$G$37,H$37,$G610=$G$107,H$107,$G610=$G$110,H$110,$G610=$G$140,H$140,$G610=$G$142,H$142,$G610=$G$408,H$408)</f>
        <v>41.382339999999999</v>
      </c>
      <c r="I610" s="51" cm="1">
        <f t="array" ref="I610">_xlfn.IFS($G610=$G$5,I$5,$G610=$G$7,I$7,$G610=$G$10,I$10,$G610=$G$13,I$13,$G610=$G$14,I$14,$G610=$G$16,I$16,$G610=$G$17,I$17,$G610=$G$19,I$19,$G610=$G$20,I$20,$G610=$G$22,I$22,$G610=$G$23,I$23,$G610=$G$26,I$26,$G610=$G$29,I$29,$G610=$G$31,I$31,$G610=$G$34,I$34,$G610=$G$37,I$37,$G610=$G$107,I$107,$G610=$G$110,I$110,$G610=$G$140,I$140,$G610=$G$142,I$142,$G610=$G$408,I$408)</f>
        <v>2.1714790000000002</v>
      </c>
      <c r="J610" s="51" cm="1">
        <f t="array" ref="J610">_xlfn.IFS($G610=$G$5,J$5,$G610=$G$7,J$7,$G610=$G$10,J$10,$G610=$G$13,J$13,$G610=$G$14,J$14,$G610=$G$16,J$16,$G610=$G$17,J$17,$G610=$G$19,J$19,$G610=$G$20,J$20,$G610=$G$22,J$22,$G610=$G$23,J$23,$G610=$G$26,J$26,$G610=$G$29,J$29,$G610=$G$31,J$31,$G610=$G$34,J$34,$G610=$G$37,J$37,$G610=$G$107,J$107,$G610=$G$110,J$110,$G610=$G$140,J$140,$G610=$G$142,J$142,$G610=$G$408,J$408)</f>
        <v>19</v>
      </c>
      <c r="K610" s="13" t="str" cm="1">
        <f t="array" ref="K610">_xlfn.IFS($G610=$G$5,K$5,$G610=$G$7,K$7,$G610=$G$10,K$10,$G610=$G$13,K$13,$G610=$G$14,K$14,$G610=$G$16,K$16,$G610=$G$17,K$17,$G610=$G$19,K$19,$G610=$G$20,K$20,$G610=$G$22,K$22,$G610=$G$23,K$23,$G610=$G$26,K$26,$G610=$G$29,K$29,$G610=$G$31,K$31,$G610=$G$34,K$34,$G610=$G$37,K$37,$G610=$G$107,K$107,$G610=$G$110,K$110,$G610=$G$140,K$140,$G610=$G$142,K$142,$G610=$G$408,K$408)</f>
        <v>BG sentinel + BG lure7</v>
      </c>
      <c r="O610" s="13" t="str">
        <f t="shared" si="62"/>
        <v>A_SP_BCN_6_221026</v>
      </c>
      <c r="P610" s="31">
        <v>44860</v>
      </c>
      <c r="Q610" s="29">
        <v>0.84027777777777779</v>
      </c>
      <c r="R610" s="33"/>
      <c r="S610" s="31">
        <v>44868</v>
      </c>
      <c r="T610" s="29">
        <v>0.45833333333333331</v>
      </c>
      <c r="V610" s="13" t="s">
        <v>86</v>
      </c>
      <c r="W610"/>
      <c r="X610" s="13">
        <f t="shared" si="59"/>
        <v>8</v>
      </c>
      <c r="Y610" s="2"/>
      <c r="Z610" s="13" t="s">
        <v>60</v>
      </c>
      <c r="AA610" s="13">
        <f t="shared" si="63"/>
        <v>3</v>
      </c>
      <c r="AB610" s="13" t="str">
        <f t="shared" si="60"/>
        <v>Adult</v>
      </c>
      <c r="AC610" s="47">
        <v>2</v>
      </c>
      <c r="AD610" s="47">
        <v>1</v>
      </c>
      <c r="AE610" s="13" t="str">
        <f t="shared" si="61"/>
        <v>Morphological</v>
      </c>
      <c r="AF610" s="2">
        <v>4</v>
      </c>
    </row>
    <row r="611" spans="1:32" x14ac:dyDescent="0.25">
      <c r="A611" s="13">
        <v>607</v>
      </c>
      <c r="B611" s="23" t="s">
        <v>56</v>
      </c>
      <c r="C611" s="23" t="s">
        <v>57</v>
      </c>
      <c r="D611" s="23" t="s">
        <v>58</v>
      </c>
      <c r="E611" s="23" t="s">
        <v>58</v>
      </c>
      <c r="F611" s="35" cm="1">
        <f t="array" ref="F611">_xlfn.IFS($G611=$G$5,F$5,$G611=$G$7,F$7,$G611=$G$10,F$10,$G611=$G$13,F$13,$G611=$G$14,F$14,$G611=$G$16,F$16,$G611=$G$17,F$17,$G611=$G$19,F$19,$G611=$G$20,F$20,$G611=$G$22,F$22,$G611=$G$23,F$23,$G611=$G$26,F$26,$G611=$G$29,F$29,$G611=$G$31,F$31,$G611=$G$34,F$34,$G611=$G$37,F$37,$G611=$G$107,F$107,$G611=$G$110,F$110,$G611=$G$140,F$140,$G611=$G$142,F$142,$G611=$G$408,F$408)</f>
        <v>8002</v>
      </c>
      <c r="G611" s="2" t="s">
        <v>65</v>
      </c>
      <c r="H611" s="51" cm="1">
        <f t="array" ref="H611">_xlfn.IFS($G611=$G$5,H$5,$G611=$G$7,H$7,$G611=$G$10,H$10,$G611=$G$13,H$13,$G611=$G$14,H$14,$G611=$G$16,H$16,$G611=$G$17,H$17,$G611=$G$19,H$19,$G611=$G$20,H$20,$G611=$G$22,H$22,$G611=$G$23,H$23,$G611=$G$26,H$26,$G611=$G$29,H$29,$G611=$G$31,H$31,$G611=$G$34,H$34,$G611=$G$37,H$37,$G611=$G$107,H$107,$G611=$G$110,H$110,$G611=$G$140,H$140,$G611=$G$142,H$142,$G611=$G$408,H$408)</f>
        <v>41.382339999999999</v>
      </c>
      <c r="I611" s="51" cm="1">
        <f t="array" ref="I611">_xlfn.IFS($G611=$G$5,I$5,$G611=$G$7,I$7,$G611=$G$10,I$10,$G611=$G$13,I$13,$G611=$G$14,I$14,$G611=$G$16,I$16,$G611=$G$17,I$17,$G611=$G$19,I$19,$G611=$G$20,I$20,$G611=$G$22,I$22,$G611=$G$23,I$23,$G611=$G$26,I$26,$G611=$G$29,I$29,$G611=$G$31,I$31,$G611=$G$34,I$34,$G611=$G$37,I$37,$G611=$G$107,I$107,$G611=$G$110,I$110,$G611=$G$140,I$140,$G611=$G$142,I$142,$G611=$G$408,I$408)</f>
        <v>2.1714790000000002</v>
      </c>
      <c r="J611" s="51" cm="1">
        <f t="array" ref="J611">_xlfn.IFS($G611=$G$5,J$5,$G611=$G$7,J$7,$G611=$G$10,J$10,$G611=$G$13,J$13,$G611=$G$14,J$14,$G611=$G$16,J$16,$G611=$G$17,J$17,$G611=$G$19,J$19,$G611=$G$20,J$20,$G611=$G$22,J$22,$G611=$G$23,J$23,$G611=$G$26,J$26,$G611=$G$29,J$29,$G611=$G$31,J$31,$G611=$G$34,J$34,$G611=$G$37,J$37,$G611=$G$107,J$107,$G611=$G$110,J$110,$G611=$G$140,J$140,$G611=$G$142,J$142,$G611=$G$408,J$408)</f>
        <v>19</v>
      </c>
      <c r="K611" s="13" t="str" cm="1">
        <f t="array" ref="K611">_xlfn.IFS($G611=$G$5,K$5,$G611=$G$7,K$7,$G611=$G$10,K$10,$G611=$G$13,K$13,$G611=$G$14,K$14,$G611=$G$16,K$16,$G611=$G$17,K$17,$G611=$G$19,K$19,$G611=$G$20,K$20,$G611=$G$22,K$22,$G611=$G$23,K$23,$G611=$G$26,K$26,$G611=$G$29,K$29,$G611=$G$31,K$31,$G611=$G$34,K$34,$G611=$G$37,K$37,$G611=$G$107,K$107,$G611=$G$110,K$110,$G611=$G$140,K$140,$G611=$G$142,K$142,$G611=$G$408,K$408)</f>
        <v>BG sentinel + BG lure7</v>
      </c>
      <c r="O611" s="13" t="str">
        <f t="shared" si="62"/>
        <v>A_SP_BCN_6_221026</v>
      </c>
      <c r="P611" s="31">
        <v>44860</v>
      </c>
      <c r="Q611" s="29">
        <v>0.84027777777777779</v>
      </c>
      <c r="R611" s="33"/>
      <c r="S611" s="31">
        <v>44868</v>
      </c>
      <c r="T611" s="29">
        <v>0.45833333333333331</v>
      </c>
      <c r="V611" s="13" t="s">
        <v>86</v>
      </c>
      <c r="W611"/>
      <c r="X611" s="13">
        <f t="shared" si="59"/>
        <v>8</v>
      </c>
      <c r="Y611" s="2"/>
      <c r="Z611" s="13" t="s">
        <v>164</v>
      </c>
      <c r="AA611" s="13">
        <f t="shared" si="63"/>
        <v>3</v>
      </c>
      <c r="AB611" s="13" t="str">
        <f t="shared" si="60"/>
        <v>Adult</v>
      </c>
      <c r="AC611" s="47">
        <v>3</v>
      </c>
      <c r="AD611" s="47">
        <v>0</v>
      </c>
      <c r="AE611" s="13" t="str">
        <f t="shared" si="61"/>
        <v>Morphological</v>
      </c>
      <c r="AF611" s="2">
        <v>4</v>
      </c>
    </row>
    <row r="612" spans="1:32" x14ac:dyDescent="0.25">
      <c r="A612" s="13">
        <v>608</v>
      </c>
      <c r="B612" s="23" t="s">
        <v>56</v>
      </c>
      <c r="C612" s="23" t="s">
        <v>57</v>
      </c>
      <c r="D612" s="23" t="s">
        <v>58</v>
      </c>
      <c r="E612" s="23" t="s">
        <v>58</v>
      </c>
      <c r="F612" s="35" cm="1">
        <f t="array" ref="F612">_xlfn.IFS($G612=$G$5,F$5,$G612=$G$7,F$7,$G612=$G$10,F$10,$G612=$G$13,F$13,$G612=$G$14,F$14,$G612=$G$16,F$16,$G612=$G$17,F$17,$G612=$G$19,F$19,$G612=$G$20,F$20,$G612=$G$22,F$22,$G612=$G$23,F$23,$G612=$G$26,F$26,$G612=$G$29,F$29,$G612=$G$31,F$31,$G612=$G$34,F$34,$G612=$G$37,F$37,$G612=$G$107,F$107,$G612=$G$110,F$110,$G612=$G$140,F$140,$G612=$G$142,F$142,$G612=$G$408,F$408)</f>
        <v>8040</v>
      </c>
      <c r="G612" s="2" t="s">
        <v>68</v>
      </c>
      <c r="H612" s="51" cm="1">
        <f t="array" ref="H612">_xlfn.IFS($G612=$G$5,H$5,$G612=$G$7,H$7,$G612=$G$10,H$10,$G612=$G$13,H$13,$G612=$G$14,H$14,$G612=$G$16,H$16,$G612=$G$17,H$17,$G612=$G$19,H$19,$G612=$G$20,H$20,$G612=$G$22,H$22,$G612=$G$23,H$23,$G612=$G$26,H$26,$G612=$G$29,H$29,$G612=$G$31,H$31,$G612=$G$34,H$34,$G612=$G$37,H$37,$G612=$G$107,H$107,$G612=$G$110,H$110,$G612=$G$140,H$140,$G612=$G$142,H$142,$G612=$G$408,H$408)</f>
        <v>41.343685000000001</v>
      </c>
      <c r="I612" s="51" cm="1">
        <f t="array" ref="I612">_xlfn.IFS($G612=$G$5,I$5,$G612=$G$7,I$7,$G612=$G$10,I$10,$G612=$G$13,I$13,$G612=$G$14,I$14,$G612=$G$16,I$16,$G612=$G$17,I$17,$G612=$G$19,I$19,$G612=$G$20,I$20,$G612=$G$22,I$22,$G612=$G$23,I$23,$G612=$G$26,I$26,$G612=$G$29,I$29,$G612=$G$31,I$31,$G612=$G$34,I$34,$G612=$G$37,I$37,$G612=$G$107,I$107,$G612=$G$110,I$110,$G612=$G$140,I$140,$G612=$G$142,I$142,$G612=$G$408,I$408)</f>
        <v>2.1441490000000001</v>
      </c>
      <c r="J612" s="51" cm="1">
        <f t="array" ref="J612">_xlfn.IFS($G612=$G$5,J$5,$G612=$G$7,J$7,$G612=$G$10,J$10,$G612=$G$13,J$13,$G612=$G$14,J$14,$G612=$G$16,J$16,$G612=$G$17,J$17,$G612=$G$19,J$19,$G612=$G$20,J$20,$G612=$G$22,J$22,$G612=$G$23,J$23,$G612=$G$26,J$26,$G612=$G$29,J$29,$G612=$G$31,J$31,$G612=$G$34,J$34,$G612=$G$37,J$37,$G612=$G$107,J$107,$G612=$G$110,J$110,$G612=$G$140,J$140,$G612=$G$142,J$142,$G612=$G$408,J$408)</f>
        <v>4</v>
      </c>
      <c r="K612" s="13" t="str" cm="1">
        <f t="array" ref="K612">_xlfn.IFS($G612=$G$5,K$5,$G612=$G$7,K$7,$G612=$G$10,K$10,$G612=$G$13,K$13,$G612=$G$14,K$14,$G612=$G$16,K$16,$G612=$G$17,K$17,$G612=$G$19,K$19,$G612=$G$20,K$20,$G612=$G$22,K$22,$G612=$G$23,K$23,$G612=$G$26,K$26,$G612=$G$29,K$29,$G612=$G$31,K$31,$G612=$G$34,K$34,$G612=$G$37,K$37,$G612=$G$107,K$107,$G612=$G$110,K$110,$G612=$G$140,K$140,$G612=$G$142,K$142,$G612=$G$408,K$408)</f>
        <v>BG sentinel + BG lure7</v>
      </c>
      <c r="O612" s="13" t="str">
        <f t="shared" si="62"/>
        <v>A_SP_BCN_10_221026</v>
      </c>
      <c r="P612" s="27">
        <v>44860</v>
      </c>
      <c r="Q612" s="29">
        <v>0.53472222222222221</v>
      </c>
      <c r="R612" s="33"/>
      <c r="S612" s="27">
        <v>44867</v>
      </c>
      <c r="T612" s="29">
        <v>0.61111111111111105</v>
      </c>
      <c r="U612" s="2"/>
      <c r="V612" s="13" t="s">
        <v>86</v>
      </c>
      <c r="W612" s="2"/>
      <c r="X612" s="13">
        <f t="shared" si="59"/>
        <v>7</v>
      </c>
      <c r="Y612" s="2"/>
      <c r="Z612" s="13" t="s">
        <v>60</v>
      </c>
      <c r="AA612" s="13">
        <f t="shared" si="63"/>
        <v>5</v>
      </c>
      <c r="AB612" s="13" t="str">
        <f t="shared" si="60"/>
        <v>Adult</v>
      </c>
      <c r="AC612" s="47">
        <v>5</v>
      </c>
      <c r="AD612" s="47">
        <v>0</v>
      </c>
      <c r="AE612" s="13" t="str">
        <f t="shared" si="61"/>
        <v>Morphological</v>
      </c>
      <c r="AF612" s="2">
        <v>4</v>
      </c>
    </row>
    <row r="613" spans="1:32" x14ac:dyDescent="0.25">
      <c r="A613" s="13">
        <v>609</v>
      </c>
      <c r="B613" s="23" t="s">
        <v>56</v>
      </c>
      <c r="C613" s="23" t="s">
        <v>57</v>
      </c>
      <c r="D613" s="23" t="s">
        <v>58</v>
      </c>
      <c r="E613" s="23" t="s">
        <v>58</v>
      </c>
      <c r="F613" s="35" cm="1">
        <f t="array" ref="F613">_xlfn.IFS($G613=$G$5,F$5,$G613=$G$7,F$7,$G613=$G$10,F$10,$G613=$G$13,F$13,$G613=$G$14,F$14,$G613=$G$16,F$16,$G613=$G$17,F$17,$G613=$G$19,F$19,$G613=$G$20,F$20,$G613=$G$22,F$22,$G613=$G$23,F$23,$G613=$G$26,F$26,$G613=$G$29,F$29,$G613=$G$31,F$31,$G613=$G$34,F$34,$G613=$G$37,F$37,$G613=$G$107,F$107,$G613=$G$110,F$110,$G613=$G$140,F$140,$G613=$G$142,F$142,$G613=$G$408,F$408)</f>
        <v>8040</v>
      </c>
      <c r="G613" s="2" t="s">
        <v>68</v>
      </c>
      <c r="H613" s="51" cm="1">
        <f t="array" ref="H613">_xlfn.IFS($G613=$G$5,H$5,$G613=$G$7,H$7,$G613=$G$10,H$10,$G613=$G$13,H$13,$G613=$G$14,H$14,$G613=$G$16,H$16,$G613=$G$17,H$17,$G613=$G$19,H$19,$G613=$G$20,H$20,$G613=$G$22,H$22,$G613=$G$23,H$23,$G613=$G$26,H$26,$G613=$G$29,H$29,$G613=$G$31,H$31,$G613=$G$34,H$34,$G613=$G$37,H$37,$G613=$G$107,H$107,$G613=$G$110,H$110,$G613=$G$140,H$140,$G613=$G$142,H$142,$G613=$G$408,H$408)</f>
        <v>41.343685000000001</v>
      </c>
      <c r="I613" s="51" cm="1">
        <f t="array" ref="I613">_xlfn.IFS($G613=$G$5,I$5,$G613=$G$7,I$7,$G613=$G$10,I$10,$G613=$G$13,I$13,$G613=$G$14,I$14,$G613=$G$16,I$16,$G613=$G$17,I$17,$G613=$G$19,I$19,$G613=$G$20,I$20,$G613=$G$22,I$22,$G613=$G$23,I$23,$G613=$G$26,I$26,$G613=$G$29,I$29,$G613=$G$31,I$31,$G613=$G$34,I$34,$G613=$G$37,I$37,$G613=$G$107,I$107,$G613=$G$110,I$110,$G613=$G$140,I$140,$G613=$G$142,I$142,$G613=$G$408,I$408)</f>
        <v>2.1441490000000001</v>
      </c>
      <c r="J613" s="51" cm="1">
        <f t="array" ref="J613">_xlfn.IFS($G613=$G$5,J$5,$G613=$G$7,J$7,$G613=$G$10,J$10,$G613=$G$13,J$13,$G613=$G$14,J$14,$G613=$G$16,J$16,$G613=$G$17,J$17,$G613=$G$19,J$19,$G613=$G$20,J$20,$G613=$G$22,J$22,$G613=$G$23,J$23,$G613=$G$26,J$26,$G613=$G$29,J$29,$G613=$G$31,J$31,$G613=$G$34,J$34,$G613=$G$37,J$37,$G613=$G$107,J$107,$G613=$G$110,J$110,$G613=$G$140,J$140,$G613=$G$142,J$142,$G613=$G$408,J$408)</f>
        <v>4</v>
      </c>
      <c r="K613" s="13" t="str" cm="1">
        <f t="array" ref="K613">_xlfn.IFS($G613=$G$5,K$5,$G613=$G$7,K$7,$G613=$G$10,K$10,$G613=$G$13,K$13,$G613=$G$14,K$14,$G613=$G$16,K$16,$G613=$G$17,K$17,$G613=$G$19,K$19,$G613=$G$20,K$20,$G613=$G$22,K$22,$G613=$G$23,K$23,$G613=$G$26,K$26,$G613=$G$29,K$29,$G613=$G$31,K$31,$G613=$G$34,K$34,$G613=$G$37,K$37,$G613=$G$107,K$107,$G613=$G$110,K$110,$G613=$G$140,K$140,$G613=$G$142,K$142,$G613=$G$408,K$408)</f>
        <v>BG sentinel + BG lure7</v>
      </c>
      <c r="O613" s="13" t="str">
        <f t="shared" si="62"/>
        <v>A_SP_BCN_10_221026</v>
      </c>
      <c r="P613" s="27">
        <v>44860</v>
      </c>
      <c r="Q613" s="29">
        <v>0.53472222222222221</v>
      </c>
      <c r="R613" s="33"/>
      <c r="S613" s="27">
        <v>44867</v>
      </c>
      <c r="T613" s="29">
        <v>0.61111111111111105</v>
      </c>
      <c r="U613" s="2"/>
      <c r="V613" s="13" t="s">
        <v>86</v>
      </c>
      <c r="W613" s="2"/>
      <c r="X613" s="13">
        <f t="shared" si="59"/>
        <v>7</v>
      </c>
      <c r="Y613" s="2"/>
      <c r="Z613" s="13" t="s">
        <v>164</v>
      </c>
      <c r="AA613" s="13">
        <f t="shared" si="63"/>
        <v>28</v>
      </c>
      <c r="AB613" s="13" t="str">
        <f t="shared" si="60"/>
        <v>Adult</v>
      </c>
      <c r="AC613" s="47">
        <v>26</v>
      </c>
      <c r="AD613" s="47">
        <v>2</v>
      </c>
      <c r="AE613" s="13" t="str">
        <f t="shared" si="61"/>
        <v>Morphological</v>
      </c>
      <c r="AF613" s="2">
        <v>4</v>
      </c>
    </row>
    <row r="614" spans="1:32" x14ac:dyDescent="0.25">
      <c r="A614" s="13">
        <v>610</v>
      </c>
      <c r="B614" s="23" t="s">
        <v>56</v>
      </c>
      <c r="C614" s="23" t="s">
        <v>57</v>
      </c>
      <c r="D614" s="23" t="s">
        <v>58</v>
      </c>
      <c r="E614" s="23" t="s">
        <v>58</v>
      </c>
      <c r="F614" s="35" cm="1">
        <f t="array" ref="F614">_xlfn.IFS($G614=$G$5,F$5,$G614=$G$7,F$7,$G614=$G$10,F$10,$G614=$G$13,F$13,$G614=$G$14,F$14,$G614=$G$16,F$16,$G614=$G$17,F$17,$G614=$G$19,F$19,$G614=$G$20,F$20,$G614=$G$22,F$22,$G614=$G$23,F$23,$G614=$G$26,F$26,$G614=$G$29,F$29,$G614=$G$31,F$31,$G614=$G$34,F$34,$G614=$G$37,F$37,$G614=$G$107,F$107,$G614=$G$110,F$110,$G614=$G$140,F$140,$G614=$G$142,F$142,$G614=$G$408,F$408)</f>
        <v>8038</v>
      </c>
      <c r="G614" s="13" t="s">
        <v>69</v>
      </c>
      <c r="H614" s="51" cm="1">
        <f t="array" ref="H614">_xlfn.IFS($G614=$G$5,H$5,$G614=$G$7,H$7,$G614=$G$10,H$10,$G614=$G$13,H$13,$G614=$G$14,H$14,$G614=$G$16,H$16,$G614=$G$17,H$17,$G614=$G$19,H$19,$G614=$G$20,H$20,$G614=$G$22,H$22,$G614=$G$23,H$23,$G614=$G$26,H$26,$G614=$G$29,H$29,$G614=$G$31,H$31,$G614=$G$34,H$34,$G614=$G$37,H$37,$G614=$G$107,H$107,$G614=$G$110,H$110,$G614=$G$140,H$140,$G614=$G$142,H$142,$G614=$G$408,H$408)</f>
        <v>41.363377999999997</v>
      </c>
      <c r="I614" s="51" cm="1">
        <f t="array" ref="I614">_xlfn.IFS($G614=$G$5,I$5,$G614=$G$7,I$7,$G614=$G$10,I$10,$G614=$G$13,I$13,$G614=$G$14,I$14,$G614=$G$16,I$16,$G614=$G$17,I$17,$G614=$G$19,I$19,$G614=$G$20,I$20,$G614=$G$22,I$22,$G614=$G$23,I$23,$G614=$G$26,I$26,$G614=$G$29,I$29,$G614=$G$31,I$31,$G614=$G$34,I$34,$G614=$G$37,I$37,$G614=$G$107,I$107,$G614=$G$110,I$110,$G614=$G$140,I$140,$G614=$G$142,I$142,$G614=$G$408,I$408)</f>
        <v>2.164879</v>
      </c>
      <c r="J614" s="51" cm="1">
        <f t="array" ref="J614">_xlfn.IFS($G614=$G$5,J$5,$G614=$G$7,J$7,$G614=$G$10,J$10,$G614=$G$13,J$13,$G614=$G$14,J$14,$G614=$G$16,J$16,$G614=$G$17,J$17,$G614=$G$19,J$19,$G614=$G$20,J$20,$G614=$G$22,J$22,$G614=$G$23,J$23,$G614=$G$26,J$26,$G614=$G$29,J$29,$G614=$G$31,J$31,$G614=$G$34,J$34,$G614=$G$37,J$37,$G614=$G$107,J$107,$G614=$G$110,J$110,$G614=$G$140,J$140,$G614=$G$142,J$142,$G614=$G$408,J$408)</f>
        <v>185</v>
      </c>
      <c r="K614" s="13" t="str" cm="1">
        <f t="array" ref="K614">_xlfn.IFS($G614=$G$5,K$5,$G614=$G$7,K$7,$G614=$G$10,K$10,$G614=$G$13,K$13,$G614=$G$14,K$14,$G614=$G$16,K$16,$G614=$G$17,K$17,$G614=$G$19,K$19,$G614=$G$20,K$20,$G614=$G$22,K$22,$G614=$G$23,K$23,$G614=$G$26,K$26,$G614=$G$29,K$29,$G614=$G$31,K$31,$G614=$G$34,K$34,$G614=$G$37,K$37,$G614=$G$107,K$107,$G614=$G$110,K$110,$G614=$G$140,K$140,$G614=$G$142,K$142,$G614=$G$408,K$408)</f>
        <v>BG sentinel + BG lure7</v>
      </c>
      <c r="O614" s="13" t="str">
        <f t="shared" si="62"/>
        <v>A_SP_BCN_12_221026</v>
      </c>
      <c r="P614" s="31">
        <v>44860</v>
      </c>
      <c r="Q614" s="29">
        <v>0.57638888888888895</v>
      </c>
      <c r="R614" s="33"/>
      <c r="S614" s="27">
        <v>44867</v>
      </c>
      <c r="T614" s="29">
        <v>0.63888888888888895</v>
      </c>
      <c r="V614" s="13" t="s">
        <v>86</v>
      </c>
      <c r="X614" s="13">
        <f t="shared" si="59"/>
        <v>7</v>
      </c>
      <c r="Z614" s="13" t="s">
        <v>60</v>
      </c>
      <c r="AA614" s="13">
        <f t="shared" si="63"/>
        <v>4</v>
      </c>
      <c r="AB614" s="13" t="str">
        <f t="shared" si="60"/>
        <v>Adult</v>
      </c>
      <c r="AC614" s="13">
        <v>4</v>
      </c>
      <c r="AD614" s="13">
        <v>0</v>
      </c>
      <c r="AE614" s="13" t="str">
        <f t="shared" si="61"/>
        <v>Morphological</v>
      </c>
      <c r="AF614" s="2">
        <v>4</v>
      </c>
    </row>
    <row r="615" spans="1:32" x14ac:dyDescent="0.25">
      <c r="A615" s="13">
        <v>611</v>
      </c>
      <c r="B615" s="23" t="s">
        <v>56</v>
      </c>
      <c r="C615" s="23" t="s">
        <v>57</v>
      </c>
      <c r="D615" s="23" t="s">
        <v>58</v>
      </c>
      <c r="E615" s="23" t="s">
        <v>58</v>
      </c>
      <c r="F615" s="35" cm="1">
        <f t="array" ref="F615">_xlfn.IFS($G615=$G$5,F$5,$G615=$G$7,F$7,$G615=$G$10,F$10,$G615=$G$13,F$13,$G615=$G$14,F$14,$G615=$G$16,F$16,$G615=$G$17,F$17,$G615=$G$19,F$19,$G615=$G$20,F$20,$G615=$G$22,F$22,$G615=$G$23,F$23,$G615=$G$26,F$26,$G615=$G$29,F$29,$G615=$G$31,F$31,$G615=$G$34,F$34,$G615=$G$37,F$37,$G615=$G$107,F$107,$G615=$G$110,F$110,$G615=$G$140,F$140,$G615=$G$142,F$142,$G615=$G$408,F$408)</f>
        <v>8038</v>
      </c>
      <c r="G615" s="13" t="s">
        <v>69</v>
      </c>
      <c r="H615" s="51" cm="1">
        <f t="array" ref="H615">_xlfn.IFS($G615=$G$5,H$5,$G615=$G$7,H$7,$G615=$G$10,H$10,$G615=$G$13,H$13,$G615=$G$14,H$14,$G615=$G$16,H$16,$G615=$G$17,H$17,$G615=$G$19,H$19,$G615=$G$20,H$20,$G615=$G$22,H$22,$G615=$G$23,H$23,$G615=$G$26,H$26,$G615=$G$29,H$29,$G615=$G$31,H$31,$G615=$G$34,H$34,$G615=$G$37,H$37,$G615=$G$107,H$107,$G615=$G$110,H$110,$G615=$G$140,H$140,$G615=$G$142,H$142,$G615=$G$408,H$408)</f>
        <v>41.363377999999997</v>
      </c>
      <c r="I615" s="51" cm="1">
        <f t="array" ref="I615">_xlfn.IFS($G615=$G$5,I$5,$G615=$G$7,I$7,$G615=$G$10,I$10,$G615=$G$13,I$13,$G615=$G$14,I$14,$G615=$G$16,I$16,$G615=$G$17,I$17,$G615=$G$19,I$19,$G615=$G$20,I$20,$G615=$G$22,I$22,$G615=$G$23,I$23,$G615=$G$26,I$26,$G615=$G$29,I$29,$G615=$G$31,I$31,$G615=$G$34,I$34,$G615=$G$37,I$37,$G615=$G$107,I$107,$G615=$G$110,I$110,$G615=$G$140,I$140,$G615=$G$142,I$142,$G615=$G$408,I$408)</f>
        <v>2.164879</v>
      </c>
      <c r="J615" s="51" cm="1">
        <f t="array" ref="J615">_xlfn.IFS($G615=$G$5,J$5,$G615=$G$7,J$7,$G615=$G$10,J$10,$G615=$G$13,J$13,$G615=$G$14,J$14,$G615=$G$16,J$16,$G615=$G$17,J$17,$G615=$G$19,J$19,$G615=$G$20,J$20,$G615=$G$22,J$22,$G615=$G$23,J$23,$G615=$G$26,J$26,$G615=$G$29,J$29,$G615=$G$31,J$31,$G615=$G$34,J$34,$G615=$G$37,J$37,$G615=$G$107,J$107,$G615=$G$110,J$110,$G615=$G$140,J$140,$G615=$G$142,J$142,$G615=$G$408,J$408)</f>
        <v>185</v>
      </c>
      <c r="K615" s="13" t="str" cm="1">
        <f t="array" ref="K615">_xlfn.IFS($G615=$G$5,K$5,$G615=$G$7,K$7,$G615=$G$10,K$10,$G615=$G$13,K$13,$G615=$G$14,K$14,$G615=$G$16,K$16,$G615=$G$17,K$17,$G615=$G$19,K$19,$G615=$G$20,K$20,$G615=$G$22,K$22,$G615=$G$23,K$23,$G615=$G$26,K$26,$G615=$G$29,K$29,$G615=$G$31,K$31,$G615=$G$34,K$34,$G615=$G$37,K$37,$G615=$G$107,K$107,$G615=$G$110,K$110,$G615=$G$140,K$140,$G615=$G$142,K$142,$G615=$G$408,K$408)</f>
        <v>BG sentinel + BG lure7</v>
      </c>
      <c r="O615" s="13" t="str">
        <f t="shared" si="62"/>
        <v>A_SP_BCN_12_221026</v>
      </c>
      <c r="P615" s="31">
        <v>44860</v>
      </c>
      <c r="Q615" s="29">
        <v>0.57638888888888895</v>
      </c>
      <c r="R615" s="33"/>
      <c r="S615" s="27">
        <v>44867</v>
      </c>
      <c r="T615" s="29">
        <v>0.63888888888888895</v>
      </c>
      <c r="V615" s="13" t="s">
        <v>86</v>
      </c>
      <c r="X615" s="13">
        <f t="shared" si="59"/>
        <v>7</v>
      </c>
      <c r="Z615" s="13" t="s">
        <v>164</v>
      </c>
      <c r="AA615" s="13">
        <f t="shared" si="63"/>
        <v>34</v>
      </c>
      <c r="AB615" s="13" t="str">
        <f t="shared" si="60"/>
        <v>Adult</v>
      </c>
      <c r="AC615" s="13">
        <v>23</v>
      </c>
      <c r="AD615" s="13">
        <v>11</v>
      </c>
      <c r="AE615" s="13" t="str">
        <f t="shared" si="61"/>
        <v>Morphological</v>
      </c>
      <c r="AF615" s="2">
        <v>4</v>
      </c>
    </row>
    <row r="616" spans="1:32" x14ac:dyDescent="0.25">
      <c r="A616" s="13">
        <v>612</v>
      </c>
      <c r="B616" s="23" t="s">
        <v>56</v>
      </c>
      <c r="C616" s="23" t="s">
        <v>57</v>
      </c>
      <c r="D616" s="23" t="s">
        <v>58</v>
      </c>
      <c r="E616" s="23" t="s">
        <v>58</v>
      </c>
      <c r="F616" s="35" cm="1">
        <f t="array" ref="F616">_xlfn.IFS($G616=$G$5,F$5,$G616=$G$7,F$7,$G616=$G$10,F$10,$G616=$G$13,F$13,$G616=$G$14,F$14,$G616=$G$16,F$16,$G616=$G$17,F$17,$G616=$G$19,F$19,$G616=$G$20,F$20,$G616=$G$22,F$22,$G616=$G$23,F$23,$G616=$G$26,F$26,$G616=$G$29,F$29,$G616=$G$31,F$31,$G616=$G$34,F$34,$G616=$G$37,F$37,$G616=$G$107,F$107,$G616=$G$110,F$110,$G616=$G$140,F$140,$G616=$G$142,F$142,$G616=$G$408,F$408)</f>
        <v>8038</v>
      </c>
      <c r="G616" s="13" t="s">
        <v>69</v>
      </c>
      <c r="H616" s="51" cm="1">
        <f t="array" ref="H616">_xlfn.IFS($G616=$G$5,H$5,$G616=$G$7,H$7,$G616=$G$10,H$10,$G616=$G$13,H$13,$G616=$G$14,H$14,$G616=$G$16,H$16,$G616=$G$17,H$17,$G616=$G$19,H$19,$G616=$G$20,H$20,$G616=$G$22,H$22,$G616=$G$23,H$23,$G616=$G$26,H$26,$G616=$G$29,H$29,$G616=$G$31,H$31,$G616=$G$34,H$34,$G616=$G$37,H$37,$G616=$G$107,H$107,$G616=$G$110,H$110,$G616=$G$140,H$140,$G616=$G$142,H$142,$G616=$G$408,H$408)</f>
        <v>41.363377999999997</v>
      </c>
      <c r="I616" s="51" cm="1">
        <f t="array" ref="I616">_xlfn.IFS($G616=$G$5,I$5,$G616=$G$7,I$7,$G616=$G$10,I$10,$G616=$G$13,I$13,$G616=$G$14,I$14,$G616=$G$16,I$16,$G616=$G$17,I$17,$G616=$G$19,I$19,$G616=$G$20,I$20,$G616=$G$22,I$22,$G616=$G$23,I$23,$G616=$G$26,I$26,$G616=$G$29,I$29,$G616=$G$31,I$31,$G616=$G$34,I$34,$G616=$G$37,I$37,$G616=$G$107,I$107,$G616=$G$110,I$110,$G616=$G$140,I$140,$G616=$G$142,I$142,$G616=$G$408,I$408)</f>
        <v>2.164879</v>
      </c>
      <c r="J616" s="51" cm="1">
        <f t="array" ref="J616">_xlfn.IFS($G616=$G$5,J$5,$G616=$G$7,J$7,$G616=$G$10,J$10,$G616=$G$13,J$13,$G616=$G$14,J$14,$G616=$G$16,J$16,$G616=$G$17,J$17,$G616=$G$19,J$19,$G616=$G$20,J$20,$G616=$G$22,J$22,$G616=$G$23,J$23,$G616=$G$26,J$26,$G616=$G$29,J$29,$G616=$G$31,J$31,$G616=$G$34,J$34,$G616=$G$37,J$37,$G616=$G$107,J$107,$G616=$G$110,J$110,$G616=$G$140,J$140,$G616=$G$142,J$142,$G616=$G$408,J$408)</f>
        <v>185</v>
      </c>
      <c r="K616" s="13" t="str" cm="1">
        <f t="array" ref="K616">_xlfn.IFS($G616=$G$5,K$5,$G616=$G$7,K$7,$G616=$G$10,K$10,$G616=$G$13,K$13,$G616=$G$14,K$14,$G616=$G$16,K$16,$G616=$G$17,K$17,$G616=$G$19,K$19,$G616=$G$20,K$20,$G616=$G$22,K$22,$G616=$G$23,K$23,$G616=$G$26,K$26,$G616=$G$29,K$29,$G616=$G$31,K$31,$G616=$G$34,K$34,$G616=$G$37,K$37,$G616=$G$107,K$107,$G616=$G$110,K$110,$G616=$G$140,K$140,$G616=$G$142,K$142,$G616=$G$408,K$408)</f>
        <v>BG sentinel + BG lure7</v>
      </c>
      <c r="O616" s="13" t="str">
        <f t="shared" si="62"/>
        <v>A_SP_BCN_12_221026</v>
      </c>
      <c r="P616" s="31">
        <v>44860</v>
      </c>
      <c r="Q616" s="29">
        <v>0.57638888888888895</v>
      </c>
      <c r="R616" s="33"/>
      <c r="S616" s="27">
        <v>44867</v>
      </c>
      <c r="T616" s="29">
        <v>0.63888888888888895</v>
      </c>
      <c r="V616" s="13" t="s">
        <v>86</v>
      </c>
      <c r="X616" s="13">
        <f t="shared" si="59"/>
        <v>7</v>
      </c>
      <c r="Z616" s="32" t="s">
        <v>163</v>
      </c>
      <c r="AA616" s="13">
        <f t="shared" si="63"/>
        <v>5</v>
      </c>
      <c r="AB616" s="13" t="str">
        <f t="shared" si="60"/>
        <v>Adult</v>
      </c>
      <c r="AC616" s="13">
        <v>4</v>
      </c>
      <c r="AD616" s="13">
        <v>1</v>
      </c>
      <c r="AE616" s="13" t="str">
        <f t="shared" si="61"/>
        <v>Morphological</v>
      </c>
      <c r="AF616" s="2">
        <v>4</v>
      </c>
    </row>
    <row r="617" spans="1:32" x14ac:dyDescent="0.25">
      <c r="A617" s="13">
        <v>613</v>
      </c>
      <c r="B617" s="23" t="s">
        <v>56</v>
      </c>
      <c r="C617" s="23" t="s">
        <v>57</v>
      </c>
      <c r="D617" s="23" t="s">
        <v>58</v>
      </c>
      <c r="E617" s="23" t="s">
        <v>58</v>
      </c>
      <c r="F617" s="35" cm="1">
        <f t="array" ref="F617">_xlfn.IFS($G617=$G$5,F$5,$G617=$G$7,F$7,$G617=$G$10,F$10,$G617=$G$13,F$13,$G617=$G$14,F$14,$G617=$G$16,F$16,$G617=$G$17,F$17,$G617=$G$19,F$19,$G617=$G$20,F$20,$G617=$G$22,F$22,$G617=$G$23,F$23,$G617=$G$26,F$26,$G617=$G$29,F$29,$G617=$G$31,F$31,$G617=$G$34,F$34,$G617=$G$37,F$37,$G617=$G$107,F$107,$G617=$G$110,F$110,$G617=$G$140,F$140,$G617=$G$142,F$142,$G617=$G$408,F$408)</f>
        <v>8035</v>
      </c>
      <c r="G617" s="13" t="s">
        <v>70</v>
      </c>
      <c r="H617" s="51" cm="1">
        <f t="array" ref="H617">_xlfn.IFS($G617=$G$5,H$5,$G617=$G$7,H$7,$G617=$G$10,H$10,$G617=$G$13,H$13,$G617=$G$14,H$14,$G617=$G$16,H$16,$G617=$G$17,H$17,$G617=$G$19,H$19,$G617=$G$20,H$20,$G617=$G$22,H$22,$G617=$G$23,H$23,$G617=$G$26,H$26,$G617=$G$29,H$29,$G617=$G$31,H$31,$G617=$G$34,H$34,$G617=$G$37,H$37,$G617=$G$107,H$107,$G617=$G$110,H$110,$G617=$G$140,H$140,$G617=$G$142,H$142,$G617=$G$408,H$408)</f>
        <v>41.434472</v>
      </c>
      <c r="I617" s="51" cm="1">
        <f t="array" ref="I617">_xlfn.IFS($G617=$G$5,I$5,$G617=$G$7,I$7,$G617=$G$10,I$10,$G617=$G$13,I$13,$G617=$G$14,I$14,$G617=$G$16,I$16,$G617=$G$17,I$17,$G617=$G$19,I$19,$G617=$G$20,I$20,$G617=$G$22,I$22,$G617=$G$23,I$23,$G617=$G$26,I$26,$G617=$G$29,I$29,$G617=$G$31,I$31,$G617=$G$34,I$34,$G617=$G$37,I$37,$G617=$G$107,I$107,$G617=$G$110,I$110,$G617=$G$140,I$140,$G617=$G$142,I$142,$G617=$G$408,I$408)</f>
        <v>2.1315789999999999</v>
      </c>
      <c r="J617" s="51" cm="1">
        <f t="array" ref="J617">_xlfn.IFS($G617=$G$5,J$5,$G617=$G$7,J$7,$G617=$G$10,J$10,$G617=$G$13,J$13,$G617=$G$14,J$14,$G617=$G$16,J$16,$G617=$G$17,J$17,$G617=$G$19,J$19,$G617=$G$20,J$20,$G617=$G$22,J$22,$G617=$G$23,J$23,$G617=$G$26,J$26,$G617=$G$29,J$29,$G617=$G$31,J$31,$G617=$G$34,J$34,$G617=$G$37,J$37,$G617=$G$107,J$107,$G617=$G$110,J$110,$G617=$G$140,J$140,$G617=$G$142,J$142,$G617=$G$408,J$408)</f>
        <v>365</v>
      </c>
      <c r="K617" s="13" t="str" cm="1">
        <f t="array" ref="K617">_xlfn.IFS($G617=$G$5,K$5,$G617=$G$7,K$7,$G617=$G$10,K$10,$G617=$G$13,K$13,$G617=$G$14,K$14,$G617=$G$16,K$16,$G617=$G$17,K$17,$G617=$G$19,K$19,$G617=$G$20,K$20,$G617=$G$22,K$22,$G617=$G$23,K$23,$G617=$G$26,K$26,$G617=$G$29,K$29,$G617=$G$31,K$31,$G617=$G$34,K$34,$G617=$G$37,K$37,$G617=$G$107,K$107,$G617=$G$110,K$110,$G617=$G$140,K$140,$G617=$G$142,K$142,$G617=$G$408,K$408)</f>
        <v>BG sentinel + BG lure7</v>
      </c>
      <c r="O617" s="13" t="str">
        <f t="shared" si="62"/>
        <v>A_SP_BCN_13_221026</v>
      </c>
      <c r="P617" s="27">
        <v>44860</v>
      </c>
      <c r="Q617" s="29">
        <v>0.70138888888888884</v>
      </c>
      <c r="R617" s="33"/>
      <c r="S617" s="27">
        <v>44867</v>
      </c>
      <c r="T617" s="29">
        <v>0.73958333333333337</v>
      </c>
      <c r="V617" s="13" t="s">
        <v>86</v>
      </c>
      <c r="X617" s="13">
        <f t="shared" si="59"/>
        <v>7</v>
      </c>
      <c r="Z617" s="13" t="s">
        <v>60</v>
      </c>
      <c r="AA617" s="13">
        <f t="shared" si="63"/>
        <v>4</v>
      </c>
      <c r="AB617" s="13" t="str">
        <f t="shared" si="60"/>
        <v>Adult</v>
      </c>
      <c r="AC617" s="13">
        <v>4</v>
      </c>
      <c r="AD617" s="13">
        <v>0</v>
      </c>
      <c r="AE617" s="13" t="str">
        <f t="shared" si="61"/>
        <v>Morphological</v>
      </c>
      <c r="AF617" s="2">
        <v>4</v>
      </c>
    </row>
    <row r="618" spans="1:32" x14ac:dyDescent="0.25">
      <c r="A618" s="13">
        <v>614</v>
      </c>
      <c r="B618" s="23" t="s">
        <v>56</v>
      </c>
      <c r="C618" s="23" t="s">
        <v>57</v>
      </c>
      <c r="D618" s="23" t="s">
        <v>58</v>
      </c>
      <c r="E618" s="23" t="s">
        <v>58</v>
      </c>
      <c r="F618" s="35" cm="1">
        <f t="array" ref="F618">_xlfn.IFS($G618=$G$5,F$5,$G618=$G$7,F$7,$G618=$G$10,F$10,$G618=$G$13,F$13,$G618=$G$14,F$14,$G618=$G$16,F$16,$G618=$G$17,F$17,$G618=$G$19,F$19,$G618=$G$20,F$20,$G618=$G$22,F$22,$G618=$G$23,F$23,$G618=$G$26,F$26,$G618=$G$29,F$29,$G618=$G$31,F$31,$G618=$G$34,F$34,$G618=$G$37,F$37,$G618=$G$107,F$107,$G618=$G$110,F$110,$G618=$G$140,F$140,$G618=$G$142,F$142,$G618=$G$408,F$408)</f>
        <v>8035</v>
      </c>
      <c r="G618" s="13" t="s">
        <v>70</v>
      </c>
      <c r="H618" s="51" cm="1">
        <f t="array" ref="H618">_xlfn.IFS($G618=$G$5,H$5,$G618=$G$7,H$7,$G618=$G$10,H$10,$G618=$G$13,H$13,$G618=$G$14,H$14,$G618=$G$16,H$16,$G618=$G$17,H$17,$G618=$G$19,H$19,$G618=$G$20,H$20,$G618=$G$22,H$22,$G618=$G$23,H$23,$G618=$G$26,H$26,$G618=$G$29,H$29,$G618=$G$31,H$31,$G618=$G$34,H$34,$G618=$G$37,H$37,$G618=$G$107,H$107,$G618=$G$110,H$110,$G618=$G$140,H$140,$G618=$G$142,H$142,$G618=$G$408,H$408)</f>
        <v>41.434472</v>
      </c>
      <c r="I618" s="51" cm="1">
        <f t="array" ref="I618">_xlfn.IFS($G618=$G$5,I$5,$G618=$G$7,I$7,$G618=$G$10,I$10,$G618=$G$13,I$13,$G618=$G$14,I$14,$G618=$G$16,I$16,$G618=$G$17,I$17,$G618=$G$19,I$19,$G618=$G$20,I$20,$G618=$G$22,I$22,$G618=$G$23,I$23,$G618=$G$26,I$26,$G618=$G$29,I$29,$G618=$G$31,I$31,$G618=$G$34,I$34,$G618=$G$37,I$37,$G618=$G$107,I$107,$G618=$G$110,I$110,$G618=$G$140,I$140,$G618=$G$142,I$142,$G618=$G$408,I$408)</f>
        <v>2.1315789999999999</v>
      </c>
      <c r="J618" s="51" cm="1">
        <f t="array" ref="J618">_xlfn.IFS($G618=$G$5,J$5,$G618=$G$7,J$7,$G618=$G$10,J$10,$G618=$G$13,J$13,$G618=$G$14,J$14,$G618=$G$16,J$16,$G618=$G$17,J$17,$G618=$G$19,J$19,$G618=$G$20,J$20,$G618=$G$22,J$22,$G618=$G$23,J$23,$G618=$G$26,J$26,$G618=$G$29,J$29,$G618=$G$31,J$31,$G618=$G$34,J$34,$G618=$G$37,J$37,$G618=$G$107,J$107,$G618=$G$110,J$110,$G618=$G$140,J$140,$G618=$G$142,J$142,$G618=$G$408,J$408)</f>
        <v>365</v>
      </c>
      <c r="K618" s="13" t="str" cm="1">
        <f t="array" ref="K618">_xlfn.IFS($G618=$G$5,K$5,$G618=$G$7,K$7,$G618=$G$10,K$10,$G618=$G$13,K$13,$G618=$G$14,K$14,$G618=$G$16,K$16,$G618=$G$17,K$17,$G618=$G$19,K$19,$G618=$G$20,K$20,$G618=$G$22,K$22,$G618=$G$23,K$23,$G618=$G$26,K$26,$G618=$G$29,K$29,$G618=$G$31,K$31,$G618=$G$34,K$34,$G618=$G$37,K$37,$G618=$G$107,K$107,$G618=$G$110,K$110,$G618=$G$140,K$140,$G618=$G$142,K$142,$G618=$G$408,K$408)</f>
        <v>BG sentinel + BG lure7</v>
      </c>
      <c r="O618" s="13" t="str">
        <f t="shared" si="62"/>
        <v>A_SP_BCN_13_221026</v>
      </c>
      <c r="P618" s="27">
        <v>44860</v>
      </c>
      <c r="Q618" s="29">
        <v>0.70138888888888884</v>
      </c>
      <c r="R618" s="33"/>
      <c r="S618" s="27">
        <v>44867</v>
      </c>
      <c r="T618" s="29">
        <v>0.73958333333333337</v>
      </c>
      <c r="V618" s="13" t="s">
        <v>86</v>
      </c>
      <c r="X618" s="13">
        <f t="shared" si="59"/>
        <v>7</v>
      </c>
      <c r="Z618" s="13" t="s">
        <v>164</v>
      </c>
      <c r="AA618" s="13">
        <f t="shared" si="63"/>
        <v>1</v>
      </c>
      <c r="AB618" s="13" t="str">
        <f t="shared" si="60"/>
        <v>Adult</v>
      </c>
      <c r="AC618" s="13">
        <v>1</v>
      </c>
      <c r="AD618" s="13">
        <v>0</v>
      </c>
      <c r="AE618" s="13" t="str">
        <f t="shared" si="61"/>
        <v>Morphological</v>
      </c>
      <c r="AF618" s="2">
        <v>4</v>
      </c>
    </row>
    <row r="619" spans="1:32" x14ac:dyDescent="0.25">
      <c r="A619" s="13">
        <v>615</v>
      </c>
      <c r="B619" s="23" t="s">
        <v>56</v>
      </c>
      <c r="C619" s="23" t="s">
        <v>57</v>
      </c>
      <c r="D619" s="23" t="s">
        <v>58</v>
      </c>
      <c r="E619" s="23" t="s">
        <v>58</v>
      </c>
      <c r="F619" s="35" cm="1">
        <f t="array" ref="F619">_xlfn.IFS($G619=$G$5,F$5,$G619=$G$7,F$7,$G619=$G$10,F$10,$G619=$G$13,F$13,$G619=$G$14,F$14,$G619=$G$16,F$16,$G619=$G$17,F$17,$G619=$G$19,F$19,$G619=$G$20,F$20,$G619=$G$22,F$22,$G619=$G$23,F$23,$G619=$G$26,F$26,$G619=$G$29,F$29,$G619=$G$31,F$31,$G619=$G$34,F$34,$G619=$G$37,F$37,$G619=$G$107,F$107,$G619=$G$110,F$110,$G619=$G$140,F$140,$G619=$G$142,F$142,$G619=$G$408,F$408)</f>
        <v>8035</v>
      </c>
      <c r="G619" s="13" t="s">
        <v>70</v>
      </c>
      <c r="H619" s="51" cm="1">
        <f t="array" ref="H619">_xlfn.IFS($G619=$G$5,H$5,$G619=$G$7,H$7,$G619=$G$10,H$10,$G619=$G$13,H$13,$G619=$G$14,H$14,$G619=$G$16,H$16,$G619=$G$17,H$17,$G619=$G$19,H$19,$G619=$G$20,H$20,$G619=$G$22,H$22,$G619=$G$23,H$23,$G619=$G$26,H$26,$G619=$G$29,H$29,$G619=$G$31,H$31,$G619=$G$34,H$34,$G619=$G$37,H$37,$G619=$G$107,H$107,$G619=$G$110,H$110,$G619=$G$140,H$140,$G619=$G$142,H$142,$G619=$G$408,H$408)</f>
        <v>41.434472</v>
      </c>
      <c r="I619" s="51" cm="1">
        <f t="array" ref="I619">_xlfn.IFS($G619=$G$5,I$5,$G619=$G$7,I$7,$G619=$G$10,I$10,$G619=$G$13,I$13,$G619=$G$14,I$14,$G619=$G$16,I$16,$G619=$G$17,I$17,$G619=$G$19,I$19,$G619=$G$20,I$20,$G619=$G$22,I$22,$G619=$G$23,I$23,$G619=$G$26,I$26,$G619=$G$29,I$29,$G619=$G$31,I$31,$G619=$G$34,I$34,$G619=$G$37,I$37,$G619=$G$107,I$107,$G619=$G$110,I$110,$G619=$G$140,I$140,$G619=$G$142,I$142,$G619=$G$408,I$408)</f>
        <v>2.1315789999999999</v>
      </c>
      <c r="J619" s="51" cm="1">
        <f t="array" ref="J619">_xlfn.IFS($G619=$G$5,J$5,$G619=$G$7,J$7,$G619=$G$10,J$10,$G619=$G$13,J$13,$G619=$G$14,J$14,$G619=$G$16,J$16,$G619=$G$17,J$17,$G619=$G$19,J$19,$G619=$G$20,J$20,$G619=$G$22,J$22,$G619=$G$23,J$23,$G619=$G$26,J$26,$G619=$G$29,J$29,$G619=$G$31,J$31,$G619=$G$34,J$34,$G619=$G$37,J$37,$G619=$G$107,J$107,$G619=$G$110,J$110,$G619=$G$140,J$140,$G619=$G$142,J$142,$G619=$G$408,J$408)</f>
        <v>365</v>
      </c>
      <c r="K619" s="13" t="str" cm="1">
        <f t="array" ref="K619">_xlfn.IFS($G619=$G$5,K$5,$G619=$G$7,K$7,$G619=$G$10,K$10,$G619=$G$13,K$13,$G619=$G$14,K$14,$G619=$G$16,K$16,$G619=$G$17,K$17,$G619=$G$19,K$19,$G619=$G$20,K$20,$G619=$G$22,K$22,$G619=$G$23,K$23,$G619=$G$26,K$26,$G619=$G$29,K$29,$G619=$G$31,K$31,$G619=$G$34,K$34,$G619=$G$37,K$37,$G619=$G$107,K$107,$G619=$G$110,K$110,$G619=$G$140,K$140,$G619=$G$142,K$142,$G619=$G$408,K$408)</f>
        <v>BG sentinel + BG lure7</v>
      </c>
      <c r="O619" s="13" t="str">
        <f t="shared" si="62"/>
        <v>A_SP_BCN_13_221026</v>
      </c>
      <c r="P619" s="27">
        <v>44860</v>
      </c>
      <c r="Q619" s="29">
        <v>0.70138888888888884</v>
      </c>
      <c r="R619" s="33"/>
      <c r="S619" s="27">
        <v>44867</v>
      </c>
      <c r="T619" s="29">
        <v>0.73958333333333337</v>
      </c>
      <c r="V619" s="13" t="s">
        <v>86</v>
      </c>
      <c r="X619" s="13">
        <f t="shared" si="59"/>
        <v>7</v>
      </c>
      <c r="Z619" s="32" t="s">
        <v>163</v>
      </c>
      <c r="AA619" s="13">
        <f t="shared" si="63"/>
        <v>3</v>
      </c>
      <c r="AB619" s="13" t="str">
        <f t="shared" si="60"/>
        <v>Adult</v>
      </c>
      <c r="AC619" s="13">
        <v>2</v>
      </c>
      <c r="AD619" s="13">
        <v>1</v>
      </c>
      <c r="AE619" s="13" t="str">
        <f t="shared" si="61"/>
        <v>Morphological</v>
      </c>
      <c r="AF619" s="2">
        <v>4</v>
      </c>
    </row>
    <row r="620" spans="1:32" x14ac:dyDescent="0.25">
      <c r="A620" s="13">
        <v>616</v>
      </c>
      <c r="B620" s="23" t="s">
        <v>56</v>
      </c>
      <c r="C620" s="23" t="s">
        <v>57</v>
      </c>
      <c r="D620" s="23" t="s">
        <v>58</v>
      </c>
      <c r="E620" s="23" t="s">
        <v>58</v>
      </c>
      <c r="F620" s="35" cm="1">
        <f t="array" ref="F620">_xlfn.IFS($G620=$G$5,F$5,$G620=$G$7,F$7,$G620=$G$10,F$10,$G620=$G$13,F$13,$G620=$G$14,F$14,$G620=$G$16,F$16,$G620=$G$17,F$17,$G620=$G$19,F$19,$G620=$G$20,F$20,$G620=$G$22,F$22,$G620=$G$23,F$23,$G620=$G$26,F$26,$G620=$G$29,F$29,$G620=$G$31,F$31,$G620=$G$34,F$34,$G620=$G$37,F$37,$G620=$G$107,F$107,$G620=$G$110,F$110,$G620=$G$140,F$140,$G620=$G$142,F$142,$G620=$G$408,F$408)</f>
        <v>8017</v>
      </c>
      <c r="G620" s="13" t="s">
        <v>71</v>
      </c>
      <c r="H620" s="51" cm="1">
        <f t="array" ref="H620">_xlfn.IFS($G620=$G$5,H$5,$G620=$G$7,H$7,$G620=$G$10,H$10,$G620=$G$13,H$13,$G620=$G$14,H$14,$G620=$G$16,H$16,$G620=$G$17,H$17,$G620=$G$19,H$19,$G620=$G$20,H$20,$G620=$G$22,H$22,$G620=$G$23,H$23,$G620=$G$26,H$26,$G620=$G$29,H$29,$G620=$G$31,H$31,$G620=$G$34,H$34,$G620=$G$37,H$37,$G620=$G$107,H$107,$G620=$G$110,H$110,$G620=$G$140,H$140,$G620=$G$142,H$142,$G620=$G$408,H$408)</f>
        <v>41.428533999999999</v>
      </c>
      <c r="I620" s="51" cm="1">
        <f t="array" ref="I620">_xlfn.IFS($G620=$G$5,I$5,$G620=$G$7,I$7,$G620=$G$10,I$10,$G620=$G$13,I$13,$G620=$G$14,I$14,$G620=$G$16,I$16,$G620=$G$17,I$17,$G620=$G$19,I$19,$G620=$G$20,I$20,$G620=$G$22,I$22,$G620=$G$23,I$23,$G620=$G$26,I$26,$G620=$G$29,I$29,$G620=$G$31,I$31,$G620=$G$34,I$34,$G620=$G$37,I$37,$G620=$G$107,I$107,$G620=$G$110,I$110,$G620=$G$140,I$140,$G620=$G$142,I$142,$G620=$G$408,I$408)</f>
        <v>2.090954</v>
      </c>
      <c r="J620" s="51" cm="1">
        <f t="array" ref="J620">_xlfn.IFS($G620=$G$5,J$5,$G620=$G$7,J$7,$G620=$G$10,J$10,$G620=$G$13,J$13,$G620=$G$14,J$14,$G620=$G$16,J$16,$G620=$G$17,J$17,$G620=$G$19,J$19,$G620=$G$20,J$20,$G620=$G$22,J$22,$G620=$G$23,J$23,$G620=$G$26,J$26,$G620=$G$29,J$29,$G620=$G$31,J$31,$G620=$G$34,J$34,$G620=$G$37,J$37,$G620=$G$107,J$107,$G620=$G$110,J$110,$G620=$G$140,J$140,$G620=$G$142,J$142,$G620=$G$408,J$408)</f>
        <v>215</v>
      </c>
      <c r="K620" s="13" t="str" cm="1">
        <f t="array" ref="K620">_xlfn.IFS($G620=$G$5,K$5,$G620=$G$7,K$7,$G620=$G$10,K$10,$G620=$G$13,K$13,$G620=$G$14,K$14,$G620=$G$16,K$16,$G620=$G$17,K$17,$G620=$G$19,K$19,$G620=$G$20,K$20,$G620=$G$22,K$22,$G620=$G$23,K$23,$G620=$G$26,K$26,$G620=$G$29,K$29,$G620=$G$31,K$31,$G620=$G$34,K$34,$G620=$G$37,K$37,$G620=$G$107,K$107,$G620=$G$110,K$110,$G620=$G$140,K$140,$G620=$G$142,K$142,$G620=$G$408,K$408)</f>
        <v>BG sentinel + BG lure7</v>
      </c>
      <c r="O620" s="13" t="str">
        <f t="shared" si="62"/>
        <v>A_SP_BCN_14_221026</v>
      </c>
      <c r="P620" s="27">
        <v>44860</v>
      </c>
      <c r="Q620" s="29">
        <v>0.73611111111111116</v>
      </c>
      <c r="R620" s="33"/>
      <c r="S620" s="27">
        <v>44867</v>
      </c>
      <c r="T620" s="29">
        <v>0.77083333333333337</v>
      </c>
      <c r="V620" s="13" t="s">
        <v>86</v>
      </c>
      <c r="X620" s="13">
        <f t="shared" si="59"/>
        <v>7</v>
      </c>
      <c r="Z620" s="13" t="s">
        <v>60</v>
      </c>
      <c r="AA620" s="13">
        <f t="shared" si="63"/>
        <v>1</v>
      </c>
      <c r="AB620" s="13" t="str">
        <f t="shared" si="60"/>
        <v>Adult</v>
      </c>
      <c r="AC620" s="13">
        <v>1</v>
      </c>
      <c r="AD620" s="13">
        <v>0</v>
      </c>
      <c r="AE620" s="13" t="str">
        <f t="shared" si="61"/>
        <v>Morphological</v>
      </c>
      <c r="AF620" s="2">
        <v>4</v>
      </c>
    </row>
    <row r="621" spans="1:32" x14ac:dyDescent="0.25">
      <c r="A621" s="13">
        <v>617</v>
      </c>
      <c r="B621" s="23" t="s">
        <v>56</v>
      </c>
      <c r="C621" s="23" t="s">
        <v>57</v>
      </c>
      <c r="D621" s="23" t="s">
        <v>58</v>
      </c>
      <c r="E621" s="23" t="s">
        <v>58</v>
      </c>
      <c r="F621" s="35" cm="1">
        <f t="array" ref="F621">_xlfn.IFS($G621=$G$5,F$5,$G621=$G$7,F$7,$G621=$G$10,F$10,$G621=$G$13,F$13,$G621=$G$14,F$14,$G621=$G$16,F$16,$G621=$G$17,F$17,$G621=$G$19,F$19,$G621=$G$20,F$20,$G621=$G$22,F$22,$G621=$G$23,F$23,$G621=$G$26,F$26,$G621=$G$29,F$29,$G621=$G$31,F$31,$G621=$G$34,F$34,$G621=$G$37,F$37,$G621=$G$107,F$107,$G621=$G$110,F$110,$G621=$G$140,F$140,$G621=$G$142,F$142,$G621=$G$408,F$408)</f>
        <v>8017</v>
      </c>
      <c r="G621" s="13" t="s">
        <v>72</v>
      </c>
      <c r="H621" s="51" cm="1">
        <f t="array" ref="H621">_xlfn.IFS($G621=$G$5,H$5,$G621=$G$7,H$7,$G621=$G$10,H$10,$G621=$G$13,H$13,$G621=$G$14,H$14,$G621=$G$16,H$16,$G621=$G$17,H$17,$G621=$G$19,H$19,$G621=$G$20,H$20,$G621=$G$22,H$22,$G621=$G$23,H$23,$G621=$G$26,H$26,$G621=$G$29,H$29,$G621=$G$31,H$31,$G621=$G$34,H$34,$G621=$G$37,H$37,$G621=$G$107,H$107,$G621=$G$110,H$110,$G621=$G$140,H$140,$G621=$G$142,H$142,$G621=$G$408,H$408)</f>
        <v>41.419471000000001</v>
      </c>
      <c r="I621" s="51" cm="1">
        <f t="array" ref="I621">_xlfn.IFS($G621=$G$5,I$5,$G621=$G$7,I$7,$G621=$G$10,I$10,$G621=$G$13,I$13,$G621=$G$14,I$14,$G621=$G$16,I$16,$G621=$G$17,I$17,$G621=$G$19,I$19,$G621=$G$20,I$20,$G621=$G$22,I$22,$G621=$G$23,I$23,$G621=$G$26,I$26,$G621=$G$29,I$29,$G621=$G$31,I$31,$G621=$G$34,I$34,$G621=$G$37,I$37,$G621=$G$107,I$107,$G621=$G$110,I$110,$G621=$G$140,I$140,$G621=$G$142,I$142,$G621=$G$408,I$408)</f>
        <v>2.1010149999999999</v>
      </c>
      <c r="J621" s="51" cm="1">
        <f t="array" ref="J621">_xlfn.IFS($G621=$G$5,J$5,$G621=$G$7,J$7,$G621=$G$10,J$10,$G621=$G$13,J$13,$G621=$G$14,J$14,$G621=$G$16,J$16,$G621=$G$17,J$17,$G621=$G$19,J$19,$G621=$G$20,J$20,$G621=$G$22,J$22,$G621=$G$23,J$23,$G621=$G$26,J$26,$G621=$G$29,J$29,$G621=$G$31,J$31,$G621=$G$34,J$34,$G621=$G$37,J$37,$G621=$G$107,J$107,$G621=$G$110,J$110,$G621=$G$140,J$140,$G621=$G$142,J$142,$G621=$G$408,J$408)</f>
        <v>284</v>
      </c>
      <c r="K621" s="13" t="str" cm="1">
        <f t="array" ref="K621">_xlfn.IFS($G621=$G$5,K$5,$G621=$G$7,K$7,$G621=$G$10,K$10,$G621=$G$13,K$13,$G621=$G$14,K$14,$G621=$G$16,K$16,$G621=$G$17,K$17,$G621=$G$19,K$19,$G621=$G$20,K$20,$G621=$G$22,K$22,$G621=$G$23,K$23,$G621=$G$26,K$26,$G621=$G$29,K$29,$G621=$G$31,K$31,$G621=$G$34,K$34,$G621=$G$37,K$37,$G621=$G$107,K$107,$G621=$G$110,K$110,$G621=$G$140,K$140,$G621=$G$142,K$142,$G621=$G$408,K$408)</f>
        <v>BG sentinel + BG lure7</v>
      </c>
      <c r="O621" s="13" t="str">
        <f t="shared" si="62"/>
        <v>A_SP_BCN_15_221026</v>
      </c>
      <c r="P621" s="27">
        <v>44860</v>
      </c>
      <c r="Q621" s="29">
        <v>0.71527777777777779</v>
      </c>
      <c r="R621" s="33"/>
      <c r="S621" s="27">
        <v>44867</v>
      </c>
      <c r="T621" s="29">
        <v>0.75</v>
      </c>
      <c r="V621" s="13" t="s">
        <v>86</v>
      </c>
      <c r="X621" s="13">
        <f t="shared" si="59"/>
        <v>7</v>
      </c>
      <c r="Z621" s="13" t="s">
        <v>60</v>
      </c>
      <c r="AA621" s="13">
        <f t="shared" si="63"/>
        <v>1</v>
      </c>
      <c r="AB621" s="13" t="str">
        <f t="shared" si="60"/>
        <v>Adult</v>
      </c>
      <c r="AC621" s="13">
        <v>1</v>
      </c>
      <c r="AD621" s="13">
        <v>0</v>
      </c>
      <c r="AE621" s="13" t="str">
        <f t="shared" si="61"/>
        <v>Morphological</v>
      </c>
      <c r="AF621" s="2">
        <v>4</v>
      </c>
    </row>
    <row r="622" spans="1:32" x14ac:dyDescent="0.25">
      <c r="A622" s="13">
        <v>618</v>
      </c>
      <c r="B622" s="23" t="s">
        <v>56</v>
      </c>
      <c r="C622" s="23" t="s">
        <v>57</v>
      </c>
      <c r="D622" s="23" t="s">
        <v>58</v>
      </c>
      <c r="E622" s="23" t="s">
        <v>58</v>
      </c>
      <c r="F622" s="35" cm="1">
        <f t="array" ref="F622">_xlfn.IFS($G622=$G$5,F$5,$G622=$G$7,F$7,$G622=$G$10,F$10,$G622=$G$13,F$13,$G622=$G$14,F$14,$G622=$G$16,F$16,$G622=$G$17,F$17,$G622=$G$19,F$19,$G622=$G$20,F$20,$G622=$G$22,F$22,$G622=$G$23,F$23,$G622=$G$26,F$26,$G622=$G$29,F$29,$G622=$G$31,F$31,$G622=$G$34,F$34,$G622=$G$37,F$37,$G622=$G$107,F$107,$G622=$G$110,F$110,$G622=$G$140,F$140,$G622=$G$142,F$142,$G622=$G$408,F$408)</f>
        <v>8017</v>
      </c>
      <c r="G622" s="13" t="s">
        <v>72</v>
      </c>
      <c r="H622" s="51" cm="1">
        <f t="array" ref="H622">_xlfn.IFS($G622=$G$5,H$5,$G622=$G$7,H$7,$G622=$G$10,H$10,$G622=$G$13,H$13,$G622=$G$14,H$14,$G622=$G$16,H$16,$G622=$G$17,H$17,$G622=$G$19,H$19,$G622=$G$20,H$20,$G622=$G$22,H$22,$G622=$G$23,H$23,$G622=$G$26,H$26,$G622=$G$29,H$29,$G622=$G$31,H$31,$G622=$G$34,H$34,$G622=$G$37,H$37,$G622=$G$107,H$107,$G622=$G$110,H$110,$G622=$G$140,H$140,$G622=$G$142,H$142,$G622=$G$408,H$408)</f>
        <v>41.419471000000001</v>
      </c>
      <c r="I622" s="51" cm="1">
        <f t="array" ref="I622">_xlfn.IFS($G622=$G$5,I$5,$G622=$G$7,I$7,$G622=$G$10,I$10,$G622=$G$13,I$13,$G622=$G$14,I$14,$G622=$G$16,I$16,$G622=$G$17,I$17,$G622=$G$19,I$19,$G622=$G$20,I$20,$G622=$G$22,I$22,$G622=$G$23,I$23,$G622=$G$26,I$26,$G622=$G$29,I$29,$G622=$G$31,I$31,$G622=$G$34,I$34,$G622=$G$37,I$37,$G622=$G$107,I$107,$G622=$G$110,I$110,$G622=$G$140,I$140,$G622=$G$142,I$142,$G622=$G$408,I$408)</f>
        <v>2.1010149999999999</v>
      </c>
      <c r="J622" s="51" cm="1">
        <f t="array" ref="J622">_xlfn.IFS($G622=$G$5,J$5,$G622=$G$7,J$7,$G622=$G$10,J$10,$G622=$G$13,J$13,$G622=$G$14,J$14,$G622=$G$16,J$16,$G622=$G$17,J$17,$G622=$G$19,J$19,$G622=$G$20,J$20,$G622=$G$22,J$22,$G622=$G$23,J$23,$G622=$G$26,J$26,$G622=$G$29,J$29,$G622=$G$31,J$31,$G622=$G$34,J$34,$G622=$G$37,J$37,$G622=$G$107,J$107,$G622=$G$110,J$110,$G622=$G$140,J$140,$G622=$G$142,J$142,$G622=$G$408,J$408)</f>
        <v>284</v>
      </c>
      <c r="K622" s="13" t="str" cm="1">
        <f t="array" ref="K622">_xlfn.IFS($G622=$G$5,K$5,$G622=$G$7,K$7,$G622=$G$10,K$10,$G622=$G$13,K$13,$G622=$G$14,K$14,$G622=$G$16,K$16,$G622=$G$17,K$17,$G622=$G$19,K$19,$G622=$G$20,K$20,$G622=$G$22,K$22,$G622=$G$23,K$23,$G622=$G$26,K$26,$G622=$G$29,K$29,$G622=$G$31,K$31,$G622=$G$34,K$34,$G622=$G$37,K$37,$G622=$G$107,K$107,$G622=$G$110,K$110,$G622=$G$140,K$140,$G622=$G$142,K$142,$G622=$G$408,K$408)</f>
        <v>BG sentinel + BG lure7</v>
      </c>
      <c r="O622" s="13" t="str">
        <f t="shared" si="62"/>
        <v>A_SP_BCN_15_221026</v>
      </c>
      <c r="P622" s="27">
        <v>44860</v>
      </c>
      <c r="Q622" s="29">
        <v>0.71527777777777779</v>
      </c>
      <c r="R622" s="33"/>
      <c r="S622" s="27">
        <v>44867</v>
      </c>
      <c r="T622" s="29">
        <v>0.75</v>
      </c>
      <c r="V622" s="13" t="s">
        <v>86</v>
      </c>
      <c r="X622" s="13">
        <f t="shared" si="59"/>
        <v>7</v>
      </c>
      <c r="Z622" s="32" t="s">
        <v>163</v>
      </c>
      <c r="AA622" s="13">
        <f t="shared" si="63"/>
        <v>1</v>
      </c>
      <c r="AB622" s="13" t="str">
        <f t="shared" si="60"/>
        <v>Adult</v>
      </c>
      <c r="AC622" s="13">
        <v>0</v>
      </c>
      <c r="AD622" s="13">
        <v>1</v>
      </c>
      <c r="AE622" s="13" t="str">
        <f t="shared" si="61"/>
        <v>Morphological</v>
      </c>
      <c r="AF622" s="2">
        <v>4</v>
      </c>
    </row>
    <row r="623" spans="1:32" x14ac:dyDescent="0.25">
      <c r="A623" s="13">
        <v>619</v>
      </c>
      <c r="B623" s="23" t="s">
        <v>56</v>
      </c>
      <c r="C623" s="23" t="s">
        <v>57</v>
      </c>
      <c r="D623" s="23" t="s">
        <v>58</v>
      </c>
      <c r="E623" s="23" t="s">
        <v>58</v>
      </c>
      <c r="F623" s="35" cm="1">
        <f t="array" ref="F623">_xlfn.IFS($G623=$G$5,F$5,$G623=$G$7,F$7,$G623=$G$10,F$10,$G623=$G$13,F$13,$G623=$G$14,F$14,$G623=$G$16,F$16,$G623=$G$17,F$17,$G623=$G$19,F$19,$G623=$G$20,F$20,$G623=$G$22,F$22,$G623=$G$23,F$23,$G623=$G$26,F$26,$G623=$G$29,F$29,$G623=$G$31,F$31,$G623=$G$34,F$34,$G623=$G$37,F$37,$G623=$G$107,F$107,$G623=$G$110,F$110,$G623=$G$140,F$140,$G623=$G$142,F$142,$G623=$G$408,F$408)</f>
        <v>8017</v>
      </c>
      <c r="G623" s="13" t="s">
        <v>73</v>
      </c>
      <c r="H623" s="51" cm="1">
        <f t="array" ref="H623">_xlfn.IFS($G623=$G$5,H$5,$G623=$G$7,H$7,$G623=$G$10,H$10,$G623=$G$13,H$13,$G623=$G$14,H$14,$G623=$G$16,H$16,$G623=$G$17,H$17,$G623=$G$19,H$19,$G623=$G$20,H$20,$G623=$G$22,H$22,$G623=$G$23,H$23,$G623=$G$26,H$26,$G623=$G$29,H$29,$G623=$G$31,H$31,$G623=$G$34,H$34,$G623=$G$37,H$37,$G623=$G$107,H$107,$G623=$G$110,H$110,$G623=$G$140,H$140,$G623=$G$142,H$142,$G623=$G$408,H$408)</f>
        <v>41.398387</v>
      </c>
      <c r="I623" s="51" cm="1">
        <f t="array" ref="I623">_xlfn.IFS($G623=$G$5,I$5,$G623=$G$7,I$7,$G623=$G$10,I$10,$G623=$G$13,I$13,$G623=$G$14,I$14,$G623=$G$16,I$16,$G623=$G$17,I$17,$G623=$G$19,I$19,$G623=$G$20,I$20,$G623=$G$22,I$22,$G623=$G$23,I$23,$G623=$G$26,I$26,$G623=$G$29,I$29,$G623=$G$31,I$31,$G623=$G$34,I$34,$G623=$G$37,I$37,$G623=$G$107,I$107,$G623=$G$110,I$110,$G623=$G$140,I$140,$G623=$G$142,I$142,$G623=$G$408,I$408)</f>
        <v>2.1244429999999999</v>
      </c>
      <c r="J623" s="51" cm="1">
        <f t="array" ref="J623">_xlfn.IFS($G623=$G$5,J$5,$G623=$G$7,J$7,$G623=$G$10,J$10,$G623=$G$13,J$13,$G623=$G$14,J$14,$G623=$G$16,J$16,$G623=$G$17,J$17,$G623=$G$19,J$19,$G623=$G$20,J$20,$G623=$G$22,J$22,$G623=$G$23,J$23,$G623=$G$26,J$26,$G623=$G$29,J$29,$G623=$G$31,J$31,$G623=$G$34,J$34,$G623=$G$37,J$37,$G623=$G$107,J$107,$G623=$G$110,J$110,$G623=$G$140,J$140,$G623=$G$142,J$142,$G623=$G$408,J$408)</f>
        <v>106</v>
      </c>
      <c r="K623" s="13" t="str" cm="1">
        <f t="array" ref="K623">_xlfn.IFS($G623=$G$5,K$5,$G623=$G$7,K$7,$G623=$G$10,K$10,$G623=$G$13,K$13,$G623=$G$14,K$14,$G623=$G$16,K$16,$G623=$G$17,K$17,$G623=$G$19,K$19,$G623=$G$20,K$20,$G623=$G$22,K$22,$G623=$G$23,K$23,$G623=$G$26,K$26,$G623=$G$29,K$29,$G623=$G$31,K$31,$G623=$G$34,K$34,$G623=$G$37,K$37,$G623=$G$107,K$107,$G623=$G$110,K$110,$G623=$G$140,K$140,$G623=$G$142,K$142,$G623=$G$408,K$408)</f>
        <v>BG sentinel + BG lure7</v>
      </c>
      <c r="O623" s="13" t="str">
        <f t="shared" si="62"/>
        <v>A_SP_BCN_16_221026</v>
      </c>
      <c r="P623" s="27">
        <v>44860</v>
      </c>
      <c r="Q623" s="29">
        <v>0.75694444444444453</v>
      </c>
      <c r="R623" s="33"/>
      <c r="S623" s="27">
        <v>44867</v>
      </c>
      <c r="T623" s="29">
        <v>0.79513888888888884</v>
      </c>
      <c r="V623" s="13" t="s">
        <v>86</v>
      </c>
      <c r="X623" s="13">
        <f t="shared" si="59"/>
        <v>7</v>
      </c>
      <c r="Z623" s="13" t="s">
        <v>60</v>
      </c>
      <c r="AA623" s="13">
        <f t="shared" si="63"/>
        <v>33</v>
      </c>
      <c r="AB623" s="13" t="str">
        <f t="shared" si="60"/>
        <v>Adult</v>
      </c>
      <c r="AC623" s="13">
        <v>24</v>
      </c>
      <c r="AD623" s="13">
        <v>9</v>
      </c>
      <c r="AE623" s="13" t="str">
        <f t="shared" si="61"/>
        <v>Morphological</v>
      </c>
      <c r="AF623" s="2">
        <v>4</v>
      </c>
    </row>
    <row r="624" spans="1:32" x14ac:dyDescent="0.25">
      <c r="A624" s="13">
        <v>620</v>
      </c>
      <c r="B624" s="23" t="s">
        <v>56</v>
      </c>
      <c r="C624" s="23" t="s">
        <v>57</v>
      </c>
      <c r="D624" s="23" t="s">
        <v>58</v>
      </c>
      <c r="E624" s="23" t="s">
        <v>58</v>
      </c>
      <c r="F624" s="35" cm="1">
        <f t="array" ref="F624">_xlfn.IFS($G624=$G$5,F$5,$G624=$G$7,F$7,$G624=$G$10,F$10,$G624=$G$13,F$13,$G624=$G$14,F$14,$G624=$G$16,F$16,$G624=$G$17,F$17,$G624=$G$19,F$19,$G624=$G$20,F$20,$G624=$G$22,F$22,$G624=$G$23,F$23,$G624=$G$26,F$26,$G624=$G$29,F$29,$G624=$G$31,F$31,$G624=$G$34,F$34,$G624=$G$37,F$37,$G624=$G$107,F$107,$G624=$G$110,F$110,$G624=$G$140,F$140,$G624=$G$142,F$142,$G624=$G$408,F$408)</f>
        <v>8017</v>
      </c>
      <c r="G624" s="13" t="s">
        <v>73</v>
      </c>
      <c r="H624" s="51" cm="1">
        <f t="array" ref="H624">_xlfn.IFS($G624=$G$5,H$5,$G624=$G$7,H$7,$G624=$G$10,H$10,$G624=$G$13,H$13,$G624=$G$14,H$14,$G624=$G$16,H$16,$G624=$G$17,H$17,$G624=$G$19,H$19,$G624=$G$20,H$20,$G624=$G$22,H$22,$G624=$G$23,H$23,$G624=$G$26,H$26,$G624=$G$29,H$29,$G624=$G$31,H$31,$G624=$G$34,H$34,$G624=$G$37,H$37,$G624=$G$107,H$107,$G624=$G$110,H$110,$G624=$G$140,H$140,$G624=$G$142,H$142,$G624=$G$408,H$408)</f>
        <v>41.398387</v>
      </c>
      <c r="I624" s="51" cm="1">
        <f t="array" ref="I624">_xlfn.IFS($G624=$G$5,I$5,$G624=$G$7,I$7,$G624=$G$10,I$10,$G624=$G$13,I$13,$G624=$G$14,I$14,$G624=$G$16,I$16,$G624=$G$17,I$17,$G624=$G$19,I$19,$G624=$G$20,I$20,$G624=$G$22,I$22,$G624=$G$23,I$23,$G624=$G$26,I$26,$G624=$G$29,I$29,$G624=$G$31,I$31,$G624=$G$34,I$34,$G624=$G$37,I$37,$G624=$G$107,I$107,$G624=$G$110,I$110,$G624=$G$140,I$140,$G624=$G$142,I$142,$G624=$G$408,I$408)</f>
        <v>2.1244429999999999</v>
      </c>
      <c r="J624" s="51" cm="1">
        <f t="array" ref="J624">_xlfn.IFS($G624=$G$5,J$5,$G624=$G$7,J$7,$G624=$G$10,J$10,$G624=$G$13,J$13,$G624=$G$14,J$14,$G624=$G$16,J$16,$G624=$G$17,J$17,$G624=$G$19,J$19,$G624=$G$20,J$20,$G624=$G$22,J$22,$G624=$G$23,J$23,$G624=$G$26,J$26,$G624=$G$29,J$29,$G624=$G$31,J$31,$G624=$G$34,J$34,$G624=$G$37,J$37,$G624=$G$107,J$107,$G624=$G$110,J$110,$G624=$G$140,J$140,$G624=$G$142,J$142,$G624=$G$408,J$408)</f>
        <v>106</v>
      </c>
      <c r="K624" s="13" t="str" cm="1">
        <f t="array" ref="K624">_xlfn.IFS($G624=$G$5,K$5,$G624=$G$7,K$7,$G624=$G$10,K$10,$G624=$G$13,K$13,$G624=$G$14,K$14,$G624=$G$16,K$16,$G624=$G$17,K$17,$G624=$G$19,K$19,$G624=$G$20,K$20,$G624=$G$22,K$22,$G624=$G$23,K$23,$G624=$G$26,K$26,$G624=$G$29,K$29,$G624=$G$31,K$31,$G624=$G$34,K$34,$G624=$G$37,K$37,$G624=$G$107,K$107,$G624=$G$110,K$110,$G624=$G$140,K$140,$G624=$G$142,K$142,$G624=$G$408,K$408)</f>
        <v>BG sentinel + BG lure7</v>
      </c>
      <c r="O624" s="13" t="str">
        <f t="shared" si="62"/>
        <v>A_SP_BCN_16_221026</v>
      </c>
      <c r="P624" s="27">
        <v>44860</v>
      </c>
      <c r="Q624" s="29">
        <v>0.75694444444444453</v>
      </c>
      <c r="R624" s="33"/>
      <c r="S624" s="27">
        <v>44867</v>
      </c>
      <c r="T624" s="29">
        <v>0.79513888888888884</v>
      </c>
      <c r="V624" s="13" t="s">
        <v>86</v>
      </c>
      <c r="X624" s="13">
        <f t="shared" si="59"/>
        <v>7</v>
      </c>
      <c r="Z624" s="13" t="s">
        <v>164</v>
      </c>
      <c r="AA624" s="13">
        <f t="shared" si="63"/>
        <v>1</v>
      </c>
      <c r="AB624" s="13" t="str">
        <f t="shared" si="60"/>
        <v>Adult</v>
      </c>
      <c r="AC624" s="13">
        <v>0</v>
      </c>
      <c r="AD624" s="13">
        <v>1</v>
      </c>
      <c r="AE624" s="13" t="str">
        <f t="shared" si="61"/>
        <v>Morphological</v>
      </c>
      <c r="AF624" s="2">
        <v>4</v>
      </c>
    </row>
    <row r="625" spans="1:32" x14ac:dyDescent="0.25">
      <c r="A625" s="13">
        <v>621</v>
      </c>
      <c r="B625" s="23" t="s">
        <v>56</v>
      </c>
      <c r="C625" s="23" t="s">
        <v>57</v>
      </c>
      <c r="D625" s="23" t="s">
        <v>58</v>
      </c>
      <c r="E625" s="23" t="s">
        <v>58</v>
      </c>
      <c r="F625" s="35" cm="1">
        <f t="array" ref="F625">_xlfn.IFS($G625=$G$5,F$5,$G625=$G$7,F$7,$G625=$G$10,F$10,$G625=$G$13,F$13,$G625=$G$14,F$14,$G625=$G$16,F$16,$G625=$G$17,F$17,$G625=$G$19,F$19,$G625=$G$20,F$20,$G625=$G$22,F$22,$G625=$G$23,F$23,$G625=$G$26,F$26,$G625=$G$29,F$29,$G625=$G$31,F$31,$G625=$G$34,F$34,$G625=$G$37,F$37,$G625=$G$107,F$107,$G625=$G$110,F$110,$G625=$G$140,F$140,$G625=$G$142,F$142,$G625=$G$408,F$408)</f>
        <v>8017</v>
      </c>
      <c r="G625" s="13" t="s">
        <v>73</v>
      </c>
      <c r="H625" s="51" cm="1">
        <f t="array" ref="H625">_xlfn.IFS($G625=$G$5,H$5,$G625=$G$7,H$7,$G625=$G$10,H$10,$G625=$G$13,H$13,$G625=$G$14,H$14,$G625=$G$16,H$16,$G625=$G$17,H$17,$G625=$G$19,H$19,$G625=$G$20,H$20,$G625=$G$22,H$22,$G625=$G$23,H$23,$G625=$G$26,H$26,$G625=$G$29,H$29,$G625=$G$31,H$31,$G625=$G$34,H$34,$G625=$G$37,H$37,$G625=$G$107,H$107,$G625=$G$110,H$110,$G625=$G$140,H$140,$G625=$G$142,H$142,$G625=$G$408,H$408)</f>
        <v>41.398387</v>
      </c>
      <c r="I625" s="51" cm="1">
        <f t="array" ref="I625">_xlfn.IFS($G625=$G$5,I$5,$G625=$G$7,I$7,$G625=$G$10,I$10,$G625=$G$13,I$13,$G625=$G$14,I$14,$G625=$G$16,I$16,$G625=$G$17,I$17,$G625=$G$19,I$19,$G625=$G$20,I$20,$G625=$G$22,I$22,$G625=$G$23,I$23,$G625=$G$26,I$26,$G625=$G$29,I$29,$G625=$G$31,I$31,$G625=$G$34,I$34,$G625=$G$37,I$37,$G625=$G$107,I$107,$G625=$G$110,I$110,$G625=$G$140,I$140,$G625=$G$142,I$142,$G625=$G$408,I$408)</f>
        <v>2.1244429999999999</v>
      </c>
      <c r="J625" s="51" cm="1">
        <f t="array" ref="J625">_xlfn.IFS($G625=$G$5,J$5,$G625=$G$7,J$7,$G625=$G$10,J$10,$G625=$G$13,J$13,$G625=$G$14,J$14,$G625=$G$16,J$16,$G625=$G$17,J$17,$G625=$G$19,J$19,$G625=$G$20,J$20,$G625=$G$22,J$22,$G625=$G$23,J$23,$G625=$G$26,J$26,$G625=$G$29,J$29,$G625=$G$31,J$31,$G625=$G$34,J$34,$G625=$G$37,J$37,$G625=$G$107,J$107,$G625=$G$110,J$110,$G625=$G$140,J$140,$G625=$G$142,J$142,$G625=$G$408,J$408)</f>
        <v>106</v>
      </c>
      <c r="K625" s="13" t="str" cm="1">
        <f t="array" ref="K625">_xlfn.IFS($G625=$G$5,K$5,$G625=$G$7,K$7,$G625=$G$10,K$10,$G625=$G$13,K$13,$G625=$G$14,K$14,$G625=$G$16,K$16,$G625=$G$17,K$17,$G625=$G$19,K$19,$G625=$G$20,K$20,$G625=$G$22,K$22,$G625=$G$23,K$23,$G625=$G$26,K$26,$G625=$G$29,K$29,$G625=$G$31,K$31,$G625=$G$34,K$34,$G625=$G$37,K$37,$G625=$G$107,K$107,$G625=$G$110,K$110,$G625=$G$140,K$140,$G625=$G$142,K$142,$G625=$G$408,K$408)</f>
        <v>BG sentinel + BG lure7</v>
      </c>
      <c r="O625" s="13" t="str">
        <f t="shared" si="62"/>
        <v>A_SP_BCN_16_221026</v>
      </c>
      <c r="P625" s="27">
        <v>44860</v>
      </c>
      <c r="Q625" s="29">
        <v>0.75694444444444453</v>
      </c>
      <c r="R625" s="33"/>
      <c r="S625" s="27">
        <v>44867</v>
      </c>
      <c r="T625" s="29">
        <v>0.79513888888888884</v>
      </c>
      <c r="V625" s="13" t="s">
        <v>86</v>
      </c>
      <c r="X625" s="13">
        <f t="shared" si="59"/>
        <v>7</v>
      </c>
      <c r="Z625" s="32" t="s">
        <v>163</v>
      </c>
      <c r="AA625" s="13">
        <f t="shared" si="63"/>
        <v>2</v>
      </c>
      <c r="AB625" s="13" t="str">
        <f t="shared" si="60"/>
        <v>Adult</v>
      </c>
      <c r="AC625" s="13">
        <v>1</v>
      </c>
      <c r="AD625" s="13">
        <v>1</v>
      </c>
      <c r="AE625" s="13" t="str">
        <f t="shared" si="61"/>
        <v>Morphological</v>
      </c>
      <c r="AF625" s="2">
        <v>4</v>
      </c>
    </row>
    <row r="626" spans="1:32" x14ac:dyDescent="0.25">
      <c r="A626" s="13">
        <v>622</v>
      </c>
      <c r="B626" s="23" t="s">
        <v>56</v>
      </c>
      <c r="C626" s="23" t="s">
        <v>57</v>
      </c>
      <c r="D626" s="23" t="s">
        <v>58</v>
      </c>
      <c r="E626" s="23" t="s">
        <v>58</v>
      </c>
      <c r="F626" s="35" cm="1">
        <f t="array" ref="F626">_xlfn.IFS($G626=$G$5,F$5,$G626=$G$7,F$7,$G626=$G$10,F$10,$G626=$G$13,F$13,$G626=$G$14,F$14,$G626=$G$16,F$16,$G626=$G$17,F$17,$G626=$G$19,F$19,$G626=$G$20,F$20,$G626=$G$22,F$22,$G626=$G$23,F$23,$G626=$G$26,F$26,$G626=$G$29,F$29,$G626=$G$31,F$31,$G626=$G$34,F$34,$G626=$G$37,F$37,$G626=$G$107,F$107,$G626=$G$110,F$110,$G626=$G$140,F$140,$G626=$G$142,F$142,$G626=$G$408,F$408)</f>
        <v>8023</v>
      </c>
      <c r="G626" s="13" t="s">
        <v>74</v>
      </c>
      <c r="H626" s="51" cm="1">
        <f t="array" ref="H626">_xlfn.IFS($G626=$G$5,H$5,$G626=$G$7,H$7,$G626=$G$10,H$10,$G626=$G$13,H$13,$G626=$G$14,H$14,$G626=$G$16,H$16,$G626=$G$17,H$17,$G626=$G$19,H$19,$G626=$G$20,H$20,$G626=$G$22,H$22,$G626=$G$23,H$23,$G626=$G$26,H$26,$G626=$G$29,H$29,$G626=$G$31,H$31,$G626=$G$34,H$34,$G626=$G$37,H$37,$G626=$G$107,H$107,$G626=$G$110,H$110,$G626=$G$140,H$140,$G626=$G$142,H$142,$G626=$G$408,H$408)</f>
        <v>41.417256000000002</v>
      </c>
      <c r="I626" s="51" cm="1">
        <f t="array" ref="I626">_xlfn.IFS($G626=$G$5,I$5,$G626=$G$7,I$7,$G626=$G$10,I$10,$G626=$G$13,I$13,$G626=$G$14,I$14,$G626=$G$16,I$16,$G626=$G$17,I$17,$G626=$G$19,I$19,$G626=$G$20,I$20,$G626=$G$22,I$22,$G626=$G$23,I$23,$G626=$G$26,I$26,$G626=$G$29,I$29,$G626=$G$31,I$31,$G626=$G$34,I$34,$G626=$G$37,I$37,$G626=$G$107,I$107,$G626=$G$110,I$110,$G626=$G$140,I$140,$G626=$G$142,I$142,$G626=$G$408,I$408)</f>
        <v>2.1455709999999999</v>
      </c>
      <c r="J626" s="51" cm="1">
        <f t="array" ref="J626">_xlfn.IFS($G626=$G$5,J$5,$G626=$G$7,J$7,$G626=$G$10,J$10,$G626=$G$13,J$13,$G626=$G$14,J$14,$G626=$G$16,J$16,$G626=$G$17,J$17,$G626=$G$19,J$19,$G626=$G$20,J$20,$G626=$G$22,J$22,$G626=$G$23,J$23,$G626=$G$26,J$26,$G626=$G$29,J$29,$G626=$G$31,J$31,$G626=$G$34,J$34,$G626=$G$37,J$37,$G626=$G$107,J$107,$G626=$G$110,J$110,$G626=$G$140,J$140,$G626=$G$142,J$142,$G626=$G$408,J$408)</f>
        <v>186</v>
      </c>
      <c r="K626" s="13" t="str" cm="1">
        <f t="array" ref="K626">_xlfn.IFS($G626=$G$5,K$5,$G626=$G$7,K$7,$G626=$G$10,K$10,$G626=$G$13,K$13,$G626=$G$14,K$14,$G626=$G$16,K$16,$G626=$G$17,K$17,$G626=$G$19,K$19,$G626=$G$20,K$20,$G626=$G$22,K$22,$G626=$G$23,K$23,$G626=$G$26,K$26,$G626=$G$29,K$29,$G626=$G$31,K$31,$G626=$G$34,K$34,$G626=$G$37,K$37,$G626=$G$107,K$107,$G626=$G$110,K$110,$G626=$G$140,K$140,$G626=$G$142,K$142,$G626=$G$408,K$408)</f>
        <v>BG sentinel + BG lure7</v>
      </c>
      <c r="O626" s="13" t="str">
        <f t="shared" si="62"/>
        <v>A_SP_BCN_17_221026</v>
      </c>
      <c r="P626" s="27">
        <v>44860</v>
      </c>
      <c r="Q626" s="29">
        <v>0.63541666666666663</v>
      </c>
      <c r="R626" s="33"/>
      <c r="S626" s="27">
        <v>44867</v>
      </c>
      <c r="T626" s="29">
        <v>0.72222222222222221</v>
      </c>
      <c r="V626" s="13" t="s">
        <v>86</v>
      </c>
      <c r="X626" s="13">
        <f t="shared" si="59"/>
        <v>7</v>
      </c>
      <c r="Z626" s="13" t="s">
        <v>60</v>
      </c>
      <c r="AA626" s="13">
        <f t="shared" si="63"/>
        <v>5</v>
      </c>
      <c r="AB626" s="13" t="str">
        <f t="shared" si="60"/>
        <v>Adult</v>
      </c>
      <c r="AC626" s="13">
        <v>5</v>
      </c>
      <c r="AD626" s="13">
        <v>0</v>
      </c>
      <c r="AE626" s="13" t="str">
        <f t="shared" si="61"/>
        <v>Morphological</v>
      </c>
      <c r="AF626" s="2">
        <v>4</v>
      </c>
    </row>
    <row r="627" spans="1:32" x14ac:dyDescent="0.25">
      <c r="A627" s="13">
        <v>623</v>
      </c>
      <c r="B627" s="23" t="s">
        <v>56</v>
      </c>
      <c r="C627" s="23" t="s">
        <v>57</v>
      </c>
      <c r="D627" s="23" t="s">
        <v>58</v>
      </c>
      <c r="E627" s="23" t="s">
        <v>58</v>
      </c>
      <c r="F627" s="35" cm="1">
        <f t="array" ref="F627">_xlfn.IFS($G627=$G$5,F$5,$G627=$G$7,F$7,$G627=$G$10,F$10,$G627=$G$13,F$13,$G627=$G$14,F$14,$G627=$G$16,F$16,$G627=$G$17,F$17,$G627=$G$19,F$19,$G627=$G$20,F$20,$G627=$G$22,F$22,$G627=$G$23,F$23,$G627=$G$26,F$26,$G627=$G$29,F$29,$G627=$G$31,F$31,$G627=$G$34,F$34,$G627=$G$37,F$37,$G627=$G$107,F$107,$G627=$G$110,F$110,$G627=$G$140,F$140,$G627=$G$142,F$142,$G627=$G$408,F$408)</f>
        <v>8023</v>
      </c>
      <c r="G627" s="13" t="s">
        <v>74</v>
      </c>
      <c r="H627" s="51" cm="1">
        <f t="array" ref="H627">_xlfn.IFS($G627=$G$5,H$5,$G627=$G$7,H$7,$G627=$G$10,H$10,$G627=$G$13,H$13,$G627=$G$14,H$14,$G627=$G$16,H$16,$G627=$G$17,H$17,$G627=$G$19,H$19,$G627=$G$20,H$20,$G627=$G$22,H$22,$G627=$G$23,H$23,$G627=$G$26,H$26,$G627=$G$29,H$29,$G627=$G$31,H$31,$G627=$G$34,H$34,$G627=$G$37,H$37,$G627=$G$107,H$107,$G627=$G$110,H$110,$G627=$G$140,H$140,$G627=$G$142,H$142,$G627=$G$408,H$408)</f>
        <v>41.417256000000002</v>
      </c>
      <c r="I627" s="51" cm="1">
        <f t="array" ref="I627">_xlfn.IFS($G627=$G$5,I$5,$G627=$G$7,I$7,$G627=$G$10,I$10,$G627=$G$13,I$13,$G627=$G$14,I$14,$G627=$G$16,I$16,$G627=$G$17,I$17,$G627=$G$19,I$19,$G627=$G$20,I$20,$G627=$G$22,I$22,$G627=$G$23,I$23,$G627=$G$26,I$26,$G627=$G$29,I$29,$G627=$G$31,I$31,$G627=$G$34,I$34,$G627=$G$37,I$37,$G627=$G$107,I$107,$G627=$G$110,I$110,$G627=$G$140,I$140,$G627=$G$142,I$142,$G627=$G$408,I$408)</f>
        <v>2.1455709999999999</v>
      </c>
      <c r="J627" s="51" cm="1">
        <f t="array" ref="J627">_xlfn.IFS($G627=$G$5,J$5,$G627=$G$7,J$7,$G627=$G$10,J$10,$G627=$G$13,J$13,$G627=$G$14,J$14,$G627=$G$16,J$16,$G627=$G$17,J$17,$G627=$G$19,J$19,$G627=$G$20,J$20,$G627=$G$22,J$22,$G627=$G$23,J$23,$G627=$G$26,J$26,$G627=$G$29,J$29,$G627=$G$31,J$31,$G627=$G$34,J$34,$G627=$G$37,J$37,$G627=$G$107,J$107,$G627=$G$110,J$110,$G627=$G$140,J$140,$G627=$G$142,J$142,$G627=$G$408,J$408)</f>
        <v>186</v>
      </c>
      <c r="K627" s="13" t="str" cm="1">
        <f t="array" ref="K627">_xlfn.IFS($G627=$G$5,K$5,$G627=$G$7,K$7,$G627=$G$10,K$10,$G627=$G$13,K$13,$G627=$G$14,K$14,$G627=$G$16,K$16,$G627=$G$17,K$17,$G627=$G$19,K$19,$G627=$G$20,K$20,$G627=$G$22,K$22,$G627=$G$23,K$23,$G627=$G$26,K$26,$G627=$G$29,K$29,$G627=$G$31,K$31,$G627=$G$34,K$34,$G627=$G$37,K$37,$G627=$G$107,K$107,$G627=$G$110,K$110,$G627=$G$140,K$140,$G627=$G$142,K$142,$G627=$G$408,K$408)</f>
        <v>BG sentinel + BG lure7</v>
      </c>
      <c r="O627" s="13" t="str">
        <f t="shared" si="62"/>
        <v>A_SP_BCN_17_221026</v>
      </c>
      <c r="P627" s="27">
        <v>44860</v>
      </c>
      <c r="Q627" s="29">
        <v>0.63541666666666663</v>
      </c>
      <c r="R627" s="33"/>
      <c r="S627" s="27">
        <v>44867</v>
      </c>
      <c r="T627" s="29">
        <v>0.72222222222222221</v>
      </c>
      <c r="V627" s="13" t="s">
        <v>86</v>
      </c>
      <c r="X627" s="13">
        <f t="shared" si="59"/>
        <v>7</v>
      </c>
      <c r="Z627" s="32" t="s">
        <v>163</v>
      </c>
      <c r="AA627" s="13">
        <f t="shared" si="63"/>
        <v>1</v>
      </c>
      <c r="AB627" s="13" t="str">
        <f t="shared" si="60"/>
        <v>Adult</v>
      </c>
      <c r="AC627" s="13">
        <v>1</v>
      </c>
      <c r="AD627" s="13">
        <v>0</v>
      </c>
      <c r="AE627" s="13" t="str">
        <f t="shared" si="61"/>
        <v>Morphological</v>
      </c>
      <c r="AF627" s="2">
        <v>4</v>
      </c>
    </row>
    <row r="628" spans="1:32" x14ac:dyDescent="0.25">
      <c r="A628" s="13">
        <v>624</v>
      </c>
      <c r="B628" s="23" t="s">
        <v>56</v>
      </c>
      <c r="C628" s="23" t="s">
        <v>57</v>
      </c>
      <c r="D628" s="23" t="s">
        <v>58</v>
      </c>
      <c r="E628" s="23" t="s">
        <v>58</v>
      </c>
      <c r="F628" s="35" cm="1">
        <f t="array" ref="F628">_xlfn.IFS($G628=$G$5,F$5,$G628=$G$7,F$7,$G628=$G$10,F$10,$G628=$G$13,F$13,$G628=$G$14,F$14,$G628=$G$16,F$16,$G628=$G$17,F$17,$G628=$G$19,F$19,$G628=$G$20,F$20,$G628=$G$22,F$22,$G628=$G$23,F$23,$G628=$G$26,F$26,$G628=$G$29,F$29,$G628=$G$31,F$31,$G628=$G$34,F$34,$G628=$G$37,F$37,$G628=$G$107,F$107,$G628=$G$110,F$110,$G628=$G$140,F$140,$G628=$G$142,F$142,$G628=$G$408,F$408)</f>
        <v>8031</v>
      </c>
      <c r="G628" s="13" t="s">
        <v>75</v>
      </c>
      <c r="H628" s="51" cm="1">
        <f t="array" ref="H628">_xlfn.IFS($G628=$G$5,H$5,$G628=$G$7,H$7,$G628=$G$10,H$10,$G628=$G$13,H$13,$G628=$G$14,H$14,$G628=$G$16,H$16,$G628=$G$17,H$17,$G628=$G$19,H$19,$G628=$G$20,H$20,$G628=$G$22,H$22,$G628=$G$23,H$23,$G628=$G$26,H$26,$G628=$G$29,H$29,$G628=$G$31,H$31,$G628=$G$34,H$34,$G628=$G$37,H$37,$G628=$G$107,H$107,$G628=$G$110,H$110,$G628=$G$140,H$140,$G628=$G$142,H$142,$G628=$G$408,H$408)</f>
        <v>41.433618000000003</v>
      </c>
      <c r="I628" s="51" cm="1">
        <f t="array" ref="I628">_xlfn.IFS($G628=$G$5,I$5,$G628=$G$7,I$7,$G628=$G$10,I$10,$G628=$G$13,I$13,$G628=$G$14,I$14,$G628=$G$16,I$16,$G628=$G$17,I$17,$G628=$G$19,I$19,$G628=$G$20,I$20,$G628=$G$22,I$22,$G628=$G$23,I$23,$G628=$G$26,I$26,$G628=$G$29,I$29,$G628=$G$31,I$31,$G628=$G$34,I$34,$G628=$G$37,I$37,$G628=$G$107,I$107,$G628=$G$110,I$110,$G628=$G$140,I$140,$G628=$G$142,I$142,$G628=$G$408,I$408)</f>
        <v>2.1677469999999999</v>
      </c>
      <c r="J628" s="51" cm="1">
        <f t="array" ref="J628">_xlfn.IFS($G628=$G$5,J$5,$G628=$G$7,J$7,$G628=$G$10,J$10,$G628=$G$13,J$13,$G628=$G$14,J$14,$G628=$G$16,J$16,$G628=$G$17,J$17,$G628=$G$19,J$19,$G628=$G$20,J$20,$G628=$G$22,J$22,$G628=$G$23,J$23,$G628=$G$26,J$26,$G628=$G$29,J$29,$G628=$G$31,J$31,$G628=$G$34,J$34,$G628=$G$37,J$37,$G628=$G$107,J$107,$G628=$G$110,J$110,$G628=$G$140,J$140,$G628=$G$142,J$142,$G628=$G$408,J$408)</f>
        <v>96.85</v>
      </c>
      <c r="K628" s="13" t="str" cm="1">
        <f t="array" ref="K628">_xlfn.IFS($G628=$G$5,K$5,$G628=$G$7,K$7,$G628=$G$10,K$10,$G628=$G$13,K$13,$G628=$G$14,K$14,$G628=$G$16,K$16,$G628=$G$17,K$17,$G628=$G$19,K$19,$G628=$G$20,K$20,$G628=$G$22,K$22,$G628=$G$23,K$23,$G628=$G$26,K$26,$G628=$G$29,K$29,$G628=$G$31,K$31,$G628=$G$34,K$34,$G628=$G$37,K$37,$G628=$G$107,K$107,$G628=$G$110,K$110,$G628=$G$140,K$140,$G628=$G$142,K$142,$G628=$G$408,K$408)</f>
        <v>BG sentinel + BG lure7</v>
      </c>
      <c r="O628" s="13" t="str">
        <f t="shared" si="62"/>
        <v>A_SP_BCN_18_221026</v>
      </c>
      <c r="P628" s="27">
        <v>44860</v>
      </c>
      <c r="Q628" s="29">
        <v>0.78472222222222221</v>
      </c>
      <c r="R628" s="33"/>
      <c r="S628" s="27">
        <v>44867</v>
      </c>
      <c r="T628" s="29">
        <v>0.82986111111111116</v>
      </c>
      <c r="V628" s="13" t="s">
        <v>86</v>
      </c>
      <c r="X628" s="13">
        <f t="shared" si="59"/>
        <v>7</v>
      </c>
      <c r="Z628" s="13" t="s">
        <v>60</v>
      </c>
      <c r="AA628" s="13">
        <f t="shared" si="63"/>
        <v>18</v>
      </c>
      <c r="AB628" s="13" t="str">
        <f t="shared" si="60"/>
        <v>Adult</v>
      </c>
      <c r="AC628" s="13">
        <v>16</v>
      </c>
      <c r="AD628" s="13">
        <v>2</v>
      </c>
      <c r="AE628" s="13" t="str">
        <f t="shared" si="61"/>
        <v>Morphological</v>
      </c>
      <c r="AF628" s="2">
        <v>4</v>
      </c>
    </row>
    <row r="629" spans="1:32" x14ac:dyDescent="0.25">
      <c r="A629" s="13">
        <v>625</v>
      </c>
      <c r="B629" s="23" t="s">
        <v>56</v>
      </c>
      <c r="C629" s="23" t="s">
        <v>57</v>
      </c>
      <c r="D629" s="23" t="s">
        <v>58</v>
      </c>
      <c r="E629" s="23" t="s">
        <v>58</v>
      </c>
      <c r="F629" s="35" cm="1">
        <f t="array" ref="F629">_xlfn.IFS($G629=$G$5,F$5,$G629=$G$7,F$7,$G629=$G$10,F$10,$G629=$G$13,F$13,$G629=$G$14,F$14,$G629=$G$16,F$16,$G629=$G$17,F$17,$G629=$G$19,F$19,$G629=$G$20,F$20,$G629=$G$22,F$22,$G629=$G$23,F$23,$G629=$G$26,F$26,$G629=$G$29,F$29,$G629=$G$31,F$31,$G629=$G$34,F$34,$G629=$G$37,F$37,$G629=$G$107,F$107,$G629=$G$110,F$110,$G629=$G$140,F$140,$G629=$G$142,F$142,$G629=$G$408,F$408)</f>
        <v>8031</v>
      </c>
      <c r="G629" s="13" t="s">
        <v>75</v>
      </c>
      <c r="H629" s="51" cm="1">
        <f t="array" ref="H629">_xlfn.IFS($G629=$G$5,H$5,$G629=$G$7,H$7,$G629=$G$10,H$10,$G629=$G$13,H$13,$G629=$G$14,H$14,$G629=$G$16,H$16,$G629=$G$17,H$17,$G629=$G$19,H$19,$G629=$G$20,H$20,$G629=$G$22,H$22,$G629=$G$23,H$23,$G629=$G$26,H$26,$G629=$G$29,H$29,$G629=$G$31,H$31,$G629=$G$34,H$34,$G629=$G$37,H$37,$G629=$G$107,H$107,$G629=$G$110,H$110,$G629=$G$140,H$140,$G629=$G$142,H$142,$G629=$G$408,H$408)</f>
        <v>41.433618000000003</v>
      </c>
      <c r="I629" s="51" cm="1">
        <f t="array" ref="I629">_xlfn.IFS($G629=$G$5,I$5,$G629=$G$7,I$7,$G629=$G$10,I$10,$G629=$G$13,I$13,$G629=$G$14,I$14,$G629=$G$16,I$16,$G629=$G$17,I$17,$G629=$G$19,I$19,$G629=$G$20,I$20,$G629=$G$22,I$22,$G629=$G$23,I$23,$G629=$G$26,I$26,$G629=$G$29,I$29,$G629=$G$31,I$31,$G629=$G$34,I$34,$G629=$G$37,I$37,$G629=$G$107,I$107,$G629=$G$110,I$110,$G629=$G$140,I$140,$G629=$G$142,I$142,$G629=$G$408,I$408)</f>
        <v>2.1677469999999999</v>
      </c>
      <c r="J629" s="51" cm="1">
        <f t="array" ref="J629">_xlfn.IFS($G629=$G$5,J$5,$G629=$G$7,J$7,$G629=$G$10,J$10,$G629=$G$13,J$13,$G629=$G$14,J$14,$G629=$G$16,J$16,$G629=$G$17,J$17,$G629=$G$19,J$19,$G629=$G$20,J$20,$G629=$G$22,J$22,$G629=$G$23,J$23,$G629=$G$26,J$26,$G629=$G$29,J$29,$G629=$G$31,J$31,$G629=$G$34,J$34,$G629=$G$37,J$37,$G629=$G$107,J$107,$G629=$G$110,J$110,$G629=$G$140,J$140,$G629=$G$142,J$142,$G629=$G$408,J$408)</f>
        <v>96.85</v>
      </c>
      <c r="K629" s="13" t="str" cm="1">
        <f t="array" ref="K629">_xlfn.IFS($G629=$G$5,K$5,$G629=$G$7,K$7,$G629=$G$10,K$10,$G629=$G$13,K$13,$G629=$G$14,K$14,$G629=$G$16,K$16,$G629=$G$17,K$17,$G629=$G$19,K$19,$G629=$G$20,K$20,$G629=$G$22,K$22,$G629=$G$23,K$23,$G629=$G$26,K$26,$G629=$G$29,K$29,$G629=$G$31,K$31,$G629=$G$34,K$34,$G629=$G$37,K$37,$G629=$G$107,K$107,$G629=$G$110,K$110,$G629=$G$140,K$140,$G629=$G$142,K$142,$G629=$G$408,K$408)</f>
        <v>BG sentinel + BG lure7</v>
      </c>
      <c r="O629" s="13" t="str">
        <f t="shared" si="62"/>
        <v>A_SP_BCN_18_221026</v>
      </c>
      <c r="P629" s="27">
        <v>44860</v>
      </c>
      <c r="Q629" s="29">
        <v>0.78472222222222221</v>
      </c>
      <c r="R629" s="33"/>
      <c r="S629" s="27">
        <v>44867</v>
      </c>
      <c r="T629" s="29">
        <v>0.82986111111111116</v>
      </c>
      <c r="V629" s="13" t="s">
        <v>86</v>
      </c>
      <c r="X629" s="13">
        <f t="shared" si="59"/>
        <v>7</v>
      </c>
      <c r="Z629" s="32" t="s">
        <v>163</v>
      </c>
      <c r="AA629" s="13">
        <f t="shared" si="63"/>
        <v>2</v>
      </c>
      <c r="AB629" s="13" t="str">
        <f t="shared" si="60"/>
        <v>Adult</v>
      </c>
      <c r="AC629" s="13">
        <v>2</v>
      </c>
      <c r="AD629" s="13">
        <v>0</v>
      </c>
      <c r="AE629" s="13" t="str">
        <f t="shared" si="61"/>
        <v>Morphological</v>
      </c>
      <c r="AF629" s="2">
        <v>4</v>
      </c>
    </row>
    <row r="630" spans="1:32" x14ac:dyDescent="0.25">
      <c r="A630" s="13">
        <v>626</v>
      </c>
      <c r="B630" s="23" t="s">
        <v>56</v>
      </c>
      <c r="C630" s="23" t="s">
        <v>57</v>
      </c>
      <c r="D630" s="23" t="s">
        <v>58</v>
      </c>
      <c r="E630" s="23" t="s">
        <v>58</v>
      </c>
      <c r="F630" s="35" cm="1">
        <f t="array" ref="F630">_xlfn.IFS($G630=$G$5,F$5,$G630=$G$7,F$7,$G630=$G$10,F$10,$G630=$G$13,F$13,$G630=$G$14,F$14,$G630=$G$16,F$16,$G630=$G$17,F$17,$G630=$G$19,F$19,$G630=$G$20,F$20,$G630=$G$22,F$22,$G630=$G$23,F$23,$G630=$G$26,F$26,$G630=$G$29,F$29,$G630=$G$31,F$31,$G630=$G$34,F$34,$G630=$G$37,F$37,$G630=$G$107,F$107,$G630=$G$110,F$110,$G630=$G$140,F$140,$G630=$G$142,F$142,$G630=$G$408,F$408)</f>
        <v>8038</v>
      </c>
      <c r="G630" s="13" t="s">
        <v>76</v>
      </c>
      <c r="H630" s="51" cm="1">
        <f t="array" ref="H630">_xlfn.IFS($G630=$G$5,H$5,$G630=$G$7,H$7,$G630=$G$10,H$10,$G630=$G$13,H$13,$G630=$G$14,H$14,$G630=$G$16,H$16,$G630=$G$17,H$17,$G630=$G$19,H$19,$G630=$G$20,H$20,$G630=$G$22,H$22,$G630=$G$23,H$23,$G630=$G$26,H$26,$G630=$G$29,H$29,$G630=$G$31,H$31,$G630=$G$34,H$34,$G630=$G$37,H$37,$G630=$G$107,H$107,$G630=$G$110,H$110,$G630=$G$140,H$140,$G630=$G$142,H$142,$G630=$G$408,H$408)</f>
        <v>41.359864999999999</v>
      </c>
      <c r="I630" s="51" cm="1">
        <f t="array" ref="I630">_xlfn.IFS($G630=$G$5,I$5,$G630=$G$7,I$7,$G630=$G$10,I$10,$G630=$G$13,I$13,$G630=$G$14,I$14,$G630=$G$16,I$16,$G630=$G$17,I$17,$G630=$G$19,I$19,$G630=$G$20,I$20,$G630=$G$22,I$22,$G630=$G$23,I$23,$G630=$G$26,I$26,$G630=$G$29,I$29,$G630=$G$31,I$31,$G630=$G$34,I$34,$G630=$G$37,I$37,$G630=$G$107,I$107,$G630=$G$110,I$110,$G630=$G$140,I$140,$G630=$G$142,I$142,$G630=$G$408,I$408)</f>
        <v>2.1445430000000001</v>
      </c>
      <c r="J630" s="51" cm="1">
        <f t="array" ref="J630">_xlfn.IFS($G630=$G$5,J$5,$G630=$G$7,J$7,$G630=$G$10,J$10,$G630=$G$13,J$13,$G630=$G$14,J$14,$G630=$G$16,J$16,$G630=$G$17,J$17,$G630=$G$19,J$19,$G630=$G$20,J$20,$G630=$G$22,J$22,$G630=$G$23,J$23,$G630=$G$26,J$26,$G630=$G$29,J$29,$G630=$G$31,J$31,$G630=$G$34,J$34,$G630=$G$37,J$37,$G630=$G$107,J$107,$G630=$G$110,J$110,$G630=$G$140,J$140,$G630=$G$142,J$142,$G630=$G$408,J$408)</f>
        <v>11.4</v>
      </c>
      <c r="K630" s="13" t="str" cm="1">
        <f t="array" ref="K630">_xlfn.IFS($G630=$G$5,K$5,$G630=$G$7,K$7,$G630=$G$10,K$10,$G630=$G$13,K$13,$G630=$G$14,K$14,$G630=$G$16,K$16,$G630=$G$17,K$17,$G630=$G$19,K$19,$G630=$G$20,K$20,$G630=$G$22,K$22,$G630=$G$23,K$23,$G630=$G$26,K$26,$G630=$G$29,K$29,$G630=$G$31,K$31,$G630=$G$34,K$34,$G630=$G$37,K$37,$G630=$G$107,K$107,$G630=$G$110,K$110,$G630=$G$140,K$140,$G630=$G$142,K$142,$G630=$G$408,K$408)</f>
        <v>BG sentinel + BG lure7</v>
      </c>
      <c r="O630" s="13" t="str">
        <f t="shared" si="62"/>
        <v>A_SP_BCN_19_221026</v>
      </c>
      <c r="P630" s="27">
        <v>44860</v>
      </c>
      <c r="Q630" s="29">
        <v>0.55208333333333337</v>
      </c>
      <c r="R630" s="33"/>
      <c r="S630" s="27">
        <v>44867</v>
      </c>
      <c r="T630" s="29">
        <v>0.60416666666666663</v>
      </c>
      <c r="V630" s="13" t="s">
        <v>86</v>
      </c>
      <c r="W630" s="15" t="s">
        <v>156</v>
      </c>
      <c r="X630" s="13">
        <f t="shared" si="59"/>
        <v>7</v>
      </c>
      <c r="Z630" s="13" t="s">
        <v>60</v>
      </c>
      <c r="AA630" s="13">
        <f t="shared" si="63"/>
        <v>2</v>
      </c>
      <c r="AB630" s="13" t="str">
        <f t="shared" si="60"/>
        <v>Adult</v>
      </c>
      <c r="AC630" s="13">
        <v>1</v>
      </c>
      <c r="AD630" s="13">
        <v>1</v>
      </c>
      <c r="AE630" s="13" t="str">
        <f t="shared" si="61"/>
        <v>Morphological</v>
      </c>
      <c r="AF630" s="2">
        <v>2</v>
      </c>
    </row>
    <row r="631" spans="1:32" x14ac:dyDescent="0.25">
      <c r="A631" s="13">
        <v>627</v>
      </c>
      <c r="B631" s="23" t="s">
        <v>56</v>
      </c>
      <c r="C631" s="23" t="s">
        <v>57</v>
      </c>
      <c r="D631" s="23" t="s">
        <v>58</v>
      </c>
      <c r="E631" s="23" t="s">
        <v>58</v>
      </c>
      <c r="F631" s="35" cm="1">
        <f t="array" ref="F631">_xlfn.IFS($G631=$G$5,F$5,$G631=$G$7,F$7,$G631=$G$10,F$10,$G631=$G$13,F$13,$G631=$G$14,F$14,$G631=$G$16,F$16,$G631=$G$17,F$17,$G631=$G$19,F$19,$G631=$G$20,F$20,$G631=$G$22,F$22,$G631=$G$23,F$23,$G631=$G$26,F$26,$G631=$G$29,F$29,$G631=$G$31,F$31,$G631=$G$34,F$34,$G631=$G$37,F$37,$G631=$G$107,F$107,$G631=$G$110,F$110,$G631=$G$140,F$140,$G631=$G$142,F$142,$G631=$G$408,F$408)</f>
        <v>8038</v>
      </c>
      <c r="G631" s="13" t="s">
        <v>76</v>
      </c>
      <c r="H631" s="51" cm="1">
        <f t="array" ref="H631">_xlfn.IFS($G631=$G$5,H$5,$G631=$G$7,H$7,$G631=$G$10,H$10,$G631=$G$13,H$13,$G631=$G$14,H$14,$G631=$G$16,H$16,$G631=$G$17,H$17,$G631=$G$19,H$19,$G631=$G$20,H$20,$G631=$G$22,H$22,$G631=$G$23,H$23,$G631=$G$26,H$26,$G631=$G$29,H$29,$G631=$G$31,H$31,$G631=$G$34,H$34,$G631=$G$37,H$37,$G631=$G$107,H$107,$G631=$G$110,H$110,$G631=$G$140,H$140,$G631=$G$142,H$142,$G631=$G$408,H$408)</f>
        <v>41.359864999999999</v>
      </c>
      <c r="I631" s="51" cm="1">
        <f t="array" ref="I631">_xlfn.IFS($G631=$G$5,I$5,$G631=$G$7,I$7,$G631=$G$10,I$10,$G631=$G$13,I$13,$G631=$G$14,I$14,$G631=$G$16,I$16,$G631=$G$17,I$17,$G631=$G$19,I$19,$G631=$G$20,I$20,$G631=$G$22,I$22,$G631=$G$23,I$23,$G631=$G$26,I$26,$G631=$G$29,I$29,$G631=$G$31,I$31,$G631=$G$34,I$34,$G631=$G$37,I$37,$G631=$G$107,I$107,$G631=$G$110,I$110,$G631=$G$140,I$140,$G631=$G$142,I$142,$G631=$G$408,I$408)</f>
        <v>2.1445430000000001</v>
      </c>
      <c r="J631" s="51" cm="1">
        <f t="array" ref="J631">_xlfn.IFS($G631=$G$5,J$5,$G631=$G$7,J$7,$G631=$G$10,J$10,$G631=$G$13,J$13,$G631=$G$14,J$14,$G631=$G$16,J$16,$G631=$G$17,J$17,$G631=$G$19,J$19,$G631=$G$20,J$20,$G631=$G$22,J$22,$G631=$G$23,J$23,$G631=$G$26,J$26,$G631=$G$29,J$29,$G631=$G$31,J$31,$G631=$G$34,J$34,$G631=$G$37,J$37,$G631=$G$107,J$107,$G631=$G$110,J$110,$G631=$G$140,J$140,$G631=$G$142,J$142,$G631=$G$408,J$408)</f>
        <v>11.4</v>
      </c>
      <c r="K631" s="13" t="str" cm="1">
        <f t="array" ref="K631">_xlfn.IFS($G631=$G$5,K$5,$G631=$G$7,K$7,$G631=$G$10,K$10,$G631=$G$13,K$13,$G631=$G$14,K$14,$G631=$G$16,K$16,$G631=$G$17,K$17,$G631=$G$19,K$19,$G631=$G$20,K$20,$G631=$G$22,K$22,$G631=$G$23,K$23,$G631=$G$26,K$26,$G631=$G$29,K$29,$G631=$G$31,K$31,$G631=$G$34,K$34,$G631=$G$37,K$37,$G631=$G$107,K$107,$G631=$G$110,K$110,$G631=$G$140,K$140,$G631=$G$142,K$142,$G631=$G$408,K$408)</f>
        <v>BG sentinel + BG lure7</v>
      </c>
      <c r="O631" s="13" t="str">
        <f t="shared" si="62"/>
        <v>A_SP_BCN_19_221026</v>
      </c>
      <c r="P631" s="27">
        <v>44860</v>
      </c>
      <c r="Q631" s="29">
        <v>0.55208333333333337</v>
      </c>
      <c r="R631" s="33"/>
      <c r="S631" s="27">
        <v>44867</v>
      </c>
      <c r="T631" s="29">
        <v>0.60416666666666663</v>
      </c>
      <c r="V631" s="13" t="s">
        <v>86</v>
      </c>
      <c r="W631" s="15" t="s">
        <v>156</v>
      </c>
      <c r="X631" s="13">
        <f t="shared" si="59"/>
        <v>7</v>
      </c>
      <c r="Z631" s="13" t="s">
        <v>164</v>
      </c>
      <c r="AA631" s="13">
        <f t="shared" si="63"/>
        <v>2</v>
      </c>
      <c r="AB631" s="13" t="str">
        <f t="shared" si="60"/>
        <v>Adult</v>
      </c>
      <c r="AC631" s="13">
        <v>2</v>
      </c>
      <c r="AD631" s="13">
        <v>0</v>
      </c>
      <c r="AE631" s="13" t="str">
        <f t="shared" si="61"/>
        <v>Morphological</v>
      </c>
      <c r="AF631" s="2">
        <v>2</v>
      </c>
    </row>
    <row r="632" spans="1:32" x14ac:dyDescent="0.25">
      <c r="A632" s="13">
        <v>628</v>
      </c>
      <c r="B632" s="23" t="s">
        <v>56</v>
      </c>
      <c r="C632" s="23" t="s">
        <v>57</v>
      </c>
      <c r="D632" s="23" t="s">
        <v>58</v>
      </c>
      <c r="E632" s="23" t="s">
        <v>58</v>
      </c>
      <c r="F632" s="35" cm="1">
        <f t="array" ref="F632">_xlfn.IFS($G632=$G$5,F$5,$G632=$G$7,F$7,$G632=$G$10,F$10,$G632=$G$13,F$13,$G632=$G$14,F$14,$G632=$G$16,F$16,$G632=$G$17,F$17,$G632=$G$19,F$19,$G632=$G$20,F$20,$G632=$G$22,F$22,$G632=$G$23,F$23,$G632=$G$26,F$26,$G632=$G$29,F$29,$G632=$G$31,F$31,$G632=$G$34,F$34,$G632=$G$37,F$37,$G632=$G$107,F$107,$G632=$G$110,F$110,$G632=$G$140,F$140,$G632=$G$142,F$142,$G632=$G$408,F$408)</f>
        <v>8017</v>
      </c>
      <c r="G632" s="13" t="s">
        <v>77</v>
      </c>
      <c r="H632" s="51" cm="1">
        <f t="array" ref="H632">_xlfn.IFS($G632=$G$5,H$5,$G632=$G$7,H$7,$G632=$G$10,H$10,$G632=$G$13,H$13,$G632=$G$14,H$14,$G632=$G$16,H$16,$G632=$G$17,H$17,$G632=$G$19,H$19,$G632=$G$20,H$20,$G632=$G$22,H$22,$G632=$G$23,H$23,$G632=$G$26,H$26,$G632=$G$29,H$29,$G632=$G$31,H$31,$G632=$G$34,H$34,$G632=$G$37,H$37,$G632=$G$107,H$107,$G632=$G$110,H$110,$G632=$G$140,H$140,$G632=$G$142,H$142,$G632=$G$408,H$408)</f>
        <v>41.430315999999998</v>
      </c>
      <c r="I632" s="51" cm="1">
        <f t="array" ref="I632">_xlfn.IFS($G632=$G$5,I$5,$G632=$G$7,I$7,$G632=$G$10,I$10,$G632=$G$13,I$13,$G632=$G$14,I$14,$G632=$G$16,I$16,$G632=$G$17,I$17,$G632=$G$19,I$19,$G632=$G$20,I$20,$G632=$G$22,I$22,$G632=$G$23,I$23,$G632=$G$26,I$26,$G632=$G$29,I$29,$G632=$G$31,I$31,$G632=$G$34,I$34,$G632=$G$37,I$37,$G632=$G$107,I$107,$G632=$G$110,I$110,$G632=$G$140,I$140,$G632=$G$142,I$142,$G632=$G$408,I$408)</f>
        <v>2.077556</v>
      </c>
      <c r="J632" s="51" cm="1">
        <f t="array" ref="J632">_xlfn.IFS($G632=$G$5,J$5,$G632=$G$7,J$7,$G632=$G$10,J$10,$G632=$G$13,J$13,$G632=$G$14,J$14,$G632=$G$16,J$16,$G632=$G$17,J$17,$G632=$G$19,J$19,$G632=$G$20,J$20,$G632=$G$22,J$22,$G632=$G$23,J$23,$G632=$G$26,J$26,$G632=$G$29,J$29,$G632=$G$31,J$31,$G632=$G$34,J$34,$G632=$G$37,J$37,$G632=$G$107,J$107,$G632=$G$110,J$110,$G632=$G$140,J$140,$G632=$G$142,J$142,$G632=$G$408,J$408)</f>
        <v>243.3</v>
      </c>
      <c r="K632" s="13" t="str" cm="1">
        <f t="array" ref="K632">_xlfn.IFS($G632=$G$5,K$5,$G632=$G$7,K$7,$G632=$G$10,K$10,$G632=$G$13,K$13,$G632=$G$14,K$14,$G632=$G$16,K$16,$G632=$G$17,K$17,$G632=$G$19,K$19,$G632=$G$20,K$20,$G632=$G$22,K$22,$G632=$G$23,K$23,$G632=$G$26,K$26,$G632=$G$29,K$29,$G632=$G$31,K$31,$G632=$G$34,K$34,$G632=$G$37,K$37,$G632=$G$107,K$107,$G632=$G$110,K$110,$G632=$G$140,K$140,$G632=$G$142,K$142,$G632=$G$408,K$408)</f>
        <v>BG sentinel + BG lure7</v>
      </c>
      <c r="O632" s="13" t="str">
        <f t="shared" si="62"/>
        <v>A_SP_BCN_22_221026</v>
      </c>
      <c r="P632" s="27">
        <v>44860</v>
      </c>
      <c r="Q632" s="29">
        <v>0.72569444444444453</v>
      </c>
      <c r="R632" s="33"/>
      <c r="S632" s="27">
        <v>44867</v>
      </c>
      <c r="T632" s="29">
        <v>0.76041666666666663</v>
      </c>
      <c r="V632" s="13" t="s">
        <v>86</v>
      </c>
      <c r="X632" s="13">
        <f t="shared" si="59"/>
        <v>7</v>
      </c>
      <c r="Z632" s="13" t="s">
        <v>60</v>
      </c>
      <c r="AA632" s="13">
        <f t="shared" si="63"/>
        <v>5</v>
      </c>
      <c r="AB632" s="13" t="str">
        <f t="shared" si="60"/>
        <v>Adult</v>
      </c>
      <c r="AC632" s="13">
        <v>4</v>
      </c>
      <c r="AD632" s="13">
        <v>1</v>
      </c>
      <c r="AE632" s="13" t="str">
        <f t="shared" si="61"/>
        <v>Morphological</v>
      </c>
      <c r="AF632" s="2">
        <v>4</v>
      </c>
    </row>
    <row r="633" spans="1:32" x14ac:dyDescent="0.25">
      <c r="A633" s="13">
        <v>629</v>
      </c>
      <c r="B633" s="23" t="s">
        <v>56</v>
      </c>
      <c r="C633" s="23" t="s">
        <v>57</v>
      </c>
      <c r="D633" s="23" t="s">
        <v>58</v>
      </c>
      <c r="E633" s="23" t="s">
        <v>58</v>
      </c>
      <c r="F633" s="35" cm="1">
        <f t="array" ref="F633">_xlfn.IFS($G633=$G$5,F$5,$G633=$G$7,F$7,$G633=$G$10,F$10,$G633=$G$13,F$13,$G633=$G$14,F$14,$G633=$G$16,F$16,$G633=$G$17,F$17,$G633=$G$19,F$19,$G633=$G$20,F$20,$G633=$G$22,F$22,$G633=$G$23,F$23,$G633=$G$26,F$26,$G633=$G$29,F$29,$G633=$G$31,F$31,$G633=$G$34,F$34,$G633=$G$37,F$37,$G633=$G$107,F$107,$G633=$G$110,F$110,$G633=$G$140,F$140,$G633=$G$142,F$142,$G633=$G$408,F$408)</f>
        <v>8017</v>
      </c>
      <c r="G633" s="13" t="s">
        <v>77</v>
      </c>
      <c r="H633" s="51" cm="1">
        <f t="array" ref="H633">_xlfn.IFS($G633=$G$5,H$5,$G633=$G$7,H$7,$G633=$G$10,H$10,$G633=$G$13,H$13,$G633=$G$14,H$14,$G633=$G$16,H$16,$G633=$G$17,H$17,$G633=$G$19,H$19,$G633=$G$20,H$20,$G633=$G$22,H$22,$G633=$G$23,H$23,$G633=$G$26,H$26,$G633=$G$29,H$29,$G633=$G$31,H$31,$G633=$G$34,H$34,$G633=$G$37,H$37,$G633=$G$107,H$107,$G633=$G$110,H$110,$G633=$G$140,H$140,$G633=$G$142,H$142,$G633=$G$408,H$408)</f>
        <v>41.430315999999998</v>
      </c>
      <c r="I633" s="51" cm="1">
        <f t="array" ref="I633">_xlfn.IFS($G633=$G$5,I$5,$G633=$G$7,I$7,$G633=$G$10,I$10,$G633=$G$13,I$13,$G633=$G$14,I$14,$G633=$G$16,I$16,$G633=$G$17,I$17,$G633=$G$19,I$19,$G633=$G$20,I$20,$G633=$G$22,I$22,$G633=$G$23,I$23,$G633=$G$26,I$26,$G633=$G$29,I$29,$G633=$G$31,I$31,$G633=$G$34,I$34,$G633=$G$37,I$37,$G633=$G$107,I$107,$G633=$G$110,I$110,$G633=$G$140,I$140,$G633=$G$142,I$142,$G633=$G$408,I$408)</f>
        <v>2.077556</v>
      </c>
      <c r="J633" s="51" cm="1">
        <f t="array" ref="J633">_xlfn.IFS($G633=$G$5,J$5,$G633=$G$7,J$7,$G633=$G$10,J$10,$G633=$G$13,J$13,$G633=$G$14,J$14,$G633=$G$16,J$16,$G633=$G$17,J$17,$G633=$G$19,J$19,$G633=$G$20,J$20,$G633=$G$22,J$22,$G633=$G$23,J$23,$G633=$G$26,J$26,$G633=$G$29,J$29,$G633=$G$31,J$31,$G633=$G$34,J$34,$G633=$G$37,J$37,$G633=$G$107,J$107,$G633=$G$110,J$110,$G633=$G$140,J$140,$G633=$G$142,J$142,$G633=$G$408,J$408)</f>
        <v>243.3</v>
      </c>
      <c r="K633" s="13" t="str" cm="1">
        <f t="array" ref="K633">_xlfn.IFS($G633=$G$5,K$5,$G633=$G$7,K$7,$G633=$G$10,K$10,$G633=$G$13,K$13,$G633=$G$14,K$14,$G633=$G$16,K$16,$G633=$G$17,K$17,$G633=$G$19,K$19,$G633=$G$20,K$20,$G633=$G$22,K$22,$G633=$G$23,K$23,$G633=$G$26,K$26,$G633=$G$29,K$29,$G633=$G$31,K$31,$G633=$G$34,K$34,$G633=$G$37,K$37,$G633=$G$107,K$107,$G633=$G$110,K$110,$G633=$G$140,K$140,$G633=$G$142,K$142,$G633=$G$408,K$408)</f>
        <v>BG sentinel + BG lure7</v>
      </c>
      <c r="O633" s="13" t="str">
        <f t="shared" si="62"/>
        <v>A_SP_BCN_22_221026</v>
      </c>
      <c r="P633" s="27">
        <v>44860</v>
      </c>
      <c r="Q633" s="29">
        <v>0.72569444444444453</v>
      </c>
      <c r="R633" s="33"/>
      <c r="S633" s="27">
        <v>44867</v>
      </c>
      <c r="T633" s="29">
        <v>0.76041666666666663</v>
      </c>
      <c r="V633" s="13" t="s">
        <v>86</v>
      </c>
      <c r="X633" s="13">
        <f t="shared" si="59"/>
        <v>7</v>
      </c>
      <c r="Z633" s="32" t="s">
        <v>163</v>
      </c>
      <c r="AA633" s="13">
        <f t="shared" si="63"/>
        <v>1</v>
      </c>
      <c r="AB633" s="13" t="str">
        <f t="shared" si="60"/>
        <v>Adult</v>
      </c>
      <c r="AC633" s="13">
        <v>1</v>
      </c>
      <c r="AD633" s="13">
        <v>0</v>
      </c>
      <c r="AE633" s="13" t="str">
        <f t="shared" si="61"/>
        <v>Morphological</v>
      </c>
      <c r="AF633" s="2">
        <v>4</v>
      </c>
    </row>
    <row r="634" spans="1:32" x14ac:dyDescent="0.25">
      <c r="A634" s="13">
        <v>630</v>
      </c>
      <c r="B634" s="23" t="s">
        <v>56</v>
      </c>
      <c r="C634" s="23" t="s">
        <v>57</v>
      </c>
      <c r="D634" s="23" t="s">
        <v>58</v>
      </c>
      <c r="E634" s="23" t="s">
        <v>58</v>
      </c>
      <c r="F634" s="35" cm="1">
        <f t="array" ref="F634">_xlfn.IFS($G634=$G$5,F$5,$G634=$G$7,F$7,$G634=$G$10,F$10,$G634=$G$13,F$13,$G634=$G$14,F$14,$G634=$G$16,F$16,$G634=$G$17,F$17,$G634=$G$19,F$19,$G634=$G$20,F$20,$G634=$G$22,F$22,$G634=$G$23,F$23,$G634=$G$26,F$26,$G634=$G$29,F$29,$G634=$G$31,F$31,$G634=$G$34,F$34,$G634=$G$37,F$37,$G634=$G$107,F$107,$G634=$G$110,F$110,$G634=$G$140,F$140,$G634=$G$142,F$142,$G634=$G$408,F$408)</f>
        <v>8038</v>
      </c>
      <c r="G634" s="13" t="s">
        <v>79</v>
      </c>
      <c r="H634" s="51" cm="1">
        <f t="array" ref="H634">_xlfn.IFS($G634=$G$5,H$5,$G634=$G$7,H$7,$G634=$G$10,H$10,$G634=$G$13,H$13,$G634=$G$14,H$14,$G634=$G$16,H$16,$G634=$G$17,H$17,$G634=$G$19,H$19,$G634=$G$20,H$20,$G634=$G$22,H$22,$G634=$G$23,H$23,$G634=$G$26,H$26,$G634=$G$29,H$29,$G634=$G$31,H$31,$G634=$G$34,H$34,$G634=$G$37,H$37,$G634=$G$107,H$107,$G634=$G$110,H$110,$G634=$G$140,H$140,$G634=$G$142,H$142,$G634=$G$408,H$408)</f>
        <v>41.367100000000001</v>
      </c>
      <c r="I634" s="51" cm="1">
        <f t="array" ref="I634">_xlfn.IFS($G634=$G$5,I$5,$G634=$G$7,I$7,$G634=$G$10,I$10,$G634=$G$13,I$13,$G634=$G$14,I$14,$G634=$G$16,I$16,$G634=$G$17,I$17,$G634=$G$19,I$19,$G634=$G$20,I$20,$G634=$G$22,I$22,$G634=$G$23,I$23,$G634=$G$26,I$26,$G634=$G$29,I$29,$G634=$G$31,I$31,$G634=$G$34,I$34,$G634=$G$37,I$37,$G634=$G$107,I$107,$G634=$G$110,I$110,$G634=$G$140,I$140,$G634=$G$142,I$142,$G634=$G$408,I$408)</f>
        <v>2.1539079999999999</v>
      </c>
      <c r="J634" s="51" cm="1">
        <f t="array" ref="J634">_xlfn.IFS($G634=$G$5,J$5,$G634=$G$7,J$7,$G634=$G$10,J$10,$G634=$G$13,J$13,$G634=$G$14,J$14,$G634=$G$16,J$16,$G634=$G$17,J$17,$G634=$G$19,J$19,$G634=$G$20,J$20,$G634=$G$22,J$22,$G634=$G$23,J$23,$G634=$G$26,J$26,$G634=$G$29,J$29,$G634=$G$31,J$31,$G634=$G$34,J$34,$G634=$G$37,J$37,$G634=$G$107,J$107,$G634=$G$110,J$110,$G634=$G$140,J$140,$G634=$G$142,J$142,$G634=$G$408,J$408)</f>
        <v>68</v>
      </c>
      <c r="K634" s="13" t="str" cm="1">
        <f t="array" ref="K634">_xlfn.IFS($G634=$G$5,K$5,$G634=$G$7,K$7,$G634=$G$10,K$10,$G634=$G$13,K$13,$G634=$G$14,K$14,$G634=$G$16,K$16,$G634=$G$17,K$17,$G634=$G$19,K$19,$G634=$G$20,K$20,$G634=$G$22,K$22,$G634=$G$23,K$23,$G634=$G$26,K$26,$G634=$G$29,K$29,$G634=$G$31,K$31,$G634=$G$34,K$34,$G634=$G$37,K$37,$G634=$G$107,K$107,$G634=$G$110,K$110,$G634=$G$140,K$140,$G634=$G$142,K$142,$G634=$G$408,K$408)</f>
        <v>BG sentinel + BG lure7</v>
      </c>
      <c r="O634" s="13" t="str">
        <f t="shared" si="62"/>
        <v>A_SP_BCN_23_221026</v>
      </c>
      <c r="P634" s="27">
        <v>44860</v>
      </c>
      <c r="Q634" s="29">
        <v>0.5625</v>
      </c>
      <c r="R634" s="33"/>
      <c r="S634" s="27">
        <v>44867</v>
      </c>
      <c r="T634" s="29">
        <v>0.625</v>
      </c>
      <c r="V634" s="13" t="s">
        <v>86</v>
      </c>
      <c r="X634" s="13">
        <f t="shared" si="59"/>
        <v>7</v>
      </c>
      <c r="Z634" s="13" t="s">
        <v>60</v>
      </c>
      <c r="AA634" s="13">
        <f t="shared" si="63"/>
        <v>6</v>
      </c>
      <c r="AB634" s="13" t="str">
        <f t="shared" si="60"/>
        <v>Adult</v>
      </c>
      <c r="AC634" s="13">
        <v>6</v>
      </c>
      <c r="AD634" s="13">
        <v>0</v>
      </c>
      <c r="AE634" s="13" t="str">
        <f t="shared" si="61"/>
        <v>Morphological</v>
      </c>
      <c r="AF634" s="2">
        <v>4</v>
      </c>
    </row>
    <row r="635" spans="1:32" x14ac:dyDescent="0.25">
      <c r="A635" s="13">
        <v>631</v>
      </c>
      <c r="B635" s="23" t="s">
        <v>56</v>
      </c>
      <c r="C635" s="23" t="s">
        <v>57</v>
      </c>
      <c r="D635" s="23" t="s">
        <v>58</v>
      </c>
      <c r="E635" s="23" t="s">
        <v>58</v>
      </c>
      <c r="F635" s="35" cm="1">
        <f t="array" ref="F635">_xlfn.IFS($G635=$G$5,F$5,$G635=$G$7,F$7,$G635=$G$10,F$10,$G635=$G$13,F$13,$G635=$G$14,F$14,$G635=$G$16,F$16,$G635=$G$17,F$17,$G635=$G$19,F$19,$G635=$G$20,F$20,$G635=$G$22,F$22,$G635=$G$23,F$23,$G635=$G$26,F$26,$G635=$G$29,F$29,$G635=$G$31,F$31,$G635=$G$34,F$34,$G635=$G$37,F$37,$G635=$G$107,F$107,$G635=$G$110,F$110,$G635=$G$140,F$140,$G635=$G$142,F$142,$G635=$G$408,F$408)</f>
        <v>8038</v>
      </c>
      <c r="G635" s="13" t="s">
        <v>79</v>
      </c>
      <c r="H635" s="51" cm="1">
        <f t="array" ref="H635">_xlfn.IFS($G635=$G$5,H$5,$G635=$G$7,H$7,$G635=$G$10,H$10,$G635=$G$13,H$13,$G635=$G$14,H$14,$G635=$G$16,H$16,$G635=$G$17,H$17,$G635=$G$19,H$19,$G635=$G$20,H$20,$G635=$G$22,H$22,$G635=$G$23,H$23,$G635=$G$26,H$26,$G635=$G$29,H$29,$G635=$G$31,H$31,$G635=$G$34,H$34,$G635=$G$37,H$37,$G635=$G$107,H$107,$G635=$G$110,H$110,$G635=$G$140,H$140,$G635=$G$142,H$142,$G635=$G$408,H$408)</f>
        <v>41.367100000000001</v>
      </c>
      <c r="I635" s="51" cm="1">
        <f t="array" ref="I635">_xlfn.IFS($G635=$G$5,I$5,$G635=$G$7,I$7,$G635=$G$10,I$10,$G635=$G$13,I$13,$G635=$G$14,I$14,$G635=$G$16,I$16,$G635=$G$17,I$17,$G635=$G$19,I$19,$G635=$G$20,I$20,$G635=$G$22,I$22,$G635=$G$23,I$23,$G635=$G$26,I$26,$G635=$G$29,I$29,$G635=$G$31,I$31,$G635=$G$34,I$34,$G635=$G$37,I$37,$G635=$G$107,I$107,$G635=$G$110,I$110,$G635=$G$140,I$140,$G635=$G$142,I$142,$G635=$G$408,I$408)</f>
        <v>2.1539079999999999</v>
      </c>
      <c r="J635" s="51" cm="1">
        <f t="array" ref="J635">_xlfn.IFS($G635=$G$5,J$5,$G635=$G$7,J$7,$G635=$G$10,J$10,$G635=$G$13,J$13,$G635=$G$14,J$14,$G635=$G$16,J$16,$G635=$G$17,J$17,$G635=$G$19,J$19,$G635=$G$20,J$20,$G635=$G$22,J$22,$G635=$G$23,J$23,$G635=$G$26,J$26,$G635=$G$29,J$29,$G635=$G$31,J$31,$G635=$G$34,J$34,$G635=$G$37,J$37,$G635=$G$107,J$107,$G635=$G$110,J$110,$G635=$G$140,J$140,$G635=$G$142,J$142,$G635=$G$408,J$408)</f>
        <v>68</v>
      </c>
      <c r="K635" s="13" t="str" cm="1">
        <f t="array" ref="K635">_xlfn.IFS($G635=$G$5,K$5,$G635=$G$7,K$7,$G635=$G$10,K$10,$G635=$G$13,K$13,$G635=$G$14,K$14,$G635=$G$16,K$16,$G635=$G$17,K$17,$G635=$G$19,K$19,$G635=$G$20,K$20,$G635=$G$22,K$22,$G635=$G$23,K$23,$G635=$G$26,K$26,$G635=$G$29,K$29,$G635=$G$31,K$31,$G635=$G$34,K$34,$G635=$G$37,K$37,$G635=$G$107,K$107,$G635=$G$110,K$110,$G635=$G$140,K$140,$G635=$G$142,K$142,$G635=$G$408,K$408)</f>
        <v>BG sentinel + BG lure7</v>
      </c>
      <c r="O635" s="13" t="str">
        <f t="shared" si="62"/>
        <v>A_SP_BCN_23_221026</v>
      </c>
      <c r="P635" s="27">
        <v>44860</v>
      </c>
      <c r="Q635" s="29">
        <v>0.5625</v>
      </c>
      <c r="R635" s="33"/>
      <c r="S635" s="27">
        <v>44867</v>
      </c>
      <c r="T635" s="29">
        <v>0.625</v>
      </c>
      <c r="V635" s="13" t="s">
        <v>86</v>
      </c>
      <c r="X635" s="13">
        <f t="shared" si="59"/>
        <v>7</v>
      </c>
      <c r="Z635" s="13" t="s">
        <v>164</v>
      </c>
      <c r="AA635" s="13">
        <f t="shared" si="63"/>
        <v>45</v>
      </c>
      <c r="AB635" s="13" t="str">
        <f t="shared" si="60"/>
        <v>Adult</v>
      </c>
      <c r="AC635" s="13">
        <v>27</v>
      </c>
      <c r="AD635" s="13">
        <v>18</v>
      </c>
      <c r="AE635" s="13" t="str">
        <f t="shared" si="61"/>
        <v>Morphological</v>
      </c>
      <c r="AF635" s="2">
        <v>4</v>
      </c>
    </row>
    <row r="636" spans="1:32" x14ac:dyDescent="0.25">
      <c r="A636" s="13">
        <v>632</v>
      </c>
      <c r="B636" s="23" t="s">
        <v>56</v>
      </c>
      <c r="C636" s="23" t="s">
        <v>57</v>
      </c>
      <c r="D636" s="23" t="s">
        <v>58</v>
      </c>
      <c r="E636" s="23" t="s">
        <v>58</v>
      </c>
      <c r="F636" s="35" cm="1">
        <f t="array" ref="F636">_xlfn.IFS($G636=$G$5,F$5,$G636=$G$7,F$7,$G636=$G$10,F$10,$G636=$G$13,F$13,$G636=$G$14,F$14,$G636=$G$16,F$16,$G636=$G$17,F$17,$G636=$G$19,F$19,$G636=$G$20,F$20,$G636=$G$22,F$22,$G636=$G$23,F$23,$G636=$G$26,F$26,$G636=$G$29,F$29,$G636=$G$31,F$31,$G636=$G$34,F$34,$G636=$G$37,F$37,$G636=$G$107,F$107,$G636=$G$110,F$110,$G636=$G$140,F$140,$G636=$G$142,F$142,$G636=$G$408,F$408)</f>
        <v>8015</v>
      </c>
      <c r="G636" s="13" t="s">
        <v>78</v>
      </c>
      <c r="H636" s="51" cm="1">
        <f t="array" ref="H636">_xlfn.IFS($G636=$G$5,H$5,$G636=$G$7,H$7,$G636=$G$10,H$10,$G636=$G$13,H$13,$G636=$G$14,H$14,$G636=$G$16,H$16,$G636=$G$17,H$17,$G636=$G$19,H$19,$G636=$G$20,H$20,$G636=$G$22,H$22,$G636=$G$23,H$23,$G636=$G$26,H$26,$G636=$G$29,H$29,$G636=$G$31,H$31,$G636=$G$34,H$34,$G636=$G$37,H$37,$G636=$G$107,H$107,$G636=$G$110,H$110,$G636=$G$140,H$140,$G636=$G$142,H$142,$G636=$G$408,H$408)</f>
        <v>41.381725000000003</v>
      </c>
      <c r="I636" s="51" cm="1">
        <f t="array" ref="I636">_xlfn.IFS($G636=$G$5,I$5,$G636=$G$7,I$7,$G636=$G$10,I$10,$G636=$G$13,I$13,$G636=$G$14,I$14,$G636=$G$16,I$16,$G636=$G$17,I$17,$G636=$G$19,I$19,$G636=$G$20,I$20,$G636=$G$22,I$22,$G636=$G$23,I$23,$G636=$G$26,I$26,$G636=$G$29,I$29,$G636=$G$31,I$31,$G636=$G$34,I$34,$G636=$G$37,I$37,$G636=$G$107,I$107,$G636=$G$110,I$110,$G636=$G$140,I$140,$G636=$G$142,I$142,$G636=$G$408,I$408)</f>
        <v>2.1543679999999998</v>
      </c>
      <c r="J636" s="51" cm="1">
        <f t="array" ref="J636">_xlfn.IFS($G636=$G$5,J$5,$G636=$G$7,J$7,$G636=$G$10,J$10,$G636=$G$13,J$13,$G636=$G$14,J$14,$G636=$G$16,J$16,$G636=$G$17,J$17,$G636=$G$19,J$19,$G636=$G$20,J$20,$G636=$G$22,J$22,$G636=$G$23,J$23,$G636=$G$26,J$26,$G636=$G$29,J$29,$G636=$G$31,J$31,$G636=$G$34,J$34,$G636=$G$37,J$37,$G636=$G$107,J$107,$G636=$G$110,J$110,$G636=$G$140,J$140,$G636=$G$142,J$142,$G636=$G$408,J$408)</f>
        <v>20.7</v>
      </c>
      <c r="K636" s="13" t="str" cm="1">
        <f t="array" ref="K636">_xlfn.IFS($G636=$G$5,K$5,$G636=$G$7,K$7,$G636=$G$10,K$10,$G636=$G$13,K$13,$G636=$G$14,K$14,$G636=$G$16,K$16,$G636=$G$17,K$17,$G636=$G$19,K$19,$G636=$G$20,K$20,$G636=$G$22,K$22,$G636=$G$23,K$23,$G636=$G$26,K$26,$G636=$G$29,K$29,$G636=$G$31,K$31,$G636=$G$34,K$34,$G636=$G$37,K$37,$G636=$G$107,K$107,$G636=$G$110,K$110,$G636=$G$140,K$140,$G636=$G$142,K$142,$G636=$G$408,K$408)</f>
        <v>BG sentinel + BG lure7</v>
      </c>
      <c r="O636" s="13" t="str">
        <f t="shared" si="62"/>
        <v>A_SP_BCN_24_221026</v>
      </c>
      <c r="P636" s="27">
        <v>44860</v>
      </c>
      <c r="Q636" s="29">
        <v>0.86458333333333337</v>
      </c>
      <c r="R636" s="33"/>
      <c r="S636" s="27">
        <v>44867</v>
      </c>
      <c r="T636" s="29">
        <v>0.88541666666666663</v>
      </c>
      <c r="V636" s="13" t="s">
        <v>86</v>
      </c>
      <c r="X636" s="13">
        <f t="shared" si="59"/>
        <v>7</v>
      </c>
      <c r="Z636" s="13" t="s">
        <v>60</v>
      </c>
      <c r="AA636" s="13">
        <f t="shared" si="63"/>
        <v>18</v>
      </c>
      <c r="AB636" s="13" t="str">
        <f t="shared" si="60"/>
        <v>Adult</v>
      </c>
      <c r="AC636" s="13">
        <v>16</v>
      </c>
      <c r="AD636" s="13">
        <v>2</v>
      </c>
      <c r="AE636" s="13" t="str">
        <f t="shared" si="61"/>
        <v>Morphological</v>
      </c>
      <c r="AF636" s="2">
        <v>4</v>
      </c>
    </row>
    <row r="637" spans="1:32" x14ac:dyDescent="0.25">
      <c r="A637" s="13">
        <v>633</v>
      </c>
      <c r="B637" s="23" t="s">
        <v>56</v>
      </c>
      <c r="C637" s="23" t="s">
        <v>57</v>
      </c>
      <c r="D637" s="23" t="s">
        <v>58</v>
      </c>
      <c r="E637" s="23" t="s">
        <v>58</v>
      </c>
      <c r="F637" s="35" cm="1">
        <f t="array" ref="F637">_xlfn.IFS($G637=$G$5,F$5,$G637=$G$7,F$7,$G637=$G$10,F$10,$G637=$G$13,F$13,$G637=$G$14,F$14,$G637=$G$16,F$16,$G637=$G$17,F$17,$G637=$G$19,F$19,$G637=$G$20,F$20,$G637=$G$22,F$22,$G637=$G$23,F$23,$G637=$G$26,F$26,$G637=$G$29,F$29,$G637=$G$31,F$31,$G637=$G$34,F$34,$G637=$G$37,F$37,$G637=$G$107,F$107,$G637=$G$110,F$110,$G637=$G$140,F$140,$G637=$G$142,F$142,$G637=$G$408,F$408)</f>
        <v>8015</v>
      </c>
      <c r="G637" s="13" t="s">
        <v>78</v>
      </c>
      <c r="H637" s="51" cm="1">
        <f t="array" ref="H637">_xlfn.IFS($G637=$G$5,H$5,$G637=$G$7,H$7,$G637=$G$10,H$10,$G637=$G$13,H$13,$G637=$G$14,H$14,$G637=$G$16,H$16,$G637=$G$17,H$17,$G637=$G$19,H$19,$G637=$G$20,H$20,$G637=$G$22,H$22,$G637=$G$23,H$23,$G637=$G$26,H$26,$G637=$G$29,H$29,$G637=$G$31,H$31,$G637=$G$34,H$34,$G637=$G$37,H$37,$G637=$G$107,H$107,$G637=$G$110,H$110,$G637=$G$140,H$140,$G637=$G$142,H$142,$G637=$G$408,H$408)</f>
        <v>41.381725000000003</v>
      </c>
      <c r="I637" s="51" cm="1">
        <f t="array" ref="I637">_xlfn.IFS($G637=$G$5,I$5,$G637=$G$7,I$7,$G637=$G$10,I$10,$G637=$G$13,I$13,$G637=$G$14,I$14,$G637=$G$16,I$16,$G637=$G$17,I$17,$G637=$G$19,I$19,$G637=$G$20,I$20,$G637=$G$22,I$22,$G637=$G$23,I$23,$G637=$G$26,I$26,$G637=$G$29,I$29,$G637=$G$31,I$31,$G637=$G$34,I$34,$G637=$G$37,I$37,$G637=$G$107,I$107,$G637=$G$110,I$110,$G637=$G$140,I$140,$G637=$G$142,I$142,$G637=$G$408,I$408)</f>
        <v>2.1543679999999998</v>
      </c>
      <c r="J637" s="51" cm="1">
        <f t="array" ref="J637">_xlfn.IFS($G637=$G$5,J$5,$G637=$G$7,J$7,$G637=$G$10,J$10,$G637=$G$13,J$13,$G637=$G$14,J$14,$G637=$G$16,J$16,$G637=$G$17,J$17,$G637=$G$19,J$19,$G637=$G$20,J$20,$G637=$G$22,J$22,$G637=$G$23,J$23,$G637=$G$26,J$26,$G637=$G$29,J$29,$G637=$G$31,J$31,$G637=$G$34,J$34,$G637=$G$37,J$37,$G637=$G$107,J$107,$G637=$G$110,J$110,$G637=$G$140,J$140,$G637=$G$142,J$142,$G637=$G$408,J$408)</f>
        <v>20.7</v>
      </c>
      <c r="K637" s="13" t="str" cm="1">
        <f t="array" ref="K637">_xlfn.IFS($G637=$G$5,K$5,$G637=$G$7,K$7,$G637=$G$10,K$10,$G637=$G$13,K$13,$G637=$G$14,K$14,$G637=$G$16,K$16,$G637=$G$17,K$17,$G637=$G$19,K$19,$G637=$G$20,K$20,$G637=$G$22,K$22,$G637=$G$23,K$23,$G637=$G$26,K$26,$G637=$G$29,K$29,$G637=$G$31,K$31,$G637=$G$34,K$34,$G637=$G$37,K$37,$G637=$G$107,K$107,$G637=$G$110,K$110,$G637=$G$140,K$140,$G637=$G$142,K$142,$G637=$G$408,K$408)</f>
        <v>BG sentinel + BG lure7</v>
      </c>
      <c r="O637" s="13" t="str">
        <f t="shared" si="62"/>
        <v>A_SP_BCN_24_221026</v>
      </c>
      <c r="P637" s="27">
        <v>44860</v>
      </c>
      <c r="Q637" s="29">
        <v>0.86458333333333337</v>
      </c>
      <c r="R637" s="33"/>
      <c r="S637" s="27">
        <v>44867</v>
      </c>
      <c r="T637" s="29">
        <v>0.88541666666666663</v>
      </c>
      <c r="V637" s="13" t="s">
        <v>86</v>
      </c>
      <c r="X637" s="13">
        <f t="shared" si="59"/>
        <v>7</v>
      </c>
      <c r="Z637" s="13" t="s">
        <v>164</v>
      </c>
      <c r="AA637" s="13">
        <f t="shared" si="63"/>
        <v>5</v>
      </c>
      <c r="AB637" s="13" t="str">
        <f t="shared" si="60"/>
        <v>Adult</v>
      </c>
      <c r="AC637" s="13">
        <v>3</v>
      </c>
      <c r="AD637" s="13">
        <v>2</v>
      </c>
      <c r="AE637" s="13" t="str">
        <f t="shared" si="61"/>
        <v>Morphological</v>
      </c>
      <c r="AF637" s="2">
        <v>4</v>
      </c>
    </row>
    <row r="638" spans="1:32" x14ac:dyDescent="0.25">
      <c r="A638" s="13">
        <v>634</v>
      </c>
      <c r="B638" s="23" t="s">
        <v>56</v>
      </c>
      <c r="C638" s="23" t="s">
        <v>57</v>
      </c>
      <c r="D638" s="23" t="s">
        <v>58</v>
      </c>
      <c r="E638" s="23" t="s">
        <v>58</v>
      </c>
      <c r="F638" s="35" cm="1">
        <f t="array" ref="F638">_xlfn.IFS($G638=$G$5,F$5,$G638=$G$7,F$7,$G638=$G$10,F$10,$G638=$G$13,F$13,$G638=$G$14,F$14,$G638=$G$16,F$16,$G638=$G$17,F$17,$G638=$G$19,F$19,$G638=$G$20,F$20,$G638=$G$22,F$22,$G638=$G$23,F$23,$G638=$G$26,F$26,$G638=$G$29,F$29,$G638=$G$31,F$31,$G638=$G$34,F$34,$G638=$G$37,F$37,$G638=$G$107,F$107,$G638=$G$110,F$110,$G638=$G$140,F$140,$G638=$G$142,F$142,$G638=$G$408,F$408)</f>
        <v>8025</v>
      </c>
      <c r="G638" s="13" t="s">
        <v>122</v>
      </c>
      <c r="H638" s="51" cm="1">
        <f t="array" ref="H638">_xlfn.IFS($G638=$G$5,H$5,$G638=$G$7,H$7,$G638=$G$10,H$10,$G638=$G$13,H$13,$G638=$G$14,H$14,$G638=$G$16,H$16,$G638=$G$17,H$17,$G638=$G$19,H$19,$G638=$G$20,H$20,$G638=$G$22,H$22,$G638=$G$23,H$23,$G638=$G$26,H$26,$G638=$G$29,H$29,$G638=$G$31,H$31,$G638=$G$34,H$34,$G638=$G$37,H$37,$G638=$G$107,H$107,$G638=$G$110,H$110,$G638=$G$140,H$140,$G638=$G$142,H$142,$G638=$G$408,H$408)</f>
        <v>41.407992</v>
      </c>
      <c r="I638" s="51" cm="1">
        <f t="array" ref="I638">_xlfn.IFS($G638=$G$5,I$5,$G638=$G$7,I$7,$G638=$G$10,I$10,$G638=$G$13,I$13,$G638=$G$14,I$14,$G638=$G$16,I$16,$G638=$G$17,I$17,$G638=$G$19,I$19,$G638=$G$20,I$20,$G638=$G$22,I$22,$G638=$G$23,I$23,$G638=$G$26,I$26,$G638=$G$29,I$29,$G638=$G$31,I$31,$G638=$G$34,I$34,$G638=$G$37,I$37,$G638=$G$107,I$107,$G638=$G$110,I$110,$G638=$G$140,I$140,$G638=$G$142,I$142,$G638=$G$408,I$408)</f>
        <v>2.1679379999999999</v>
      </c>
      <c r="J638" s="51" cm="1">
        <f t="array" ref="J638">_xlfn.IFS($G638=$G$5,J$5,$G638=$G$7,J$7,$G638=$G$10,J$10,$G638=$G$13,J$13,$G638=$G$14,J$14,$G638=$G$16,J$16,$G638=$G$17,J$17,$G638=$G$19,J$19,$G638=$G$20,J$20,$G638=$G$22,J$22,$G638=$G$23,J$23,$G638=$G$26,J$26,$G638=$G$29,J$29,$G638=$G$31,J$31,$G638=$G$34,J$34,$G638=$G$37,J$37,$G638=$G$107,J$107,$G638=$G$110,J$110,$G638=$G$140,J$140,$G638=$G$142,J$142,$G638=$G$408,J$408)</f>
        <v>61</v>
      </c>
      <c r="K638" s="13" t="str" cm="1">
        <f t="array" ref="K638">_xlfn.IFS($G638=$G$5,K$5,$G638=$G$7,K$7,$G638=$G$10,K$10,$G638=$G$13,K$13,$G638=$G$14,K$14,$G638=$G$16,K$16,$G638=$G$17,K$17,$G638=$G$19,K$19,$G638=$G$20,K$20,$G638=$G$22,K$22,$G638=$G$23,K$23,$G638=$G$26,K$26,$G638=$G$29,K$29,$G638=$G$31,K$31,$G638=$G$34,K$34,$G638=$G$37,K$37,$G638=$G$107,K$107,$G638=$G$110,K$110,$G638=$G$140,K$140,$G638=$G$142,K$142,$G638=$G$408,K$408)</f>
        <v>BG sentinel</v>
      </c>
      <c r="O638" s="13" t="str">
        <f t="shared" si="62"/>
        <v>A_SP_BCN_25_221026</v>
      </c>
      <c r="P638" s="27">
        <v>44860</v>
      </c>
      <c r="Q638" s="29">
        <v>0.61458333333333337</v>
      </c>
      <c r="R638" s="33"/>
      <c r="S638" s="27">
        <v>44867</v>
      </c>
      <c r="T638" s="29">
        <v>0.67361111111111116</v>
      </c>
      <c r="V638" s="13" t="s">
        <v>86</v>
      </c>
      <c r="X638" s="13">
        <f t="shared" si="59"/>
        <v>7</v>
      </c>
      <c r="Z638" s="13" t="s">
        <v>60</v>
      </c>
      <c r="AA638" s="13">
        <f t="shared" si="63"/>
        <v>4</v>
      </c>
      <c r="AB638" s="13" t="str">
        <f t="shared" si="60"/>
        <v>Adult</v>
      </c>
      <c r="AC638" s="13">
        <v>3</v>
      </c>
      <c r="AD638" s="13">
        <v>1</v>
      </c>
      <c r="AE638" s="13" t="str">
        <f t="shared" si="61"/>
        <v>Morphological</v>
      </c>
      <c r="AF638" s="2">
        <v>4</v>
      </c>
    </row>
    <row r="639" spans="1:32" x14ac:dyDescent="0.25">
      <c r="A639" s="13">
        <v>635</v>
      </c>
      <c r="B639" s="23" t="s">
        <v>56</v>
      </c>
      <c r="C639" s="23" t="s">
        <v>57</v>
      </c>
      <c r="D639" s="23" t="s">
        <v>58</v>
      </c>
      <c r="E639" s="23" t="s">
        <v>58</v>
      </c>
      <c r="F639" s="35" cm="1">
        <f t="array" ref="F639">_xlfn.IFS($G639=$G$5,F$5,$G639=$G$7,F$7,$G639=$G$10,F$10,$G639=$G$13,F$13,$G639=$G$14,F$14,$G639=$G$16,F$16,$G639=$G$17,F$17,$G639=$G$19,F$19,$G639=$G$20,F$20,$G639=$G$22,F$22,$G639=$G$23,F$23,$G639=$G$26,F$26,$G639=$G$29,F$29,$G639=$G$31,F$31,$G639=$G$34,F$34,$G639=$G$37,F$37,$G639=$G$107,F$107,$G639=$G$110,F$110,$G639=$G$140,F$140,$G639=$G$142,F$142,$G639=$G$408,F$408)</f>
        <v>8025</v>
      </c>
      <c r="G639" s="13" t="s">
        <v>122</v>
      </c>
      <c r="H639" s="51" cm="1">
        <f t="array" ref="H639">_xlfn.IFS($G639=$G$5,H$5,$G639=$G$7,H$7,$G639=$G$10,H$10,$G639=$G$13,H$13,$G639=$G$14,H$14,$G639=$G$16,H$16,$G639=$G$17,H$17,$G639=$G$19,H$19,$G639=$G$20,H$20,$G639=$G$22,H$22,$G639=$G$23,H$23,$G639=$G$26,H$26,$G639=$G$29,H$29,$G639=$G$31,H$31,$G639=$G$34,H$34,$G639=$G$37,H$37,$G639=$G$107,H$107,$G639=$G$110,H$110,$G639=$G$140,H$140,$G639=$G$142,H$142,$G639=$G$408,H$408)</f>
        <v>41.407992</v>
      </c>
      <c r="I639" s="51" cm="1">
        <f t="array" ref="I639">_xlfn.IFS($G639=$G$5,I$5,$G639=$G$7,I$7,$G639=$G$10,I$10,$G639=$G$13,I$13,$G639=$G$14,I$14,$G639=$G$16,I$16,$G639=$G$17,I$17,$G639=$G$19,I$19,$G639=$G$20,I$20,$G639=$G$22,I$22,$G639=$G$23,I$23,$G639=$G$26,I$26,$G639=$G$29,I$29,$G639=$G$31,I$31,$G639=$G$34,I$34,$G639=$G$37,I$37,$G639=$G$107,I$107,$G639=$G$110,I$110,$G639=$G$140,I$140,$G639=$G$142,I$142,$G639=$G$408,I$408)</f>
        <v>2.1679379999999999</v>
      </c>
      <c r="J639" s="51" cm="1">
        <f t="array" ref="J639">_xlfn.IFS($G639=$G$5,J$5,$G639=$G$7,J$7,$G639=$G$10,J$10,$G639=$G$13,J$13,$G639=$G$14,J$14,$G639=$G$16,J$16,$G639=$G$17,J$17,$G639=$G$19,J$19,$G639=$G$20,J$20,$G639=$G$22,J$22,$G639=$G$23,J$23,$G639=$G$26,J$26,$G639=$G$29,J$29,$G639=$G$31,J$31,$G639=$G$34,J$34,$G639=$G$37,J$37,$G639=$G$107,J$107,$G639=$G$110,J$110,$G639=$G$140,J$140,$G639=$G$142,J$142,$G639=$G$408,J$408)</f>
        <v>61</v>
      </c>
      <c r="K639" s="13" t="str" cm="1">
        <f t="array" ref="K639">_xlfn.IFS($G639=$G$5,K$5,$G639=$G$7,K$7,$G639=$G$10,K$10,$G639=$G$13,K$13,$G639=$G$14,K$14,$G639=$G$16,K$16,$G639=$G$17,K$17,$G639=$G$19,K$19,$G639=$G$20,K$20,$G639=$G$22,K$22,$G639=$G$23,K$23,$G639=$G$26,K$26,$G639=$G$29,K$29,$G639=$G$31,K$31,$G639=$G$34,K$34,$G639=$G$37,K$37,$G639=$G$107,K$107,$G639=$G$110,K$110,$G639=$G$140,K$140,$G639=$G$142,K$142,$G639=$G$408,K$408)</f>
        <v>BG sentinel</v>
      </c>
      <c r="O639" s="13" t="str">
        <f t="shared" si="62"/>
        <v>A_SP_BCN_25_221026</v>
      </c>
      <c r="P639" s="27">
        <v>44860</v>
      </c>
      <c r="Q639" s="29">
        <v>0.61458333333333337</v>
      </c>
      <c r="R639" s="33"/>
      <c r="S639" s="27">
        <v>44867</v>
      </c>
      <c r="T639" s="29">
        <v>0.67361111111111116</v>
      </c>
      <c r="V639" s="13" t="s">
        <v>86</v>
      </c>
      <c r="X639" s="13">
        <f t="shared" si="59"/>
        <v>7</v>
      </c>
      <c r="Z639" s="13" t="s">
        <v>164</v>
      </c>
      <c r="AA639" s="13">
        <f t="shared" si="63"/>
        <v>16</v>
      </c>
      <c r="AB639" s="13" t="str">
        <f t="shared" si="60"/>
        <v>Adult</v>
      </c>
      <c r="AC639" s="13">
        <v>10</v>
      </c>
      <c r="AD639" s="13">
        <v>6</v>
      </c>
      <c r="AE639" s="13" t="str">
        <f t="shared" si="61"/>
        <v>Morphological</v>
      </c>
      <c r="AF639" s="2">
        <v>4</v>
      </c>
    </row>
    <row r="640" spans="1:32" x14ac:dyDescent="0.25">
      <c r="A640" s="13">
        <v>636</v>
      </c>
      <c r="B640" s="23" t="s">
        <v>56</v>
      </c>
      <c r="C640" s="23" t="s">
        <v>57</v>
      </c>
      <c r="D640" s="23" t="s">
        <v>58</v>
      </c>
      <c r="E640" s="23" t="s">
        <v>58</v>
      </c>
      <c r="F640" s="35" cm="1">
        <f t="array" ref="F640">_xlfn.IFS($G640=$G$5,F$5,$G640=$G$7,F$7,$G640=$G$10,F$10,$G640=$G$13,F$13,$G640=$G$14,F$14,$G640=$G$16,F$16,$G640=$G$17,F$17,$G640=$G$19,F$19,$G640=$G$20,F$20,$G640=$G$22,F$22,$G640=$G$23,F$23,$G640=$G$26,F$26,$G640=$G$29,F$29,$G640=$G$31,F$31,$G640=$G$34,F$34,$G640=$G$37,F$37,$G640=$G$107,F$107,$G640=$G$110,F$110,$G640=$G$140,F$140,$G640=$G$142,F$142,$G640=$G$408,F$408)</f>
        <v>8025</v>
      </c>
      <c r="G640" s="13" t="s">
        <v>122</v>
      </c>
      <c r="H640" s="51" cm="1">
        <f t="array" ref="H640">_xlfn.IFS($G640=$G$5,H$5,$G640=$G$7,H$7,$G640=$G$10,H$10,$G640=$G$13,H$13,$G640=$G$14,H$14,$G640=$G$16,H$16,$G640=$G$17,H$17,$G640=$G$19,H$19,$G640=$G$20,H$20,$G640=$G$22,H$22,$G640=$G$23,H$23,$G640=$G$26,H$26,$G640=$G$29,H$29,$G640=$G$31,H$31,$G640=$G$34,H$34,$G640=$G$37,H$37,$G640=$G$107,H$107,$G640=$G$110,H$110,$G640=$G$140,H$140,$G640=$G$142,H$142,$G640=$G$408,H$408)</f>
        <v>41.407992</v>
      </c>
      <c r="I640" s="51" cm="1">
        <f t="array" ref="I640">_xlfn.IFS($G640=$G$5,I$5,$G640=$G$7,I$7,$G640=$G$10,I$10,$G640=$G$13,I$13,$G640=$G$14,I$14,$G640=$G$16,I$16,$G640=$G$17,I$17,$G640=$G$19,I$19,$G640=$G$20,I$20,$G640=$G$22,I$22,$G640=$G$23,I$23,$G640=$G$26,I$26,$G640=$G$29,I$29,$G640=$G$31,I$31,$G640=$G$34,I$34,$G640=$G$37,I$37,$G640=$G$107,I$107,$G640=$G$110,I$110,$G640=$G$140,I$140,$G640=$G$142,I$142,$G640=$G$408,I$408)</f>
        <v>2.1679379999999999</v>
      </c>
      <c r="J640" s="51" cm="1">
        <f t="array" ref="J640">_xlfn.IFS($G640=$G$5,J$5,$G640=$G$7,J$7,$G640=$G$10,J$10,$G640=$G$13,J$13,$G640=$G$14,J$14,$G640=$G$16,J$16,$G640=$G$17,J$17,$G640=$G$19,J$19,$G640=$G$20,J$20,$G640=$G$22,J$22,$G640=$G$23,J$23,$G640=$G$26,J$26,$G640=$G$29,J$29,$G640=$G$31,J$31,$G640=$G$34,J$34,$G640=$G$37,J$37,$G640=$G$107,J$107,$G640=$G$110,J$110,$G640=$G$140,J$140,$G640=$G$142,J$142,$G640=$G$408,J$408)</f>
        <v>61</v>
      </c>
      <c r="K640" s="13" t="str" cm="1">
        <f t="array" ref="K640">_xlfn.IFS($G640=$G$5,K$5,$G640=$G$7,K$7,$G640=$G$10,K$10,$G640=$G$13,K$13,$G640=$G$14,K$14,$G640=$G$16,K$16,$G640=$G$17,K$17,$G640=$G$19,K$19,$G640=$G$20,K$20,$G640=$G$22,K$22,$G640=$G$23,K$23,$G640=$G$26,K$26,$G640=$G$29,K$29,$G640=$G$31,K$31,$G640=$G$34,K$34,$G640=$G$37,K$37,$G640=$G$107,K$107,$G640=$G$110,K$110,$G640=$G$140,K$140,$G640=$G$142,K$142,$G640=$G$408,K$408)</f>
        <v>BG sentinel</v>
      </c>
      <c r="O640" s="13" t="str">
        <f t="shared" si="62"/>
        <v>A_SP_BCN_25_221026</v>
      </c>
      <c r="P640" s="27">
        <v>44860</v>
      </c>
      <c r="Q640" s="29">
        <v>0.61458333333333337</v>
      </c>
      <c r="R640" s="33"/>
      <c r="S640" s="27">
        <v>44867</v>
      </c>
      <c r="T640" s="29">
        <v>0.67361111111111116</v>
      </c>
      <c r="V640" s="13" t="s">
        <v>86</v>
      </c>
      <c r="X640" s="13">
        <f t="shared" si="59"/>
        <v>7</v>
      </c>
      <c r="Z640" s="32" t="s">
        <v>163</v>
      </c>
      <c r="AA640" s="13">
        <f t="shared" si="63"/>
        <v>1</v>
      </c>
      <c r="AB640" s="13" t="str">
        <f t="shared" si="60"/>
        <v>Adult</v>
      </c>
      <c r="AC640" s="13">
        <v>1</v>
      </c>
      <c r="AD640" s="13">
        <v>0</v>
      </c>
      <c r="AE640" s="13" t="str">
        <f t="shared" si="61"/>
        <v>Morphological</v>
      </c>
      <c r="AF640" s="2">
        <v>4</v>
      </c>
    </row>
    <row r="641" spans="1:32" x14ac:dyDescent="0.25">
      <c r="A641" s="13">
        <v>637</v>
      </c>
      <c r="B641" s="23" t="s">
        <v>56</v>
      </c>
      <c r="C641" s="23" t="s">
        <v>57</v>
      </c>
      <c r="D641" s="23" t="s">
        <v>58</v>
      </c>
      <c r="E641" s="23" t="s">
        <v>58</v>
      </c>
      <c r="F641" s="35" cm="1">
        <f t="array" ref="F641">_xlfn.IFS($G641=$G$5,F$5,$G641=$G$7,F$7,$G641=$G$10,F$10,$G641=$G$13,F$13,$G641=$G$14,F$14,$G641=$G$16,F$16,$G641=$G$17,F$17,$G641=$G$19,F$19,$G641=$G$20,F$20,$G641=$G$22,F$22,$G641=$G$23,F$23,$G641=$G$26,F$26,$G641=$G$29,F$29,$G641=$G$31,F$31,$G641=$G$34,F$34,$G641=$G$37,F$37,$G641=$G$107,F$107,$G641=$G$110,F$110,$G641=$G$140,F$140,$G641=$G$142,F$142,$G641=$G$408,F$408)</f>
        <v>8025</v>
      </c>
      <c r="G641" s="13" t="s">
        <v>104</v>
      </c>
      <c r="H641" s="51" cm="1">
        <f t="array" ref="H641">_xlfn.IFS($G641=$G$5,H$5,$G641=$G$7,H$7,$G641=$G$10,H$10,$G641=$G$13,H$13,$G641=$G$14,H$14,$G641=$G$16,H$16,$G641=$G$17,H$17,$G641=$G$19,H$19,$G641=$G$20,H$20,$G641=$G$22,H$22,$G641=$G$23,H$23,$G641=$G$26,H$26,$G641=$G$29,H$29,$G641=$G$31,H$31,$G641=$G$34,H$34,$G641=$G$37,H$37,$G641=$G$107,H$107,$G641=$G$110,H$110,$G641=$G$140,H$140,$G641=$G$142,H$142,$G641=$G$408,H$408)</f>
        <v>41.408046826557602</v>
      </c>
      <c r="I641" s="51" cm="1">
        <f t="array" ref="I641">_xlfn.IFS($G641=$G$5,I$5,$G641=$G$7,I$7,$G641=$G$10,I$10,$G641=$G$13,I$13,$G641=$G$14,I$14,$G641=$G$16,I$16,$G641=$G$17,I$17,$G641=$G$19,I$19,$G641=$G$20,I$20,$G641=$G$22,I$22,$G641=$G$23,I$23,$G641=$G$26,I$26,$G641=$G$29,I$29,$G641=$G$31,I$31,$G641=$G$34,I$34,$G641=$G$37,I$37,$G641=$G$107,I$107,$G641=$G$110,I$110,$G641=$G$140,I$140,$G641=$G$142,I$142,$G641=$G$408,I$408)</f>
        <v>2.1678084611616502</v>
      </c>
      <c r="J641" s="51" cm="1">
        <f t="array" ref="J641">_xlfn.IFS($G641=$G$5,J$5,$G641=$G$7,J$7,$G641=$G$10,J$10,$G641=$G$13,J$13,$G641=$G$14,J$14,$G641=$G$16,J$16,$G641=$G$17,J$17,$G641=$G$19,J$19,$G641=$G$20,J$20,$G641=$G$22,J$22,$G641=$G$23,J$23,$G641=$G$26,J$26,$G641=$G$29,J$29,$G641=$G$31,J$31,$G641=$G$34,J$34,$G641=$G$37,J$37,$G641=$G$107,J$107,$G641=$G$110,J$110,$G641=$G$140,J$140,$G641=$G$142,J$142,$G641=$G$408,J$408)</f>
        <v>61</v>
      </c>
      <c r="K641" s="13" t="str" cm="1">
        <f t="array" ref="K641">_xlfn.IFS($G641=$G$5,K$5,$G641=$G$7,K$7,$G641=$G$10,K$10,$G641=$G$13,K$13,$G641=$G$14,K$14,$G641=$G$16,K$16,$G641=$G$17,K$17,$G641=$G$19,K$19,$G641=$G$20,K$20,$G641=$G$22,K$22,$G641=$G$23,K$23,$G641=$G$26,K$26,$G641=$G$29,K$29,$G641=$G$31,K$31,$G641=$G$34,K$34,$G641=$G$37,K$37,$G641=$G$107,K$107,$G641=$G$110,K$110,$G641=$G$140,K$140,$G641=$G$142,K$142,$G641=$G$408,K$408)</f>
        <v>BG sentinel</v>
      </c>
      <c r="O641" s="13" t="str">
        <f t="shared" si="62"/>
        <v>A_SP_BCN_26_221026</v>
      </c>
      <c r="P641" s="31">
        <v>44860</v>
      </c>
      <c r="Q641" s="29">
        <v>0.61458333333333337</v>
      </c>
      <c r="R641" s="33"/>
      <c r="S641" s="42">
        <v>44867</v>
      </c>
      <c r="T641" s="36">
        <v>0.67361111111111116</v>
      </c>
      <c r="U641" s="44"/>
      <c r="V641" s="13" t="s">
        <v>162</v>
      </c>
      <c r="W641" s="16" t="s">
        <v>204</v>
      </c>
      <c r="X641" s="13">
        <f t="shared" si="59"/>
        <v>7</v>
      </c>
      <c r="AB641" s="13" t="str">
        <f t="shared" si="60"/>
        <v/>
      </c>
      <c r="AE641" s="13" t="str">
        <f t="shared" si="61"/>
        <v/>
      </c>
      <c r="AF641" s="2">
        <v>1</v>
      </c>
    </row>
    <row r="642" spans="1:32" x14ac:dyDescent="0.25">
      <c r="A642" s="13">
        <v>638</v>
      </c>
      <c r="B642" s="23" t="s">
        <v>56</v>
      </c>
      <c r="C642" s="23" t="s">
        <v>57</v>
      </c>
      <c r="D642" s="23" t="s">
        <v>58</v>
      </c>
      <c r="E642" s="23" t="s">
        <v>58</v>
      </c>
      <c r="F642" s="35" cm="1">
        <f t="array" ref="F642">_xlfn.IFS($G642=$G$5,F$5,$G642=$G$7,F$7,$G642=$G$10,F$10,$G642=$G$13,F$13,$G642=$G$14,F$14,$G642=$G$16,F$16,$G642=$G$17,F$17,$G642=$G$19,F$19,$G642=$G$20,F$20,$G642=$G$22,F$22,$G642=$G$23,F$23,$G642=$G$26,F$26,$G642=$G$29,F$29,$G642=$G$31,F$31,$G642=$G$34,F$34,$G642=$G$37,F$37,$G642=$G$107,F$107,$G642=$G$110,F$110,$G642=$G$140,F$140,$G642=$G$142,F$142,$G642=$G$408,F$408)</f>
        <v>8017</v>
      </c>
      <c r="G642" s="13" t="s">
        <v>97</v>
      </c>
      <c r="H642" s="51" cm="1">
        <f t="array" ref="H642">_xlfn.IFS($G642=$G$5,H$5,$G642=$G$7,H$7,$G642=$G$10,H$10,$G642=$G$13,H$13,$G642=$G$14,H$14,$G642=$G$16,H$16,$G642=$G$17,H$17,$G642=$G$19,H$19,$G642=$G$20,H$20,$G642=$G$22,H$22,$G642=$G$23,H$23,$G642=$G$26,H$26,$G642=$G$29,H$29,$G642=$G$31,H$31,$G642=$G$34,H$34,$G642=$G$37,H$37,$G642=$G$107,H$107,$G642=$G$110,H$110,$G642=$G$140,H$140,$G642=$G$142,H$142,$G642=$G$408,H$408)</f>
        <v>41.430372407595499</v>
      </c>
      <c r="I642" s="51" cm="1">
        <f t="array" ref="I642">_xlfn.IFS($G642=$G$5,I$5,$G642=$G$7,I$7,$G642=$G$10,I$10,$G642=$G$13,I$13,$G642=$G$14,I$14,$G642=$G$16,I$16,$G642=$G$17,I$17,$G642=$G$19,I$19,$G642=$G$20,I$20,$G642=$G$22,I$22,$G642=$G$23,I$23,$G642=$G$26,I$26,$G642=$G$29,I$29,$G642=$G$31,I$31,$G642=$G$34,I$34,$G642=$G$37,I$37,$G642=$G$107,I$107,$G642=$G$110,I$110,$G642=$G$140,I$140,$G642=$G$142,I$142,$G642=$G$408,I$408)</f>
        <v>2.0778358219819002</v>
      </c>
      <c r="J642" s="51" cm="1">
        <f t="array" ref="J642">_xlfn.IFS($G642=$G$5,J$5,$G642=$G$7,J$7,$G642=$G$10,J$10,$G642=$G$13,J$13,$G642=$G$14,J$14,$G642=$G$16,J$16,$G642=$G$17,J$17,$G642=$G$19,J$19,$G642=$G$20,J$20,$G642=$G$22,J$22,$G642=$G$23,J$23,$G642=$G$26,J$26,$G642=$G$29,J$29,$G642=$G$31,J$31,$G642=$G$34,J$34,$G642=$G$37,J$37,$G642=$G$107,J$107,$G642=$G$110,J$110,$G642=$G$140,J$140,$G642=$G$142,J$142,$G642=$G$408,J$408)</f>
        <v>242</v>
      </c>
      <c r="K642" s="13" t="str" cm="1">
        <f t="array" ref="K642">_xlfn.IFS($G642=$G$5,K$5,$G642=$G$7,K$7,$G642=$G$10,K$10,$G642=$G$13,K$13,$G642=$G$14,K$14,$G642=$G$16,K$16,$G642=$G$17,K$17,$G642=$G$19,K$19,$G642=$G$20,K$20,$G642=$G$22,K$22,$G642=$G$23,K$23,$G642=$G$26,K$26,$G642=$G$29,K$29,$G642=$G$31,K$31,$G642=$G$34,K$34,$G642=$G$37,K$37,$G642=$G$107,K$107,$G642=$G$110,K$110,$G642=$G$140,K$140,$G642=$G$142,K$142,$G642=$G$408,K$408)</f>
        <v>Mtego</v>
      </c>
      <c r="O642" s="13" t="str">
        <f t="shared" si="62"/>
        <v>Premal_1_221026</v>
      </c>
      <c r="P642" s="31">
        <v>44860</v>
      </c>
      <c r="Q642" s="29">
        <v>0.72569444444444453</v>
      </c>
      <c r="R642" s="33"/>
      <c r="S642" s="27">
        <v>44867</v>
      </c>
      <c r="T642" s="29">
        <v>0.76041666666666663</v>
      </c>
      <c r="V642" s="13" t="s">
        <v>86</v>
      </c>
      <c r="X642" s="13">
        <f t="shared" si="59"/>
        <v>7</v>
      </c>
      <c r="Z642" s="13" t="s">
        <v>60</v>
      </c>
      <c r="AA642" s="13">
        <f t="shared" ref="AA642:AA691" si="64">SUM(AC642:AD642)</f>
        <v>1</v>
      </c>
      <c r="AB642" s="13" t="str">
        <f t="shared" si="60"/>
        <v>Adult</v>
      </c>
      <c r="AC642" s="13">
        <v>1</v>
      </c>
      <c r="AD642" s="13">
        <v>0</v>
      </c>
      <c r="AE642" s="13" t="str">
        <f t="shared" si="61"/>
        <v>Morphological</v>
      </c>
      <c r="AF642" s="2">
        <v>4</v>
      </c>
    </row>
    <row r="643" spans="1:32" x14ac:dyDescent="0.25">
      <c r="A643" s="13">
        <v>639</v>
      </c>
      <c r="B643" s="23" t="s">
        <v>56</v>
      </c>
      <c r="C643" s="23" t="s">
        <v>57</v>
      </c>
      <c r="D643" s="23" t="s">
        <v>58</v>
      </c>
      <c r="E643" s="23" t="s">
        <v>58</v>
      </c>
      <c r="F643" s="35" cm="1">
        <f t="array" ref="F643">_xlfn.IFS($G643=$G$5,F$5,$G643=$G$7,F$7,$G643=$G$10,F$10,$G643=$G$13,F$13,$G643=$G$14,F$14,$G643=$G$16,F$16,$G643=$G$17,F$17,$G643=$G$19,F$19,$G643=$G$20,F$20,$G643=$G$22,F$22,$G643=$G$23,F$23,$G643=$G$26,F$26,$G643=$G$29,F$29,$G643=$G$31,F$31,$G643=$G$34,F$34,$G643=$G$37,F$37,$G643=$G$107,F$107,$G643=$G$110,F$110,$G643=$G$140,F$140,$G643=$G$142,F$142,$G643=$G$408,F$408)</f>
        <v>8017</v>
      </c>
      <c r="G643" s="13" t="s">
        <v>97</v>
      </c>
      <c r="H643" s="51" cm="1">
        <f t="array" ref="H643">_xlfn.IFS($G643=$G$5,H$5,$G643=$G$7,H$7,$G643=$G$10,H$10,$G643=$G$13,H$13,$G643=$G$14,H$14,$G643=$G$16,H$16,$G643=$G$17,H$17,$G643=$G$19,H$19,$G643=$G$20,H$20,$G643=$G$22,H$22,$G643=$G$23,H$23,$G643=$G$26,H$26,$G643=$G$29,H$29,$G643=$G$31,H$31,$G643=$G$34,H$34,$G643=$G$37,H$37,$G643=$G$107,H$107,$G643=$G$110,H$110,$G643=$G$140,H$140,$G643=$G$142,H$142,$G643=$G$408,H$408)</f>
        <v>41.430372407595499</v>
      </c>
      <c r="I643" s="51" cm="1">
        <f t="array" ref="I643">_xlfn.IFS($G643=$G$5,I$5,$G643=$G$7,I$7,$G643=$G$10,I$10,$G643=$G$13,I$13,$G643=$G$14,I$14,$G643=$G$16,I$16,$G643=$G$17,I$17,$G643=$G$19,I$19,$G643=$G$20,I$20,$G643=$G$22,I$22,$G643=$G$23,I$23,$G643=$G$26,I$26,$G643=$G$29,I$29,$G643=$G$31,I$31,$G643=$G$34,I$34,$G643=$G$37,I$37,$G643=$G$107,I$107,$G643=$G$110,I$110,$G643=$G$140,I$140,$G643=$G$142,I$142,$G643=$G$408,I$408)</f>
        <v>2.0778358219819002</v>
      </c>
      <c r="J643" s="51" cm="1">
        <f t="array" ref="J643">_xlfn.IFS($G643=$G$5,J$5,$G643=$G$7,J$7,$G643=$G$10,J$10,$G643=$G$13,J$13,$G643=$G$14,J$14,$G643=$G$16,J$16,$G643=$G$17,J$17,$G643=$G$19,J$19,$G643=$G$20,J$20,$G643=$G$22,J$22,$G643=$G$23,J$23,$G643=$G$26,J$26,$G643=$G$29,J$29,$G643=$G$31,J$31,$G643=$G$34,J$34,$G643=$G$37,J$37,$G643=$G$107,J$107,$G643=$G$110,J$110,$G643=$G$140,J$140,$G643=$G$142,J$142,$G643=$G$408,J$408)</f>
        <v>242</v>
      </c>
      <c r="K643" s="13" t="str" cm="1">
        <f t="array" ref="K643">_xlfn.IFS($G643=$G$5,K$5,$G643=$G$7,K$7,$G643=$G$10,K$10,$G643=$G$13,K$13,$G643=$G$14,K$14,$G643=$G$16,K$16,$G643=$G$17,K$17,$G643=$G$19,K$19,$G643=$G$20,K$20,$G643=$G$22,K$22,$G643=$G$23,K$23,$G643=$G$26,K$26,$G643=$G$29,K$29,$G643=$G$31,K$31,$G643=$G$34,K$34,$G643=$G$37,K$37,$G643=$G$107,K$107,$G643=$G$110,K$110,$G643=$G$140,K$140,$G643=$G$142,K$142,$G643=$G$408,K$408)</f>
        <v>Mtego</v>
      </c>
      <c r="O643" s="13" t="str">
        <f t="shared" si="62"/>
        <v>Premal_1_221026</v>
      </c>
      <c r="P643" s="31">
        <v>44860</v>
      </c>
      <c r="Q643" s="29">
        <v>0.72569444444444453</v>
      </c>
      <c r="R643" s="33"/>
      <c r="S643" s="27">
        <v>44867</v>
      </c>
      <c r="T643" s="29">
        <v>0.76041666666666663</v>
      </c>
      <c r="V643" s="13" t="s">
        <v>86</v>
      </c>
      <c r="X643" s="13">
        <f t="shared" si="59"/>
        <v>7</v>
      </c>
      <c r="Z643" s="13" t="s">
        <v>164</v>
      </c>
      <c r="AA643" s="13">
        <f t="shared" si="64"/>
        <v>1</v>
      </c>
      <c r="AB643" s="13" t="str">
        <f t="shared" si="60"/>
        <v>Adult</v>
      </c>
      <c r="AC643" s="13">
        <v>1</v>
      </c>
      <c r="AD643" s="13">
        <v>0</v>
      </c>
      <c r="AE643" s="13" t="str">
        <f t="shared" si="61"/>
        <v>Morphological</v>
      </c>
      <c r="AF643" s="2">
        <v>4</v>
      </c>
    </row>
    <row r="644" spans="1:32" x14ac:dyDescent="0.25">
      <c r="A644" s="13">
        <v>640</v>
      </c>
      <c r="B644" s="23" t="s">
        <v>56</v>
      </c>
      <c r="C644" s="23" t="s">
        <v>57</v>
      </c>
      <c r="D644" s="23" t="s">
        <v>58</v>
      </c>
      <c r="E644" s="23" t="s">
        <v>58</v>
      </c>
      <c r="F644" s="35" cm="1">
        <f t="array" ref="F644">_xlfn.IFS($G644=$G$5,F$5,$G644=$G$7,F$7,$G644=$G$10,F$10,$G644=$G$13,F$13,$G644=$G$14,F$14,$G644=$G$16,F$16,$G644=$G$17,F$17,$G644=$G$19,F$19,$G644=$G$20,F$20,$G644=$G$22,F$22,$G644=$G$23,F$23,$G644=$G$26,F$26,$G644=$G$29,F$29,$G644=$G$31,F$31,$G644=$G$34,F$34,$G644=$G$37,F$37,$G644=$G$107,F$107,$G644=$G$110,F$110,$G644=$G$140,F$140,$G644=$G$142,F$142,$G644=$G$408,F$408)</f>
        <v>8017</v>
      </c>
      <c r="G644" s="13" t="s">
        <v>97</v>
      </c>
      <c r="H644" s="51" cm="1">
        <f t="array" ref="H644">_xlfn.IFS($G644=$G$5,H$5,$G644=$G$7,H$7,$G644=$G$10,H$10,$G644=$G$13,H$13,$G644=$G$14,H$14,$G644=$G$16,H$16,$G644=$G$17,H$17,$G644=$G$19,H$19,$G644=$G$20,H$20,$G644=$G$22,H$22,$G644=$G$23,H$23,$G644=$G$26,H$26,$G644=$G$29,H$29,$G644=$G$31,H$31,$G644=$G$34,H$34,$G644=$G$37,H$37,$G644=$G$107,H$107,$G644=$G$110,H$110,$G644=$G$140,H$140,$G644=$G$142,H$142,$G644=$G$408,H$408)</f>
        <v>41.430372407595499</v>
      </c>
      <c r="I644" s="51" cm="1">
        <f t="array" ref="I644">_xlfn.IFS($G644=$G$5,I$5,$G644=$G$7,I$7,$G644=$G$10,I$10,$G644=$G$13,I$13,$G644=$G$14,I$14,$G644=$G$16,I$16,$G644=$G$17,I$17,$G644=$G$19,I$19,$G644=$G$20,I$20,$G644=$G$22,I$22,$G644=$G$23,I$23,$G644=$G$26,I$26,$G644=$G$29,I$29,$G644=$G$31,I$31,$G644=$G$34,I$34,$G644=$G$37,I$37,$G644=$G$107,I$107,$G644=$G$110,I$110,$G644=$G$140,I$140,$G644=$G$142,I$142,$G644=$G$408,I$408)</f>
        <v>2.0778358219819002</v>
      </c>
      <c r="J644" s="51" cm="1">
        <f t="array" ref="J644">_xlfn.IFS($G644=$G$5,J$5,$G644=$G$7,J$7,$G644=$G$10,J$10,$G644=$G$13,J$13,$G644=$G$14,J$14,$G644=$G$16,J$16,$G644=$G$17,J$17,$G644=$G$19,J$19,$G644=$G$20,J$20,$G644=$G$22,J$22,$G644=$G$23,J$23,$G644=$G$26,J$26,$G644=$G$29,J$29,$G644=$G$31,J$31,$G644=$G$34,J$34,$G644=$G$37,J$37,$G644=$G$107,J$107,$G644=$G$110,J$110,$G644=$G$140,J$140,$G644=$G$142,J$142,$G644=$G$408,J$408)</f>
        <v>242</v>
      </c>
      <c r="K644" s="13" t="str" cm="1">
        <f t="array" ref="K644">_xlfn.IFS($G644=$G$5,K$5,$G644=$G$7,K$7,$G644=$G$10,K$10,$G644=$G$13,K$13,$G644=$G$14,K$14,$G644=$G$16,K$16,$G644=$G$17,K$17,$G644=$G$19,K$19,$G644=$G$20,K$20,$G644=$G$22,K$22,$G644=$G$23,K$23,$G644=$G$26,K$26,$G644=$G$29,K$29,$G644=$G$31,K$31,$G644=$G$34,K$34,$G644=$G$37,K$37,$G644=$G$107,K$107,$G644=$G$110,K$110,$G644=$G$140,K$140,$G644=$G$142,K$142,$G644=$G$408,K$408)</f>
        <v>Mtego</v>
      </c>
      <c r="O644" s="13" t="str">
        <f t="shared" si="62"/>
        <v>Premal_1_221026</v>
      </c>
      <c r="P644" s="31">
        <v>44860</v>
      </c>
      <c r="Q644" s="29">
        <v>0.72569444444444453</v>
      </c>
      <c r="R644" s="33"/>
      <c r="S644" s="27">
        <v>44867</v>
      </c>
      <c r="T644" s="29">
        <v>0.76041666666666663</v>
      </c>
      <c r="V644" s="13" t="s">
        <v>86</v>
      </c>
      <c r="X644" s="13">
        <f t="shared" si="59"/>
        <v>7</v>
      </c>
      <c r="Z644" s="32" t="s">
        <v>163</v>
      </c>
      <c r="AA644" s="13">
        <f t="shared" si="64"/>
        <v>4</v>
      </c>
      <c r="AB644" s="13" t="str">
        <f t="shared" si="60"/>
        <v>Adult</v>
      </c>
      <c r="AC644" s="13">
        <v>4</v>
      </c>
      <c r="AD644" s="13">
        <v>0</v>
      </c>
      <c r="AE644" s="13" t="str">
        <f t="shared" si="61"/>
        <v>Morphological</v>
      </c>
      <c r="AF644" s="2">
        <v>4</v>
      </c>
    </row>
    <row r="645" spans="1:32" x14ac:dyDescent="0.25">
      <c r="A645" s="13">
        <v>641</v>
      </c>
      <c r="B645" s="23" t="s">
        <v>56</v>
      </c>
      <c r="C645" s="23" t="s">
        <v>57</v>
      </c>
      <c r="D645" s="23" t="s">
        <v>58</v>
      </c>
      <c r="E645" s="23" t="s">
        <v>58</v>
      </c>
      <c r="F645" s="35" cm="1">
        <f t="array" ref="F645">_xlfn.IFS($G645=$G$5,F$5,$G645=$G$7,F$7,$G645=$G$10,F$10,$G645=$G$13,F$13,$G645=$G$14,F$14,$G645=$G$16,F$16,$G645=$G$17,F$17,$G645=$G$19,F$19,$G645=$G$20,F$20,$G645=$G$22,F$22,$G645=$G$23,F$23,$G645=$G$26,F$26,$G645=$G$29,F$29,$G645=$G$31,F$31,$G645=$G$34,F$34,$G645=$G$37,F$37,$G645=$G$107,F$107,$G645=$G$110,F$110,$G645=$G$140,F$140,$G645=$G$142,F$142,$G645=$G$408,F$408)</f>
        <v>8035</v>
      </c>
      <c r="G645" s="13" t="s">
        <v>61</v>
      </c>
      <c r="H645" s="51" cm="1">
        <f t="array" ref="H645">_xlfn.IFS($G645=$G$5,H$5,$G645=$G$7,H$7,$G645=$G$10,H$10,$G645=$G$13,H$13,$G645=$G$14,H$14,$G645=$G$16,H$16,$G645=$G$17,H$17,$G645=$G$19,H$19,$G645=$G$20,H$20,$G645=$G$22,H$22,$G645=$G$23,H$23,$G645=$G$26,H$26,$G645=$G$29,H$29,$G645=$G$31,H$31,$G645=$G$34,H$34,$G645=$G$37,H$37,$G645=$G$107,H$107,$G645=$G$110,H$110,$G645=$G$140,H$140,$G645=$G$142,H$142,$G645=$G$408,H$408)</f>
        <v>41.424387000000003</v>
      </c>
      <c r="I645" s="51" cm="1">
        <f t="array" ref="I645">_xlfn.IFS($G645=$G$5,I$5,$G645=$G$7,I$7,$G645=$G$10,I$10,$G645=$G$13,I$13,$G645=$G$14,I$14,$G645=$G$16,I$16,$G645=$G$17,I$17,$G645=$G$19,I$19,$G645=$G$20,I$20,$G645=$G$22,I$22,$G645=$G$23,I$23,$G645=$G$26,I$26,$G645=$G$29,I$29,$G645=$G$31,I$31,$G645=$G$34,I$34,$G645=$G$37,I$37,$G645=$G$107,I$107,$G645=$G$110,I$110,$G645=$G$140,I$140,$G645=$G$142,I$142,$G645=$G$408,I$408)</f>
        <v>2.1431439999999999</v>
      </c>
      <c r="J645" s="51" cm="1">
        <f t="array" ref="J645">_xlfn.IFS($G645=$G$5,J$5,$G645=$G$7,J$7,$G645=$G$10,J$10,$G645=$G$13,J$13,$G645=$G$14,J$14,$G645=$G$16,J$16,$G645=$G$17,J$17,$G645=$G$19,J$19,$G645=$G$20,J$20,$G645=$G$22,J$22,$G645=$G$23,J$23,$G645=$G$26,J$26,$G645=$G$29,J$29,$G645=$G$31,J$31,$G645=$G$34,J$34,$G645=$G$37,J$37,$G645=$G$107,J$107,$G645=$G$110,J$110,$G645=$G$140,J$140,$G645=$G$142,J$142,$G645=$G$408,J$408)</f>
        <v>160</v>
      </c>
      <c r="K645" s="13" t="str" cm="1">
        <f t="array" ref="K645">_xlfn.IFS($G645=$G$5,K$5,$G645=$G$7,K$7,$G645=$G$10,K$10,$G645=$G$13,K$13,$G645=$G$14,K$14,$G645=$G$16,K$16,$G645=$G$17,K$17,$G645=$G$19,K$19,$G645=$G$20,K$20,$G645=$G$22,K$22,$G645=$G$23,K$23,$G645=$G$26,K$26,$G645=$G$29,K$29,$G645=$G$31,K$31,$G645=$G$34,K$34,$G645=$G$37,K$37,$G645=$G$107,K$107,$G645=$G$110,K$110,$G645=$G$140,K$140,$G645=$G$142,K$142,$G645=$G$408,K$408)</f>
        <v>BG sentinel + BG lure7</v>
      </c>
      <c r="O645" s="13" t="str">
        <f t="shared" si="62"/>
        <v>A_SP_BCN_2_221102</v>
      </c>
      <c r="P645" s="27">
        <v>44867</v>
      </c>
      <c r="Q645" s="29">
        <v>0.72916666666666663</v>
      </c>
      <c r="R645" s="33"/>
      <c r="S645" s="31">
        <v>44874</v>
      </c>
      <c r="T645" s="29">
        <v>0.60763888888888895</v>
      </c>
      <c r="V645" s="13" t="s">
        <v>86</v>
      </c>
      <c r="X645" s="13">
        <f t="shared" si="59"/>
        <v>7</v>
      </c>
      <c r="Z645" s="13" t="s">
        <v>60</v>
      </c>
      <c r="AA645" s="13">
        <f t="shared" si="64"/>
        <v>1</v>
      </c>
      <c r="AB645" s="13" t="str">
        <f t="shared" si="60"/>
        <v>Adult</v>
      </c>
      <c r="AC645" s="13">
        <v>1</v>
      </c>
      <c r="AD645" s="13">
        <v>0</v>
      </c>
      <c r="AE645" s="13" t="str">
        <f t="shared" si="61"/>
        <v>Morphological</v>
      </c>
      <c r="AF645" s="2">
        <v>4</v>
      </c>
    </row>
    <row r="646" spans="1:32" x14ac:dyDescent="0.25">
      <c r="A646" s="13">
        <v>642</v>
      </c>
      <c r="B646" s="23" t="s">
        <v>56</v>
      </c>
      <c r="C646" s="23" t="s">
        <v>57</v>
      </c>
      <c r="D646" s="23" t="s">
        <v>58</v>
      </c>
      <c r="E646" s="23" t="s">
        <v>58</v>
      </c>
      <c r="F646" s="35" cm="1">
        <f t="array" ref="F646">_xlfn.IFS($G646=$G$5,F$5,$G646=$G$7,F$7,$G646=$G$10,F$10,$G646=$G$13,F$13,$G646=$G$14,F$14,$G646=$G$16,F$16,$G646=$G$17,F$17,$G646=$G$19,F$19,$G646=$G$20,F$20,$G646=$G$22,F$22,$G646=$G$23,F$23,$G646=$G$26,F$26,$G646=$G$29,F$29,$G646=$G$31,F$31,$G646=$G$34,F$34,$G646=$G$37,F$37,$G646=$G$107,F$107,$G646=$G$110,F$110,$G646=$G$140,F$140,$G646=$G$142,F$142,$G646=$G$408,F$408)</f>
        <v>8016</v>
      </c>
      <c r="G646" s="13" t="s">
        <v>62</v>
      </c>
      <c r="H646" s="51" cm="1">
        <f t="array" ref="H646">_xlfn.IFS($G646=$G$5,H$5,$G646=$G$7,H$7,$G646=$G$10,H$10,$G646=$G$13,H$13,$G646=$G$14,H$14,$G646=$G$16,H$16,$G646=$G$17,H$17,$G646=$G$19,H$19,$G646=$G$20,H$20,$G646=$G$22,H$22,$G646=$G$23,H$23,$G646=$G$26,H$26,$G646=$G$29,H$29,$G646=$G$31,H$31,$G646=$G$34,H$34,$G646=$G$37,H$37,$G646=$G$107,H$107,$G646=$G$110,H$110,$G646=$G$140,H$140,$G646=$G$142,H$142,$G646=$G$408,H$408)</f>
        <v>41.437435000000001</v>
      </c>
      <c r="I646" s="51" cm="1">
        <f t="array" ref="I646">_xlfn.IFS($G646=$G$5,I$5,$G646=$G$7,I$7,$G646=$G$10,I$10,$G646=$G$13,I$13,$G646=$G$14,I$14,$G646=$G$16,I$16,$G646=$G$17,I$17,$G646=$G$19,I$19,$G646=$G$20,I$20,$G646=$G$22,I$22,$G646=$G$23,I$23,$G646=$G$26,I$26,$G646=$G$29,I$29,$G646=$G$31,I$31,$G646=$G$34,I$34,$G646=$G$37,I$37,$G646=$G$107,I$107,$G646=$G$110,I$110,$G646=$G$140,I$140,$G646=$G$142,I$142,$G646=$G$408,I$408)</f>
        <v>2.1812779999999998</v>
      </c>
      <c r="J646" s="51" cm="1">
        <f t="array" ref="J646">_xlfn.IFS($G646=$G$5,J$5,$G646=$G$7,J$7,$G646=$G$10,J$10,$G646=$G$13,J$13,$G646=$G$14,J$14,$G646=$G$16,J$16,$G646=$G$17,J$17,$G646=$G$19,J$19,$G646=$G$20,J$20,$G646=$G$22,J$22,$G646=$G$23,J$23,$G646=$G$26,J$26,$G646=$G$29,J$29,$G646=$G$31,J$31,$G646=$G$34,J$34,$G646=$G$37,J$37,$G646=$G$107,J$107,$G646=$G$110,J$110,$G646=$G$140,J$140,$G646=$G$142,J$142,$G646=$G$408,J$408)</f>
        <v>47</v>
      </c>
      <c r="K646" s="13" t="str" cm="1">
        <f t="array" ref="K646">_xlfn.IFS($G646=$G$5,K$5,$G646=$G$7,K$7,$G646=$G$10,K$10,$G646=$G$13,K$13,$G646=$G$14,K$14,$G646=$G$16,K$16,$G646=$G$17,K$17,$G646=$G$19,K$19,$G646=$G$20,K$20,$G646=$G$22,K$22,$G646=$G$23,K$23,$G646=$G$26,K$26,$G646=$G$29,K$29,$G646=$G$31,K$31,$G646=$G$34,K$34,$G646=$G$37,K$37,$G646=$G$107,K$107,$G646=$G$110,K$110,$G646=$G$140,K$140,$G646=$G$142,K$142,$G646=$G$408,K$408)</f>
        <v>BG sentinel + BG lure7</v>
      </c>
      <c r="O646" s="13" t="str">
        <f t="shared" si="62"/>
        <v>A_SP_BCN_3_221102</v>
      </c>
      <c r="P646" s="27">
        <v>44867</v>
      </c>
      <c r="Q646" s="29">
        <v>0.84722222222222221</v>
      </c>
      <c r="R646" s="33"/>
      <c r="S646" s="31">
        <v>44875</v>
      </c>
      <c r="T646" s="29">
        <v>0.42708333333333331</v>
      </c>
      <c r="V646" s="13" t="s">
        <v>86</v>
      </c>
      <c r="X646" s="13">
        <f t="shared" ref="X646:X709" si="65">S646-P646</f>
        <v>8</v>
      </c>
      <c r="Z646" s="13" t="s">
        <v>60</v>
      </c>
      <c r="AA646" s="13">
        <f t="shared" si="64"/>
        <v>2</v>
      </c>
      <c r="AB646" s="13" t="str">
        <f t="shared" ref="AB646:AB709" si="66">IF(AA646=0,"",IF(AA646="","",IF(AA646&gt;0,"Adult")))</f>
        <v>Adult</v>
      </c>
      <c r="AC646" s="13">
        <v>1</v>
      </c>
      <c r="AD646" s="13">
        <v>1</v>
      </c>
      <c r="AE646" s="13" t="str">
        <f t="shared" ref="AE646:AE709" si="67">IF(AA646=0,"",IF(AA646="","",IF(AA646&gt;0,"Morphological")))</f>
        <v>Morphological</v>
      </c>
      <c r="AF646" s="2">
        <v>4</v>
      </c>
    </row>
    <row r="647" spans="1:32" x14ac:dyDescent="0.25">
      <c r="A647" s="13">
        <v>643</v>
      </c>
      <c r="B647" s="23" t="s">
        <v>56</v>
      </c>
      <c r="C647" s="23" t="s">
        <v>57</v>
      </c>
      <c r="D647" s="23" t="s">
        <v>58</v>
      </c>
      <c r="E647" s="23" t="s">
        <v>58</v>
      </c>
      <c r="F647" s="35" cm="1">
        <f t="array" ref="F647">_xlfn.IFS($G647=$G$5,F$5,$G647=$G$7,F$7,$G647=$G$10,F$10,$G647=$G$13,F$13,$G647=$G$14,F$14,$G647=$G$16,F$16,$G647=$G$17,F$17,$G647=$G$19,F$19,$G647=$G$20,F$20,$G647=$G$22,F$22,$G647=$G$23,F$23,$G647=$G$26,F$26,$G647=$G$29,F$29,$G647=$G$31,F$31,$G647=$G$34,F$34,$G647=$G$37,F$37,$G647=$G$107,F$107,$G647=$G$110,F$110,$G647=$G$140,F$140,$G647=$G$142,F$142,$G647=$G$408,F$408)</f>
        <v>8016</v>
      </c>
      <c r="G647" s="13" t="s">
        <v>62</v>
      </c>
      <c r="H647" s="51" cm="1">
        <f t="array" ref="H647">_xlfn.IFS($G647=$G$5,H$5,$G647=$G$7,H$7,$G647=$G$10,H$10,$G647=$G$13,H$13,$G647=$G$14,H$14,$G647=$G$16,H$16,$G647=$G$17,H$17,$G647=$G$19,H$19,$G647=$G$20,H$20,$G647=$G$22,H$22,$G647=$G$23,H$23,$G647=$G$26,H$26,$G647=$G$29,H$29,$G647=$G$31,H$31,$G647=$G$34,H$34,$G647=$G$37,H$37,$G647=$G$107,H$107,$G647=$G$110,H$110,$G647=$G$140,H$140,$G647=$G$142,H$142,$G647=$G$408,H$408)</f>
        <v>41.437435000000001</v>
      </c>
      <c r="I647" s="51" cm="1">
        <f t="array" ref="I647">_xlfn.IFS($G647=$G$5,I$5,$G647=$G$7,I$7,$G647=$G$10,I$10,$G647=$G$13,I$13,$G647=$G$14,I$14,$G647=$G$16,I$16,$G647=$G$17,I$17,$G647=$G$19,I$19,$G647=$G$20,I$20,$G647=$G$22,I$22,$G647=$G$23,I$23,$G647=$G$26,I$26,$G647=$G$29,I$29,$G647=$G$31,I$31,$G647=$G$34,I$34,$G647=$G$37,I$37,$G647=$G$107,I$107,$G647=$G$110,I$110,$G647=$G$140,I$140,$G647=$G$142,I$142,$G647=$G$408,I$408)</f>
        <v>2.1812779999999998</v>
      </c>
      <c r="J647" s="51" cm="1">
        <f t="array" ref="J647">_xlfn.IFS($G647=$G$5,J$5,$G647=$G$7,J$7,$G647=$G$10,J$10,$G647=$G$13,J$13,$G647=$G$14,J$14,$G647=$G$16,J$16,$G647=$G$17,J$17,$G647=$G$19,J$19,$G647=$G$20,J$20,$G647=$G$22,J$22,$G647=$G$23,J$23,$G647=$G$26,J$26,$G647=$G$29,J$29,$G647=$G$31,J$31,$G647=$G$34,J$34,$G647=$G$37,J$37,$G647=$G$107,J$107,$G647=$G$110,J$110,$G647=$G$140,J$140,$G647=$G$142,J$142,$G647=$G$408,J$408)</f>
        <v>47</v>
      </c>
      <c r="K647" s="13" t="str" cm="1">
        <f t="array" ref="K647">_xlfn.IFS($G647=$G$5,K$5,$G647=$G$7,K$7,$G647=$G$10,K$10,$G647=$G$13,K$13,$G647=$G$14,K$14,$G647=$G$16,K$16,$G647=$G$17,K$17,$G647=$G$19,K$19,$G647=$G$20,K$20,$G647=$G$22,K$22,$G647=$G$23,K$23,$G647=$G$26,K$26,$G647=$G$29,K$29,$G647=$G$31,K$31,$G647=$G$34,K$34,$G647=$G$37,K$37,$G647=$G$107,K$107,$G647=$G$110,K$110,$G647=$G$140,K$140,$G647=$G$142,K$142,$G647=$G$408,K$408)</f>
        <v>BG sentinel + BG lure7</v>
      </c>
      <c r="O647" s="13" t="str">
        <f t="shared" si="62"/>
        <v>A_SP_BCN_3_221102</v>
      </c>
      <c r="P647" s="27">
        <v>44867</v>
      </c>
      <c r="Q647" s="29">
        <v>0.84722222222222221</v>
      </c>
      <c r="R647" s="33"/>
      <c r="S647" s="31">
        <v>44875</v>
      </c>
      <c r="T647" s="29">
        <v>0.42708333333333331</v>
      </c>
      <c r="V647" s="13" t="s">
        <v>86</v>
      </c>
      <c r="X647" s="13">
        <f t="shared" si="65"/>
        <v>8</v>
      </c>
      <c r="Z647" s="13" t="s">
        <v>164</v>
      </c>
      <c r="AA647" s="13">
        <f t="shared" si="64"/>
        <v>6</v>
      </c>
      <c r="AB647" s="13" t="str">
        <f t="shared" si="66"/>
        <v>Adult</v>
      </c>
      <c r="AC647" s="13">
        <v>3</v>
      </c>
      <c r="AD647" s="13">
        <v>3</v>
      </c>
      <c r="AE647" s="13" t="str">
        <f t="shared" si="67"/>
        <v>Morphological</v>
      </c>
      <c r="AF647" s="2">
        <v>4</v>
      </c>
    </row>
    <row r="648" spans="1:32" x14ac:dyDescent="0.25">
      <c r="A648" s="13">
        <v>644</v>
      </c>
      <c r="B648" s="23" t="s">
        <v>56</v>
      </c>
      <c r="C648" s="23" t="s">
        <v>57</v>
      </c>
      <c r="D648" s="23" t="s">
        <v>58</v>
      </c>
      <c r="E648" s="23" t="s">
        <v>58</v>
      </c>
      <c r="F648" s="35" cm="1">
        <f t="array" ref="F648">_xlfn.IFS($G648=$G$5,F$5,$G648=$G$7,F$7,$G648=$G$10,F$10,$G648=$G$13,F$13,$G648=$G$14,F$14,$G648=$G$16,F$16,$G648=$G$17,F$17,$G648=$G$19,F$19,$G648=$G$20,F$20,$G648=$G$22,F$22,$G648=$G$23,F$23,$G648=$G$26,F$26,$G648=$G$29,F$29,$G648=$G$31,F$31,$G648=$G$34,F$34,$G648=$G$37,F$37,$G648=$G$107,F$107,$G648=$G$110,F$110,$G648=$G$140,F$140,$G648=$G$142,F$142,$G648=$G$408,F$408)</f>
        <v>8018</v>
      </c>
      <c r="G648" s="13" t="s">
        <v>63</v>
      </c>
      <c r="H648" s="51" cm="1">
        <f t="array" ref="H648">_xlfn.IFS($G648=$G$5,H$5,$G648=$G$7,H$7,$G648=$G$10,H$10,$G648=$G$13,H$13,$G648=$G$14,H$14,$G648=$G$16,H$16,$G648=$G$17,H$17,$G648=$G$19,H$19,$G648=$G$20,H$20,$G648=$G$22,H$22,$G648=$G$23,H$23,$G648=$G$26,H$26,$G648=$G$29,H$29,$G648=$G$31,H$31,$G648=$G$34,H$34,$G648=$G$37,H$37,$G648=$G$107,H$107,$G648=$G$110,H$110,$G648=$G$140,H$140,$G648=$G$142,H$142,$G648=$G$408,H$408)</f>
        <v>41.404924999999999</v>
      </c>
      <c r="I648" s="51" cm="1">
        <f t="array" ref="I648">_xlfn.IFS($G648=$G$5,I$5,$G648=$G$7,I$7,$G648=$G$10,I$10,$G648=$G$13,I$13,$G648=$G$14,I$14,$G648=$G$16,I$16,$G648=$G$17,I$17,$G648=$G$19,I$19,$G648=$G$20,I$20,$G648=$G$22,I$22,$G648=$G$23,I$23,$G648=$G$26,I$26,$G648=$G$29,I$29,$G648=$G$31,I$31,$G648=$G$34,I$34,$G648=$G$37,I$37,$G648=$G$107,I$107,$G648=$G$110,I$110,$G648=$G$140,I$140,$G648=$G$142,I$142,$G648=$G$408,I$408)</f>
        <v>2.1987909999999999</v>
      </c>
      <c r="J648" s="51" cm="1">
        <f t="array" ref="J648">_xlfn.IFS($G648=$G$5,J$5,$G648=$G$7,J$7,$G648=$G$10,J$10,$G648=$G$13,J$13,$G648=$G$14,J$14,$G648=$G$16,J$16,$G648=$G$17,J$17,$G648=$G$19,J$19,$G648=$G$20,J$20,$G648=$G$22,J$22,$G648=$G$23,J$23,$G648=$G$26,J$26,$G648=$G$29,J$29,$G648=$G$31,J$31,$G648=$G$34,J$34,$G648=$G$37,J$37,$G648=$G$107,J$107,$G648=$G$110,J$110,$G648=$G$140,J$140,$G648=$G$142,J$142,$G648=$G$408,J$408)</f>
        <v>4</v>
      </c>
      <c r="K648" s="13" t="str" cm="1">
        <f t="array" ref="K648">_xlfn.IFS($G648=$G$5,K$5,$G648=$G$7,K$7,$G648=$G$10,K$10,$G648=$G$13,K$13,$G648=$G$14,K$14,$G648=$G$16,K$16,$G648=$G$17,K$17,$G648=$G$19,K$19,$G648=$G$20,K$20,$G648=$G$22,K$22,$G648=$G$23,K$23,$G648=$G$26,K$26,$G648=$G$29,K$29,$G648=$G$31,K$31,$G648=$G$34,K$34,$G648=$G$37,K$37,$G648=$G$107,K$107,$G648=$G$110,K$110,$G648=$G$140,K$140,$G648=$G$142,K$142,$G648=$G$408,K$408)</f>
        <v>BG sentinel + BG lure7</v>
      </c>
      <c r="O648" s="13" t="str">
        <f t="shared" si="62"/>
        <v>A_SP_BCN_4_221103</v>
      </c>
      <c r="P648" s="31">
        <v>44868</v>
      </c>
      <c r="Q648" s="29">
        <v>0.40972222222222227</v>
      </c>
      <c r="R648" s="33"/>
      <c r="S648" s="31">
        <v>44875</v>
      </c>
      <c r="T648" s="29">
        <v>0.46527777777777773</v>
      </c>
      <c r="V648" s="13" t="s">
        <v>86</v>
      </c>
      <c r="X648" s="13">
        <f t="shared" si="65"/>
        <v>7</v>
      </c>
      <c r="Z648" s="13" t="s">
        <v>164</v>
      </c>
      <c r="AA648" s="13">
        <f t="shared" si="64"/>
        <v>5</v>
      </c>
      <c r="AB648" s="13" t="str">
        <f t="shared" si="66"/>
        <v>Adult</v>
      </c>
      <c r="AC648" s="13">
        <v>5</v>
      </c>
      <c r="AD648" s="13">
        <v>0</v>
      </c>
      <c r="AE648" s="13" t="str">
        <f t="shared" si="67"/>
        <v>Morphological</v>
      </c>
      <c r="AF648" s="2">
        <v>4</v>
      </c>
    </row>
    <row r="649" spans="1:32" x14ac:dyDescent="0.25">
      <c r="A649" s="13">
        <v>645</v>
      </c>
      <c r="B649" s="23" t="s">
        <v>56</v>
      </c>
      <c r="C649" s="23" t="s">
        <v>57</v>
      </c>
      <c r="D649" s="23" t="s">
        <v>58</v>
      </c>
      <c r="E649" s="23" t="s">
        <v>58</v>
      </c>
      <c r="F649" s="35" cm="1">
        <f t="array" ref="F649">_xlfn.IFS($G649=$G$5,F$5,$G649=$G$7,F$7,$G649=$G$10,F$10,$G649=$G$13,F$13,$G649=$G$14,F$14,$G649=$G$16,F$16,$G649=$G$17,F$17,$G649=$G$19,F$19,$G649=$G$20,F$20,$G649=$G$22,F$22,$G649=$G$23,F$23,$G649=$G$26,F$26,$G649=$G$29,F$29,$G649=$G$31,F$31,$G649=$G$34,F$34,$G649=$G$37,F$37,$G649=$G$107,F$107,$G649=$G$110,F$110,$G649=$G$140,F$140,$G649=$G$142,F$142,$G649=$G$408,F$408)</f>
        <v>8019</v>
      </c>
      <c r="G649" s="13" t="s">
        <v>64</v>
      </c>
      <c r="H649" s="51" cm="1">
        <f t="array" ref="H649">_xlfn.IFS($G649=$G$5,H$5,$G649=$G$7,H$7,$G649=$G$10,H$10,$G649=$G$13,H$13,$G649=$G$14,H$14,$G649=$G$16,H$16,$G649=$G$17,H$17,$G649=$G$19,H$19,$G649=$G$20,H$20,$G649=$G$22,H$22,$G649=$G$23,H$23,$G649=$G$26,H$26,$G649=$G$29,H$29,$G649=$G$31,H$31,$G649=$G$34,H$34,$G649=$G$37,H$37,$G649=$G$107,H$107,$G649=$G$110,H$110,$G649=$G$140,H$140,$G649=$G$142,H$142,$G649=$G$408,H$408)</f>
        <v>41.410684000000003</v>
      </c>
      <c r="I649" s="51" cm="1">
        <f t="array" ref="I649">_xlfn.IFS($G649=$G$5,I$5,$G649=$G$7,I$7,$G649=$G$10,I$10,$G649=$G$13,I$13,$G649=$G$14,I$14,$G649=$G$16,I$16,$G649=$G$17,I$17,$G649=$G$19,I$19,$G649=$G$20,I$20,$G649=$G$22,I$22,$G649=$G$23,I$23,$G649=$G$26,I$26,$G649=$G$29,I$29,$G649=$G$31,I$31,$G649=$G$34,I$34,$G649=$G$37,I$37,$G649=$G$107,I$107,$G649=$G$110,I$110,$G649=$G$140,I$140,$G649=$G$142,I$142,$G649=$G$408,I$408)</f>
        <v>2.2208019999999999</v>
      </c>
      <c r="J649" s="51" cm="1">
        <f t="array" ref="J649">_xlfn.IFS($G649=$G$5,J$5,$G649=$G$7,J$7,$G649=$G$10,J$10,$G649=$G$13,J$13,$G649=$G$14,J$14,$G649=$G$16,J$16,$G649=$G$17,J$17,$G649=$G$19,J$19,$G649=$G$20,J$20,$G649=$G$22,J$22,$G649=$G$23,J$23,$G649=$G$26,J$26,$G649=$G$29,J$29,$G649=$G$31,J$31,$G649=$G$34,J$34,$G649=$G$37,J$37,$G649=$G$107,J$107,$G649=$G$110,J$110,$G649=$G$140,J$140,$G649=$G$142,J$142,$G649=$G$408,J$408)</f>
        <v>18</v>
      </c>
      <c r="K649" s="13" t="str" cm="1">
        <f t="array" ref="K649">_xlfn.IFS($G649=$G$5,K$5,$G649=$G$7,K$7,$G649=$G$10,K$10,$G649=$G$13,K$13,$G649=$G$14,K$14,$G649=$G$16,K$16,$G649=$G$17,K$17,$G649=$G$19,K$19,$G649=$G$20,K$20,$G649=$G$22,K$22,$G649=$G$23,K$23,$G649=$G$26,K$26,$G649=$G$29,K$29,$G649=$G$31,K$31,$G649=$G$34,K$34,$G649=$G$37,K$37,$G649=$G$107,K$107,$G649=$G$110,K$110,$G649=$G$140,K$140,$G649=$G$142,K$142,$G649=$G$408,K$408)</f>
        <v>BG sentinel + BG lure7</v>
      </c>
      <c r="O649" s="13" t="str">
        <f t="shared" si="62"/>
        <v>A_SP_BCN_5_221103</v>
      </c>
      <c r="P649" s="31">
        <v>44868</v>
      </c>
      <c r="Q649" s="29">
        <v>0.4201388888888889</v>
      </c>
      <c r="R649" s="33"/>
      <c r="S649" s="31">
        <v>44875</v>
      </c>
      <c r="T649" s="29">
        <v>0.44791666666666669</v>
      </c>
      <c r="V649" s="13" t="s">
        <v>86</v>
      </c>
      <c r="X649" s="13">
        <f t="shared" si="65"/>
        <v>7</v>
      </c>
      <c r="Z649" s="13" t="s">
        <v>164</v>
      </c>
      <c r="AA649" s="13">
        <f t="shared" si="64"/>
        <v>5</v>
      </c>
      <c r="AB649" s="13" t="str">
        <f t="shared" si="66"/>
        <v>Adult</v>
      </c>
      <c r="AC649" s="13">
        <v>5</v>
      </c>
      <c r="AD649" s="13">
        <v>0</v>
      </c>
      <c r="AE649" s="13" t="str">
        <f t="shared" si="67"/>
        <v>Morphological</v>
      </c>
      <c r="AF649" s="2">
        <v>4</v>
      </c>
    </row>
    <row r="650" spans="1:32" x14ac:dyDescent="0.25">
      <c r="A650" s="13">
        <v>646</v>
      </c>
      <c r="B650" s="23" t="s">
        <v>56</v>
      </c>
      <c r="C650" s="23" t="s">
        <v>57</v>
      </c>
      <c r="D650" s="23" t="s">
        <v>58</v>
      </c>
      <c r="E650" s="23" t="s">
        <v>58</v>
      </c>
      <c r="F650" s="35" cm="1">
        <f t="array" ref="F650">_xlfn.IFS($G650=$G$5,F$5,$G650=$G$7,F$7,$G650=$G$10,F$10,$G650=$G$13,F$13,$G650=$G$14,F$14,$G650=$G$16,F$16,$G650=$G$17,F$17,$G650=$G$19,F$19,$G650=$G$20,F$20,$G650=$G$22,F$22,$G650=$G$23,F$23,$G650=$G$26,F$26,$G650=$G$29,F$29,$G650=$G$31,F$31,$G650=$G$34,F$34,$G650=$G$37,F$37,$G650=$G$107,F$107,$G650=$G$110,F$110,$G650=$G$140,F$140,$G650=$G$142,F$142,$G650=$G$408,F$408)</f>
        <v>8002</v>
      </c>
      <c r="G650" s="13" t="s">
        <v>65</v>
      </c>
      <c r="H650" s="51" cm="1">
        <f t="array" ref="H650">_xlfn.IFS($G650=$G$5,H$5,$G650=$G$7,H$7,$G650=$G$10,H$10,$G650=$G$13,H$13,$G650=$G$14,H$14,$G650=$G$16,H$16,$G650=$G$17,H$17,$G650=$G$19,H$19,$G650=$G$20,H$20,$G650=$G$22,H$22,$G650=$G$23,H$23,$G650=$G$26,H$26,$G650=$G$29,H$29,$G650=$G$31,H$31,$G650=$G$34,H$34,$G650=$G$37,H$37,$G650=$G$107,H$107,$G650=$G$110,H$110,$G650=$G$140,H$140,$G650=$G$142,H$142,$G650=$G$408,H$408)</f>
        <v>41.382339999999999</v>
      </c>
      <c r="I650" s="51" cm="1">
        <f t="array" ref="I650">_xlfn.IFS($G650=$G$5,I$5,$G650=$G$7,I$7,$G650=$G$10,I$10,$G650=$G$13,I$13,$G650=$G$14,I$14,$G650=$G$16,I$16,$G650=$G$17,I$17,$G650=$G$19,I$19,$G650=$G$20,I$20,$G650=$G$22,I$22,$G650=$G$23,I$23,$G650=$G$26,I$26,$G650=$G$29,I$29,$G650=$G$31,I$31,$G650=$G$34,I$34,$G650=$G$37,I$37,$G650=$G$107,I$107,$G650=$G$110,I$110,$G650=$G$140,I$140,$G650=$G$142,I$142,$G650=$G$408,I$408)</f>
        <v>2.1714790000000002</v>
      </c>
      <c r="J650" s="51" cm="1">
        <f t="array" ref="J650">_xlfn.IFS($G650=$G$5,J$5,$G650=$G$7,J$7,$G650=$G$10,J$10,$G650=$G$13,J$13,$G650=$G$14,J$14,$G650=$G$16,J$16,$G650=$G$17,J$17,$G650=$G$19,J$19,$G650=$G$20,J$20,$G650=$G$22,J$22,$G650=$G$23,J$23,$G650=$G$26,J$26,$G650=$G$29,J$29,$G650=$G$31,J$31,$G650=$G$34,J$34,$G650=$G$37,J$37,$G650=$G$107,J$107,$G650=$G$110,J$110,$G650=$G$140,J$140,$G650=$G$142,J$142,$G650=$G$408,J$408)</f>
        <v>19</v>
      </c>
      <c r="K650" s="13" t="str" cm="1">
        <f t="array" ref="K650">_xlfn.IFS($G650=$G$5,K$5,$G650=$G$7,K$7,$G650=$G$10,K$10,$G650=$G$13,K$13,$G650=$G$14,K$14,$G650=$G$16,K$16,$G650=$G$17,K$17,$G650=$G$19,K$19,$G650=$G$20,K$20,$G650=$G$22,K$22,$G650=$G$23,K$23,$G650=$G$26,K$26,$G650=$G$29,K$29,$G650=$G$31,K$31,$G650=$G$34,K$34,$G650=$G$37,K$37,$G650=$G$107,K$107,$G650=$G$110,K$110,$G650=$G$140,K$140,$G650=$G$142,K$142,$G650=$G$408,K$408)</f>
        <v>BG sentinel + BG lure7</v>
      </c>
      <c r="O650" s="13" t="str">
        <f t="shared" si="62"/>
        <v>A_SP_BCN_6_221103</v>
      </c>
      <c r="P650" s="31">
        <v>44868</v>
      </c>
      <c r="Q650" s="29">
        <v>0.45833333333333331</v>
      </c>
      <c r="R650" s="48"/>
      <c r="S650" s="31">
        <v>44875</v>
      </c>
      <c r="T650" s="29">
        <v>0.5625</v>
      </c>
      <c r="V650" s="13" t="s">
        <v>86</v>
      </c>
      <c r="X650" s="13">
        <f t="shared" si="65"/>
        <v>7</v>
      </c>
      <c r="Z650" s="13" t="s">
        <v>164</v>
      </c>
      <c r="AA650" s="13">
        <f t="shared" si="64"/>
        <v>3</v>
      </c>
      <c r="AB650" s="13" t="str">
        <f t="shared" si="66"/>
        <v>Adult</v>
      </c>
      <c r="AC650" s="13">
        <v>2</v>
      </c>
      <c r="AD650" s="13">
        <v>1</v>
      </c>
      <c r="AE650" s="13" t="str">
        <f t="shared" si="67"/>
        <v>Morphological</v>
      </c>
      <c r="AF650" s="2">
        <v>4</v>
      </c>
    </row>
    <row r="651" spans="1:32" x14ac:dyDescent="0.25">
      <c r="A651" s="13">
        <v>647</v>
      </c>
      <c r="B651" s="23" t="s">
        <v>56</v>
      </c>
      <c r="C651" s="23" t="s">
        <v>57</v>
      </c>
      <c r="D651" s="23" t="s">
        <v>58</v>
      </c>
      <c r="E651" s="23" t="s">
        <v>58</v>
      </c>
      <c r="F651" s="35" cm="1">
        <f t="array" ref="F651">_xlfn.IFS($G651=$G$5,F$5,$G651=$G$7,F$7,$G651=$G$10,F$10,$G651=$G$13,F$13,$G651=$G$14,F$14,$G651=$G$16,F$16,$G651=$G$17,F$17,$G651=$G$19,F$19,$G651=$G$20,F$20,$G651=$G$22,F$22,$G651=$G$23,F$23,$G651=$G$26,F$26,$G651=$G$29,F$29,$G651=$G$31,F$31,$G651=$G$34,F$34,$G651=$G$37,F$37,$G651=$G$107,F$107,$G651=$G$110,F$110,$G651=$G$140,F$140,$G651=$G$142,F$142,$G651=$G$408,F$408)</f>
        <v>8040</v>
      </c>
      <c r="G651" s="13" t="s">
        <v>68</v>
      </c>
      <c r="H651" s="51" cm="1">
        <f t="array" ref="H651">_xlfn.IFS($G651=$G$5,H$5,$G651=$G$7,H$7,$G651=$G$10,H$10,$G651=$G$13,H$13,$G651=$G$14,H$14,$G651=$G$16,H$16,$G651=$G$17,H$17,$G651=$G$19,H$19,$G651=$G$20,H$20,$G651=$G$22,H$22,$G651=$G$23,H$23,$G651=$G$26,H$26,$G651=$G$29,H$29,$G651=$G$31,H$31,$G651=$G$34,H$34,$G651=$G$37,H$37,$G651=$G$107,H$107,$G651=$G$110,H$110,$G651=$G$140,H$140,$G651=$G$142,H$142,$G651=$G$408,H$408)</f>
        <v>41.343685000000001</v>
      </c>
      <c r="I651" s="51" cm="1">
        <f t="array" ref="I651">_xlfn.IFS($G651=$G$5,I$5,$G651=$G$7,I$7,$G651=$G$10,I$10,$G651=$G$13,I$13,$G651=$G$14,I$14,$G651=$G$16,I$16,$G651=$G$17,I$17,$G651=$G$19,I$19,$G651=$G$20,I$20,$G651=$G$22,I$22,$G651=$G$23,I$23,$G651=$G$26,I$26,$G651=$G$29,I$29,$G651=$G$31,I$31,$G651=$G$34,I$34,$G651=$G$37,I$37,$G651=$G$107,I$107,$G651=$G$110,I$110,$G651=$G$140,I$140,$G651=$G$142,I$142,$G651=$G$408,I$408)</f>
        <v>2.1441490000000001</v>
      </c>
      <c r="J651" s="51" cm="1">
        <f t="array" ref="J651">_xlfn.IFS($G651=$G$5,J$5,$G651=$G$7,J$7,$G651=$G$10,J$10,$G651=$G$13,J$13,$G651=$G$14,J$14,$G651=$G$16,J$16,$G651=$G$17,J$17,$G651=$G$19,J$19,$G651=$G$20,J$20,$G651=$G$22,J$22,$G651=$G$23,J$23,$G651=$G$26,J$26,$G651=$G$29,J$29,$G651=$G$31,J$31,$G651=$G$34,J$34,$G651=$G$37,J$37,$G651=$G$107,J$107,$G651=$G$110,J$110,$G651=$G$140,J$140,$G651=$G$142,J$142,$G651=$G$408,J$408)</f>
        <v>4</v>
      </c>
      <c r="K651" s="13" t="str" cm="1">
        <f t="array" ref="K651">_xlfn.IFS($G651=$G$5,K$5,$G651=$G$7,K$7,$G651=$G$10,K$10,$G651=$G$13,K$13,$G651=$G$14,K$14,$G651=$G$16,K$16,$G651=$G$17,K$17,$G651=$G$19,K$19,$G651=$G$20,K$20,$G651=$G$22,K$22,$G651=$G$23,K$23,$G651=$G$26,K$26,$G651=$G$29,K$29,$G651=$G$31,K$31,$G651=$G$34,K$34,$G651=$G$37,K$37,$G651=$G$107,K$107,$G651=$G$110,K$110,$G651=$G$140,K$140,$G651=$G$142,K$142,$G651=$G$408,K$408)</f>
        <v>BG sentinel + BG lure7</v>
      </c>
      <c r="O651" s="13" t="str">
        <f t="shared" si="62"/>
        <v>A_SP_BCN_10_221102</v>
      </c>
      <c r="P651" s="27">
        <v>44867</v>
      </c>
      <c r="Q651" s="29">
        <v>0.61111111111111105</v>
      </c>
      <c r="R651" s="33"/>
      <c r="S651" s="31">
        <v>44874</v>
      </c>
      <c r="T651" s="29">
        <v>0.5</v>
      </c>
      <c r="V651" s="13" t="s">
        <v>86</v>
      </c>
      <c r="X651" s="13">
        <f t="shared" si="65"/>
        <v>7</v>
      </c>
      <c r="Z651" s="13" t="s">
        <v>60</v>
      </c>
      <c r="AA651" s="13">
        <f t="shared" si="64"/>
        <v>1</v>
      </c>
      <c r="AB651" s="13" t="str">
        <f t="shared" si="66"/>
        <v>Adult</v>
      </c>
      <c r="AC651" s="13">
        <v>1</v>
      </c>
      <c r="AD651" s="13">
        <v>0</v>
      </c>
      <c r="AE651" s="13" t="str">
        <f t="shared" si="67"/>
        <v>Morphological</v>
      </c>
      <c r="AF651" s="2">
        <v>4</v>
      </c>
    </row>
    <row r="652" spans="1:32" x14ac:dyDescent="0.25">
      <c r="A652" s="13">
        <v>648</v>
      </c>
      <c r="B652" s="23" t="s">
        <v>56</v>
      </c>
      <c r="C652" s="23" t="s">
        <v>57</v>
      </c>
      <c r="D652" s="23" t="s">
        <v>58</v>
      </c>
      <c r="E652" s="23" t="s">
        <v>58</v>
      </c>
      <c r="F652" s="35" cm="1">
        <f t="array" ref="F652">_xlfn.IFS($G652=$G$5,F$5,$G652=$G$7,F$7,$G652=$G$10,F$10,$G652=$G$13,F$13,$G652=$G$14,F$14,$G652=$G$16,F$16,$G652=$G$17,F$17,$G652=$G$19,F$19,$G652=$G$20,F$20,$G652=$G$22,F$22,$G652=$G$23,F$23,$G652=$G$26,F$26,$G652=$G$29,F$29,$G652=$G$31,F$31,$G652=$G$34,F$34,$G652=$G$37,F$37,$G652=$G$107,F$107,$G652=$G$110,F$110,$G652=$G$140,F$140,$G652=$G$142,F$142,$G652=$G$408,F$408)</f>
        <v>8040</v>
      </c>
      <c r="G652" s="13" t="s">
        <v>68</v>
      </c>
      <c r="H652" s="51" cm="1">
        <f t="array" ref="H652">_xlfn.IFS($G652=$G$5,H$5,$G652=$G$7,H$7,$G652=$G$10,H$10,$G652=$G$13,H$13,$G652=$G$14,H$14,$G652=$G$16,H$16,$G652=$G$17,H$17,$G652=$G$19,H$19,$G652=$G$20,H$20,$G652=$G$22,H$22,$G652=$G$23,H$23,$G652=$G$26,H$26,$G652=$G$29,H$29,$G652=$G$31,H$31,$G652=$G$34,H$34,$G652=$G$37,H$37,$G652=$G$107,H$107,$G652=$G$110,H$110,$G652=$G$140,H$140,$G652=$G$142,H$142,$G652=$G$408,H$408)</f>
        <v>41.343685000000001</v>
      </c>
      <c r="I652" s="51" cm="1">
        <f t="array" ref="I652">_xlfn.IFS($G652=$G$5,I$5,$G652=$G$7,I$7,$G652=$G$10,I$10,$G652=$G$13,I$13,$G652=$G$14,I$14,$G652=$G$16,I$16,$G652=$G$17,I$17,$G652=$G$19,I$19,$G652=$G$20,I$20,$G652=$G$22,I$22,$G652=$G$23,I$23,$G652=$G$26,I$26,$G652=$G$29,I$29,$G652=$G$31,I$31,$G652=$G$34,I$34,$G652=$G$37,I$37,$G652=$G$107,I$107,$G652=$G$110,I$110,$G652=$G$140,I$140,$G652=$G$142,I$142,$G652=$G$408,I$408)</f>
        <v>2.1441490000000001</v>
      </c>
      <c r="J652" s="51" cm="1">
        <f t="array" ref="J652">_xlfn.IFS($G652=$G$5,J$5,$G652=$G$7,J$7,$G652=$G$10,J$10,$G652=$G$13,J$13,$G652=$G$14,J$14,$G652=$G$16,J$16,$G652=$G$17,J$17,$G652=$G$19,J$19,$G652=$G$20,J$20,$G652=$G$22,J$22,$G652=$G$23,J$23,$G652=$G$26,J$26,$G652=$G$29,J$29,$G652=$G$31,J$31,$G652=$G$34,J$34,$G652=$G$37,J$37,$G652=$G$107,J$107,$G652=$G$110,J$110,$G652=$G$140,J$140,$G652=$G$142,J$142,$G652=$G$408,J$408)</f>
        <v>4</v>
      </c>
      <c r="K652" s="13" t="str" cm="1">
        <f t="array" ref="K652">_xlfn.IFS($G652=$G$5,K$5,$G652=$G$7,K$7,$G652=$G$10,K$10,$G652=$G$13,K$13,$G652=$G$14,K$14,$G652=$G$16,K$16,$G652=$G$17,K$17,$G652=$G$19,K$19,$G652=$G$20,K$20,$G652=$G$22,K$22,$G652=$G$23,K$23,$G652=$G$26,K$26,$G652=$G$29,K$29,$G652=$G$31,K$31,$G652=$G$34,K$34,$G652=$G$37,K$37,$G652=$G$107,K$107,$G652=$G$110,K$110,$G652=$G$140,K$140,$G652=$G$142,K$142,$G652=$G$408,K$408)</f>
        <v>BG sentinel + BG lure7</v>
      </c>
      <c r="O652" s="13" t="str">
        <f t="shared" si="62"/>
        <v>A_SP_BCN_10_221102</v>
      </c>
      <c r="P652" s="27">
        <v>44867</v>
      </c>
      <c r="Q652" s="29">
        <v>0.61111111111111105</v>
      </c>
      <c r="R652" s="33"/>
      <c r="S652" s="31">
        <v>44874</v>
      </c>
      <c r="T652" s="29">
        <v>0.5</v>
      </c>
      <c r="V652" s="13" t="s">
        <v>86</v>
      </c>
      <c r="X652" s="13">
        <f t="shared" si="65"/>
        <v>7</v>
      </c>
      <c r="Z652" s="13" t="s">
        <v>164</v>
      </c>
      <c r="AA652" s="13">
        <f t="shared" si="64"/>
        <v>7</v>
      </c>
      <c r="AB652" s="13" t="str">
        <f t="shared" si="66"/>
        <v>Adult</v>
      </c>
      <c r="AC652" s="13">
        <v>7</v>
      </c>
      <c r="AD652" s="13">
        <v>0</v>
      </c>
      <c r="AE652" s="13" t="str">
        <f t="shared" si="67"/>
        <v>Morphological</v>
      </c>
      <c r="AF652" s="2">
        <v>4</v>
      </c>
    </row>
    <row r="653" spans="1:32" x14ac:dyDescent="0.25">
      <c r="A653" s="13">
        <v>649</v>
      </c>
      <c r="B653" s="23" t="s">
        <v>56</v>
      </c>
      <c r="C653" s="23" t="s">
        <v>57</v>
      </c>
      <c r="D653" s="23" t="s">
        <v>58</v>
      </c>
      <c r="E653" s="23" t="s">
        <v>58</v>
      </c>
      <c r="F653" s="35" cm="1">
        <f t="array" ref="F653">_xlfn.IFS($G653=$G$5,F$5,$G653=$G$7,F$7,$G653=$G$10,F$10,$G653=$G$13,F$13,$G653=$G$14,F$14,$G653=$G$16,F$16,$G653=$G$17,F$17,$G653=$G$19,F$19,$G653=$G$20,F$20,$G653=$G$22,F$22,$G653=$G$23,F$23,$G653=$G$26,F$26,$G653=$G$29,F$29,$G653=$G$31,F$31,$G653=$G$34,F$34,$G653=$G$37,F$37,$G653=$G$107,F$107,$G653=$G$110,F$110,$G653=$G$140,F$140,$G653=$G$142,F$142,$G653=$G$408,F$408)</f>
        <v>8040</v>
      </c>
      <c r="G653" s="13" t="s">
        <v>68</v>
      </c>
      <c r="H653" s="51" cm="1">
        <f t="array" ref="H653">_xlfn.IFS($G653=$G$5,H$5,$G653=$G$7,H$7,$G653=$G$10,H$10,$G653=$G$13,H$13,$G653=$G$14,H$14,$G653=$G$16,H$16,$G653=$G$17,H$17,$G653=$G$19,H$19,$G653=$G$20,H$20,$G653=$G$22,H$22,$G653=$G$23,H$23,$G653=$G$26,H$26,$G653=$G$29,H$29,$G653=$G$31,H$31,$G653=$G$34,H$34,$G653=$G$37,H$37,$G653=$G$107,H$107,$G653=$G$110,H$110,$G653=$G$140,H$140,$G653=$G$142,H$142,$G653=$G$408,H$408)</f>
        <v>41.343685000000001</v>
      </c>
      <c r="I653" s="51" cm="1">
        <f t="array" ref="I653">_xlfn.IFS($G653=$G$5,I$5,$G653=$G$7,I$7,$G653=$G$10,I$10,$G653=$G$13,I$13,$G653=$G$14,I$14,$G653=$G$16,I$16,$G653=$G$17,I$17,$G653=$G$19,I$19,$G653=$G$20,I$20,$G653=$G$22,I$22,$G653=$G$23,I$23,$G653=$G$26,I$26,$G653=$G$29,I$29,$G653=$G$31,I$31,$G653=$G$34,I$34,$G653=$G$37,I$37,$G653=$G$107,I$107,$G653=$G$110,I$110,$G653=$G$140,I$140,$G653=$G$142,I$142,$G653=$G$408,I$408)</f>
        <v>2.1441490000000001</v>
      </c>
      <c r="J653" s="51" cm="1">
        <f t="array" ref="J653">_xlfn.IFS($G653=$G$5,J$5,$G653=$G$7,J$7,$G653=$G$10,J$10,$G653=$G$13,J$13,$G653=$G$14,J$14,$G653=$G$16,J$16,$G653=$G$17,J$17,$G653=$G$19,J$19,$G653=$G$20,J$20,$G653=$G$22,J$22,$G653=$G$23,J$23,$G653=$G$26,J$26,$G653=$G$29,J$29,$G653=$G$31,J$31,$G653=$G$34,J$34,$G653=$G$37,J$37,$G653=$G$107,J$107,$G653=$G$110,J$110,$G653=$G$140,J$140,$G653=$G$142,J$142,$G653=$G$408,J$408)</f>
        <v>4</v>
      </c>
      <c r="K653" s="13" t="str" cm="1">
        <f t="array" ref="K653">_xlfn.IFS($G653=$G$5,K$5,$G653=$G$7,K$7,$G653=$G$10,K$10,$G653=$G$13,K$13,$G653=$G$14,K$14,$G653=$G$16,K$16,$G653=$G$17,K$17,$G653=$G$19,K$19,$G653=$G$20,K$20,$G653=$G$22,K$22,$G653=$G$23,K$23,$G653=$G$26,K$26,$G653=$G$29,K$29,$G653=$G$31,K$31,$G653=$G$34,K$34,$G653=$G$37,K$37,$G653=$G$107,K$107,$G653=$G$110,K$110,$G653=$G$140,K$140,$G653=$G$142,K$142,$G653=$G$408,K$408)</f>
        <v>BG sentinel + BG lure7</v>
      </c>
      <c r="O653" s="13" t="str">
        <f t="shared" si="62"/>
        <v>A_SP_BCN_10_221102</v>
      </c>
      <c r="P653" s="27">
        <v>44867</v>
      </c>
      <c r="Q653" s="29">
        <v>0.61111111111111105</v>
      </c>
      <c r="R653" s="33"/>
      <c r="S653" s="31">
        <v>44874</v>
      </c>
      <c r="T653" s="29">
        <v>0.5</v>
      </c>
      <c r="V653" s="13" t="s">
        <v>86</v>
      </c>
      <c r="X653" s="13">
        <f t="shared" si="65"/>
        <v>7</v>
      </c>
      <c r="Z653" s="32" t="s">
        <v>163</v>
      </c>
      <c r="AA653" s="13">
        <f t="shared" si="64"/>
        <v>1</v>
      </c>
      <c r="AB653" s="13" t="str">
        <f t="shared" si="66"/>
        <v>Adult</v>
      </c>
      <c r="AC653" s="13">
        <v>1</v>
      </c>
      <c r="AD653" s="13">
        <v>0</v>
      </c>
      <c r="AE653" s="13" t="str">
        <f t="shared" si="67"/>
        <v>Morphological</v>
      </c>
      <c r="AF653" s="2">
        <v>4</v>
      </c>
    </row>
    <row r="654" spans="1:32" x14ac:dyDescent="0.25">
      <c r="A654" s="13">
        <v>650</v>
      </c>
      <c r="B654" s="23" t="s">
        <v>56</v>
      </c>
      <c r="C654" s="23" t="s">
        <v>57</v>
      </c>
      <c r="D654" s="23" t="s">
        <v>58</v>
      </c>
      <c r="E654" s="23" t="s">
        <v>58</v>
      </c>
      <c r="F654" s="35" cm="1">
        <f t="array" ref="F654">_xlfn.IFS($G654=$G$5,F$5,$G654=$G$7,F$7,$G654=$G$10,F$10,$G654=$G$13,F$13,$G654=$G$14,F$14,$G654=$G$16,F$16,$G654=$G$17,F$17,$G654=$G$19,F$19,$G654=$G$20,F$20,$G654=$G$22,F$22,$G654=$G$23,F$23,$G654=$G$26,F$26,$G654=$G$29,F$29,$G654=$G$31,F$31,$G654=$G$34,F$34,$G654=$G$37,F$37,$G654=$G$107,F$107,$G654=$G$110,F$110,$G654=$G$140,F$140,$G654=$G$142,F$142,$G654=$G$408,F$408)</f>
        <v>8038</v>
      </c>
      <c r="G654" s="13" t="s">
        <v>69</v>
      </c>
      <c r="H654" s="51" cm="1">
        <f t="array" ref="H654">_xlfn.IFS($G654=$G$5,H$5,$G654=$G$7,H$7,$G654=$G$10,H$10,$G654=$G$13,H$13,$G654=$G$14,H$14,$G654=$G$16,H$16,$G654=$G$17,H$17,$G654=$G$19,H$19,$G654=$G$20,H$20,$G654=$G$22,H$22,$G654=$G$23,H$23,$G654=$G$26,H$26,$G654=$G$29,H$29,$G654=$G$31,H$31,$G654=$G$34,H$34,$G654=$G$37,H$37,$G654=$G$107,H$107,$G654=$G$110,H$110,$G654=$G$140,H$140,$G654=$G$142,H$142,$G654=$G$408,H$408)</f>
        <v>41.363377999999997</v>
      </c>
      <c r="I654" s="51" cm="1">
        <f t="array" ref="I654">_xlfn.IFS($G654=$G$5,I$5,$G654=$G$7,I$7,$G654=$G$10,I$10,$G654=$G$13,I$13,$G654=$G$14,I$14,$G654=$G$16,I$16,$G654=$G$17,I$17,$G654=$G$19,I$19,$G654=$G$20,I$20,$G654=$G$22,I$22,$G654=$G$23,I$23,$G654=$G$26,I$26,$G654=$G$29,I$29,$G654=$G$31,I$31,$G654=$G$34,I$34,$G654=$G$37,I$37,$G654=$G$107,I$107,$G654=$G$110,I$110,$G654=$G$140,I$140,$G654=$G$142,I$142,$G654=$G$408,I$408)</f>
        <v>2.164879</v>
      </c>
      <c r="J654" s="51" cm="1">
        <f t="array" ref="J654">_xlfn.IFS($G654=$G$5,J$5,$G654=$G$7,J$7,$G654=$G$10,J$10,$G654=$G$13,J$13,$G654=$G$14,J$14,$G654=$G$16,J$16,$G654=$G$17,J$17,$G654=$G$19,J$19,$G654=$G$20,J$20,$G654=$G$22,J$22,$G654=$G$23,J$23,$G654=$G$26,J$26,$G654=$G$29,J$29,$G654=$G$31,J$31,$G654=$G$34,J$34,$G654=$G$37,J$37,$G654=$G$107,J$107,$G654=$G$110,J$110,$G654=$G$140,J$140,$G654=$G$142,J$142,$G654=$G$408,J$408)</f>
        <v>185</v>
      </c>
      <c r="K654" s="13" t="str" cm="1">
        <f t="array" ref="K654">_xlfn.IFS($G654=$G$5,K$5,$G654=$G$7,K$7,$G654=$G$10,K$10,$G654=$G$13,K$13,$G654=$G$14,K$14,$G654=$G$16,K$16,$G654=$G$17,K$17,$G654=$G$19,K$19,$G654=$G$20,K$20,$G654=$G$22,K$22,$G654=$G$23,K$23,$G654=$G$26,K$26,$G654=$G$29,K$29,$G654=$G$31,K$31,$G654=$G$34,K$34,$G654=$G$37,K$37,$G654=$G$107,K$107,$G654=$G$110,K$110,$G654=$G$140,K$140,$G654=$G$142,K$142,$G654=$G$408,K$408)</f>
        <v>BG sentinel + BG lure7</v>
      </c>
      <c r="O654" s="13" t="str">
        <f t="shared" si="62"/>
        <v>A_SP_BCN_12_221102</v>
      </c>
      <c r="P654" s="27">
        <v>44867</v>
      </c>
      <c r="Q654" s="29">
        <v>0.63888888888888895</v>
      </c>
      <c r="R654" s="33"/>
      <c r="S654" s="31">
        <v>44874</v>
      </c>
      <c r="T654" s="29">
        <v>0.53819444444444442</v>
      </c>
      <c r="V654" s="13" t="s">
        <v>86</v>
      </c>
      <c r="X654" s="13">
        <f t="shared" si="65"/>
        <v>7</v>
      </c>
      <c r="Z654" s="13" t="s">
        <v>60</v>
      </c>
      <c r="AA654" s="13">
        <f t="shared" si="64"/>
        <v>1</v>
      </c>
      <c r="AB654" s="13" t="str">
        <f t="shared" si="66"/>
        <v>Adult</v>
      </c>
      <c r="AC654" s="13">
        <v>0</v>
      </c>
      <c r="AD654" s="13">
        <v>1</v>
      </c>
      <c r="AE654" s="13" t="str">
        <f t="shared" si="67"/>
        <v>Morphological</v>
      </c>
      <c r="AF654" s="2">
        <v>4</v>
      </c>
    </row>
    <row r="655" spans="1:32" x14ac:dyDescent="0.25">
      <c r="A655" s="13">
        <v>651</v>
      </c>
      <c r="B655" s="23" t="s">
        <v>56</v>
      </c>
      <c r="C655" s="23" t="s">
        <v>57</v>
      </c>
      <c r="D655" s="23" t="s">
        <v>58</v>
      </c>
      <c r="E655" s="23" t="s">
        <v>58</v>
      </c>
      <c r="F655" s="35" cm="1">
        <f t="array" ref="F655">_xlfn.IFS($G655=$G$5,F$5,$G655=$G$7,F$7,$G655=$G$10,F$10,$G655=$G$13,F$13,$G655=$G$14,F$14,$G655=$G$16,F$16,$G655=$G$17,F$17,$G655=$G$19,F$19,$G655=$G$20,F$20,$G655=$G$22,F$22,$G655=$G$23,F$23,$G655=$G$26,F$26,$G655=$G$29,F$29,$G655=$G$31,F$31,$G655=$G$34,F$34,$G655=$G$37,F$37,$G655=$G$107,F$107,$G655=$G$110,F$110,$G655=$G$140,F$140,$G655=$G$142,F$142,$G655=$G$408,F$408)</f>
        <v>8038</v>
      </c>
      <c r="G655" s="13" t="s">
        <v>69</v>
      </c>
      <c r="H655" s="51" cm="1">
        <f t="array" ref="H655">_xlfn.IFS($G655=$G$5,H$5,$G655=$G$7,H$7,$G655=$G$10,H$10,$G655=$G$13,H$13,$G655=$G$14,H$14,$G655=$G$16,H$16,$G655=$G$17,H$17,$G655=$G$19,H$19,$G655=$G$20,H$20,$G655=$G$22,H$22,$G655=$G$23,H$23,$G655=$G$26,H$26,$G655=$G$29,H$29,$G655=$G$31,H$31,$G655=$G$34,H$34,$G655=$G$37,H$37,$G655=$G$107,H$107,$G655=$G$110,H$110,$G655=$G$140,H$140,$G655=$G$142,H$142,$G655=$G$408,H$408)</f>
        <v>41.363377999999997</v>
      </c>
      <c r="I655" s="51" cm="1">
        <f t="array" ref="I655">_xlfn.IFS($G655=$G$5,I$5,$G655=$G$7,I$7,$G655=$G$10,I$10,$G655=$G$13,I$13,$G655=$G$14,I$14,$G655=$G$16,I$16,$G655=$G$17,I$17,$G655=$G$19,I$19,$G655=$G$20,I$20,$G655=$G$22,I$22,$G655=$G$23,I$23,$G655=$G$26,I$26,$G655=$G$29,I$29,$G655=$G$31,I$31,$G655=$G$34,I$34,$G655=$G$37,I$37,$G655=$G$107,I$107,$G655=$G$110,I$110,$G655=$G$140,I$140,$G655=$G$142,I$142,$G655=$G$408,I$408)</f>
        <v>2.164879</v>
      </c>
      <c r="J655" s="51" cm="1">
        <f t="array" ref="J655">_xlfn.IFS($G655=$G$5,J$5,$G655=$G$7,J$7,$G655=$G$10,J$10,$G655=$G$13,J$13,$G655=$G$14,J$14,$G655=$G$16,J$16,$G655=$G$17,J$17,$G655=$G$19,J$19,$G655=$G$20,J$20,$G655=$G$22,J$22,$G655=$G$23,J$23,$G655=$G$26,J$26,$G655=$G$29,J$29,$G655=$G$31,J$31,$G655=$G$34,J$34,$G655=$G$37,J$37,$G655=$G$107,J$107,$G655=$G$110,J$110,$G655=$G$140,J$140,$G655=$G$142,J$142,$G655=$G$408,J$408)</f>
        <v>185</v>
      </c>
      <c r="K655" s="13" t="str" cm="1">
        <f t="array" ref="K655">_xlfn.IFS($G655=$G$5,K$5,$G655=$G$7,K$7,$G655=$G$10,K$10,$G655=$G$13,K$13,$G655=$G$14,K$14,$G655=$G$16,K$16,$G655=$G$17,K$17,$G655=$G$19,K$19,$G655=$G$20,K$20,$G655=$G$22,K$22,$G655=$G$23,K$23,$G655=$G$26,K$26,$G655=$G$29,K$29,$G655=$G$31,K$31,$G655=$G$34,K$34,$G655=$G$37,K$37,$G655=$G$107,K$107,$G655=$G$110,K$110,$G655=$G$140,K$140,$G655=$G$142,K$142,$G655=$G$408,K$408)</f>
        <v>BG sentinel + BG lure7</v>
      </c>
      <c r="O655" s="13" t="str">
        <f t="shared" si="62"/>
        <v>A_SP_BCN_12_221102</v>
      </c>
      <c r="P655" s="27">
        <v>44867</v>
      </c>
      <c r="Q655" s="29">
        <v>0.63888888888888895</v>
      </c>
      <c r="R655" s="33"/>
      <c r="S655" s="31">
        <v>44874</v>
      </c>
      <c r="T655" s="29">
        <v>0.53819444444444442</v>
      </c>
      <c r="V655" s="13" t="s">
        <v>86</v>
      </c>
      <c r="X655" s="13">
        <f t="shared" si="65"/>
        <v>7</v>
      </c>
      <c r="Z655" s="13" t="s">
        <v>164</v>
      </c>
      <c r="AA655" s="13">
        <f t="shared" si="64"/>
        <v>19</v>
      </c>
      <c r="AB655" s="13" t="str">
        <f t="shared" si="66"/>
        <v>Adult</v>
      </c>
      <c r="AC655" s="13">
        <v>18</v>
      </c>
      <c r="AD655" s="13">
        <v>1</v>
      </c>
      <c r="AE655" s="13" t="str">
        <f t="shared" si="67"/>
        <v>Morphological</v>
      </c>
      <c r="AF655" s="2">
        <v>4</v>
      </c>
    </row>
    <row r="656" spans="1:32" x14ac:dyDescent="0.25">
      <c r="A656" s="13">
        <v>652</v>
      </c>
      <c r="B656" s="23" t="s">
        <v>56</v>
      </c>
      <c r="C656" s="23" t="s">
        <v>57</v>
      </c>
      <c r="D656" s="23" t="s">
        <v>58</v>
      </c>
      <c r="E656" s="23" t="s">
        <v>58</v>
      </c>
      <c r="F656" s="35" cm="1">
        <f t="array" ref="F656">_xlfn.IFS($G656=$G$5,F$5,$G656=$G$7,F$7,$G656=$G$10,F$10,$G656=$G$13,F$13,$G656=$G$14,F$14,$G656=$G$16,F$16,$G656=$G$17,F$17,$G656=$G$19,F$19,$G656=$G$20,F$20,$G656=$G$22,F$22,$G656=$G$23,F$23,$G656=$G$26,F$26,$G656=$G$29,F$29,$G656=$G$31,F$31,$G656=$G$34,F$34,$G656=$G$37,F$37,$G656=$G$107,F$107,$G656=$G$110,F$110,$G656=$G$140,F$140,$G656=$G$142,F$142,$G656=$G$408,F$408)</f>
        <v>8038</v>
      </c>
      <c r="G656" s="13" t="s">
        <v>69</v>
      </c>
      <c r="H656" s="51" cm="1">
        <f t="array" ref="H656">_xlfn.IFS($G656=$G$5,H$5,$G656=$G$7,H$7,$G656=$G$10,H$10,$G656=$G$13,H$13,$G656=$G$14,H$14,$G656=$G$16,H$16,$G656=$G$17,H$17,$G656=$G$19,H$19,$G656=$G$20,H$20,$G656=$G$22,H$22,$G656=$G$23,H$23,$G656=$G$26,H$26,$G656=$G$29,H$29,$G656=$G$31,H$31,$G656=$G$34,H$34,$G656=$G$37,H$37,$G656=$G$107,H$107,$G656=$G$110,H$110,$G656=$G$140,H$140,$G656=$G$142,H$142,$G656=$G$408,H$408)</f>
        <v>41.363377999999997</v>
      </c>
      <c r="I656" s="51" cm="1">
        <f t="array" ref="I656">_xlfn.IFS($G656=$G$5,I$5,$G656=$G$7,I$7,$G656=$G$10,I$10,$G656=$G$13,I$13,$G656=$G$14,I$14,$G656=$G$16,I$16,$G656=$G$17,I$17,$G656=$G$19,I$19,$G656=$G$20,I$20,$G656=$G$22,I$22,$G656=$G$23,I$23,$G656=$G$26,I$26,$G656=$G$29,I$29,$G656=$G$31,I$31,$G656=$G$34,I$34,$G656=$G$37,I$37,$G656=$G$107,I$107,$G656=$G$110,I$110,$G656=$G$140,I$140,$G656=$G$142,I$142,$G656=$G$408,I$408)</f>
        <v>2.164879</v>
      </c>
      <c r="J656" s="51" cm="1">
        <f t="array" ref="J656">_xlfn.IFS($G656=$G$5,J$5,$G656=$G$7,J$7,$G656=$G$10,J$10,$G656=$G$13,J$13,$G656=$G$14,J$14,$G656=$G$16,J$16,$G656=$G$17,J$17,$G656=$G$19,J$19,$G656=$G$20,J$20,$G656=$G$22,J$22,$G656=$G$23,J$23,$G656=$G$26,J$26,$G656=$G$29,J$29,$G656=$G$31,J$31,$G656=$G$34,J$34,$G656=$G$37,J$37,$G656=$G$107,J$107,$G656=$G$110,J$110,$G656=$G$140,J$140,$G656=$G$142,J$142,$G656=$G$408,J$408)</f>
        <v>185</v>
      </c>
      <c r="K656" s="13" t="str" cm="1">
        <f t="array" ref="K656">_xlfn.IFS($G656=$G$5,K$5,$G656=$G$7,K$7,$G656=$G$10,K$10,$G656=$G$13,K$13,$G656=$G$14,K$14,$G656=$G$16,K$16,$G656=$G$17,K$17,$G656=$G$19,K$19,$G656=$G$20,K$20,$G656=$G$22,K$22,$G656=$G$23,K$23,$G656=$G$26,K$26,$G656=$G$29,K$29,$G656=$G$31,K$31,$G656=$G$34,K$34,$G656=$G$37,K$37,$G656=$G$107,K$107,$G656=$G$110,K$110,$G656=$G$140,K$140,$G656=$G$142,K$142,$G656=$G$408,K$408)</f>
        <v>BG sentinel + BG lure7</v>
      </c>
      <c r="O656" s="13" t="str">
        <f t="shared" si="62"/>
        <v>A_SP_BCN_12_221102</v>
      </c>
      <c r="P656" s="27">
        <v>44867</v>
      </c>
      <c r="Q656" s="29">
        <v>0.63888888888888895</v>
      </c>
      <c r="R656" s="33"/>
      <c r="S656" s="31">
        <v>44874</v>
      </c>
      <c r="T656" s="29">
        <v>0.53819444444444442</v>
      </c>
      <c r="V656" s="13" t="s">
        <v>86</v>
      </c>
      <c r="X656" s="13">
        <f t="shared" si="65"/>
        <v>7</v>
      </c>
      <c r="Z656" s="32" t="s">
        <v>163</v>
      </c>
      <c r="AA656" s="13">
        <f t="shared" si="64"/>
        <v>5</v>
      </c>
      <c r="AB656" s="13" t="str">
        <f t="shared" si="66"/>
        <v>Adult</v>
      </c>
      <c r="AC656" s="13">
        <v>2</v>
      </c>
      <c r="AD656" s="13">
        <v>3</v>
      </c>
      <c r="AE656" s="13" t="str">
        <f t="shared" si="67"/>
        <v>Morphological</v>
      </c>
      <c r="AF656" s="2">
        <v>4</v>
      </c>
    </row>
    <row r="657" spans="1:32" x14ac:dyDescent="0.25">
      <c r="A657" s="13">
        <v>653</v>
      </c>
      <c r="B657" s="23" t="s">
        <v>56</v>
      </c>
      <c r="C657" s="23" t="s">
        <v>57</v>
      </c>
      <c r="D657" s="23" t="s">
        <v>58</v>
      </c>
      <c r="E657" s="23" t="s">
        <v>58</v>
      </c>
      <c r="F657" s="35" cm="1">
        <f t="array" ref="F657">_xlfn.IFS($G657=$G$5,F$5,$G657=$G$7,F$7,$G657=$G$10,F$10,$G657=$G$13,F$13,$G657=$G$14,F$14,$G657=$G$16,F$16,$G657=$G$17,F$17,$G657=$G$19,F$19,$G657=$G$20,F$20,$G657=$G$22,F$22,$G657=$G$23,F$23,$G657=$G$26,F$26,$G657=$G$29,F$29,$G657=$G$31,F$31,$G657=$G$34,F$34,$G657=$G$37,F$37,$G657=$G$107,F$107,$G657=$G$110,F$110,$G657=$G$140,F$140,$G657=$G$142,F$142,$G657=$G$408,F$408)</f>
        <v>8035</v>
      </c>
      <c r="G657" s="13" t="s">
        <v>70</v>
      </c>
      <c r="H657" s="51" cm="1">
        <f t="array" ref="H657">_xlfn.IFS($G657=$G$5,H$5,$G657=$G$7,H$7,$G657=$G$10,H$10,$G657=$G$13,H$13,$G657=$G$14,H$14,$G657=$G$16,H$16,$G657=$G$17,H$17,$G657=$G$19,H$19,$G657=$G$20,H$20,$G657=$G$22,H$22,$G657=$G$23,H$23,$G657=$G$26,H$26,$G657=$G$29,H$29,$G657=$G$31,H$31,$G657=$G$34,H$34,$G657=$G$37,H$37,$G657=$G$107,H$107,$G657=$G$110,H$110,$G657=$G$140,H$140,$G657=$G$142,H$142,$G657=$G$408,H$408)</f>
        <v>41.434472</v>
      </c>
      <c r="I657" s="51" cm="1">
        <f t="array" ref="I657">_xlfn.IFS($G657=$G$5,I$5,$G657=$G$7,I$7,$G657=$G$10,I$10,$G657=$G$13,I$13,$G657=$G$14,I$14,$G657=$G$16,I$16,$G657=$G$17,I$17,$G657=$G$19,I$19,$G657=$G$20,I$20,$G657=$G$22,I$22,$G657=$G$23,I$23,$G657=$G$26,I$26,$G657=$G$29,I$29,$G657=$G$31,I$31,$G657=$G$34,I$34,$G657=$G$37,I$37,$G657=$G$107,I$107,$G657=$G$110,I$110,$G657=$G$140,I$140,$G657=$G$142,I$142,$G657=$G$408,I$408)</f>
        <v>2.1315789999999999</v>
      </c>
      <c r="J657" s="51" cm="1">
        <f t="array" ref="J657">_xlfn.IFS($G657=$G$5,J$5,$G657=$G$7,J$7,$G657=$G$10,J$10,$G657=$G$13,J$13,$G657=$G$14,J$14,$G657=$G$16,J$16,$G657=$G$17,J$17,$G657=$G$19,J$19,$G657=$G$20,J$20,$G657=$G$22,J$22,$G657=$G$23,J$23,$G657=$G$26,J$26,$G657=$G$29,J$29,$G657=$G$31,J$31,$G657=$G$34,J$34,$G657=$G$37,J$37,$G657=$G$107,J$107,$G657=$G$110,J$110,$G657=$G$140,J$140,$G657=$G$142,J$142,$G657=$G$408,J$408)</f>
        <v>365</v>
      </c>
      <c r="K657" s="13" t="str" cm="1">
        <f t="array" ref="K657">_xlfn.IFS($G657=$G$5,K$5,$G657=$G$7,K$7,$G657=$G$10,K$10,$G657=$G$13,K$13,$G657=$G$14,K$14,$G657=$G$16,K$16,$G657=$G$17,K$17,$G657=$G$19,K$19,$G657=$G$20,K$20,$G657=$G$22,K$22,$G657=$G$23,K$23,$G657=$G$26,K$26,$G657=$G$29,K$29,$G657=$G$31,K$31,$G657=$G$34,K$34,$G657=$G$37,K$37,$G657=$G$107,K$107,$G657=$G$110,K$110,$G657=$G$140,K$140,$G657=$G$142,K$142,$G657=$G$408,K$408)</f>
        <v>BG sentinel + BG lure7</v>
      </c>
      <c r="O657" s="13" t="str">
        <f t="shared" si="62"/>
        <v>A_SP_BCN_13_221102</v>
      </c>
      <c r="P657" s="27">
        <v>44867</v>
      </c>
      <c r="Q657" s="29">
        <v>0.73958333333333337</v>
      </c>
      <c r="R657" s="33"/>
      <c r="S657" s="31">
        <v>44880</v>
      </c>
      <c r="T657" s="29">
        <v>0.73958333333333337</v>
      </c>
      <c r="V657" s="13" t="s">
        <v>86</v>
      </c>
      <c r="W657" s="15" t="s">
        <v>154</v>
      </c>
      <c r="X657" s="13">
        <f t="shared" si="65"/>
        <v>13</v>
      </c>
      <c r="Z657" s="13" t="s">
        <v>60</v>
      </c>
      <c r="AA657" s="13">
        <f t="shared" si="64"/>
        <v>2</v>
      </c>
      <c r="AB657" s="13" t="str">
        <f t="shared" si="66"/>
        <v>Adult</v>
      </c>
      <c r="AC657" s="13">
        <v>2</v>
      </c>
      <c r="AD657" s="13">
        <v>0</v>
      </c>
      <c r="AE657" s="13" t="str">
        <f t="shared" si="67"/>
        <v>Morphological</v>
      </c>
      <c r="AF657" s="2">
        <v>4</v>
      </c>
    </row>
    <row r="658" spans="1:32" x14ac:dyDescent="0.25">
      <c r="A658" s="13">
        <v>654</v>
      </c>
      <c r="B658" s="23" t="s">
        <v>56</v>
      </c>
      <c r="C658" s="23" t="s">
        <v>57</v>
      </c>
      <c r="D658" s="23" t="s">
        <v>58</v>
      </c>
      <c r="E658" s="23" t="s">
        <v>58</v>
      </c>
      <c r="F658" s="35" cm="1">
        <f t="array" ref="F658">_xlfn.IFS($G658=$G$5,F$5,$G658=$G$7,F$7,$G658=$G$10,F$10,$G658=$G$13,F$13,$G658=$G$14,F$14,$G658=$G$16,F$16,$G658=$G$17,F$17,$G658=$G$19,F$19,$G658=$G$20,F$20,$G658=$G$22,F$22,$G658=$G$23,F$23,$G658=$G$26,F$26,$G658=$G$29,F$29,$G658=$G$31,F$31,$G658=$G$34,F$34,$G658=$G$37,F$37,$G658=$G$107,F$107,$G658=$G$110,F$110,$G658=$G$140,F$140,$G658=$G$142,F$142,$G658=$G$408,F$408)</f>
        <v>8035</v>
      </c>
      <c r="G658" s="13" t="s">
        <v>70</v>
      </c>
      <c r="H658" s="51" cm="1">
        <f t="array" ref="H658">_xlfn.IFS($G658=$G$5,H$5,$G658=$G$7,H$7,$G658=$G$10,H$10,$G658=$G$13,H$13,$G658=$G$14,H$14,$G658=$G$16,H$16,$G658=$G$17,H$17,$G658=$G$19,H$19,$G658=$G$20,H$20,$G658=$G$22,H$22,$G658=$G$23,H$23,$G658=$G$26,H$26,$G658=$G$29,H$29,$G658=$G$31,H$31,$G658=$G$34,H$34,$G658=$G$37,H$37,$G658=$G$107,H$107,$G658=$G$110,H$110,$G658=$G$140,H$140,$G658=$G$142,H$142,$G658=$G$408,H$408)</f>
        <v>41.434472</v>
      </c>
      <c r="I658" s="51" cm="1">
        <f t="array" ref="I658">_xlfn.IFS($G658=$G$5,I$5,$G658=$G$7,I$7,$G658=$G$10,I$10,$G658=$G$13,I$13,$G658=$G$14,I$14,$G658=$G$16,I$16,$G658=$G$17,I$17,$G658=$G$19,I$19,$G658=$G$20,I$20,$G658=$G$22,I$22,$G658=$G$23,I$23,$G658=$G$26,I$26,$G658=$G$29,I$29,$G658=$G$31,I$31,$G658=$G$34,I$34,$G658=$G$37,I$37,$G658=$G$107,I$107,$G658=$G$110,I$110,$G658=$G$140,I$140,$G658=$G$142,I$142,$G658=$G$408,I$408)</f>
        <v>2.1315789999999999</v>
      </c>
      <c r="J658" s="51" cm="1">
        <f t="array" ref="J658">_xlfn.IFS($G658=$G$5,J$5,$G658=$G$7,J$7,$G658=$G$10,J$10,$G658=$G$13,J$13,$G658=$G$14,J$14,$G658=$G$16,J$16,$G658=$G$17,J$17,$G658=$G$19,J$19,$G658=$G$20,J$20,$G658=$G$22,J$22,$G658=$G$23,J$23,$G658=$G$26,J$26,$G658=$G$29,J$29,$G658=$G$31,J$31,$G658=$G$34,J$34,$G658=$G$37,J$37,$G658=$G$107,J$107,$G658=$G$110,J$110,$G658=$G$140,J$140,$G658=$G$142,J$142,$G658=$G$408,J$408)</f>
        <v>365</v>
      </c>
      <c r="K658" s="13" t="str" cm="1">
        <f t="array" ref="K658">_xlfn.IFS($G658=$G$5,K$5,$G658=$G$7,K$7,$G658=$G$10,K$10,$G658=$G$13,K$13,$G658=$G$14,K$14,$G658=$G$16,K$16,$G658=$G$17,K$17,$G658=$G$19,K$19,$G658=$G$20,K$20,$G658=$G$22,K$22,$G658=$G$23,K$23,$G658=$G$26,K$26,$G658=$G$29,K$29,$G658=$G$31,K$31,$G658=$G$34,K$34,$G658=$G$37,K$37,$G658=$G$107,K$107,$G658=$G$110,K$110,$G658=$G$140,K$140,$G658=$G$142,K$142,$G658=$G$408,K$408)</f>
        <v>BG sentinel + BG lure7</v>
      </c>
      <c r="O658" s="13" t="str">
        <f t="shared" si="62"/>
        <v>A_SP_BCN_13_221102</v>
      </c>
      <c r="P658" s="27">
        <v>44867</v>
      </c>
      <c r="Q658" s="29">
        <v>0.73958333333333337</v>
      </c>
      <c r="R658" s="33"/>
      <c r="S658" s="31">
        <v>44880</v>
      </c>
      <c r="T658" s="29">
        <v>0.73958333333333337</v>
      </c>
      <c r="V658" s="13" t="s">
        <v>86</v>
      </c>
      <c r="X658" s="13">
        <f t="shared" si="65"/>
        <v>13</v>
      </c>
      <c r="Z658" s="13" t="s">
        <v>164</v>
      </c>
      <c r="AA658" s="13">
        <f t="shared" si="64"/>
        <v>1</v>
      </c>
      <c r="AB658" s="13" t="str">
        <f t="shared" si="66"/>
        <v>Adult</v>
      </c>
      <c r="AC658" s="13">
        <v>0</v>
      </c>
      <c r="AD658" s="13">
        <v>1</v>
      </c>
      <c r="AE658" s="13" t="str">
        <f t="shared" si="67"/>
        <v>Morphological</v>
      </c>
      <c r="AF658" s="2">
        <v>4</v>
      </c>
    </row>
    <row r="659" spans="1:32" x14ac:dyDescent="0.25">
      <c r="A659" s="13">
        <v>655</v>
      </c>
      <c r="B659" s="23" t="s">
        <v>56</v>
      </c>
      <c r="C659" s="23" t="s">
        <v>57</v>
      </c>
      <c r="D659" s="23" t="s">
        <v>58</v>
      </c>
      <c r="E659" s="23" t="s">
        <v>58</v>
      </c>
      <c r="F659" s="35" cm="1">
        <f t="array" ref="F659">_xlfn.IFS($G659=$G$5,F$5,$G659=$G$7,F$7,$G659=$G$10,F$10,$G659=$G$13,F$13,$G659=$G$14,F$14,$G659=$G$16,F$16,$G659=$G$17,F$17,$G659=$G$19,F$19,$G659=$G$20,F$20,$G659=$G$22,F$22,$G659=$G$23,F$23,$G659=$G$26,F$26,$G659=$G$29,F$29,$G659=$G$31,F$31,$G659=$G$34,F$34,$G659=$G$37,F$37,$G659=$G$107,F$107,$G659=$G$110,F$110,$G659=$G$140,F$140,$G659=$G$142,F$142,$G659=$G$408,F$408)</f>
        <v>8035</v>
      </c>
      <c r="G659" s="13" t="s">
        <v>70</v>
      </c>
      <c r="H659" s="51" cm="1">
        <f t="array" ref="H659">_xlfn.IFS($G659=$G$5,H$5,$G659=$G$7,H$7,$G659=$G$10,H$10,$G659=$G$13,H$13,$G659=$G$14,H$14,$G659=$G$16,H$16,$G659=$G$17,H$17,$G659=$G$19,H$19,$G659=$G$20,H$20,$G659=$G$22,H$22,$G659=$G$23,H$23,$G659=$G$26,H$26,$G659=$G$29,H$29,$G659=$G$31,H$31,$G659=$G$34,H$34,$G659=$G$37,H$37,$G659=$G$107,H$107,$G659=$G$110,H$110,$G659=$G$140,H$140,$G659=$G$142,H$142,$G659=$G$408,H$408)</f>
        <v>41.434472</v>
      </c>
      <c r="I659" s="51" cm="1">
        <f t="array" ref="I659">_xlfn.IFS($G659=$G$5,I$5,$G659=$G$7,I$7,$G659=$G$10,I$10,$G659=$G$13,I$13,$G659=$G$14,I$14,$G659=$G$16,I$16,$G659=$G$17,I$17,$G659=$G$19,I$19,$G659=$G$20,I$20,$G659=$G$22,I$22,$G659=$G$23,I$23,$G659=$G$26,I$26,$G659=$G$29,I$29,$G659=$G$31,I$31,$G659=$G$34,I$34,$G659=$G$37,I$37,$G659=$G$107,I$107,$G659=$G$110,I$110,$G659=$G$140,I$140,$G659=$G$142,I$142,$G659=$G$408,I$408)</f>
        <v>2.1315789999999999</v>
      </c>
      <c r="J659" s="51" cm="1">
        <f t="array" ref="J659">_xlfn.IFS($G659=$G$5,J$5,$G659=$G$7,J$7,$G659=$G$10,J$10,$G659=$G$13,J$13,$G659=$G$14,J$14,$G659=$G$16,J$16,$G659=$G$17,J$17,$G659=$G$19,J$19,$G659=$G$20,J$20,$G659=$G$22,J$22,$G659=$G$23,J$23,$G659=$G$26,J$26,$G659=$G$29,J$29,$G659=$G$31,J$31,$G659=$G$34,J$34,$G659=$G$37,J$37,$G659=$G$107,J$107,$G659=$G$110,J$110,$G659=$G$140,J$140,$G659=$G$142,J$142,$G659=$G$408,J$408)</f>
        <v>365</v>
      </c>
      <c r="K659" s="13" t="str" cm="1">
        <f t="array" ref="K659">_xlfn.IFS($G659=$G$5,K$5,$G659=$G$7,K$7,$G659=$G$10,K$10,$G659=$G$13,K$13,$G659=$G$14,K$14,$G659=$G$16,K$16,$G659=$G$17,K$17,$G659=$G$19,K$19,$G659=$G$20,K$20,$G659=$G$22,K$22,$G659=$G$23,K$23,$G659=$G$26,K$26,$G659=$G$29,K$29,$G659=$G$31,K$31,$G659=$G$34,K$34,$G659=$G$37,K$37,$G659=$G$107,K$107,$G659=$G$110,K$110,$G659=$G$140,K$140,$G659=$G$142,K$142,$G659=$G$408,K$408)</f>
        <v>BG sentinel + BG lure7</v>
      </c>
      <c r="O659" s="13" t="str">
        <f t="shared" si="62"/>
        <v>A_SP_BCN_13_221102</v>
      </c>
      <c r="P659" s="27">
        <v>44867</v>
      </c>
      <c r="Q659" s="29">
        <v>0.73958333333333337</v>
      </c>
      <c r="R659" s="33"/>
      <c r="S659" s="31">
        <v>44880</v>
      </c>
      <c r="T659" s="29">
        <v>0.73958333333333337</v>
      </c>
      <c r="V659" s="13" t="s">
        <v>86</v>
      </c>
      <c r="X659" s="13">
        <f t="shared" si="65"/>
        <v>13</v>
      </c>
      <c r="Z659" s="32" t="s">
        <v>163</v>
      </c>
      <c r="AA659" s="13">
        <f t="shared" si="64"/>
        <v>1</v>
      </c>
      <c r="AB659" s="13" t="str">
        <f t="shared" si="66"/>
        <v>Adult</v>
      </c>
      <c r="AC659" s="13">
        <v>1</v>
      </c>
      <c r="AD659" s="13">
        <v>0</v>
      </c>
      <c r="AE659" s="13" t="str">
        <f t="shared" si="67"/>
        <v>Morphological</v>
      </c>
      <c r="AF659" s="2">
        <v>4</v>
      </c>
    </row>
    <row r="660" spans="1:32" x14ac:dyDescent="0.25">
      <c r="A660" s="13">
        <v>656</v>
      </c>
      <c r="B660" s="23" t="s">
        <v>56</v>
      </c>
      <c r="C660" s="23" t="s">
        <v>57</v>
      </c>
      <c r="D660" s="23" t="s">
        <v>58</v>
      </c>
      <c r="E660" s="23" t="s">
        <v>58</v>
      </c>
      <c r="F660" s="35" cm="1">
        <f t="array" ref="F660">_xlfn.IFS($G660=$G$5,F$5,$G660=$G$7,F$7,$G660=$G$10,F$10,$G660=$G$13,F$13,$G660=$G$14,F$14,$G660=$G$16,F$16,$G660=$G$17,F$17,$G660=$G$19,F$19,$G660=$G$20,F$20,$G660=$G$22,F$22,$G660=$G$23,F$23,$G660=$G$26,F$26,$G660=$G$29,F$29,$G660=$G$31,F$31,$G660=$G$34,F$34,$G660=$G$37,F$37,$G660=$G$107,F$107,$G660=$G$110,F$110,$G660=$G$140,F$140,$G660=$G$142,F$142,$G660=$G$408,F$408)</f>
        <v>8017</v>
      </c>
      <c r="G660" s="13" t="s">
        <v>71</v>
      </c>
      <c r="H660" s="51" cm="1">
        <f t="array" ref="H660">_xlfn.IFS($G660=$G$5,H$5,$G660=$G$7,H$7,$G660=$G$10,H$10,$G660=$G$13,H$13,$G660=$G$14,H$14,$G660=$G$16,H$16,$G660=$G$17,H$17,$G660=$G$19,H$19,$G660=$G$20,H$20,$G660=$G$22,H$22,$G660=$G$23,H$23,$G660=$G$26,H$26,$G660=$G$29,H$29,$G660=$G$31,H$31,$G660=$G$34,H$34,$G660=$G$37,H$37,$G660=$G$107,H$107,$G660=$G$110,H$110,$G660=$G$140,H$140,$G660=$G$142,H$142,$G660=$G$408,H$408)</f>
        <v>41.428533999999999</v>
      </c>
      <c r="I660" s="51" cm="1">
        <f t="array" ref="I660">_xlfn.IFS($G660=$G$5,I$5,$G660=$G$7,I$7,$G660=$G$10,I$10,$G660=$G$13,I$13,$G660=$G$14,I$14,$G660=$G$16,I$16,$G660=$G$17,I$17,$G660=$G$19,I$19,$G660=$G$20,I$20,$G660=$G$22,I$22,$G660=$G$23,I$23,$G660=$G$26,I$26,$G660=$G$29,I$29,$G660=$G$31,I$31,$G660=$G$34,I$34,$G660=$G$37,I$37,$G660=$G$107,I$107,$G660=$G$110,I$110,$G660=$G$140,I$140,$G660=$G$142,I$142,$G660=$G$408,I$408)</f>
        <v>2.090954</v>
      </c>
      <c r="J660" s="51" cm="1">
        <f t="array" ref="J660">_xlfn.IFS($G660=$G$5,J$5,$G660=$G$7,J$7,$G660=$G$10,J$10,$G660=$G$13,J$13,$G660=$G$14,J$14,$G660=$G$16,J$16,$G660=$G$17,J$17,$G660=$G$19,J$19,$G660=$G$20,J$20,$G660=$G$22,J$22,$G660=$G$23,J$23,$G660=$G$26,J$26,$G660=$G$29,J$29,$G660=$G$31,J$31,$G660=$G$34,J$34,$G660=$G$37,J$37,$G660=$G$107,J$107,$G660=$G$110,J$110,$G660=$G$140,J$140,$G660=$G$142,J$142,$G660=$G$408,J$408)</f>
        <v>215</v>
      </c>
      <c r="K660" s="13" t="str" cm="1">
        <f t="array" ref="K660">_xlfn.IFS($G660=$G$5,K$5,$G660=$G$7,K$7,$G660=$G$10,K$10,$G660=$G$13,K$13,$G660=$G$14,K$14,$G660=$G$16,K$16,$G660=$G$17,K$17,$G660=$G$19,K$19,$G660=$G$20,K$20,$G660=$G$22,K$22,$G660=$G$23,K$23,$G660=$G$26,K$26,$G660=$G$29,K$29,$G660=$G$31,K$31,$G660=$G$34,K$34,$G660=$G$37,K$37,$G660=$G$107,K$107,$G660=$G$110,K$110,$G660=$G$140,K$140,$G660=$G$142,K$142,$G660=$G$408,K$408)</f>
        <v>BG sentinel + BG lure7</v>
      </c>
      <c r="O660" s="13" t="str">
        <f t="shared" si="62"/>
        <v>A_SP_BCN_14_221102</v>
      </c>
      <c r="P660" s="27">
        <v>44867</v>
      </c>
      <c r="Q660" s="29">
        <v>0.77083333333333337</v>
      </c>
      <c r="R660" s="33"/>
      <c r="S660" s="31">
        <v>44874</v>
      </c>
      <c r="T660" s="29">
        <v>0.68055555555555547</v>
      </c>
      <c r="V660" s="13" t="s">
        <v>86</v>
      </c>
      <c r="W660" s="15" t="s">
        <v>103</v>
      </c>
      <c r="X660" s="13">
        <f t="shared" si="65"/>
        <v>7</v>
      </c>
      <c r="Z660" s="13" t="s">
        <v>60</v>
      </c>
      <c r="AA660" s="13">
        <f t="shared" si="64"/>
        <v>1</v>
      </c>
      <c r="AB660" s="13" t="str">
        <f t="shared" si="66"/>
        <v>Adult</v>
      </c>
      <c r="AC660" s="13">
        <v>1</v>
      </c>
      <c r="AD660" s="13">
        <v>0</v>
      </c>
      <c r="AE660" s="13" t="str">
        <f t="shared" si="67"/>
        <v>Morphological</v>
      </c>
      <c r="AF660" s="2">
        <v>4</v>
      </c>
    </row>
    <row r="661" spans="1:32" x14ac:dyDescent="0.25">
      <c r="A661" s="13">
        <v>657</v>
      </c>
      <c r="B661" s="23" t="s">
        <v>56</v>
      </c>
      <c r="C661" s="23" t="s">
        <v>57</v>
      </c>
      <c r="D661" s="23" t="s">
        <v>58</v>
      </c>
      <c r="E661" s="23" t="s">
        <v>58</v>
      </c>
      <c r="F661" s="35" cm="1">
        <f t="array" ref="F661">_xlfn.IFS($G661=$G$5,F$5,$G661=$G$7,F$7,$G661=$G$10,F$10,$G661=$G$13,F$13,$G661=$G$14,F$14,$G661=$G$16,F$16,$G661=$G$17,F$17,$G661=$G$19,F$19,$G661=$G$20,F$20,$G661=$G$22,F$22,$G661=$G$23,F$23,$G661=$G$26,F$26,$G661=$G$29,F$29,$G661=$G$31,F$31,$G661=$G$34,F$34,$G661=$G$37,F$37,$G661=$G$107,F$107,$G661=$G$110,F$110,$G661=$G$140,F$140,$G661=$G$142,F$142,$G661=$G$408,F$408)</f>
        <v>8017</v>
      </c>
      <c r="G661" s="13" t="s">
        <v>72</v>
      </c>
      <c r="H661" s="51" cm="1">
        <f t="array" ref="H661">_xlfn.IFS($G661=$G$5,H$5,$G661=$G$7,H$7,$G661=$G$10,H$10,$G661=$G$13,H$13,$G661=$G$14,H$14,$G661=$G$16,H$16,$G661=$G$17,H$17,$G661=$G$19,H$19,$G661=$G$20,H$20,$G661=$G$22,H$22,$G661=$G$23,H$23,$G661=$G$26,H$26,$G661=$G$29,H$29,$G661=$G$31,H$31,$G661=$G$34,H$34,$G661=$G$37,H$37,$G661=$G$107,H$107,$G661=$G$110,H$110,$G661=$G$140,H$140,$G661=$G$142,H$142,$G661=$G$408,H$408)</f>
        <v>41.419471000000001</v>
      </c>
      <c r="I661" s="51" cm="1">
        <f t="array" ref="I661">_xlfn.IFS($G661=$G$5,I$5,$G661=$G$7,I$7,$G661=$G$10,I$10,$G661=$G$13,I$13,$G661=$G$14,I$14,$G661=$G$16,I$16,$G661=$G$17,I$17,$G661=$G$19,I$19,$G661=$G$20,I$20,$G661=$G$22,I$22,$G661=$G$23,I$23,$G661=$G$26,I$26,$G661=$G$29,I$29,$G661=$G$31,I$31,$G661=$G$34,I$34,$G661=$G$37,I$37,$G661=$G$107,I$107,$G661=$G$110,I$110,$G661=$G$140,I$140,$G661=$G$142,I$142,$G661=$G$408,I$408)</f>
        <v>2.1010149999999999</v>
      </c>
      <c r="J661" s="51" cm="1">
        <f t="array" ref="J661">_xlfn.IFS($G661=$G$5,J$5,$G661=$G$7,J$7,$G661=$G$10,J$10,$G661=$G$13,J$13,$G661=$G$14,J$14,$G661=$G$16,J$16,$G661=$G$17,J$17,$G661=$G$19,J$19,$G661=$G$20,J$20,$G661=$G$22,J$22,$G661=$G$23,J$23,$G661=$G$26,J$26,$G661=$G$29,J$29,$G661=$G$31,J$31,$G661=$G$34,J$34,$G661=$G$37,J$37,$G661=$G$107,J$107,$G661=$G$110,J$110,$G661=$G$140,J$140,$G661=$G$142,J$142,$G661=$G$408,J$408)</f>
        <v>284</v>
      </c>
      <c r="K661" s="13" t="str" cm="1">
        <f t="array" ref="K661">_xlfn.IFS($G661=$G$5,K$5,$G661=$G$7,K$7,$G661=$G$10,K$10,$G661=$G$13,K$13,$G661=$G$14,K$14,$G661=$G$16,K$16,$G661=$G$17,K$17,$G661=$G$19,K$19,$G661=$G$20,K$20,$G661=$G$22,K$22,$G661=$G$23,K$23,$G661=$G$26,K$26,$G661=$G$29,K$29,$G661=$G$31,K$31,$G661=$G$34,K$34,$G661=$G$37,K$37,$G661=$G$107,K$107,$G661=$G$110,K$110,$G661=$G$140,K$140,$G661=$G$142,K$142,$G661=$G$408,K$408)</f>
        <v>BG sentinel + BG lure7</v>
      </c>
      <c r="O661" s="13" t="str">
        <f t="shared" si="62"/>
        <v>A_SP_BCN_15_221102</v>
      </c>
      <c r="P661" s="27">
        <v>44867</v>
      </c>
      <c r="Q661" s="29">
        <v>0.75</v>
      </c>
      <c r="R661" s="33"/>
      <c r="S661" s="31">
        <v>44874</v>
      </c>
      <c r="T661" s="29">
        <v>0.65625</v>
      </c>
      <c r="V661" s="13" t="s">
        <v>86</v>
      </c>
      <c r="X661" s="13">
        <f t="shared" si="65"/>
        <v>7</v>
      </c>
      <c r="Z661" s="13" t="s">
        <v>60</v>
      </c>
      <c r="AA661" s="13">
        <f t="shared" si="64"/>
        <v>1</v>
      </c>
      <c r="AB661" s="13" t="str">
        <f t="shared" si="66"/>
        <v>Adult</v>
      </c>
      <c r="AC661" s="13">
        <v>1</v>
      </c>
      <c r="AD661" s="13">
        <v>0</v>
      </c>
      <c r="AE661" s="13" t="str">
        <f t="shared" si="67"/>
        <v>Morphological</v>
      </c>
      <c r="AF661" s="2">
        <v>4</v>
      </c>
    </row>
    <row r="662" spans="1:32" ht="15.75" customHeight="1" x14ac:dyDescent="0.25">
      <c r="A662" s="13">
        <v>658</v>
      </c>
      <c r="B662" s="23" t="s">
        <v>56</v>
      </c>
      <c r="C662" s="23" t="s">
        <v>57</v>
      </c>
      <c r="D662" s="23" t="s">
        <v>58</v>
      </c>
      <c r="E662" s="23" t="s">
        <v>58</v>
      </c>
      <c r="F662" s="35" cm="1">
        <f t="array" ref="F662">_xlfn.IFS($G662=$G$5,F$5,$G662=$G$7,F$7,$G662=$G$10,F$10,$G662=$G$13,F$13,$G662=$G$14,F$14,$G662=$G$16,F$16,$G662=$G$17,F$17,$G662=$G$19,F$19,$G662=$G$20,F$20,$G662=$G$22,F$22,$G662=$G$23,F$23,$G662=$G$26,F$26,$G662=$G$29,F$29,$G662=$G$31,F$31,$G662=$G$34,F$34,$G662=$G$37,F$37,$G662=$G$107,F$107,$G662=$G$110,F$110,$G662=$G$140,F$140,$G662=$G$142,F$142,$G662=$G$408,F$408)</f>
        <v>8017</v>
      </c>
      <c r="G662" s="13" t="s">
        <v>72</v>
      </c>
      <c r="H662" s="51" cm="1">
        <f t="array" ref="H662">_xlfn.IFS($G662=$G$5,H$5,$G662=$G$7,H$7,$G662=$G$10,H$10,$G662=$G$13,H$13,$G662=$G$14,H$14,$G662=$G$16,H$16,$G662=$G$17,H$17,$G662=$G$19,H$19,$G662=$G$20,H$20,$G662=$G$22,H$22,$G662=$G$23,H$23,$G662=$G$26,H$26,$G662=$G$29,H$29,$G662=$G$31,H$31,$G662=$G$34,H$34,$G662=$G$37,H$37,$G662=$G$107,H$107,$G662=$G$110,H$110,$G662=$G$140,H$140,$G662=$G$142,H$142,$G662=$G$408,H$408)</f>
        <v>41.419471000000001</v>
      </c>
      <c r="I662" s="51" cm="1">
        <f t="array" ref="I662">_xlfn.IFS($G662=$G$5,I$5,$G662=$G$7,I$7,$G662=$G$10,I$10,$G662=$G$13,I$13,$G662=$G$14,I$14,$G662=$G$16,I$16,$G662=$G$17,I$17,$G662=$G$19,I$19,$G662=$G$20,I$20,$G662=$G$22,I$22,$G662=$G$23,I$23,$G662=$G$26,I$26,$G662=$G$29,I$29,$G662=$G$31,I$31,$G662=$G$34,I$34,$G662=$G$37,I$37,$G662=$G$107,I$107,$G662=$G$110,I$110,$G662=$G$140,I$140,$G662=$G$142,I$142,$G662=$G$408,I$408)</f>
        <v>2.1010149999999999</v>
      </c>
      <c r="J662" s="51" cm="1">
        <f t="array" ref="J662">_xlfn.IFS($G662=$G$5,J$5,$G662=$G$7,J$7,$G662=$G$10,J$10,$G662=$G$13,J$13,$G662=$G$14,J$14,$G662=$G$16,J$16,$G662=$G$17,J$17,$G662=$G$19,J$19,$G662=$G$20,J$20,$G662=$G$22,J$22,$G662=$G$23,J$23,$G662=$G$26,J$26,$G662=$G$29,J$29,$G662=$G$31,J$31,$G662=$G$34,J$34,$G662=$G$37,J$37,$G662=$G$107,J$107,$G662=$G$110,J$110,$G662=$G$140,J$140,$G662=$G$142,J$142,$G662=$G$408,J$408)</f>
        <v>284</v>
      </c>
      <c r="K662" s="13" t="str" cm="1">
        <f t="array" ref="K662">_xlfn.IFS($G662=$G$5,K$5,$G662=$G$7,K$7,$G662=$G$10,K$10,$G662=$G$13,K$13,$G662=$G$14,K$14,$G662=$G$16,K$16,$G662=$G$17,K$17,$G662=$G$19,K$19,$G662=$G$20,K$20,$G662=$G$22,K$22,$G662=$G$23,K$23,$G662=$G$26,K$26,$G662=$G$29,K$29,$G662=$G$31,K$31,$G662=$G$34,K$34,$G662=$G$37,K$37,$G662=$G$107,K$107,$G662=$G$110,K$110,$G662=$G$140,K$140,$G662=$G$142,K$142,$G662=$G$408,K$408)</f>
        <v>BG sentinel + BG lure7</v>
      </c>
      <c r="O662" s="13" t="str">
        <f t="shared" si="62"/>
        <v>A_SP_BCN_15_221102</v>
      </c>
      <c r="P662" s="27">
        <v>44867</v>
      </c>
      <c r="Q662" s="29">
        <v>0.75</v>
      </c>
      <c r="R662" s="33"/>
      <c r="S662" s="31">
        <v>44874</v>
      </c>
      <c r="T662" s="29">
        <v>0.65625</v>
      </c>
      <c r="V662" s="13" t="s">
        <v>86</v>
      </c>
      <c r="X662" s="13">
        <f t="shared" si="65"/>
        <v>7</v>
      </c>
      <c r="Z662" s="13" t="s">
        <v>164</v>
      </c>
      <c r="AA662" s="13">
        <f t="shared" si="64"/>
        <v>1</v>
      </c>
      <c r="AB662" s="13" t="str">
        <f t="shared" si="66"/>
        <v>Adult</v>
      </c>
      <c r="AC662" s="13">
        <v>0</v>
      </c>
      <c r="AD662" s="13">
        <v>1</v>
      </c>
      <c r="AE662" s="13" t="str">
        <f t="shared" si="67"/>
        <v>Morphological</v>
      </c>
      <c r="AF662" s="2">
        <v>4</v>
      </c>
    </row>
    <row r="663" spans="1:32" x14ac:dyDescent="0.25">
      <c r="A663" s="13">
        <v>659</v>
      </c>
      <c r="B663" s="23" t="s">
        <v>56</v>
      </c>
      <c r="C663" s="23" t="s">
        <v>57</v>
      </c>
      <c r="D663" s="23" t="s">
        <v>58</v>
      </c>
      <c r="E663" s="23" t="s">
        <v>58</v>
      </c>
      <c r="F663" s="35" cm="1">
        <f t="array" ref="F663">_xlfn.IFS($G663=$G$5,F$5,$G663=$G$7,F$7,$G663=$G$10,F$10,$G663=$G$13,F$13,$G663=$G$14,F$14,$G663=$G$16,F$16,$G663=$G$17,F$17,$G663=$G$19,F$19,$G663=$G$20,F$20,$G663=$G$22,F$22,$G663=$G$23,F$23,$G663=$G$26,F$26,$G663=$G$29,F$29,$G663=$G$31,F$31,$G663=$G$34,F$34,$G663=$G$37,F$37,$G663=$G$107,F$107,$G663=$G$110,F$110,$G663=$G$140,F$140,$G663=$G$142,F$142,$G663=$G$408,F$408)</f>
        <v>8017</v>
      </c>
      <c r="G663" s="13" t="s">
        <v>73</v>
      </c>
      <c r="H663" s="51" cm="1">
        <f t="array" ref="H663">_xlfn.IFS($G663=$G$5,H$5,$G663=$G$7,H$7,$G663=$G$10,H$10,$G663=$G$13,H$13,$G663=$G$14,H$14,$G663=$G$16,H$16,$G663=$G$17,H$17,$G663=$G$19,H$19,$G663=$G$20,H$20,$G663=$G$22,H$22,$G663=$G$23,H$23,$G663=$G$26,H$26,$G663=$G$29,H$29,$G663=$G$31,H$31,$G663=$G$34,H$34,$G663=$G$37,H$37,$G663=$G$107,H$107,$G663=$G$110,H$110,$G663=$G$140,H$140,$G663=$G$142,H$142,$G663=$G$408,H$408)</f>
        <v>41.398387</v>
      </c>
      <c r="I663" s="51" cm="1">
        <f t="array" ref="I663">_xlfn.IFS($G663=$G$5,I$5,$G663=$G$7,I$7,$G663=$G$10,I$10,$G663=$G$13,I$13,$G663=$G$14,I$14,$G663=$G$16,I$16,$G663=$G$17,I$17,$G663=$G$19,I$19,$G663=$G$20,I$20,$G663=$G$22,I$22,$G663=$G$23,I$23,$G663=$G$26,I$26,$G663=$G$29,I$29,$G663=$G$31,I$31,$G663=$G$34,I$34,$G663=$G$37,I$37,$G663=$G$107,I$107,$G663=$G$110,I$110,$G663=$G$140,I$140,$G663=$G$142,I$142,$G663=$G$408,I$408)</f>
        <v>2.1244429999999999</v>
      </c>
      <c r="J663" s="51" cm="1">
        <f t="array" ref="J663">_xlfn.IFS($G663=$G$5,J$5,$G663=$G$7,J$7,$G663=$G$10,J$10,$G663=$G$13,J$13,$G663=$G$14,J$14,$G663=$G$16,J$16,$G663=$G$17,J$17,$G663=$G$19,J$19,$G663=$G$20,J$20,$G663=$G$22,J$22,$G663=$G$23,J$23,$G663=$G$26,J$26,$G663=$G$29,J$29,$G663=$G$31,J$31,$G663=$G$34,J$34,$G663=$G$37,J$37,$G663=$G$107,J$107,$G663=$G$110,J$110,$G663=$G$140,J$140,$G663=$G$142,J$142,$G663=$G$408,J$408)</f>
        <v>106</v>
      </c>
      <c r="K663" s="13" t="str" cm="1">
        <f t="array" ref="K663">_xlfn.IFS($G663=$G$5,K$5,$G663=$G$7,K$7,$G663=$G$10,K$10,$G663=$G$13,K$13,$G663=$G$14,K$14,$G663=$G$16,K$16,$G663=$G$17,K$17,$G663=$G$19,K$19,$G663=$G$20,K$20,$G663=$G$22,K$22,$G663=$G$23,K$23,$G663=$G$26,K$26,$G663=$G$29,K$29,$G663=$G$31,K$31,$G663=$G$34,K$34,$G663=$G$37,K$37,$G663=$G$107,K$107,$G663=$G$110,K$110,$G663=$G$140,K$140,$G663=$G$142,K$142,$G663=$G$408,K$408)</f>
        <v>BG sentinel + BG lure7</v>
      </c>
      <c r="O663" s="13" t="str">
        <f t="shared" si="62"/>
        <v>A_SP_BCN_16_221102</v>
      </c>
      <c r="P663" s="27">
        <v>44867</v>
      </c>
      <c r="Q663" s="29">
        <v>0.79513888888888884</v>
      </c>
      <c r="R663" s="33"/>
      <c r="S663" s="31">
        <v>44874</v>
      </c>
      <c r="T663" s="29">
        <v>0.70833333333333337</v>
      </c>
      <c r="V663" s="13" t="s">
        <v>86</v>
      </c>
      <c r="X663" s="13">
        <f t="shared" si="65"/>
        <v>7</v>
      </c>
      <c r="Z663" s="13" t="s">
        <v>60</v>
      </c>
      <c r="AA663" s="13">
        <f t="shared" si="64"/>
        <v>8</v>
      </c>
      <c r="AB663" s="13" t="str">
        <f t="shared" si="66"/>
        <v>Adult</v>
      </c>
      <c r="AC663" s="13">
        <v>8</v>
      </c>
      <c r="AD663" s="13">
        <v>0</v>
      </c>
      <c r="AE663" s="13" t="str">
        <f t="shared" si="67"/>
        <v>Morphological</v>
      </c>
      <c r="AF663" s="2">
        <v>4</v>
      </c>
    </row>
    <row r="664" spans="1:32" x14ac:dyDescent="0.25">
      <c r="A664" s="13">
        <v>660</v>
      </c>
      <c r="B664" s="23" t="s">
        <v>56</v>
      </c>
      <c r="C664" s="23" t="s">
        <v>57</v>
      </c>
      <c r="D664" s="23" t="s">
        <v>58</v>
      </c>
      <c r="E664" s="23" t="s">
        <v>58</v>
      </c>
      <c r="F664" s="35" cm="1">
        <f t="array" ref="F664">_xlfn.IFS($G664=$G$5,F$5,$G664=$G$7,F$7,$G664=$G$10,F$10,$G664=$G$13,F$13,$G664=$G$14,F$14,$G664=$G$16,F$16,$G664=$G$17,F$17,$G664=$G$19,F$19,$G664=$G$20,F$20,$G664=$G$22,F$22,$G664=$G$23,F$23,$G664=$G$26,F$26,$G664=$G$29,F$29,$G664=$G$31,F$31,$G664=$G$34,F$34,$G664=$G$37,F$37,$G664=$G$107,F$107,$G664=$G$110,F$110,$G664=$G$140,F$140,$G664=$G$142,F$142,$G664=$G$408,F$408)</f>
        <v>8017</v>
      </c>
      <c r="G664" s="13" t="s">
        <v>73</v>
      </c>
      <c r="H664" s="51" cm="1">
        <f t="array" ref="H664">_xlfn.IFS($G664=$G$5,H$5,$G664=$G$7,H$7,$G664=$G$10,H$10,$G664=$G$13,H$13,$G664=$G$14,H$14,$G664=$G$16,H$16,$G664=$G$17,H$17,$G664=$G$19,H$19,$G664=$G$20,H$20,$G664=$G$22,H$22,$G664=$G$23,H$23,$G664=$G$26,H$26,$G664=$G$29,H$29,$G664=$G$31,H$31,$G664=$G$34,H$34,$G664=$G$37,H$37,$G664=$G$107,H$107,$G664=$G$110,H$110,$G664=$G$140,H$140,$G664=$G$142,H$142,$G664=$G$408,H$408)</f>
        <v>41.398387</v>
      </c>
      <c r="I664" s="51" cm="1">
        <f t="array" ref="I664">_xlfn.IFS($G664=$G$5,I$5,$G664=$G$7,I$7,$G664=$G$10,I$10,$G664=$G$13,I$13,$G664=$G$14,I$14,$G664=$G$16,I$16,$G664=$G$17,I$17,$G664=$G$19,I$19,$G664=$G$20,I$20,$G664=$G$22,I$22,$G664=$G$23,I$23,$G664=$G$26,I$26,$G664=$G$29,I$29,$G664=$G$31,I$31,$G664=$G$34,I$34,$G664=$G$37,I$37,$G664=$G$107,I$107,$G664=$G$110,I$110,$G664=$G$140,I$140,$G664=$G$142,I$142,$G664=$G$408,I$408)</f>
        <v>2.1244429999999999</v>
      </c>
      <c r="J664" s="51" cm="1">
        <f t="array" ref="J664">_xlfn.IFS($G664=$G$5,J$5,$G664=$G$7,J$7,$G664=$G$10,J$10,$G664=$G$13,J$13,$G664=$G$14,J$14,$G664=$G$16,J$16,$G664=$G$17,J$17,$G664=$G$19,J$19,$G664=$G$20,J$20,$G664=$G$22,J$22,$G664=$G$23,J$23,$G664=$G$26,J$26,$G664=$G$29,J$29,$G664=$G$31,J$31,$G664=$G$34,J$34,$G664=$G$37,J$37,$G664=$G$107,J$107,$G664=$G$110,J$110,$G664=$G$140,J$140,$G664=$G$142,J$142,$G664=$G$408,J$408)</f>
        <v>106</v>
      </c>
      <c r="K664" s="13" t="str" cm="1">
        <f t="array" ref="K664">_xlfn.IFS($G664=$G$5,K$5,$G664=$G$7,K$7,$G664=$G$10,K$10,$G664=$G$13,K$13,$G664=$G$14,K$14,$G664=$G$16,K$16,$G664=$G$17,K$17,$G664=$G$19,K$19,$G664=$G$20,K$20,$G664=$G$22,K$22,$G664=$G$23,K$23,$G664=$G$26,K$26,$G664=$G$29,K$29,$G664=$G$31,K$31,$G664=$G$34,K$34,$G664=$G$37,K$37,$G664=$G$107,K$107,$G664=$G$110,K$110,$G664=$G$140,K$140,$G664=$G$142,K$142,$G664=$G$408,K$408)</f>
        <v>BG sentinel + BG lure7</v>
      </c>
      <c r="O664" s="13" t="str">
        <f t="shared" si="62"/>
        <v>A_SP_BCN_16_221102</v>
      </c>
      <c r="P664" s="27">
        <v>44867</v>
      </c>
      <c r="Q664" s="29">
        <v>0.79513888888888884</v>
      </c>
      <c r="R664" s="33"/>
      <c r="S664" s="31">
        <v>44874</v>
      </c>
      <c r="T664" s="29">
        <v>0.70833333333333337</v>
      </c>
      <c r="V664" s="13" t="s">
        <v>86</v>
      </c>
      <c r="X664" s="13">
        <f t="shared" si="65"/>
        <v>7</v>
      </c>
      <c r="Z664" s="32" t="s">
        <v>163</v>
      </c>
      <c r="AA664" s="13">
        <f t="shared" si="64"/>
        <v>2</v>
      </c>
      <c r="AB664" s="13" t="str">
        <f t="shared" si="66"/>
        <v>Adult</v>
      </c>
      <c r="AC664" s="13">
        <v>0</v>
      </c>
      <c r="AD664" s="13">
        <v>2</v>
      </c>
      <c r="AE664" s="13" t="str">
        <f t="shared" si="67"/>
        <v>Morphological</v>
      </c>
      <c r="AF664" s="2">
        <v>4</v>
      </c>
    </row>
    <row r="665" spans="1:32" x14ac:dyDescent="0.25">
      <c r="A665" s="13">
        <v>661</v>
      </c>
      <c r="B665" s="23" t="s">
        <v>56</v>
      </c>
      <c r="C665" s="23" t="s">
        <v>57</v>
      </c>
      <c r="D665" s="23" t="s">
        <v>58</v>
      </c>
      <c r="E665" s="23" t="s">
        <v>58</v>
      </c>
      <c r="F665" s="35" cm="1">
        <f t="array" ref="F665">_xlfn.IFS($G665=$G$5,F$5,$G665=$G$7,F$7,$G665=$G$10,F$10,$G665=$G$13,F$13,$G665=$G$14,F$14,$G665=$G$16,F$16,$G665=$G$17,F$17,$G665=$G$19,F$19,$G665=$G$20,F$20,$G665=$G$22,F$22,$G665=$G$23,F$23,$G665=$G$26,F$26,$G665=$G$29,F$29,$G665=$G$31,F$31,$G665=$G$34,F$34,$G665=$G$37,F$37,$G665=$G$107,F$107,$G665=$G$110,F$110,$G665=$G$140,F$140,$G665=$G$142,F$142,$G665=$G$408,F$408)</f>
        <v>8023</v>
      </c>
      <c r="G665" s="13" t="s">
        <v>74</v>
      </c>
      <c r="H665" s="51" cm="1">
        <f t="array" ref="H665">_xlfn.IFS($G665=$G$5,H$5,$G665=$G$7,H$7,$G665=$G$10,H$10,$G665=$G$13,H$13,$G665=$G$14,H$14,$G665=$G$16,H$16,$G665=$G$17,H$17,$G665=$G$19,H$19,$G665=$G$20,H$20,$G665=$G$22,H$22,$G665=$G$23,H$23,$G665=$G$26,H$26,$G665=$G$29,H$29,$G665=$G$31,H$31,$G665=$G$34,H$34,$G665=$G$37,H$37,$G665=$G$107,H$107,$G665=$G$110,H$110,$G665=$G$140,H$140,$G665=$G$142,H$142,$G665=$G$408,H$408)</f>
        <v>41.417256000000002</v>
      </c>
      <c r="I665" s="51" cm="1">
        <f t="array" ref="I665">_xlfn.IFS($G665=$G$5,I$5,$G665=$G$7,I$7,$G665=$G$10,I$10,$G665=$G$13,I$13,$G665=$G$14,I$14,$G665=$G$16,I$16,$G665=$G$17,I$17,$G665=$G$19,I$19,$G665=$G$20,I$20,$G665=$G$22,I$22,$G665=$G$23,I$23,$G665=$G$26,I$26,$G665=$G$29,I$29,$G665=$G$31,I$31,$G665=$G$34,I$34,$G665=$G$37,I$37,$G665=$G$107,I$107,$G665=$G$110,I$110,$G665=$G$140,I$140,$G665=$G$142,I$142,$G665=$G$408,I$408)</f>
        <v>2.1455709999999999</v>
      </c>
      <c r="J665" s="51" cm="1">
        <f t="array" ref="J665">_xlfn.IFS($G665=$G$5,J$5,$G665=$G$7,J$7,$G665=$G$10,J$10,$G665=$G$13,J$13,$G665=$G$14,J$14,$G665=$G$16,J$16,$G665=$G$17,J$17,$G665=$G$19,J$19,$G665=$G$20,J$20,$G665=$G$22,J$22,$G665=$G$23,J$23,$G665=$G$26,J$26,$G665=$G$29,J$29,$G665=$G$31,J$31,$G665=$G$34,J$34,$G665=$G$37,J$37,$G665=$G$107,J$107,$G665=$G$110,J$110,$G665=$G$140,J$140,$G665=$G$142,J$142,$G665=$G$408,J$408)</f>
        <v>186</v>
      </c>
      <c r="K665" s="13" t="str" cm="1">
        <f t="array" ref="K665">_xlfn.IFS($G665=$G$5,K$5,$G665=$G$7,K$7,$G665=$G$10,K$10,$G665=$G$13,K$13,$G665=$G$14,K$14,$G665=$G$16,K$16,$G665=$G$17,K$17,$G665=$G$19,K$19,$G665=$G$20,K$20,$G665=$G$22,K$22,$G665=$G$23,K$23,$G665=$G$26,K$26,$G665=$G$29,K$29,$G665=$G$31,K$31,$G665=$G$34,K$34,$G665=$G$37,K$37,$G665=$G$107,K$107,$G665=$G$110,K$110,$G665=$G$140,K$140,$G665=$G$142,K$142,$G665=$G$408,K$408)</f>
        <v>BG sentinel + BG lure7</v>
      </c>
      <c r="O665" s="13" t="str">
        <f t="shared" si="62"/>
        <v>A_SP_BCN_17_221102</v>
      </c>
      <c r="P665" s="27">
        <v>44867</v>
      </c>
      <c r="Q665" s="29">
        <v>0.72222222222222221</v>
      </c>
      <c r="R665" s="33"/>
      <c r="S665" s="31">
        <v>44874</v>
      </c>
      <c r="T665" s="29">
        <v>0.59722222222222221</v>
      </c>
      <c r="V665" s="13" t="s">
        <v>86</v>
      </c>
      <c r="X665" s="13">
        <f t="shared" si="65"/>
        <v>7</v>
      </c>
      <c r="Z665" s="13" t="s">
        <v>60</v>
      </c>
      <c r="AA665" s="13">
        <f t="shared" si="64"/>
        <v>3</v>
      </c>
      <c r="AB665" s="13" t="str">
        <f t="shared" si="66"/>
        <v>Adult</v>
      </c>
      <c r="AC665" s="13">
        <v>3</v>
      </c>
      <c r="AD665" s="13">
        <v>0</v>
      </c>
      <c r="AE665" s="13" t="str">
        <f t="shared" si="67"/>
        <v>Morphological</v>
      </c>
      <c r="AF665" s="2">
        <v>4</v>
      </c>
    </row>
    <row r="666" spans="1:32" x14ac:dyDescent="0.25">
      <c r="A666" s="13">
        <v>662</v>
      </c>
      <c r="B666" s="23" t="s">
        <v>56</v>
      </c>
      <c r="C666" s="23" t="s">
        <v>57</v>
      </c>
      <c r="D666" s="23" t="s">
        <v>58</v>
      </c>
      <c r="E666" s="23" t="s">
        <v>58</v>
      </c>
      <c r="F666" s="35" cm="1">
        <f t="array" ref="F666">_xlfn.IFS($G666=$G$5,F$5,$G666=$G$7,F$7,$G666=$G$10,F$10,$G666=$G$13,F$13,$G666=$G$14,F$14,$G666=$G$16,F$16,$G666=$G$17,F$17,$G666=$G$19,F$19,$G666=$G$20,F$20,$G666=$G$22,F$22,$G666=$G$23,F$23,$G666=$G$26,F$26,$G666=$G$29,F$29,$G666=$G$31,F$31,$G666=$G$34,F$34,$G666=$G$37,F$37,$G666=$G$107,F$107,$G666=$G$110,F$110,$G666=$G$140,F$140,$G666=$G$142,F$142,$G666=$G$408,F$408)</f>
        <v>8023</v>
      </c>
      <c r="G666" s="13" t="s">
        <v>74</v>
      </c>
      <c r="H666" s="51" cm="1">
        <f t="array" ref="H666">_xlfn.IFS($G666=$G$5,H$5,$G666=$G$7,H$7,$G666=$G$10,H$10,$G666=$G$13,H$13,$G666=$G$14,H$14,$G666=$G$16,H$16,$G666=$G$17,H$17,$G666=$G$19,H$19,$G666=$G$20,H$20,$G666=$G$22,H$22,$G666=$G$23,H$23,$G666=$G$26,H$26,$G666=$G$29,H$29,$G666=$G$31,H$31,$G666=$G$34,H$34,$G666=$G$37,H$37,$G666=$G$107,H$107,$G666=$G$110,H$110,$G666=$G$140,H$140,$G666=$G$142,H$142,$G666=$G$408,H$408)</f>
        <v>41.417256000000002</v>
      </c>
      <c r="I666" s="51" cm="1">
        <f t="array" ref="I666">_xlfn.IFS($G666=$G$5,I$5,$G666=$G$7,I$7,$G666=$G$10,I$10,$G666=$G$13,I$13,$G666=$G$14,I$14,$G666=$G$16,I$16,$G666=$G$17,I$17,$G666=$G$19,I$19,$G666=$G$20,I$20,$G666=$G$22,I$22,$G666=$G$23,I$23,$G666=$G$26,I$26,$G666=$G$29,I$29,$G666=$G$31,I$31,$G666=$G$34,I$34,$G666=$G$37,I$37,$G666=$G$107,I$107,$G666=$G$110,I$110,$G666=$G$140,I$140,$G666=$G$142,I$142,$G666=$G$408,I$408)</f>
        <v>2.1455709999999999</v>
      </c>
      <c r="J666" s="51" cm="1">
        <f t="array" ref="J666">_xlfn.IFS($G666=$G$5,J$5,$G666=$G$7,J$7,$G666=$G$10,J$10,$G666=$G$13,J$13,$G666=$G$14,J$14,$G666=$G$16,J$16,$G666=$G$17,J$17,$G666=$G$19,J$19,$G666=$G$20,J$20,$G666=$G$22,J$22,$G666=$G$23,J$23,$G666=$G$26,J$26,$G666=$G$29,J$29,$G666=$G$31,J$31,$G666=$G$34,J$34,$G666=$G$37,J$37,$G666=$G$107,J$107,$G666=$G$110,J$110,$G666=$G$140,J$140,$G666=$G$142,J$142,$G666=$G$408,J$408)</f>
        <v>186</v>
      </c>
      <c r="K666" s="13" t="str" cm="1">
        <f t="array" ref="K666">_xlfn.IFS($G666=$G$5,K$5,$G666=$G$7,K$7,$G666=$G$10,K$10,$G666=$G$13,K$13,$G666=$G$14,K$14,$G666=$G$16,K$16,$G666=$G$17,K$17,$G666=$G$19,K$19,$G666=$G$20,K$20,$G666=$G$22,K$22,$G666=$G$23,K$23,$G666=$G$26,K$26,$G666=$G$29,K$29,$G666=$G$31,K$31,$G666=$G$34,K$34,$G666=$G$37,K$37,$G666=$G$107,K$107,$G666=$G$110,K$110,$G666=$G$140,K$140,$G666=$G$142,K$142,$G666=$G$408,K$408)</f>
        <v>BG sentinel + BG lure7</v>
      </c>
      <c r="O666" s="13" t="str">
        <f t="shared" si="62"/>
        <v>A_SP_BCN_17_221102</v>
      </c>
      <c r="P666" s="27">
        <v>44867</v>
      </c>
      <c r="Q666" s="29">
        <v>0.72222222222222221</v>
      </c>
      <c r="R666" s="33"/>
      <c r="S666" s="31">
        <v>44874</v>
      </c>
      <c r="T666" s="29">
        <v>0.59722222222222221</v>
      </c>
      <c r="V666" s="13" t="s">
        <v>86</v>
      </c>
      <c r="X666" s="13">
        <f t="shared" si="65"/>
        <v>7</v>
      </c>
      <c r="Z666" s="13" t="s">
        <v>164</v>
      </c>
      <c r="AA666" s="13">
        <f t="shared" si="64"/>
        <v>2</v>
      </c>
      <c r="AB666" s="13" t="str">
        <f t="shared" si="66"/>
        <v>Adult</v>
      </c>
      <c r="AC666" s="13">
        <v>1</v>
      </c>
      <c r="AD666" s="13">
        <v>1</v>
      </c>
      <c r="AE666" s="13" t="str">
        <f t="shared" si="67"/>
        <v>Morphological</v>
      </c>
      <c r="AF666" s="2">
        <v>4</v>
      </c>
    </row>
    <row r="667" spans="1:32" x14ac:dyDescent="0.25">
      <c r="A667" s="13">
        <v>663</v>
      </c>
      <c r="B667" s="23" t="s">
        <v>56</v>
      </c>
      <c r="C667" s="23" t="s">
        <v>57</v>
      </c>
      <c r="D667" s="23" t="s">
        <v>58</v>
      </c>
      <c r="E667" s="23" t="s">
        <v>58</v>
      </c>
      <c r="F667" s="35" cm="1">
        <f t="array" ref="F667">_xlfn.IFS($G667=$G$5,F$5,$G667=$G$7,F$7,$G667=$G$10,F$10,$G667=$G$13,F$13,$G667=$G$14,F$14,$G667=$G$16,F$16,$G667=$G$17,F$17,$G667=$G$19,F$19,$G667=$G$20,F$20,$G667=$G$22,F$22,$G667=$G$23,F$23,$G667=$G$26,F$26,$G667=$G$29,F$29,$G667=$G$31,F$31,$G667=$G$34,F$34,$G667=$G$37,F$37,$G667=$G$107,F$107,$G667=$G$110,F$110,$G667=$G$140,F$140,$G667=$G$142,F$142,$G667=$G$408,F$408)</f>
        <v>8023</v>
      </c>
      <c r="G667" s="13" t="s">
        <v>74</v>
      </c>
      <c r="H667" s="51" cm="1">
        <f t="array" ref="H667">_xlfn.IFS($G667=$G$5,H$5,$G667=$G$7,H$7,$G667=$G$10,H$10,$G667=$G$13,H$13,$G667=$G$14,H$14,$G667=$G$16,H$16,$G667=$G$17,H$17,$G667=$G$19,H$19,$G667=$G$20,H$20,$G667=$G$22,H$22,$G667=$G$23,H$23,$G667=$G$26,H$26,$G667=$G$29,H$29,$G667=$G$31,H$31,$G667=$G$34,H$34,$G667=$G$37,H$37,$G667=$G$107,H$107,$G667=$G$110,H$110,$G667=$G$140,H$140,$G667=$G$142,H$142,$G667=$G$408,H$408)</f>
        <v>41.417256000000002</v>
      </c>
      <c r="I667" s="51" cm="1">
        <f t="array" ref="I667">_xlfn.IFS($G667=$G$5,I$5,$G667=$G$7,I$7,$G667=$G$10,I$10,$G667=$G$13,I$13,$G667=$G$14,I$14,$G667=$G$16,I$16,$G667=$G$17,I$17,$G667=$G$19,I$19,$G667=$G$20,I$20,$G667=$G$22,I$22,$G667=$G$23,I$23,$G667=$G$26,I$26,$G667=$G$29,I$29,$G667=$G$31,I$31,$G667=$G$34,I$34,$G667=$G$37,I$37,$G667=$G$107,I$107,$G667=$G$110,I$110,$G667=$G$140,I$140,$G667=$G$142,I$142,$G667=$G$408,I$408)</f>
        <v>2.1455709999999999</v>
      </c>
      <c r="J667" s="51" cm="1">
        <f t="array" ref="J667">_xlfn.IFS($G667=$G$5,J$5,$G667=$G$7,J$7,$G667=$G$10,J$10,$G667=$G$13,J$13,$G667=$G$14,J$14,$G667=$G$16,J$16,$G667=$G$17,J$17,$G667=$G$19,J$19,$G667=$G$20,J$20,$G667=$G$22,J$22,$G667=$G$23,J$23,$G667=$G$26,J$26,$G667=$G$29,J$29,$G667=$G$31,J$31,$G667=$G$34,J$34,$G667=$G$37,J$37,$G667=$G$107,J$107,$G667=$G$110,J$110,$G667=$G$140,J$140,$G667=$G$142,J$142,$G667=$G$408,J$408)</f>
        <v>186</v>
      </c>
      <c r="K667" s="13" t="str" cm="1">
        <f t="array" ref="K667">_xlfn.IFS($G667=$G$5,K$5,$G667=$G$7,K$7,$G667=$G$10,K$10,$G667=$G$13,K$13,$G667=$G$14,K$14,$G667=$G$16,K$16,$G667=$G$17,K$17,$G667=$G$19,K$19,$G667=$G$20,K$20,$G667=$G$22,K$22,$G667=$G$23,K$23,$G667=$G$26,K$26,$G667=$G$29,K$29,$G667=$G$31,K$31,$G667=$G$34,K$34,$G667=$G$37,K$37,$G667=$G$107,K$107,$G667=$G$110,K$110,$G667=$G$140,K$140,$G667=$G$142,K$142,$G667=$G$408,K$408)</f>
        <v>BG sentinel + BG lure7</v>
      </c>
      <c r="O667" s="13" t="str">
        <f t="shared" si="62"/>
        <v>A_SP_BCN_17_221102</v>
      </c>
      <c r="P667" s="27">
        <v>44867</v>
      </c>
      <c r="Q667" s="29">
        <v>0.72222222222222221</v>
      </c>
      <c r="R667" s="33"/>
      <c r="S667" s="31">
        <v>44874</v>
      </c>
      <c r="T667" s="29">
        <v>0.59722222222222221</v>
      </c>
      <c r="V667" s="13" t="s">
        <v>86</v>
      </c>
      <c r="X667" s="13">
        <f t="shared" si="65"/>
        <v>7</v>
      </c>
      <c r="Z667" s="32" t="s">
        <v>163</v>
      </c>
      <c r="AA667" s="13">
        <f t="shared" si="64"/>
        <v>4</v>
      </c>
      <c r="AB667" s="13" t="str">
        <f t="shared" si="66"/>
        <v>Adult</v>
      </c>
      <c r="AC667" s="13">
        <v>2</v>
      </c>
      <c r="AD667" s="13">
        <v>2</v>
      </c>
      <c r="AE667" s="13" t="str">
        <f t="shared" si="67"/>
        <v>Morphological</v>
      </c>
      <c r="AF667" s="2">
        <v>4</v>
      </c>
    </row>
    <row r="668" spans="1:32" x14ac:dyDescent="0.25">
      <c r="A668" s="13">
        <v>664</v>
      </c>
      <c r="B668" s="23" t="s">
        <v>56</v>
      </c>
      <c r="C668" s="23" t="s">
        <v>57</v>
      </c>
      <c r="D668" s="23" t="s">
        <v>58</v>
      </c>
      <c r="E668" s="23" t="s">
        <v>58</v>
      </c>
      <c r="F668" s="35" cm="1">
        <f t="array" ref="F668">_xlfn.IFS($G668=$G$5,F$5,$G668=$G$7,F$7,$G668=$G$10,F$10,$G668=$G$13,F$13,$G668=$G$14,F$14,$G668=$G$16,F$16,$G668=$G$17,F$17,$G668=$G$19,F$19,$G668=$G$20,F$20,$G668=$G$22,F$22,$G668=$G$23,F$23,$G668=$G$26,F$26,$G668=$G$29,F$29,$G668=$G$31,F$31,$G668=$G$34,F$34,$G668=$G$37,F$37,$G668=$G$107,F$107,$G668=$G$110,F$110,$G668=$G$140,F$140,$G668=$G$142,F$142,$G668=$G$408,F$408)</f>
        <v>8031</v>
      </c>
      <c r="G668" s="13" t="s">
        <v>75</v>
      </c>
      <c r="H668" s="51" cm="1">
        <f t="array" ref="H668">_xlfn.IFS($G668=$G$5,H$5,$G668=$G$7,H$7,$G668=$G$10,H$10,$G668=$G$13,H$13,$G668=$G$14,H$14,$G668=$G$16,H$16,$G668=$G$17,H$17,$G668=$G$19,H$19,$G668=$G$20,H$20,$G668=$G$22,H$22,$G668=$G$23,H$23,$G668=$G$26,H$26,$G668=$G$29,H$29,$G668=$G$31,H$31,$G668=$G$34,H$34,$G668=$G$37,H$37,$G668=$G$107,H$107,$G668=$G$110,H$110,$G668=$G$140,H$140,$G668=$G$142,H$142,$G668=$G$408,H$408)</f>
        <v>41.433618000000003</v>
      </c>
      <c r="I668" s="51" cm="1">
        <f t="array" ref="I668">_xlfn.IFS($G668=$G$5,I$5,$G668=$G$7,I$7,$G668=$G$10,I$10,$G668=$G$13,I$13,$G668=$G$14,I$14,$G668=$G$16,I$16,$G668=$G$17,I$17,$G668=$G$19,I$19,$G668=$G$20,I$20,$G668=$G$22,I$22,$G668=$G$23,I$23,$G668=$G$26,I$26,$G668=$G$29,I$29,$G668=$G$31,I$31,$G668=$G$34,I$34,$G668=$G$37,I$37,$G668=$G$107,I$107,$G668=$G$110,I$110,$G668=$G$140,I$140,$G668=$G$142,I$142,$G668=$G$408,I$408)</f>
        <v>2.1677469999999999</v>
      </c>
      <c r="J668" s="51" cm="1">
        <f t="array" ref="J668">_xlfn.IFS($G668=$G$5,J$5,$G668=$G$7,J$7,$G668=$G$10,J$10,$G668=$G$13,J$13,$G668=$G$14,J$14,$G668=$G$16,J$16,$G668=$G$17,J$17,$G668=$G$19,J$19,$G668=$G$20,J$20,$G668=$G$22,J$22,$G668=$G$23,J$23,$G668=$G$26,J$26,$G668=$G$29,J$29,$G668=$G$31,J$31,$G668=$G$34,J$34,$G668=$G$37,J$37,$G668=$G$107,J$107,$G668=$G$110,J$110,$G668=$G$140,J$140,$G668=$G$142,J$142,$G668=$G$408,J$408)</f>
        <v>96.85</v>
      </c>
      <c r="K668" s="13" t="str" cm="1">
        <f t="array" ref="K668">_xlfn.IFS($G668=$G$5,K$5,$G668=$G$7,K$7,$G668=$G$10,K$10,$G668=$G$13,K$13,$G668=$G$14,K$14,$G668=$G$16,K$16,$G668=$G$17,K$17,$G668=$G$19,K$19,$G668=$G$20,K$20,$G668=$G$22,K$22,$G668=$G$23,K$23,$G668=$G$26,K$26,$G668=$G$29,K$29,$G668=$G$31,K$31,$G668=$G$34,K$34,$G668=$G$37,K$37,$G668=$G$107,K$107,$G668=$G$110,K$110,$G668=$G$140,K$140,$G668=$G$142,K$142,$G668=$G$408,K$408)</f>
        <v>BG sentinel + BG lure7</v>
      </c>
      <c r="O668" s="13" t="str">
        <f t="shared" si="62"/>
        <v>A_SP_BCN_18_221102</v>
      </c>
      <c r="P668" s="27">
        <v>44867</v>
      </c>
      <c r="Q668" s="29">
        <v>0.82986111111111116</v>
      </c>
      <c r="R668" s="33"/>
      <c r="S668" s="31">
        <v>44874</v>
      </c>
      <c r="T668" s="29">
        <v>0.73611111111111116</v>
      </c>
      <c r="V668" s="13" t="s">
        <v>86</v>
      </c>
      <c r="X668" s="13">
        <f t="shared" si="65"/>
        <v>7</v>
      </c>
      <c r="Z668" s="13" t="s">
        <v>60</v>
      </c>
      <c r="AA668" s="13">
        <f t="shared" si="64"/>
        <v>9</v>
      </c>
      <c r="AB668" s="13" t="str">
        <f t="shared" si="66"/>
        <v>Adult</v>
      </c>
      <c r="AC668" s="13">
        <v>9</v>
      </c>
      <c r="AD668" s="13">
        <v>0</v>
      </c>
      <c r="AE668" s="13" t="str">
        <f t="shared" si="67"/>
        <v>Morphological</v>
      </c>
      <c r="AF668" s="2">
        <v>4</v>
      </c>
    </row>
    <row r="669" spans="1:32" x14ac:dyDescent="0.25">
      <c r="A669" s="13">
        <v>665</v>
      </c>
      <c r="B669" s="23" t="s">
        <v>56</v>
      </c>
      <c r="C669" s="23" t="s">
        <v>57</v>
      </c>
      <c r="D669" s="23" t="s">
        <v>58</v>
      </c>
      <c r="E669" s="23" t="s">
        <v>58</v>
      </c>
      <c r="F669" s="35" cm="1">
        <f t="array" ref="F669">_xlfn.IFS($G669=$G$5,F$5,$G669=$G$7,F$7,$G669=$G$10,F$10,$G669=$G$13,F$13,$G669=$G$14,F$14,$G669=$G$16,F$16,$G669=$G$17,F$17,$G669=$G$19,F$19,$G669=$G$20,F$20,$G669=$G$22,F$22,$G669=$G$23,F$23,$G669=$G$26,F$26,$G669=$G$29,F$29,$G669=$G$31,F$31,$G669=$G$34,F$34,$G669=$G$37,F$37,$G669=$G$107,F$107,$G669=$G$110,F$110,$G669=$G$140,F$140,$G669=$G$142,F$142,$G669=$G$408,F$408)</f>
        <v>8031</v>
      </c>
      <c r="G669" s="13" t="s">
        <v>75</v>
      </c>
      <c r="H669" s="51" cm="1">
        <f t="array" ref="H669">_xlfn.IFS($G669=$G$5,H$5,$G669=$G$7,H$7,$G669=$G$10,H$10,$G669=$G$13,H$13,$G669=$G$14,H$14,$G669=$G$16,H$16,$G669=$G$17,H$17,$G669=$G$19,H$19,$G669=$G$20,H$20,$G669=$G$22,H$22,$G669=$G$23,H$23,$G669=$G$26,H$26,$G669=$G$29,H$29,$G669=$G$31,H$31,$G669=$G$34,H$34,$G669=$G$37,H$37,$G669=$G$107,H$107,$G669=$G$110,H$110,$G669=$G$140,H$140,$G669=$G$142,H$142,$G669=$G$408,H$408)</f>
        <v>41.433618000000003</v>
      </c>
      <c r="I669" s="51" cm="1">
        <f t="array" ref="I669">_xlfn.IFS($G669=$G$5,I$5,$G669=$G$7,I$7,$G669=$G$10,I$10,$G669=$G$13,I$13,$G669=$G$14,I$14,$G669=$G$16,I$16,$G669=$G$17,I$17,$G669=$G$19,I$19,$G669=$G$20,I$20,$G669=$G$22,I$22,$G669=$G$23,I$23,$G669=$G$26,I$26,$G669=$G$29,I$29,$G669=$G$31,I$31,$G669=$G$34,I$34,$G669=$G$37,I$37,$G669=$G$107,I$107,$G669=$G$110,I$110,$G669=$G$140,I$140,$G669=$G$142,I$142,$G669=$G$408,I$408)</f>
        <v>2.1677469999999999</v>
      </c>
      <c r="J669" s="51" cm="1">
        <f t="array" ref="J669">_xlfn.IFS($G669=$G$5,J$5,$G669=$G$7,J$7,$G669=$G$10,J$10,$G669=$G$13,J$13,$G669=$G$14,J$14,$G669=$G$16,J$16,$G669=$G$17,J$17,$G669=$G$19,J$19,$G669=$G$20,J$20,$G669=$G$22,J$22,$G669=$G$23,J$23,$G669=$G$26,J$26,$G669=$G$29,J$29,$G669=$G$31,J$31,$G669=$G$34,J$34,$G669=$G$37,J$37,$G669=$G$107,J$107,$G669=$G$110,J$110,$G669=$G$140,J$140,$G669=$G$142,J$142,$G669=$G$408,J$408)</f>
        <v>96.85</v>
      </c>
      <c r="K669" s="13" t="str" cm="1">
        <f t="array" ref="K669">_xlfn.IFS($G669=$G$5,K$5,$G669=$G$7,K$7,$G669=$G$10,K$10,$G669=$G$13,K$13,$G669=$G$14,K$14,$G669=$G$16,K$16,$G669=$G$17,K$17,$G669=$G$19,K$19,$G669=$G$20,K$20,$G669=$G$22,K$22,$G669=$G$23,K$23,$G669=$G$26,K$26,$G669=$G$29,K$29,$G669=$G$31,K$31,$G669=$G$34,K$34,$G669=$G$37,K$37,$G669=$G$107,K$107,$G669=$G$110,K$110,$G669=$G$140,K$140,$G669=$G$142,K$142,$G669=$G$408,K$408)</f>
        <v>BG sentinel + BG lure7</v>
      </c>
      <c r="O669" s="13" t="str">
        <f t="shared" si="62"/>
        <v>A_SP_BCN_18_221102</v>
      </c>
      <c r="P669" s="27">
        <v>44867</v>
      </c>
      <c r="Q669" s="29">
        <v>0.82986111111111116</v>
      </c>
      <c r="R669" s="33"/>
      <c r="S669" s="31">
        <v>44874</v>
      </c>
      <c r="T669" s="29">
        <v>0.73611111111111116</v>
      </c>
      <c r="V669" s="13" t="s">
        <v>86</v>
      </c>
      <c r="X669" s="13">
        <f t="shared" si="65"/>
        <v>7</v>
      </c>
      <c r="Z669" s="13" t="s">
        <v>164</v>
      </c>
      <c r="AA669" s="13">
        <f t="shared" si="64"/>
        <v>1</v>
      </c>
      <c r="AB669" s="13" t="str">
        <f t="shared" si="66"/>
        <v>Adult</v>
      </c>
      <c r="AC669" s="13">
        <v>1</v>
      </c>
      <c r="AD669" s="13">
        <v>0</v>
      </c>
      <c r="AE669" s="13" t="str">
        <f t="shared" si="67"/>
        <v>Morphological</v>
      </c>
      <c r="AF669" s="2">
        <v>4</v>
      </c>
    </row>
    <row r="670" spans="1:32" x14ac:dyDescent="0.25">
      <c r="A670" s="13">
        <v>666</v>
      </c>
      <c r="B670" s="23" t="s">
        <v>56</v>
      </c>
      <c r="C670" s="23" t="s">
        <v>57</v>
      </c>
      <c r="D670" s="23" t="s">
        <v>58</v>
      </c>
      <c r="E670" s="23" t="s">
        <v>58</v>
      </c>
      <c r="F670" s="35" cm="1">
        <f t="array" ref="F670">_xlfn.IFS($G670=$G$5,F$5,$G670=$G$7,F$7,$G670=$G$10,F$10,$G670=$G$13,F$13,$G670=$G$14,F$14,$G670=$G$16,F$16,$G670=$G$17,F$17,$G670=$G$19,F$19,$G670=$G$20,F$20,$G670=$G$22,F$22,$G670=$G$23,F$23,$G670=$G$26,F$26,$G670=$G$29,F$29,$G670=$G$31,F$31,$G670=$G$34,F$34,$G670=$G$37,F$37,$G670=$G$107,F$107,$G670=$G$110,F$110,$G670=$G$140,F$140,$G670=$G$142,F$142,$G670=$G$408,F$408)</f>
        <v>8038</v>
      </c>
      <c r="G670" s="13" t="s">
        <v>76</v>
      </c>
      <c r="H670" s="51" cm="1">
        <f t="array" ref="H670">_xlfn.IFS($G670=$G$5,H$5,$G670=$G$7,H$7,$G670=$G$10,H$10,$G670=$G$13,H$13,$G670=$G$14,H$14,$G670=$G$16,H$16,$G670=$G$17,H$17,$G670=$G$19,H$19,$G670=$G$20,H$20,$G670=$G$22,H$22,$G670=$G$23,H$23,$G670=$G$26,H$26,$G670=$G$29,H$29,$G670=$G$31,H$31,$G670=$G$34,H$34,$G670=$G$37,H$37,$G670=$G$107,H$107,$G670=$G$110,H$110,$G670=$G$140,H$140,$G670=$G$142,H$142,$G670=$G$408,H$408)</f>
        <v>41.359864999999999</v>
      </c>
      <c r="I670" s="51" cm="1">
        <f t="array" ref="I670">_xlfn.IFS($G670=$G$5,I$5,$G670=$G$7,I$7,$G670=$G$10,I$10,$G670=$G$13,I$13,$G670=$G$14,I$14,$G670=$G$16,I$16,$G670=$G$17,I$17,$G670=$G$19,I$19,$G670=$G$20,I$20,$G670=$G$22,I$22,$G670=$G$23,I$23,$G670=$G$26,I$26,$G670=$G$29,I$29,$G670=$G$31,I$31,$G670=$G$34,I$34,$G670=$G$37,I$37,$G670=$G$107,I$107,$G670=$G$110,I$110,$G670=$G$140,I$140,$G670=$G$142,I$142,$G670=$G$408,I$408)</f>
        <v>2.1445430000000001</v>
      </c>
      <c r="J670" s="51" cm="1">
        <f t="array" ref="J670">_xlfn.IFS($G670=$G$5,J$5,$G670=$G$7,J$7,$G670=$G$10,J$10,$G670=$G$13,J$13,$G670=$G$14,J$14,$G670=$G$16,J$16,$G670=$G$17,J$17,$G670=$G$19,J$19,$G670=$G$20,J$20,$G670=$G$22,J$22,$G670=$G$23,J$23,$G670=$G$26,J$26,$G670=$G$29,J$29,$G670=$G$31,J$31,$G670=$G$34,J$34,$G670=$G$37,J$37,$G670=$G$107,J$107,$G670=$G$110,J$110,$G670=$G$140,J$140,$G670=$G$142,J$142,$G670=$G$408,J$408)</f>
        <v>11.4</v>
      </c>
      <c r="K670" s="13" t="str" cm="1">
        <f t="array" ref="K670">_xlfn.IFS($G670=$G$5,K$5,$G670=$G$7,K$7,$G670=$G$10,K$10,$G670=$G$13,K$13,$G670=$G$14,K$14,$G670=$G$16,K$16,$G670=$G$17,K$17,$G670=$G$19,K$19,$G670=$G$20,K$20,$G670=$G$22,K$22,$G670=$G$23,K$23,$G670=$G$26,K$26,$G670=$G$29,K$29,$G670=$G$31,K$31,$G670=$G$34,K$34,$G670=$G$37,K$37,$G670=$G$107,K$107,$G670=$G$110,K$110,$G670=$G$140,K$140,$G670=$G$142,K$142,$G670=$G$408,K$408)</f>
        <v>BG sentinel + BG lure7</v>
      </c>
      <c r="O670" s="13" t="str">
        <f t="shared" si="62"/>
        <v>A_SP_BCN_19_221102</v>
      </c>
      <c r="P670" s="27">
        <v>44867</v>
      </c>
      <c r="Q670" s="29">
        <v>0.60416666666666663</v>
      </c>
      <c r="R670" s="33"/>
      <c r="S670" s="31">
        <v>44874</v>
      </c>
      <c r="T670" s="29">
        <v>0.51388888888888895</v>
      </c>
      <c r="V670" s="13" t="s">
        <v>86</v>
      </c>
      <c r="X670" s="13">
        <f t="shared" si="65"/>
        <v>7</v>
      </c>
      <c r="Z670" s="13" t="s">
        <v>60</v>
      </c>
      <c r="AA670" s="13">
        <f t="shared" si="64"/>
        <v>8</v>
      </c>
      <c r="AB670" s="13" t="str">
        <f t="shared" si="66"/>
        <v>Adult</v>
      </c>
      <c r="AC670" s="13">
        <v>8</v>
      </c>
      <c r="AD670" s="13">
        <v>0</v>
      </c>
      <c r="AE670" s="13" t="str">
        <f t="shared" si="67"/>
        <v>Morphological</v>
      </c>
      <c r="AF670" s="2">
        <v>4</v>
      </c>
    </row>
    <row r="671" spans="1:32" x14ac:dyDescent="0.25">
      <c r="A671" s="13">
        <v>667</v>
      </c>
      <c r="B671" s="23" t="s">
        <v>56</v>
      </c>
      <c r="C671" s="23" t="s">
        <v>57</v>
      </c>
      <c r="D671" s="23" t="s">
        <v>58</v>
      </c>
      <c r="E671" s="23" t="s">
        <v>58</v>
      </c>
      <c r="F671" s="35" cm="1">
        <f t="array" ref="F671">_xlfn.IFS($G671=$G$5,F$5,$G671=$G$7,F$7,$G671=$G$10,F$10,$G671=$G$13,F$13,$G671=$G$14,F$14,$G671=$G$16,F$16,$G671=$G$17,F$17,$G671=$G$19,F$19,$G671=$G$20,F$20,$G671=$G$22,F$22,$G671=$G$23,F$23,$G671=$G$26,F$26,$G671=$G$29,F$29,$G671=$G$31,F$31,$G671=$G$34,F$34,$G671=$G$37,F$37,$G671=$G$107,F$107,$G671=$G$110,F$110,$G671=$G$140,F$140,$G671=$G$142,F$142,$G671=$G$408,F$408)</f>
        <v>8038</v>
      </c>
      <c r="G671" s="13" t="s">
        <v>76</v>
      </c>
      <c r="H671" s="51" cm="1">
        <f t="array" ref="H671">_xlfn.IFS($G671=$G$5,H$5,$G671=$G$7,H$7,$G671=$G$10,H$10,$G671=$G$13,H$13,$G671=$G$14,H$14,$G671=$G$16,H$16,$G671=$G$17,H$17,$G671=$G$19,H$19,$G671=$G$20,H$20,$G671=$G$22,H$22,$G671=$G$23,H$23,$G671=$G$26,H$26,$G671=$G$29,H$29,$G671=$G$31,H$31,$G671=$G$34,H$34,$G671=$G$37,H$37,$G671=$G$107,H$107,$G671=$G$110,H$110,$G671=$G$140,H$140,$G671=$G$142,H$142,$G671=$G$408,H$408)</f>
        <v>41.359864999999999</v>
      </c>
      <c r="I671" s="51" cm="1">
        <f t="array" ref="I671">_xlfn.IFS($G671=$G$5,I$5,$G671=$G$7,I$7,$G671=$G$10,I$10,$G671=$G$13,I$13,$G671=$G$14,I$14,$G671=$G$16,I$16,$G671=$G$17,I$17,$G671=$G$19,I$19,$G671=$G$20,I$20,$G671=$G$22,I$22,$G671=$G$23,I$23,$G671=$G$26,I$26,$G671=$G$29,I$29,$G671=$G$31,I$31,$G671=$G$34,I$34,$G671=$G$37,I$37,$G671=$G$107,I$107,$G671=$G$110,I$110,$G671=$G$140,I$140,$G671=$G$142,I$142,$G671=$G$408,I$408)</f>
        <v>2.1445430000000001</v>
      </c>
      <c r="J671" s="51" cm="1">
        <f t="array" ref="J671">_xlfn.IFS($G671=$G$5,J$5,$G671=$G$7,J$7,$G671=$G$10,J$10,$G671=$G$13,J$13,$G671=$G$14,J$14,$G671=$G$16,J$16,$G671=$G$17,J$17,$G671=$G$19,J$19,$G671=$G$20,J$20,$G671=$G$22,J$22,$G671=$G$23,J$23,$G671=$G$26,J$26,$G671=$G$29,J$29,$G671=$G$31,J$31,$G671=$G$34,J$34,$G671=$G$37,J$37,$G671=$G$107,J$107,$G671=$G$110,J$110,$G671=$G$140,J$140,$G671=$G$142,J$142,$G671=$G$408,J$408)</f>
        <v>11.4</v>
      </c>
      <c r="K671" s="13" t="str" cm="1">
        <f t="array" ref="K671">_xlfn.IFS($G671=$G$5,K$5,$G671=$G$7,K$7,$G671=$G$10,K$10,$G671=$G$13,K$13,$G671=$G$14,K$14,$G671=$G$16,K$16,$G671=$G$17,K$17,$G671=$G$19,K$19,$G671=$G$20,K$20,$G671=$G$22,K$22,$G671=$G$23,K$23,$G671=$G$26,K$26,$G671=$G$29,K$29,$G671=$G$31,K$31,$G671=$G$34,K$34,$G671=$G$37,K$37,$G671=$G$107,K$107,$G671=$G$110,K$110,$G671=$G$140,K$140,$G671=$G$142,K$142,$G671=$G$408,K$408)</f>
        <v>BG sentinel + BG lure7</v>
      </c>
      <c r="O671" s="13" t="str">
        <f t="shared" si="62"/>
        <v>A_SP_BCN_19_221102</v>
      </c>
      <c r="P671" s="27">
        <v>44867</v>
      </c>
      <c r="Q671" s="29">
        <v>0.60416666666666663</v>
      </c>
      <c r="R671" s="33"/>
      <c r="S671" s="31">
        <v>44874</v>
      </c>
      <c r="T671" s="29">
        <v>0.51388888888888895</v>
      </c>
      <c r="V671" s="13" t="s">
        <v>86</v>
      </c>
      <c r="X671" s="13">
        <f t="shared" si="65"/>
        <v>7</v>
      </c>
      <c r="Z671" s="13" t="s">
        <v>164</v>
      </c>
      <c r="AA671" s="13">
        <f t="shared" si="64"/>
        <v>14</v>
      </c>
      <c r="AB671" s="13" t="str">
        <f t="shared" si="66"/>
        <v>Adult</v>
      </c>
      <c r="AC671" s="13">
        <v>14</v>
      </c>
      <c r="AD671" s="13">
        <v>0</v>
      </c>
      <c r="AE671" s="13" t="str">
        <f t="shared" si="67"/>
        <v>Morphological</v>
      </c>
      <c r="AF671" s="2">
        <v>4</v>
      </c>
    </row>
    <row r="672" spans="1:32" x14ac:dyDescent="0.25">
      <c r="A672" s="13">
        <v>668</v>
      </c>
      <c r="B672" s="23" t="s">
        <v>56</v>
      </c>
      <c r="C672" s="23" t="s">
        <v>57</v>
      </c>
      <c r="D672" s="23" t="s">
        <v>58</v>
      </c>
      <c r="E672" s="23" t="s">
        <v>58</v>
      </c>
      <c r="F672" s="35" cm="1">
        <f t="array" ref="F672">_xlfn.IFS($G672=$G$5,F$5,$G672=$G$7,F$7,$G672=$G$10,F$10,$G672=$G$13,F$13,$G672=$G$14,F$14,$G672=$G$16,F$16,$G672=$G$17,F$17,$G672=$G$19,F$19,$G672=$G$20,F$20,$G672=$G$22,F$22,$G672=$G$23,F$23,$G672=$G$26,F$26,$G672=$G$29,F$29,$G672=$G$31,F$31,$G672=$G$34,F$34,$G672=$G$37,F$37,$G672=$G$107,F$107,$G672=$G$110,F$110,$G672=$G$140,F$140,$G672=$G$142,F$142,$G672=$G$408,F$408)</f>
        <v>8017</v>
      </c>
      <c r="G672" s="13" t="s">
        <v>77</v>
      </c>
      <c r="H672" s="51" cm="1">
        <f t="array" ref="H672">_xlfn.IFS($G672=$G$5,H$5,$G672=$G$7,H$7,$G672=$G$10,H$10,$G672=$G$13,H$13,$G672=$G$14,H$14,$G672=$G$16,H$16,$G672=$G$17,H$17,$G672=$G$19,H$19,$G672=$G$20,H$20,$G672=$G$22,H$22,$G672=$G$23,H$23,$G672=$G$26,H$26,$G672=$G$29,H$29,$G672=$G$31,H$31,$G672=$G$34,H$34,$G672=$G$37,H$37,$G672=$G$107,H$107,$G672=$G$110,H$110,$G672=$G$140,H$140,$G672=$G$142,H$142,$G672=$G$408,H$408)</f>
        <v>41.430315999999998</v>
      </c>
      <c r="I672" s="51" cm="1">
        <f t="array" ref="I672">_xlfn.IFS($G672=$G$5,I$5,$G672=$G$7,I$7,$G672=$G$10,I$10,$G672=$G$13,I$13,$G672=$G$14,I$14,$G672=$G$16,I$16,$G672=$G$17,I$17,$G672=$G$19,I$19,$G672=$G$20,I$20,$G672=$G$22,I$22,$G672=$G$23,I$23,$G672=$G$26,I$26,$G672=$G$29,I$29,$G672=$G$31,I$31,$G672=$G$34,I$34,$G672=$G$37,I$37,$G672=$G$107,I$107,$G672=$G$110,I$110,$G672=$G$140,I$140,$G672=$G$142,I$142,$G672=$G$408,I$408)</f>
        <v>2.077556</v>
      </c>
      <c r="J672" s="51" cm="1">
        <f t="array" ref="J672">_xlfn.IFS($G672=$G$5,J$5,$G672=$G$7,J$7,$G672=$G$10,J$10,$G672=$G$13,J$13,$G672=$G$14,J$14,$G672=$G$16,J$16,$G672=$G$17,J$17,$G672=$G$19,J$19,$G672=$G$20,J$20,$G672=$G$22,J$22,$G672=$G$23,J$23,$G672=$G$26,J$26,$G672=$G$29,J$29,$G672=$G$31,J$31,$G672=$G$34,J$34,$G672=$G$37,J$37,$G672=$G$107,J$107,$G672=$G$110,J$110,$G672=$G$140,J$140,$G672=$G$142,J$142,$G672=$G$408,J$408)</f>
        <v>243.3</v>
      </c>
      <c r="K672" s="13" t="str" cm="1">
        <f t="array" ref="K672">_xlfn.IFS($G672=$G$5,K$5,$G672=$G$7,K$7,$G672=$G$10,K$10,$G672=$G$13,K$13,$G672=$G$14,K$14,$G672=$G$16,K$16,$G672=$G$17,K$17,$G672=$G$19,K$19,$G672=$G$20,K$20,$G672=$G$22,K$22,$G672=$G$23,K$23,$G672=$G$26,K$26,$G672=$G$29,K$29,$G672=$G$31,K$31,$G672=$G$34,K$34,$G672=$G$37,K$37,$G672=$G$107,K$107,$G672=$G$110,K$110,$G672=$G$140,K$140,$G672=$G$142,K$142,$G672=$G$408,K$408)</f>
        <v>BG sentinel + BG lure7</v>
      </c>
      <c r="O672" s="13" t="str">
        <f t="shared" si="62"/>
        <v>A_SP_BCN_22_221102</v>
      </c>
      <c r="P672" s="27">
        <v>44867</v>
      </c>
      <c r="Q672" s="29">
        <v>0.76041666666666663</v>
      </c>
      <c r="R672" s="33"/>
      <c r="S672" s="31">
        <v>44874</v>
      </c>
      <c r="T672" s="29">
        <v>0.66666666666666663</v>
      </c>
      <c r="V672" s="13" t="s">
        <v>86</v>
      </c>
      <c r="X672" s="13">
        <f t="shared" si="65"/>
        <v>7</v>
      </c>
      <c r="Z672" s="13" t="s">
        <v>164</v>
      </c>
      <c r="AA672" s="13">
        <f t="shared" si="64"/>
        <v>1</v>
      </c>
      <c r="AB672" s="13" t="str">
        <f t="shared" si="66"/>
        <v>Adult</v>
      </c>
      <c r="AC672" s="13">
        <v>0</v>
      </c>
      <c r="AD672" s="13">
        <v>1</v>
      </c>
      <c r="AE672" s="13" t="str">
        <f t="shared" si="67"/>
        <v>Morphological</v>
      </c>
      <c r="AF672" s="2">
        <v>4</v>
      </c>
    </row>
    <row r="673" spans="1:32" x14ac:dyDescent="0.25">
      <c r="A673" s="13">
        <v>669</v>
      </c>
      <c r="B673" s="23" t="s">
        <v>56</v>
      </c>
      <c r="C673" s="23" t="s">
        <v>57</v>
      </c>
      <c r="D673" s="23" t="s">
        <v>58</v>
      </c>
      <c r="E673" s="23" t="s">
        <v>58</v>
      </c>
      <c r="F673" s="35" cm="1">
        <f t="array" ref="F673">_xlfn.IFS($G673=$G$5,F$5,$G673=$G$7,F$7,$G673=$G$10,F$10,$G673=$G$13,F$13,$G673=$G$14,F$14,$G673=$G$16,F$16,$G673=$G$17,F$17,$G673=$G$19,F$19,$G673=$G$20,F$20,$G673=$G$22,F$22,$G673=$G$23,F$23,$G673=$G$26,F$26,$G673=$G$29,F$29,$G673=$G$31,F$31,$G673=$G$34,F$34,$G673=$G$37,F$37,$G673=$G$107,F$107,$G673=$G$110,F$110,$G673=$G$140,F$140,$G673=$G$142,F$142,$G673=$G$408,F$408)</f>
        <v>8017</v>
      </c>
      <c r="G673" s="13" t="s">
        <v>77</v>
      </c>
      <c r="H673" s="51" cm="1">
        <f t="array" ref="H673">_xlfn.IFS($G673=$G$5,H$5,$G673=$G$7,H$7,$G673=$G$10,H$10,$G673=$G$13,H$13,$G673=$G$14,H$14,$G673=$G$16,H$16,$G673=$G$17,H$17,$G673=$G$19,H$19,$G673=$G$20,H$20,$G673=$G$22,H$22,$G673=$G$23,H$23,$G673=$G$26,H$26,$G673=$G$29,H$29,$G673=$G$31,H$31,$G673=$G$34,H$34,$G673=$G$37,H$37,$G673=$G$107,H$107,$G673=$G$110,H$110,$G673=$G$140,H$140,$G673=$G$142,H$142,$G673=$G$408,H$408)</f>
        <v>41.430315999999998</v>
      </c>
      <c r="I673" s="51" cm="1">
        <f t="array" ref="I673">_xlfn.IFS($G673=$G$5,I$5,$G673=$G$7,I$7,$G673=$G$10,I$10,$G673=$G$13,I$13,$G673=$G$14,I$14,$G673=$G$16,I$16,$G673=$G$17,I$17,$G673=$G$19,I$19,$G673=$G$20,I$20,$G673=$G$22,I$22,$G673=$G$23,I$23,$G673=$G$26,I$26,$G673=$G$29,I$29,$G673=$G$31,I$31,$G673=$G$34,I$34,$G673=$G$37,I$37,$G673=$G$107,I$107,$G673=$G$110,I$110,$G673=$G$140,I$140,$G673=$G$142,I$142,$G673=$G$408,I$408)</f>
        <v>2.077556</v>
      </c>
      <c r="J673" s="51" cm="1">
        <f t="array" ref="J673">_xlfn.IFS($G673=$G$5,J$5,$G673=$G$7,J$7,$G673=$G$10,J$10,$G673=$G$13,J$13,$G673=$G$14,J$14,$G673=$G$16,J$16,$G673=$G$17,J$17,$G673=$G$19,J$19,$G673=$G$20,J$20,$G673=$G$22,J$22,$G673=$G$23,J$23,$G673=$G$26,J$26,$G673=$G$29,J$29,$G673=$G$31,J$31,$G673=$G$34,J$34,$G673=$G$37,J$37,$G673=$G$107,J$107,$G673=$G$110,J$110,$G673=$G$140,J$140,$G673=$G$142,J$142,$G673=$G$408,J$408)</f>
        <v>243.3</v>
      </c>
      <c r="K673" s="13" t="str" cm="1">
        <f t="array" ref="K673">_xlfn.IFS($G673=$G$5,K$5,$G673=$G$7,K$7,$G673=$G$10,K$10,$G673=$G$13,K$13,$G673=$G$14,K$14,$G673=$G$16,K$16,$G673=$G$17,K$17,$G673=$G$19,K$19,$G673=$G$20,K$20,$G673=$G$22,K$22,$G673=$G$23,K$23,$G673=$G$26,K$26,$G673=$G$29,K$29,$G673=$G$31,K$31,$G673=$G$34,K$34,$G673=$G$37,K$37,$G673=$G$107,K$107,$G673=$G$110,K$110,$G673=$G$140,K$140,$G673=$G$142,K$142,$G673=$G$408,K$408)</f>
        <v>BG sentinel + BG lure7</v>
      </c>
      <c r="O673" s="13" t="str">
        <f t="shared" si="62"/>
        <v>A_SP_BCN_22_221102</v>
      </c>
      <c r="P673" s="27">
        <v>44867</v>
      </c>
      <c r="Q673" s="29">
        <v>0.76041666666666663</v>
      </c>
      <c r="R673" s="33"/>
      <c r="S673" s="31">
        <v>44874</v>
      </c>
      <c r="T673" s="29">
        <v>0.66666666666666663</v>
      </c>
      <c r="V673" s="13" t="s">
        <v>86</v>
      </c>
      <c r="X673" s="13">
        <f t="shared" si="65"/>
        <v>7</v>
      </c>
      <c r="Z673" s="32" t="s">
        <v>163</v>
      </c>
      <c r="AA673" s="13">
        <f t="shared" si="64"/>
        <v>1</v>
      </c>
      <c r="AB673" s="13" t="str">
        <f t="shared" si="66"/>
        <v>Adult</v>
      </c>
      <c r="AC673" s="13">
        <v>0</v>
      </c>
      <c r="AD673" s="13">
        <v>1</v>
      </c>
      <c r="AE673" s="13" t="str">
        <f t="shared" si="67"/>
        <v>Morphological</v>
      </c>
      <c r="AF673" s="2">
        <v>4</v>
      </c>
    </row>
    <row r="674" spans="1:32" x14ac:dyDescent="0.25">
      <c r="A674" s="13">
        <v>670</v>
      </c>
      <c r="B674" s="23" t="s">
        <v>56</v>
      </c>
      <c r="C674" s="23" t="s">
        <v>57</v>
      </c>
      <c r="D674" s="23" t="s">
        <v>58</v>
      </c>
      <c r="E674" s="23" t="s">
        <v>58</v>
      </c>
      <c r="F674" s="35" cm="1">
        <f t="array" ref="F674">_xlfn.IFS($G674=$G$5,F$5,$G674=$G$7,F$7,$G674=$G$10,F$10,$G674=$G$13,F$13,$G674=$G$14,F$14,$G674=$G$16,F$16,$G674=$G$17,F$17,$G674=$G$19,F$19,$G674=$G$20,F$20,$G674=$G$22,F$22,$G674=$G$23,F$23,$G674=$G$26,F$26,$G674=$G$29,F$29,$G674=$G$31,F$31,$G674=$G$34,F$34,$G674=$G$37,F$37,$G674=$G$107,F$107,$G674=$G$110,F$110,$G674=$G$140,F$140,$G674=$G$142,F$142,$G674=$G$408,F$408)</f>
        <v>8038</v>
      </c>
      <c r="G674" s="13" t="s">
        <v>79</v>
      </c>
      <c r="H674" s="51" cm="1">
        <f t="array" ref="H674">_xlfn.IFS($G674=$G$5,H$5,$G674=$G$7,H$7,$G674=$G$10,H$10,$G674=$G$13,H$13,$G674=$G$14,H$14,$G674=$G$16,H$16,$G674=$G$17,H$17,$G674=$G$19,H$19,$G674=$G$20,H$20,$G674=$G$22,H$22,$G674=$G$23,H$23,$G674=$G$26,H$26,$G674=$G$29,H$29,$G674=$G$31,H$31,$G674=$G$34,H$34,$G674=$G$37,H$37,$G674=$G$107,H$107,$G674=$G$110,H$110,$G674=$G$140,H$140,$G674=$G$142,H$142,$G674=$G$408,H$408)</f>
        <v>41.367100000000001</v>
      </c>
      <c r="I674" s="51" cm="1">
        <f t="array" ref="I674">_xlfn.IFS($G674=$G$5,I$5,$G674=$G$7,I$7,$G674=$G$10,I$10,$G674=$G$13,I$13,$G674=$G$14,I$14,$G674=$G$16,I$16,$G674=$G$17,I$17,$G674=$G$19,I$19,$G674=$G$20,I$20,$G674=$G$22,I$22,$G674=$G$23,I$23,$G674=$G$26,I$26,$G674=$G$29,I$29,$G674=$G$31,I$31,$G674=$G$34,I$34,$G674=$G$37,I$37,$G674=$G$107,I$107,$G674=$G$110,I$110,$G674=$G$140,I$140,$G674=$G$142,I$142,$G674=$G$408,I$408)</f>
        <v>2.1539079999999999</v>
      </c>
      <c r="J674" s="51" cm="1">
        <f t="array" ref="J674">_xlfn.IFS($G674=$G$5,J$5,$G674=$G$7,J$7,$G674=$G$10,J$10,$G674=$G$13,J$13,$G674=$G$14,J$14,$G674=$G$16,J$16,$G674=$G$17,J$17,$G674=$G$19,J$19,$G674=$G$20,J$20,$G674=$G$22,J$22,$G674=$G$23,J$23,$G674=$G$26,J$26,$G674=$G$29,J$29,$G674=$G$31,J$31,$G674=$G$34,J$34,$G674=$G$37,J$37,$G674=$G$107,J$107,$G674=$G$110,J$110,$G674=$G$140,J$140,$G674=$G$142,J$142,$G674=$G$408,J$408)</f>
        <v>68</v>
      </c>
      <c r="K674" s="13" t="str" cm="1">
        <f t="array" ref="K674">_xlfn.IFS($G674=$G$5,K$5,$G674=$G$7,K$7,$G674=$G$10,K$10,$G674=$G$13,K$13,$G674=$G$14,K$14,$G674=$G$16,K$16,$G674=$G$17,K$17,$G674=$G$19,K$19,$G674=$G$20,K$20,$G674=$G$22,K$22,$G674=$G$23,K$23,$G674=$G$26,K$26,$G674=$G$29,K$29,$G674=$G$31,K$31,$G674=$G$34,K$34,$G674=$G$37,K$37,$G674=$G$107,K$107,$G674=$G$110,K$110,$G674=$G$140,K$140,$G674=$G$142,K$142,$G674=$G$408,K$408)</f>
        <v>BG sentinel + BG lure7</v>
      </c>
      <c r="O674" s="13" t="str">
        <f t="shared" si="62"/>
        <v>A_SP_BCN_23_221102</v>
      </c>
      <c r="P674" s="27">
        <v>44867</v>
      </c>
      <c r="Q674" s="29">
        <v>0.625</v>
      </c>
      <c r="R674" s="33"/>
      <c r="S674" s="31">
        <v>44874</v>
      </c>
      <c r="T674" s="29">
        <v>0.52430555555555558</v>
      </c>
      <c r="V674" s="13" t="s">
        <v>86</v>
      </c>
      <c r="X674" s="13">
        <f t="shared" si="65"/>
        <v>7</v>
      </c>
      <c r="Z674" s="13" t="s">
        <v>60</v>
      </c>
      <c r="AA674" s="13">
        <f t="shared" si="64"/>
        <v>2</v>
      </c>
      <c r="AB674" s="13" t="str">
        <f t="shared" si="66"/>
        <v>Adult</v>
      </c>
      <c r="AC674" s="13">
        <v>2</v>
      </c>
      <c r="AD674" s="13">
        <v>0</v>
      </c>
      <c r="AE674" s="13" t="str">
        <f t="shared" si="67"/>
        <v>Morphological</v>
      </c>
      <c r="AF674" s="2">
        <v>4</v>
      </c>
    </row>
    <row r="675" spans="1:32" x14ac:dyDescent="0.25">
      <c r="A675" s="13">
        <v>671</v>
      </c>
      <c r="B675" s="23" t="s">
        <v>56</v>
      </c>
      <c r="C675" s="23" t="s">
        <v>57</v>
      </c>
      <c r="D675" s="23" t="s">
        <v>58</v>
      </c>
      <c r="E675" s="23" t="s">
        <v>58</v>
      </c>
      <c r="F675" s="35" cm="1">
        <f t="array" ref="F675">_xlfn.IFS($G675=$G$5,F$5,$G675=$G$7,F$7,$G675=$G$10,F$10,$G675=$G$13,F$13,$G675=$G$14,F$14,$G675=$G$16,F$16,$G675=$G$17,F$17,$G675=$G$19,F$19,$G675=$G$20,F$20,$G675=$G$22,F$22,$G675=$G$23,F$23,$G675=$G$26,F$26,$G675=$G$29,F$29,$G675=$G$31,F$31,$G675=$G$34,F$34,$G675=$G$37,F$37,$G675=$G$107,F$107,$G675=$G$110,F$110,$G675=$G$140,F$140,$G675=$G$142,F$142,$G675=$G$408,F$408)</f>
        <v>8038</v>
      </c>
      <c r="G675" s="13" t="s">
        <v>79</v>
      </c>
      <c r="H675" s="51" cm="1">
        <f t="array" ref="H675">_xlfn.IFS($G675=$G$5,H$5,$G675=$G$7,H$7,$G675=$G$10,H$10,$G675=$G$13,H$13,$G675=$G$14,H$14,$G675=$G$16,H$16,$G675=$G$17,H$17,$G675=$G$19,H$19,$G675=$G$20,H$20,$G675=$G$22,H$22,$G675=$G$23,H$23,$G675=$G$26,H$26,$G675=$G$29,H$29,$G675=$G$31,H$31,$G675=$G$34,H$34,$G675=$G$37,H$37,$G675=$G$107,H$107,$G675=$G$110,H$110,$G675=$G$140,H$140,$G675=$G$142,H$142,$G675=$G$408,H$408)</f>
        <v>41.367100000000001</v>
      </c>
      <c r="I675" s="51" cm="1">
        <f t="array" ref="I675">_xlfn.IFS($G675=$G$5,I$5,$G675=$G$7,I$7,$G675=$G$10,I$10,$G675=$G$13,I$13,$G675=$G$14,I$14,$G675=$G$16,I$16,$G675=$G$17,I$17,$G675=$G$19,I$19,$G675=$G$20,I$20,$G675=$G$22,I$22,$G675=$G$23,I$23,$G675=$G$26,I$26,$G675=$G$29,I$29,$G675=$G$31,I$31,$G675=$G$34,I$34,$G675=$G$37,I$37,$G675=$G$107,I$107,$G675=$G$110,I$110,$G675=$G$140,I$140,$G675=$G$142,I$142,$G675=$G$408,I$408)</f>
        <v>2.1539079999999999</v>
      </c>
      <c r="J675" s="51" cm="1">
        <f t="array" ref="J675">_xlfn.IFS($G675=$G$5,J$5,$G675=$G$7,J$7,$G675=$G$10,J$10,$G675=$G$13,J$13,$G675=$G$14,J$14,$G675=$G$16,J$16,$G675=$G$17,J$17,$G675=$G$19,J$19,$G675=$G$20,J$20,$G675=$G$22,J$22,$G675=$G$23,J$23,$G675=$G$26,J$26,$G675=$G$29,J$29,$G675=$G$31,J$31,$G675=$G$34,J$34,$G675=$G$37,J$37,$G675=$G$107,J$107,$G675=$G$110,J$110,$G675=$G$140,J$140,$G675=$G$142,J$142,$G675=$G$408,J$408)</f>
        <v>68</v>
      </c>
      <c r="K675" s="13" t="str" cm="1">
        <f t="array" ref="K675">_xlfn.IFS($G675=$G$5,K$5,$G675=$G$7,K$7,$G675=$G$10,K$10,$G675=$G$13,K$13,$G675=$G$14,K$14,$G675=$G$16,K$16,$G675=$G$17,K$17,$G675=$G$19,K$19,$G675=$G$20,K$20,$G675=$G$22,K$22,$G675=$G$23,K$23,$G675=$G$26,K$26,$G675=$G$29,K$29,$G675=$G$31,K$31,$G675=$G$34,K$34,$G675=$G$37,K$37,$G675=$G$107,K$107,$G675=$G$110,K$110,$G675=$G$140,K$140,$G675=$G$142,K$142,$G675=$G$408,K$408)</f>
        <v>BG sentinel + BG lure7</v>
      </c>
      <c r="O675" s="13" t="str">
        <f t="shared" si="62"/>
        <v>A_SP_BCN_23_221102</v>
      </c>
      <c r="P675" s="27">
        <v>44867</v>
      </c>
      <c r="Q675" s="29">
        <v>0.625</v>
      </c>
      <c r="R675" s="33"/>
      <c r="S675" s="31">
        <v>44874</v>
      </c>
      <c r="T675" s="29">
        <v>0.52430555555555558</v>
      </c>
      <c r="V675" s="13" t="s">
        <v>86</v>
      </c>
      <c r="X675" s="13">
        <f t="shared" si="65"/>
        <v>7</v>
      </c>
      <c r="Z675" s="13" t="s">
        <v>164</v>
      </c>
      <c r="AA675" s="13">
        <f t="shared" si="64"/>
        <v>4</v>
      </c>
      <c r="AB675" s="13" t="str">
        <f t="shared" si="66"/>
        <v>Adult</v>
      </c>
      <c r="AC675" s="13">
        <v>4</v>
      </c>
      <c r="AD675" s="13">
        <v>0</v>
      </c>
      <c r="AE675" s="13" t="str">
        <f t="shared" si="67"/>
        <v>Morphological</v>
      </c>
      <c r="AF675" s="2">
        <v>4</v>
      </c>
    </row>
    <row r="676" spans="1:32" x14ac:dyDescent="0.25">
      <c r="A676" s="13">
        <v>672</v>
      </c>
      <c r="B676" s="23" t="s">
        <v>56</v>
      </c>
      <c r="C676" s="23" t="s">
        <v>57</v>
      </c>
      <c r="D676" s="23" t="s">
        <v>58</v>
      </c>
      <c r="E676" s="23" t="s">
        <v>58</v>
      </c>
      <c r="F676" s="35" cm="1">
        <f t="array" ref="F676">_xlfn.IFS($G676=$G$5,F$5,$G676=$G$7,F$7,$G676=$G$10,F$10,$G676=$G$13,F$13,$G676=$G$14,F$14,$G676=$G$16,F$16,$G676=$G$17,F$17,$G676=$G$19,F$19,$G676=$G$20,F$20,$G676=$G$22,F$22,$G676=$G$23,F$23,$G676=$G$26,F$26,$G676=$G$29,F$29,$G676=$G$31,F$31,$G676=$G$34,F$34,$G676=$G$37,F$37,$G676=$G$107,F$107,$G676=$G$110,F$110,$G676=$G$140,F$140,$G676=$G$142,F$142,$G676=$G$408,F$408)</f>
        <v>8015</v>
      </c>
      <c r="G676" s="13" t="s">
        <v>78</v>
      </c>
      <c r="H676" s="51" cm="1">
        <f t="array" ref="H676">_xlfn.IFS($G676=$G$5,H$5,$G676=$G$7,H$7,$G676=$G$10,H$10,$G676=$G$13,H$13,$G676=$G$14,H$14,$G676=$G$16,H$16,$G676=$G$17,H$17,$G676=$G$19,H$19,$G676=$G$20,H$20,$G676=$G$22,H$22,$G676=$G$23,H$23,$G676=$G$26,H$26,$G676=$G$29,H$29,$G676=$G$31,H$31,$G676=$G$34,H$34,$G676=$G$37,H$37,$G676=$G$107,H$107,$G676=$G$110,H$110,$G676=$G$140,H$140,$G676=$G$142,H$142,$G676=$G$408,H$408)</f>
        <v>41.381725000000003</v>
      </c>
      <c r="I676" s="51" cm="1">
        <f t="array" ref="I676">_xlfn.IFS($G676=$G$5,I$5,$G676=$G$7,I$7,$G676=$G$10,I$10,$G676=$G$13,I$13,$G676=$G$14,I$14,$G676=$G$16,I$16,$G676=$G$17,I$17,$G676=$G$19,I$19,$G676=$G$20,I$20,$G676=$G$22,I$22,$G676=$G$23,I$23,$G676=$G$26,I$26,$G676=$G$29,I$29,$G676=$G$31,I$31,$G676=$G$34,I$34,$G676=$G$37,I$37,$G676=$G$107,I$107,$G676=$G$110,I$110,$G676=$G$140,I$140,$G676=$G$142,I$142,$G676=$G$408,I$408)</f>
        <v>2.1543679999999998</v>
      </c>
      <c r="J676" s="51" cm="1">
        <f t="array" ref="J676">_xlfn.IFS($G676=$G$5,J$5,$G676=$G$7,J$7,$G676=$G$10,J$10,$G676=$G$13,J$13,$G676=$G$14,J$14,$G676=$G$16,J$16,$G676=$G$17,J$17,$G676=$G$19,J$19,$G676=$G$20,J$20,$G676=$G$22,J$22,$G676=$G$23,J$23,$G676=$G$26,J$26,$G676=$G$29,J$29,$G676=$G$31,J$31,$G676=$G$34,J$34,$G676=$G$37,J$37,$G676=$G$107,J$107,$G676=$G$110,J$110,$G676=$G$140,J$140,$G676=$G$142,J$142,$G676=$G$408,J$408)</f>
        <v>20.7</v>
      </c>
      <c r="K676" s="13" t="str" cm="1">
        <f t="array" ref="K676">_xlfn.IFS($G676=$G$5,K$5,$G676=$G$7,K$7,$G676=$G$10,K$10,$G676=$G$13,K$13,$G676=$G$14,K$14,$G676=$G$16,K$16,$G676=$G$17,K$17,$G676=$G$19,K$19,$G676=$G$20,K$20,$G676=$G$22,K$22,$G676=$G$23,K$23,$G676=$G$26,K$26,$G676=$G$29,K$29,$G676=$G$31,K$31,$G676=$G$34,K$34,$G676=$G$37,K$37,$G676=$G$107,K$107,$G676=$G$110,K$110,$G676=$G$140,K$140,$G676=$G$142,K$142,$G676=$G$408,K$408)</f>
        <v>BG sentinel + BG lure7</v>
      </c>
      <c r="O676" s="13" t="str">
        <f t="shared" si="62"/>
        <v>A_SP_BCN_24_221102</v>
      </c>
      <c r="P676" s="27">
        <v>44867</v>
      </c>
      <c r="Q676" s="29">
        <v>0.88541666666666663</v>
      </c>
      <c r="R676" s="33"/>
      <c r="S676" s="31">
        <v>44875</v>
      </c>
      <c r="T676" s="29">
        <v>0.54166666666666663</v>
      </c>
      <c r="V676" s="13" t="s">
        <v>86</v>
      </c>
      <c r="X676" s="13">
        <f t="shared" si="65"/>
        <v>8</v>
      </c>
      <c r="Z676" s="13" t="s">
        <v>60</v>
      </c>
      <c r="AA676" s="13">
        <f t="shared" si="64"/>
        <v>6</v>
      </c>
      <c r="AB676" s="13" t="str">
        <f t="shared" si="66"/>
        <v>Adult</v>
      </c>
      <c r="AC676" s="13">
        <v>2</v>
      </c>
      <c r="AD676" s="13">
        <v>4</v>
      </c>
      <c r="AE676" s="13" t="str">
        <f t="shared" si="67"/>
        <v>Morphological</v>
      </c>
      <c r="AF676" s="2">
        <v>4</v>
      </c>
    </row>
    <row r="677" spans="1:32" x14ac:dyDescent="0.25">
      <c r="A677" s="13">
        <v>673</v>
      </c>
      <c r="B677" s="23" t="s">
        <v>56</v>
      </c>
      <c r="C677" s="23" t="s">
        <v>57</v>
      </c>
      <c r="D677" s="23" t="s">
        <v>58</v>
      </c>
      <c r="E677" s="23" t="s">
        <v>58</v>
      </c>
      <c r="F677" s="35" cm="1">
        <f t="array" ref="F677">_xlfn.IFS($G677=$G$5,F$5,$G677=$G$7,F$7,$G677=$G$10,F$10,$G677=$G$13,F$13,$G677=$G$14,F$14,$G677=$G$16,F$16,$G677=$G$17,F$17,$G677=$G$19,F$19,$G677=$G$20,F$20,$G677=$G$22,F$22,$G677=$G$23,F$23,$G677=$G$26,F$26,$G677=$G$29,F$29,$G677=$G$31,F$31,$G677=$G$34,F$34,$G677=$G$37,F$37,$G677=$G$107,F$107,$G677=$G$110,F$110,$G677=$G$140,F$140,$G677=$G$142,F$142,$G677=$G$408,F$408)</f>
        <v>8015</v>
      </c>
      <c r="G677" s="13" t="s">
        <v>78</v>
      </c>
      <c r="H677" s="51" cm="1">
        <f t="array" ref="H677">_xlfn.IFS($G677=$G$5,H$5,$G677=$G$7,H$7,$G677=$G$10,H$10,$G677=$G$13,H$13,$G677=$G$14,H$14,$G677=$G$16,H$16,$G677=$G$17,H$17,$G677=$G$19,H$19,$G677=$G$20,H$20,$G677=$G$22,H$22,$G677=$G$23,H$23,$G677=$G$26,H$26,$G677=$G$29,H$29,$G677=$G$31,H$31,$G677=$G$34,H$34,$G677=$G$37,H$37,$G677=$G$107,H$107,$G677=$G$110,H$110,$G677=$G$140,H$140,$G677=$G$142,H$142,$G677=$G$408,H$408)</f>
        <v>41.381725000000003</v>
      </c>
      <c r="I677" s="51" cm="1">
        <f t="array" ref="I677">_xlfn.IFS($G677=$G$5,I$5,$G677=$G$7,I$7,$G677=$G$10,I$10,$G677=$G$13,I$13,$G677=$G$14,I$14,$G677=$G$16,I$16,$G677=$G$17,I$17,$G677=$G$19,I$19,$G677=$G$20,I$20,$G677=$G$22,I$22,$G677=$G$23,I$23,$G677=$G$26,I$26,$G677=$G$29,I$29,$G677=$G$31,I$31,$G677=$G$34,I$34,$G677=$G$37,I$37,$G677=$G$107,I$107,$G677=$G$110,I$110,$G677=$G$140,I$140,$G677=$G$142,I$142,$G677=$G$408,I$408)</f>
        <v>2.1543679999999998</v>
      </c>
      <c r="J677" s="51" cm="1">
        <f t="array" ref="J677">_xlfn.IFS($G677=$G$5,J$5,$G677=$G$7,J$7,$G677=$G$10,J$10,$G677=$G$13,J$13,$G677=$G$14,J$14,$G677=$G$16,J$16,$G677=$G$17,J$17,$G677=$G$19,J$19,$G677=$G$20,J$20,$G677=$G$22,J$22,$G677=$G$23,J$23,$G677=$G$26,J$26,$G677=$G$29,J$29,$G677=$G$31,J$31,$G677=$G$34,J$34,$G677=$G$37,J$37,$G677=$G$107,J$107,$G677=$G$110,J$110,$G677=$G$140,J$140,$G677=$G$142,J$142,$G677=$G$408,J$408)</f>
        <v>20.7</v>
      </c>
      <c r="K677" s="13" t="str" cm="1">
        <f t="array" ref="K677">_xlfn.IFS($G677=$G$5,K$5,$G677=$G$7,K$7,$G677=$G$10,K$10,$G677=$G$13,K$13,$G677=$G$14,K$14,$G677=$G$16,K$16,$G677=$G$17,K$17,$G677=$G$19,K$19,$G677=$G$20,K$20,$G677=$G$22,K$22,$G677=$G$23,K$23,$G677=$G$26,K$26,$G677=$G$29,K$29,$G677=$G$31,K$31,$G677=$G$34,K$34,$G677=$G$37,K$37,$G677=$G$107,K$107,$G677=$G$110,K$110,$G677=$G$140,K$140,$G677=$G$142,K$142,$G677=$G$408,K$408)</f>
        <v>BG sentinel + BG lure7</v>
      </c>
      <c r="O677" s="13" t="str">
        <f t="shared" si="62"/>
        <v>A_SP_BCN_24_221102</v>
      </c>
      <c r="P677" s="27">
        <v>44867</v>
      </c>
      <c r="Q677" s="29">
        <v>0.88541666666666663</v>
      </c>
      <c r="R677" s="33"/>
      <c r="S677" s="31">
        <v>44875</v>
      </c>
      <c r="T677" s="29">
        <v>0.54166666666666663</v>
      </c>
      <c r="V677" s="13" t="s">
        <v>86</v>
      </c>
      <c r="X677" s="13">
        <f t="shared" si="65"/>
        <v>8</v>
      </c>
      <c r="Z677" s="13" t="s">
        <v>164</v>
      </c>
      <c r="AA677" s="13">
        <f t="shared" si="64"/>
        <v>1</v>
      </c>
      <c r="AB677" s="13" t="str">
        <f t="shared" si="66"/>
        <v>Adult</v>
      </c>
      <c r="AC677" s="13">
        <v>0</v>
      </c>
      <c r="AD677" s="13">
        <v>1</v>
      </c>
      <c r="AE677" s="13" t="str">
        <f t="shared" si="67"/>
        <v>Morphological</v>
      </c>
      <c r="AF677" s="2">
        <v>4</v>
      </c>
    </row>
    <row r="678" spans="1:32" x14ac:dyDescent="0.25">
      <c r="A678" s="13">
        <v>674</v>
      </c>
      <c r="B678" s="23" t="s">
        <v>56</v>
      </c>
      <c r="C678" s="23" t="s">
        <v>57</v>
      </c>
      <c r="D678" s="23" t="s">
        <v>58</v>
      </c>
      <c r="E678" s="23" t="s">
        <v>58</v>
      </c>
      <c r="F678" s="35" cm="1">
        <f t="array" ref="F678">_xlfn.IFS($G678=$G$5,F$5,$G678=$G$7,F$7,$G678=$G$10,F$10,$G678=$G$13,F$13,$G678=$G$14,F$14,$G678=$G$16,F$16,$G678=$G$17,F$17,$G678=$G$19,F$19,$G678=$G$20,F$20,$G678=$G$22,F$22,$G678=$G$23,F$23,$G678=$G$26,F$26,$G678=$G$29,F$29,$G678=$G$31,F$31,$G678=$G$34,F$34,$G678=$G$37,F$37,$G678=$G$107,F$107,$G678=$G$110,F$110,$G678=$G$140,F$140,$G678=$G$142,F$142,$G678=$G$408,F$408)</f>
        <v>8025</v>
      </c>
      <c r="G678" s="13" t="s">
        <v>104</v>
      </c>
      <c r="H678" s="51" cm="1">
        <f t="array" ref="H678">_xlfn.IFS($G678=$G$5,H$5,$G678=$G$7,H$7,$G678=$G$10,H$10,$G678=$G$13,H$13,$G678=$G$14,H$14,$G678=$G$16,H$16,$G678=$G$17,H$17,$G678=$G$19,H$19,$G678=$G$20,H$20,$G678=$G$22,H$22,$G678=$G$23,H$23,$G678=$G$26,H$26,$G678=$G$29,H$29,$G678=$G$31,H$31,$G678=$G$34,H$34,$G678=$G$37,H$37,$G678=$G$107,H$107,$G678=$G$110,H$110,$G678=$G$140,H$140,$G678=$G$142,H$142,$G678=$G$408,H$408)</f>
        <v>41.408046826557602</v>
      </c>
      <c r="I678" s="51" cm="1">
        <f t="array" ref="I678">_xlfn.IFS($G678=$G$5,I$5,$G678=$G$7,I$7,$G678=$G$10,I$10,$G678=$G$13,I$13,$G678=$G$14,I$14,$G678=$G$16,I$16,$G678=$G$17,I$17,$G678=$G$19,I$19,$G678=$G$20,I$20,$G678=$G$22,I$22,$G678=$G$23,I$23,$G678=$G$26,I$26,$G678=$G$29,I$29,$G678=$G$31,I$31,$G678=$G$34,I$34,$G678=$G$37,I$37,$G678=$G$107,I$107,$G678=$G$110,I$110,$G678=$G$140,I$140,$G678=$G$142,I$142,$G678=$G$408,I$408)</f>
        <v>2.1678084611616502</v>
      </c>
      <c r="J678" s="51" cm="1">
        <f t="array" ref="J678">_xlfn.IFS($G678=$G$5,J$5,$G678=$G$7,J$7,$G678=$G$10,J$10,$G678=$G$13,J$13,$G678=$G$14,J$14,$G678=$G$16,J$16,$G678=$G$17,J$17,$G678=$G$19,J$19,$G678=$G$20,J$20,$G678=$G$22,J$22,$G678=$G$23,J$23,$G678=$G$26,J$26,$G678=$G$29,J$29,$G678=$G$31,J$31,$G678=$G$34,J$34,$G678=$G$37,J$37,$G678=$G$107,J$107,$G678=$G$110,J$110,$G678=$G$140,J$140,$G678=$G$142,J$142,$G678=$G$408,J$408)</f>
        <v>61</v>
      </c>
      <c r="K678" s="13" t="str" cm="1">
        <f t="array" ref="K678">_xlfn.IFS($G678=$G$5,K$5,$G678=$G$7,K$7,$G678=$G$10,K$10,$G678=$G$13,K$13,$G678=$G$14,K$14,$G678=$G$16,K$16,$G678=$G$17,K$17,$G678=$G$19,K$19,$G678=$G$20,K$20,$G678=$G$22,K$22,$G678=$G$23,K$23,$G678=$G$26,K$26,$G678=$G$29,K$29,$G678=$G$31,K$31,$G678=$G$34,K$34,$G678=$G$37,K$37,$G678=$G$107,K$107,$G678=$G$110,K$110,$G678=$G$140,K$140,$G678=$G$142,K$142,$G678=$G$408,K$408)</f>
        <v>BG sentinel</v>
      </c>
      <c r="O678" s="13" t="str">
        <f t="shared" si="62"/>
        <v>A_SP_BCN_26_221102</v>
      </c>
      <c r="P678" s="27">
        <v>44867</v>
      </c>
      <c r="Q678" s="36">
        <v>0.67361111111111116</v>
      </c>
      <c r="R678" s="33"/>
      <c r="S678" s="27">
        <v>44874</v>
      </c>
      <c r="T678" s="29">
        <v>0.57291666666666663</v>
      </c>
      <c r="V678" s="13" t="s">
        <v>86</v>
      </c>
      <c r="W678" s="49" t="s">
        <v>205</v>
      </c>
      <c r="X678" s="13">
        <f t="shared" si="65"/>
        <v>7</v>
      </c>
      <c r="Z678" s="13" t="s">
        <v>60</v>
      </c>
      <c r="AA678" s="13">
        <f t="shared" si="64"/>
        <v>3</v>
      </c>
      <c r="AB678" s="13" t="str">
        <f t="shared" si="66"/>
        <v>Adult</v>
      </c>
      <c r="AC678" s="13">
        <v>3</v>
      </c>
      <c r="AD678" s="13">
        <v>0</v>
      </c>
      <c r="AE678" s="13" t="str">
        <f t="shared" si="67"/>
        <v>Morphological</v>
      </c>
      <c r="AF678" s="2">
        <v>3</v>
      </c>
    </row>
    <row r="679" spans="1:32" x14ac:dyDescent="0.25">
      <c r="A679" s="13">
        <v>675</v>
      </c>
      <c r="B679" s="23" t="s">
        <v>56</v>
      </c>
      <c r="C679" s="23" t="s">
        <v>57</v>
      </c>
      <c r="D679" s="23" t="s">
        <v>58</v>
      </c>
      <c r="E679" s="23" t="s">
        <v>58</v>
      </c>
      <c r="F679" s="35" cm="1">
        <f t="array" ref="F679">_xlfn.IFS($G679=$G$5,F$5,$G679=$G$7,F$7,$G679=$G$10,F$10,$G679=$G$13,F$13,$G679=$G$14,F$14,$G679=$G$16,F$16,$G679=$G$17,F$17,$G679=$G$19,F$19,$G679=$G$20,F$20,$G679=$G$22,F$22,$G679=$G$23,F$23,$G679=$G$26,F$26,$G679=$G$29,F$29,$G679=$G$31,F$31,$G679=$G$34,F$34,$G679=$G$37,F$37,$G679=$G$107,F$107,$G679=$G$110,F$110,$G679=$G$140,F$140,$G679=$G$142,F$142,$G679=$G$408,F$408)</f>
        <v>8025</v>
      </c>
      <c r="G679" s="13" t="s">
        <v>104</v>
      </c>
      <c r="H679" s="51" cm="1">
        <f t="array" ref="H679">_xlfn.IFS($G679=$G$5,H$5,$G679=$G$7,H$7,$G679=$G$10,H$10,$G679=$G$13,H$13,$G679=$G$14,H$14,$G679=$G$16,H$16,$G679=$G$17,H$17,$G679=$G$19,H$19,$G679=$G$20,H$20,$G679=$G$22,H$22,$G679=$G$23,H$23,$G679=$G$26,H$26,$G679=$G$29,H$29,$G679=$G$31,H$31,$G679=$G$34,H$34,$G679=$G$37,H$37,$G679=$G$107,H$107,$G679=$G$110,H$110,$G679=$G$140,H$140,$G679=$G$142,H$142,$G679=$G$408,H$408)</f>
        <v>41.408046826557602</v>
      </c>
      <c r="I679" s="51" cm="1">
        <f t="array" ref="I679">_xlfn.IFS($G679=$G$5,I$5,$G679=$G$7,I$7,$G679=$G$10,I$10,$G679=$G$13,I$13,$G679=$G$14,I$14,$G679=$G$16,I$16,$G679=$G$17,I$17,$G679=$G$19,I$19,$G679=$G$20,I$20,$G679=$G$22,I$22,$G679=$G$23,I$23,$G679=$G$26,I$26,$G679=$G$29,I$29,$G679=$G$31,I$31,$G679=$G$34,I$34,$G679=$G$37,I$37,$G679=$G$107,I$107,$G679=$G$110,I$110,$G679=$G$140,I$140,$G679=$G$142,I$142,$G679=$G$408,I$408)</f>
        <v>2.1678084611616502</v>
      </c>
      <c r="J679" s="51" cm="1">
        <f t="array" ref="J679">_xlfn.IFS($G679=$G$5,J$5,$G679=$G$7,J$7,$G679=$G$10,J$10,$G679=$G$13,J$13,$G679=$G$14,J$14,$G679=$G$16,J$16,$G679=$G$17,J$17,$G679=$G$19,J$19,$G679=$G$20,J$20,$G679=$G$22,J$22,$G679=$G$23,J$23,$G679=$G$26,J$26,$G679=$G$29,J$29,$G679=$G$31,J$31,$G679=$G$34,J$34,$G679=$G$37,J$37,$G679=$G$107,J$107,$G679=$G$110,J$110,$G679=$G$140,J$140,$G679=$G$142,J$142,$G679=$G$408,J$408)</f>
        <v>61</v>
      </c>
      <c r="K679" s="13" t="str" cm="1">
        <f t="array" ref="K679">_xlfn.IFS($G679=$G$5,K$5,$G679=$G$7,K$7,$G679=$G$10,K$10,$G679=$G$13,K$13,$G679=$G$14,K$14,$G679=$G$16,K$16,$G679=$G$17,K$17,$G679=$G$19,K$19,$G679=$G$20,K$20,$G679=$G$22,K$22,$G679=$G$23,K$23,$G679=$G$26,K$26,$G679=$G$29,K$29,$G679=$G$31,K$31,$G679=$G$34,K$34,$G679=$G$37,K$37,$G679=$G$107,K$107,$G679=$G$110,K$110,$G679=$G$140,K$140,$G679=$G$142,K$142,$G679=$G$408,K$408)</f>
        <v>BG sentinel</v>
      </c>
      <c r="O679" s="13" t="str">
        <f t="shared" si="62"/>
        <v>A_SP_BCN_26_221102</v>
      </c>
      <c r="P679" s="27">
        <v>44867</v>
      </c>
      <c r="Q679" s="36">
        <v>0.67361111111111116</v>
      </c>
      <c r="R679" s="33"/>
      <c r="S679" s="27">
        <v>44874</v>
      </c>
      <c r="T679" s="29">
        <v>0.57291666666666663</v>
      </c>
      <c r="V679" s="13" t="s">
        <v>86</v>
      </c>
      <c r="W679" s="49" t="s">
        <v>205</v>
      </c>
      <c r="X679" s="13">
        <f t="shared" si="65"/>
        <v>7</v>
      </c>
      <c r="Z679" s="32" t="s">
        <v>163</v>
      </c>
      <c r="AA679" s="13">
        <f t="shared" si="64"/>
        <v>1</v>
      </c>
      <c r="AB679" s="13" t="str">
        <f t="shared" si="66"/>
        <v>Adult</v>
      </c>
      <c r="AC679" s="13">
        <v>0</v>
      </c>
      <c r="AD679" s="13">
        <v>1</v>
      </c>
      <c r="AE679" s="13" t="str">
        <f t="shared" si="67"/>
        <v>Morphological</v>
      </c>
      <c r="AF679" s="2">
        <v>3</v>
      </c>
    </row>
    <row r="680" spans="1:32" x14ac:dyDescent="0.25">
      <c r="A680" s="13">
        <v>676</v>
      </c>
      <c r="B680" s="23" t="s">
        <v>56</v>
      </c>
      <c r="C680" s="23" t="s">
        <v>57</v>
      </c>
      <c r="D680" s="23" t="s">
        <v>58</v>
      </c>
      <c r="E680" s="23" t="s">
        <v>58</v>
      </c>
      <c r="F680" s="35" cm="1">
        <f t="array" ref="F680">_xlfn.IFS($G680=$G$5,F$5,$G680=$G$7,F$7,$G680=$G$10,F$10,$G680=$G$13,F$13,$G680=$G$14,F$14,$G680=$G$16,F$16,$G680=$G$17,F$17,$G680=$G$19,F$19,$G680=$G$20,F$20,$G680=$G$22,F$22,$G680=$G$23,F$23,$G680=$G$26,F$26,$G680=$G$29,F$29,$G680=$G$31,F$31,$G680=$G$34,F$34,$G680=$G$37,F$37,$G680=$G$107,F$107,$G680=$G$110,F$110,$G680=$G$140,F$140,$G680=$G$142,F$142,$G680=$G$408,F$408)</f>
        <v>8017</v>
      </c>
      <c r="G680" s="13" t="s">
        <v>97</v>
      </c>
      <c r="H680" s="51" cm="1">
        <f t="array" ref="H680">_xlfn.IFS($G680=$G$5,H$5,$G680=$G$7,H$7,$G680=$G$10,H$10,$G680=$G$13,H$13,$G680=$G$14,H$14,$G680=$G$16,H$16,$G680=$G$17,H$17,$G680=$G$19,H$19,$G680=$G$20,H$20,$G680=$G$22,H$22,$G680=$G$23,H$23,$G680=$G$26,H$26,$G680=$G$29,H$29,$G680=$G$31,H$31,$G680=$G$34,H$34,$G680=$G$37,H$37,$G680=$G$107,H$107,$G680=$G$110,H$110,$G680=$G$140,H$140,$G680=$G$142,H$142,$G680=$G$408,H$408)</f>
        <v>41.430372407595499</v>
      </c>
      <c r="I680" s="51" cm="1">
        <f t="array" ref="I680">_xlfn.IFS($G680=$G$5,I$5,$G680=$G$7,I$7,$G680=$G$10,I$10,$G680=$G$13,I$13,$G680=$G$14,I$14,$G680=$G$16,I$16,$G680=$G$17,I$17,$G680=$G$19,I$19,$G680=$G$20,I$20,$G680=$G$22,I$22,$G680=$G$23,I$23,$G680=$G$26,I$26,$G680=$G$29,I$29,$G680=$G$31,I$31,$G680=$G$34,I$34,$G680=$G$37,I$37,$G680=$G$107,I$107,$G680=$G$110,I$110,$G680=$G$140,I$140,$G680=$G$142,I$142,$G680=$G$408,I$408)</f>
        <v>2.0778358219819002</v>
      </c>
      <c r="J680" s="51" cm="1">
        <f t="array" ref="J680">_xlfn.IFS($G680=$G$5,J$5,$G680=$G$7,J$7,$G680=$G$10,J$10,$G680=$G$13,J$13,$G680=$G$14,J$14,$G680=$G$16,J$16,$G680=$G$17,J$17,$G680=$G$19,J$19,$G680=$G$20,J$20,$G680=$G$22,J$22,$G680=$G$23,J$23,$G680=$G$26,J$26,$G680=$G$29,J$29,$G680=$G$31,J$31,$G680=$G$34,J$34,$G680=$G$37,J$37,$G680=$G$107,J$107,$G680=$G$110,J$110,$G680=$G$140,J$140,$G680=$G$142,J$142,$G680=$G$408,J$408)</f>
        <v>242</v>
      </c>
      <c r="K680" s="13" t="str" cm="1">
        <f t="array" ref="K680">_xlfn.IFS($G680=$G$5,K$5,$G680=$G$7,K$7,$G680=$G$10,K$10,$G680=$G$13,K$13,$G680=$G$14,K$14,$G680=$G$16,K$16,$G680=$G$17,K$17,$G680=$G$19,K$19,$G680=$G$20,K$20,$G680=$G$22,K$22,$G680=$G$23,K$23,$G680=$G$26,K$26,$G680=$G$29,K$29,$G680=$G$31,K$31,$G680=$G$34,K$34,$G680=$G$37,K$37,$G680=$G$107,K$107,$G680=$G$110,K$110,$G680=$G$140,K$140,$G680=$G$142,K$142,$G680=$G$408,K$408)</f>
        <v>Mtego</v>
      </c>
      <c r="O680" s="13" t="str">
        <f t="shared" si="62"/>
        <v>Premal_1_221102</v>
      </c>
      <c r="P680" s="27">
        <v>44867</v>
      </c>
      <c r="Q680" s="29">
        <v>0.76041666666666663</v>
      </c>
      <c r="R680" s="33"/>
      <c r="S680" s="31">
        <v>44874</v>
      </c>
      <c r="T680" s="29">
        <v>0.66666666666666663</v>
      </c>
      <c r="V680" s="13" t="s">
        <v>86</v>
      </c>
      <c r="X680" s="13">
        <f t="shared" si="65"/>
        <v>7</v>
      </c>
      <c r="Z680" s="32" t="s">
        <v>163</v>
      </c>
      <c r="AA680" s="13">
        <f t="shared" si="64"/>
        <v>3</v>
      </c>
      <c r="AB680" s="13" t="str">
        <f t="shared" si="66"/>
        <v>Adult</v>
      </c>
      <c r="AC680" s="13">
        <v>1</v>
      </c>
      <c r="AD680" s="13">
        <v>2</v>
      </c>
      <c r="AE680" s="13" t="str">
        <f t="shared" si="67"/>
        <v>Morphological</v>
      </c>
      <c r="AF680" s="2">
        <v>4</v>
      </c>
    </row>
    <row r="681" spans="1:32" x14ac:dyDescent="0.25">
      <c r="A681" s="13">
        <v>677</v>
      </c>
      <c r="B681" s="23" t="s">
        <v>56</v>
      </c>
      <c r="C681" s="23" t="s">
        <v>57</v>
      </c>
      <c r="D681" s="23" t="s">
        <v>58</v>
      </c>
      <c r="E681" s="23" t="s">
        <v>58</v>
      </c>
      <c r="F681" s="35" cm="1">
        <f t="array" ref="F681">_xlfn.IFS($G681=$G$5,F$5,$G681=$G$7,F$7,$G681=$G$10,F$10,$G681=$G$13,F$13,$G681=$G$14,F$14,$G681=$G$16,F$16,$G681=$G$17,F$17,$G681=$G$19,F$19,$G681=$G$20,F$20,$G681=$G$22,F$22,$G681=$G$23,F$23,$G681=$G$26,F$26,$G681=$G$29,F$29,$G681=$G$31,F$31,$G681=$G$34,F$34,$G681=$G$37,F$37,$G681=$G$107,F$107,$G681=$G$110,F$110,$G681=$G$140,F$140,$G681=$G$142,F$142,$G681=$G$408,F$408)</f>
        <v>8035</v>
      </c>
      <c r="G681" s="13" t="s">
        <v>61</v>
      </c>
      <c r="H681" s="51" cm="1">
        <f t="array" ref="H681">_xlfn.IFS($G681=$G$5,H$5,$G681=$G$7,H$7,$G681=$G$10,H$10,$G681=$G$13,H$13,$G681=$G$14,H$14,$G681=$G$16,H$16,$G681=$G$17,H$17,$G681=$G$19,H$19,$G681=$G$20,H$20,$G681=$G$22,H$22,$G681=$G$23,H$23,$G681=$G$26,H$26,$G681=$G$29,H$29,$G681=$G$31,H$31,$G681=$G$34,H$34,$G681=$G$37,H$37,$G681=$G$107,H$107,$G681=$G$110,H$110,$G681=$G$140,H$140,$G681=$G$142,H$142,$G681=$G$408,H$408)</f>
        <v>41.424387000000003</v>
      </c>
      <c r="I681" s="51" cm="1">
        <f t="array" ref="I681">_xlfn.IFS($G681=$G$5,I$5,$G681=$G$7,I$7,$G681=$G$10,I$10,$G681=$G$13,I$13,$G681=$G$14,I$14,$G681=$G$16,I$16,$G681=$G$17,I$17,$G681=$G$19,I$19,$G681=$G$20,I$20,$G681=$G$22,I$22,$G681=$G$23,I$23,$G681=$G$26,I$26,$G681=$G$29,I$29,$G681=$G$31,I$31,$G681=$G$34,I$34,$G681=$G$37,I$37,$G681=$G$107,I$107,$G681=$G$110,I$110,$G681=$G$140,I$140,$G681=$G$142,I$142,$G681=$G$408,I$408)</f>
        <v>2.1431439999999999</v>
      </c>
      <c r="J681" s="51" cm="1">
        <f t="array" ref="J681">_xlfn.IFS($G681=$G$5,J$5,$G681=$G$7,J$7,$G681=$G$10,J$10,$G681=$G$13,J$13,$G681=$G$14,J$14,$G681=$G$16,J$16,$G681=$G$17,J$17,$G681=$G$19,J$19,$G681=$G$20,J$20,$G681=$G$22,J$22,$G681=$G$23,J$23,$G681=$G$26,J$26,$G681=$G$29,J$29,$G681=$G$31,J$31,$G681=$G$34,J$34,$G681=$G$37,J$37,$G681=$G$107,J$107,$G681=$G$110,J$110,$G681=$G$140,J$140,$G681=$G$142,J$142,$G681=$G$408,J$408)</f>
        <v>160</v>
      </c>
      <c r="K681" s="13" t="str" cm="1">
        <f t="array" ref="K681">_xlfn.IFS($G681=$G$5,K$5,$G681=$G$7,K$7,$G681=$G$10,K$10,$G681=$G$13,K$13,$G681=$G$14,K$14,$G681=$G$16,K$16,$G681=$G$17,K$17,$G681=$G$19,K$19,$G681=$G$20,K$20,$G681=$G$22,K$22,$G681=$G$23,K$23,$G681=$G$26,K$26,$G681=$G$29,K$29,$G681=$G$31,K$31,$G681=$G$34,K$34,$G681=$G$37,K$37,$G681=$G$107,K$107,$G681=$G$110,K$110,$G681=$G$140,K$140,$G681=$G$142,K$142,$G681=$G$408,K$408)</f>
        <v>BG sentinel + BG lure7</v>
      </c>
      <c r="O681" s="13" t="str">
        <f t="shared" si="62"/>
        <v>A_SP_BCN_2_221109</v>
      </c>
      <c r="P681" s="27">
        <v>44874</v>
      </c>
      <c r="Q681" s="29">
        <v>0.60763888888888895</v>
      </c>
      <c r="R681" s="33"/>
      <c r="S681" s="27">
        <v>44880</v>
      </c>
      <c r="T681" s="29">
        <v>0.6875</v>
      </c>
      <c r="V681" s="13" t="s">
        <v>86</v>
      </c>
      <c r="X681" s="13">
        <f t="shared" si="65"/>
        <v>6</v>
      </c>
      <c r="Z681" s="13" t="s">
        <v>60</v>
      </c>
      <c r="AA681" s="13">
        <f t="shared" si="64"/>
        <v>2</v>
      </c>
      <c r="AB681" s="13" t="str">
        <f t="shared" si="66"/>
        <v>Adult</v>
      </c>
      <c r="AC681" s="13">
        <v>2</v>
      </c>
      <c r="AD681" s="13">
        <v>0</v>
      </c>
      <c r="AE681" s="13" t="str">
        <f t="shared" si="67"/>
        <v>Morphological</v>
      </c>
      <c r="AF681" s="2">
        <v>4</v>
      </c>
    </row>
    <row r="682" spans="1:32" x14ac:dyDescent="0.25">
      <c r="A682" s="13">
        <v>678</v>
      </c>
      <c r="B682" s="23" t="s">
        <v>56</v>
      </c>
      <c r="C682" s="23" t="s">
        <v>57</v>
      </c>
      <c r="D682" s="23" t="s">
        <v>58</v>
      </c>
      <c r="E682" s="23" t="s">
        <v>58</v>
      </c>
      <c r="F682" s="35" cm="1">
        <f t="array" ref="F682">_xlfn.IFS($G682=$G$5,F$5,$G682=$G$7,F$7,$G682=$G$10,F$10,$G682=$G$13,F$13,$G682=$G$14,F$14,$G682=$G$16,F$16,$G682=$G$17,F$17,$G682=$G$19,F$19,$G682=$G$20,F$20,$G682=$G$22,F$22,$G682=$G$23,F$23,$G682=$G$26,F$26,$G682=$G$29,F$29,$G682=$G$31,F$31,$G682=$G$34,F$34,$G682=$G$37,F$37,$G682=$G$107,F$107,$G682=$G$110,F$110,$G682=$G$140,F$140,$G682=$G$142,F$142,$G682=$G$408,F$408)</f>
        <v>8035</v>
      </c>
      <c r="G682" s="13" t="s">
        <v>61</v>
      </c>
      <c r="H682" s="51" cm="1">
        <f t="array" ref="H682">_xlfn.IFS($G682=$G$5,H$5,$G682=$G$7,H$7,$G682=$G$10,H$10,$G682=$G$13,H$13,$G682=$G$14,H$14,$G682=$G$16,H$16,$G682=$G$17,H$17,$G682=$G$19,H$19,$G682=$G$20,H$20,$G682=$G$22,H$22,$G682=$G$23,H$23,$G682=$G$26,H$26,$G682=$G$29,H$29,$G682=$G$31,H$31,$G682=$G$34,H$34,$G682=$G$37,H$37,$G682=$G$107,H$107,$G682=$G$110,H$110,$G682=$G$140,H$140,$G682=$G$142,H$142,$G682=$G$408,H$408)</f>
        <v>41.424387000000003</v>
      </c>
      <c r="I682" s="51" cm="1">
        <f t="array" ref="I682">_xlfn.IFS($G682=$G$5,I$5,$G682=$G$7,I$7,$G682=$G$10,I$10,$G682=$G$13,I$13,$G682=$G$14,I$14,$G682=$G$16,I$16,$G682=$G$17,I$17,$G682=$G$19,I$19,$G682=$G$20,I$20,$G682=$G$22,I$22,$G682=$G$23,I$23,$G682=$G$26,I$26,$G682=$G$29,I$29,$G682=$G$31,I$31,$G682=$G$34,I$34,$G682=$G$37,I$37,$G682=$G$107,I$107,$G682=$G$110,I$110,$G682=$G$140,I$140,$G682=$G$142,I$142,$G682=$G$408,I$408)</f>
        <v>2.1431439999999999</v>
      </c>
      <c r="J682" s="51" cm="1">
        <f t="array" ref="J682">_xlfn.IFS($G682=$G$5,J$5,$G682=$G$7,J$7,$G682=$G$10,J$10,$G682=$G$13,J$13,$G682=$G$14,J$14,$G682=$G$16,J$16,$G682=$G$17,J$17,$G682=$G$19,J$19,$G682=$G$20,J$20,$G682=$G$22,J$22,$G682=$G$23,J$23,$G682=$G$26,J$26,$G682=$G$29,J$29,$G682=$G$31,J$31,$G682=$G$34,J$34,$G682=$G$37,J$37,$G682=$G$107,J$107,$G682=$G$110,J$110,$G682=$G$140,J$140,$G682=$G$142,J$142,$G682=$G$408,J$408)</f>
        <v>160</v>
      </c>
      <c r="K682" s="13" t="str" cm="1">
        <f t="array" ref="K682">_xlfn.IFS($G682=$G$5,K$5,$G682=$G$7,K$7,$G682=$G$10,K$10,$G682=$G$13,K$13,$G682=$G$14,K$14,$G682=$G$16,K$16,$G682=$G$17,K$17,$G682=$G$19,K$19,$G682=$G$20,K$20,$G682=$G$22,K$22,$G682=$G$23,K$23,$G682=$G$26,K$26,$G682=$G$29,K$29,$G682=$G$31,K$31,$G682=$G$34,K$34,$G682=$G$37,K$37,$G682=$G$107,K$107,$G682=$G$110,K$110,$G682=$G$140,K$140,$G682=$G$142,K$142,$G682=$G$408,K$408)</f>
        <v>BG sentinel + BG lure7</v>
      </c>
      <c r="O682" s="13" t="str">
        <f t="shared" si="62"/>
        <v>A_SP_BCN_2_221109</v>
      </c>
      <c r="P682" s="27">
        <v>44874</v>
      </c>
      <c r="Q682" s="29">
        <v>0.60763888888888895</v>
      </c>
      <c r="R682" s="33"/>
      <c r="S682" s="27">
        <v>44880</v>
      </c>
      <c r="T682" s="29">
        <v>0.6875</v>
      </c>
      <c r="V682" s="13" t="s">
        <v>86</v>
      </c>
      <c r="X682" s="13">
        <f t="shared" si="65"/>
        <v>6</v>
      </c>
      <c r="Z682" s="13" t="s">
        <v>164</v>
      </c>
      <c r="AA682" s="13">
        <f t="shared" si="64"/>
        <v>2</v>
      </c>
      <c r="AB682" s="13" t="str">
        <f t="shared" si="66"/>
        <v>Adult</v>
      </c>
      <c r="AC682" s="13">
        <v>1</v>
      </c>
      <c r="AD682" s="13">
        <v>1</v>
      </c>
      <c r="AE682" s="13" t="str">
        <f t="shared" si="67"/>
        <v>Morphological</v>
      </c>
      <c r="AF682" s="2">
        <v>4</v>
      </c>
    </row>
    <row r="683" spans="1:32" x14ac:dyDescent="0.25">
      <c r="A683" s="13">
        <v>679</v>
      </c>
      <c r="B683" s="23" t="s">
        <v>56</v>
      </c>
      <c r="C683" s="23" t="s">
        <v>57</v>
      </c>
      <c r="D683" s="23" t="s">
        <v>58</v>
      </c>
      <c r="E683" s="23" t="s">
        <v>58</v>
      </c>
      <c r="F683" s="35" cm="1">
        <f t="array" ref="F683">_xlfn.IFS($G683=$G$5,F$5,$G683=$G$7,F$7,$G683=$G$10,F$10,$G683=$G$13,F$13,$G683=$G$14,F$14,$G683=$G$16,F$16,$G683=$G$17,F$17,$G683=$G$19,F$19,$G683=$G$20,F$20,$G683=$G$22,F$22,$G683=$G$23,F$23,$G683=$G$26,F$26,$G683=$G$29,F$29,$G683=$G$31,F$31,$G683=$G$34,F$34,$G683=$G$37,F$37,$G683=$G$107,F$107,$G683=$G$110,F$110,$G683=$G$140,F$140,$G683=$G$142,F$142,$G683=$G$408,F$408)</f>
        <v>8016</v>
      </c>
      <c r="G683" s="13" t="s">
        <v>62</v>
      </c>
      <c r="H683" s="51" cm="1">
        <f t="array" ref="H683">_xlfn.IFS($G683=$G$5,H$5,$G683=$G$7,H$7,$G683=$G$10,H$10,$G683=$G$13,H$13,$G683=$G$14,H$14,$G683=$G$16,H$16,$G683=$G$17,H$17,$G683=$G$19,H$19,$G683=$G$20,H$20,$G683=$G$22,H$22,$G683=$G$23,H$23,$G683=$G$26,H$26,$G683=$G$29,H$29,$G683=$G$31,H$31,$G683=$G$34,H$34,$G683=$G$37,H$37,$G683=$G$107,H$107,$G683=$G$110,H$110,$G683=$G$140,H$140,$G683=$G$142,H$142,$G683=$G$408,H$408)</f>
        <v>41.437435000000001</v>
      </c>
      <c r="I683" s="51" cm="1">
        <f t="array" ref="I683">_xlfn.IFS($G683=$G$5,I$5,$G683=$G$7,I$7,$G683=$G$10,I$10,$G683=$G$13,I$13,$G683=$G$14,I$14,$G683=$G$16,I$16,$G683=$G$17,I$17,$G683=$G$19,I$19,$G683=$G$20,I$20,$G683=$G$22,I$22,$G683=$G$23,I$23,$G683=$G$26,I$26,$G683=$G$29,I$29,$G683=$G$31,I$31,$G683=$G$34,I$34,$G683=$G$37,I$37,$G683=$G$107,I$107,$G683=$G$110,I$110,$G683=$G$140,I$140,$G683=$G$142,I$142,$G683=$G$408,I$408)</f>
        <v>2.1812779999999998</v>
      </c>
      <c r="J683" s="51" cm="1">
        <f t="array" ref="J683">_xlfn.IFS($G683=$G$5,J$5,$G683=$G$7,J$7,$G683=$G$10,J$10,$G683=$G$13,J$13,$G683=$G$14,J$14,$G683=$G$16,J$16,$G683=$G$17,J$17,$G683=$G$19,J$19,$G683=$G$20,J$20,$G683=$G$22,J$22,$G683=$G$23,J$23,$G683=$G$26,J$26,$G683=$G$29,J$29,$G683=$G$31,J$31,$G683=$G$34,J$34,$G683=$G$37,J$37,$G683=$G$107,J$107,$G683=$G$110,J$110,$G683=$G$140,J$140,$G683=$G$142,J$142,$G683=$G$408,J$408)</f>
        <v>47</v>
      </c>
      <c r="K683" s="13" t="str" cm="1">
        <f t="array" ref="K683">_xlfn.IFS($G683=$G$5,K$5,$G683=$G$7,K$7,$G683=$G$10,K$10,$G683=$G$13,K$13,$G683=$G$14,K$14,$G683=$G$16,K$16,$G683=$G$17,K$17,$G683=$G$19,K$19,$G683=$G$20,K$20,$G683=$G$22,K$22,$G683=$G$23,K$23,$G683=$G$26,K$26,$G683=$G$29,K$29,$G683=$G$31,K$31,$G683=$G$34,K$34,$G683=$G$37,K$37,$G683=$G$107,K$107,$G683=$G$110,K$110,$G683=$G$140,K$140,$G683=$G$142,K$142,$G683=$G$408,K$408)</f>
        <v>BG sentinel + BG lure7</v>
      </c>
      <c r="O683" s="13" t="str">
        <f t="shared" si="62"/>
        <v>A_SP_BCN_3_221110</v>
      </c>
      <c r="P683" s="27">
        <v>44875</v>
      </c>
      <c r="Q683" s="29">
        <v>0.42708333333333331</v>
      </c>
      <c r="R683" s="33"/>
      <c r="S683" s="27">
        <v>44880</v>
      </c>
      <c r="T683" s="29">
        <v>0.83333333333333337</v>
      </c>
      <c r="V683" s="13" t="s">
        <v>86</v>
      </c>
      <c r="X683" s="13">
        <f t="shared" si="65"/>
        <v>5</v>
      </c>
      <c r="Z683" s="13" t="s">
        <v>60</v>
      </c>
      <c r="AA683" s="13">
        <f t="shared" si="64"/>
        <v>4</v>
      </c>
      <c r="AB683" s="13" t="str">
        <f t="shared" si="66"/>
        <v>Adult</v>
      </c>
      <c r="AC683" s="13">
        <v>4</v>
      </c>
      <c r="AD683" s="13">
        <v>0</v>
      </c>
      <c r="AE683" s="13" t="str">
        <f t="shared" si="67"/>
        <v>Morphological</v>
      </c>
      <c r="AF683" s="2">
        <v>4</v>
      </c>
    </row>
    <row r="684" spans="1:32" x14ac:dyDescent="0.25">
      <c r="A684" s="13">
        <v>680</v>
      </c>
      <c r="B684" s="23" t="s">
        <v>56</v>
      </c>
      <c r="C684" s="23" t="s">
        <v>57</v>
      </c>
      <c r="D684" s="23" t="s">
        <v>58</v>
      </c>
      <c r="E684" s="23" t="s">
        <v>58</v>
      </c>
      <c r="F684" s="35" cm="1">
        <f t="array" ref="F684">_xlfn.IFS($G684=$G$5,F$5,$G684=$G$7,F$7,$G684=$G$10,F$10,$G684=$G$13,F$13,$G684=$G$14,F$14,$G684=$G$16,F$16,$G684=$G$17,F$17,$G684=$G$19,F$19,$G684=$G$20,F$20,$G684=$G$22,F$22,$G684=$G$23,F$23,$G684=$G$26,F$26,$G684=$G$29,F$29,$G684=$G$31,F$31,$G684=$G$34,F$34,$G684=$G$37,F$37,$G684=$G$107,F$107,$G684=$G$110,F$110,$G684=$G$140,F$140,$G684=$G$142,F$142,$G684=$G$408,F$408)</f>
        <v>8016</v>
      </c>
      <c r="G684" s="13" t="s">
        <v>62</v>
      </c>
      <c r="H684" s="51" cm="1">
        <f t="array" ref="H684">_xlfn.IFS($G684=$G$5,H$5,$G684=$G$7,H$7,$G684=$G$10,H$10,$G684=$G$13,H$13,$G684=$G$14,H$14,$G684=$G$16,H$16,$G684=$G$17,H$17,$G684=$G$19,H$19,$G684=$G$20,H$20,$G684=$G$22,H$22,$G684=$G$23,H$23,$G684=$G$26,H$26,$G684=$G$29,H$29,$G684=$G$31,H$31,$G684=$G$34,H$34,$G684=$G$37,H$37,$G684=$G$107,H$107,$G684=$G$110,H$110,$G684=$G$140,H$140,$G684=$G$142,H$142,$G684=$G$408,H$408)</f>
        <v>41.437435000000001</v>
      </c>
      <c r="I684" s="51" cm="1">
        <f t="array" ref="I684">_xlfn.IFS($G684=$G$5,I$5,$G684=$G$7,I$7,$G684=$G$10,I$10,$G684=$G$13,I$13,$G684=$G$14,I$14,$G684=$G$16,I$16,$G684=$G$17,I$17,$G684=$G$19,I$19,$G684=$G$20,I$20,$G684=$G$22,I$22,$G684=$G$23,I$23,$G684=$G$26,I$26,$G684=$G$29,I$29,$G684=$G$31,I$31,$G684=$G$34,I$34,$G684=$G$37,I$37,$G684=$G$107,I$107,$G684=$G$110,I$110,$G684=$G$140,I$140,$G684=$G$142,I$142,$G684=$G$408,I$408)</f>
        <v>2.1812779999999998</v>
      </c>
      <c r="J684" s="51" cm="1">
        <f t="array" ref="J684">_xlfn.IFS($G684=$G$5,J$5,$G684=$G$7,J$7,$G684=$G$10,J$10,$G684=$G$13,J$13,$G684=$G$14,J$14,$G684=$G$16,J$16,$G684=$G$17,J$17,$G684=$G$19,J$19,$G684=$G$20,J$20,$G684=$G$22,J$22,$G684=$G$23,J$23,$G684=$G$26,J$26,$G684=$G$29,J$29,$G684=$G$31,J$31,$G684=$G$34,J$34,$G684=$G$37,J$37,$G684=$G$107,J$107,$G684=$G$110,J$110,$G684=$G$140,J$140,$G684=$G$142,J$142,$G684=$G$408,J$408)</f>
        <v>47</v>
      </c>
      <c r="K684" s="13" t="str" cm="1">
        <f t="array" ref="K684">_xlfn.IFS($G684=$G$5,K$5,$G684=$G$7,K$7,$G684=$G$10,K$10,$G684=$G$13,K$13,$G684=$G$14,K$14,$G684=$G$16,K$16,$G684=$G$17,K$17,$G684=$G$19,K$19,$G684=$G$20,K$20,$G684=$G$22,K$22,$G684=$G$23,K$23,$G684=$G$26,K$26,$G684=$G$29,K$29,$G684=$G$31,K$31,$G684=$G$34,K$34,$G684=$G$37,K$37,$G684=$G$107,K$107,$G684=$G$110,K$110,$G684=$G$140,K$140,$G684=$G$142,K$142,$G684=$G$408,K$408)</f>
        <v>BG sentinel + BG lure7</v>
      </c>
      <c r="O684" s="13" t="str">
        <f t="shared" si="62"/>
        <v>A_SP_BCN_3_221110</v>
      </c>
      <c r="P684" s="27">
        <v>44875</v>
      </c>
      <c r="Q684" s="29">
        <v>0.42708333333333331</v>
      </c>
      <c r="R684" s="33"/>
      <c r="S684" s="27">
        <v>44880</v>
      </c>
      <c r="T684" s="29">
        <v>0.83333333333333337</v>
      </c>
      <c r="V684" s="13" t="s">
        <v>86</v>
      </c>
      <c r="X684" s="13">
        <f t="shared" si="65"/>
        <v>5</v>
      </c>
      <c r="Z684" s="13" t="s">
        <v>164</v>
      </c>
      <c r="AA684" s="13">
        <f t="shared" si="64"/>
        <v>2</v>
      </c>
      <c r="AB684" s="13" t="str">
        <f t="shared" si="66"/>
        <v>Adult</v>
      </c>
      <c r="AC684" s="13">
        <v>2</v>
      </c>
      <c r="AD684" s="13">
        <v>0</v>
      </c>
      <c r="AE684" s="13" t="str">
        <f t="shared" si="67"/>
        <v>Morphological</v>
      </c>
      <c r="AF684" s="2">
        <v>4</v>
      </c>
    </row>
    <row r="685" spans="1:32" x14ac:dyDescent="0.25">
      <c r="A685" s="13">
        <v>681</v>
      </c>
      <c r="B685" s="23" t="s">
        <v>56</v>
      </c>
      <c r="C685" s="23" t="s">
        <v>57</v>
      </c>
      <c r="D685" s="23" t="s">
        <v>58</v>
      </c>
      <c r="E685" s="23" t="s">
        <v>58</v>
      </c>
      <c r="F685" s="35" cm="1">
        <f t="array" ref="F685">_xlfn.IFS($G685=$G$5,F$5,$G685=$G$7,F$7,$G685=$G$10,F$10,$G685=$G$13,F$13,$G685=$G$14,F$14,$G685=$G$16,F$16,$G685=$G$17,F$17,$G685=$G$19,F$19,$G685=$G$20,F$20,$G685=$G$22,F$22,$G685=$G$23,F$23,$G685=$G$26,F$26,$G685=$G$29,F$29,$G685=$G$31,F$31,$G685=$G$34,F$34,$G685=$G$37,F$37,$G685=$G$107,F$107,$G685=$G$110,F$110,$G685=$G$140,F$140,$G685=$G$142,F$142,$G685=$G$408,F$408)</f>
        <v>8018</v>
      </c>
      <c r="G685" s="13" t="s">
        <v>63</v>
      </c>
      <c r="H685" s="51" cm="1">
        <f t="array" ref="H685">_xlfn.IFS($G685=$G$5,H$5,$G685=$G$7,H$7,$G685=$G$10,H$10,$G685=$G$13,H$13,$G685=$G$14,H$14,$G685=$G$16,H$16,$G685=$G$17,H$17,$G685=$G$19,H$19,$G685=$G$20,H$20,$G685=$G$22,H$22,$G685=$G$23,H$23,$G685=$G$26,H$26,$G685=$G$29,H$29,$G685=$G$31,H$31,$G685=$G$34,H$34,$G685=$G$37,H$37,$G685=$G$107,H$107,$G685=$G$110,H$110,$G685=$G$140,H$140,$G685=$G$142,H$142,$G685=$G$408,H$408)</f>
        <v>41.404924999999999</v>
      </c>
      <c r="I685" s="51" cm="1">
        <f t="array" ref="I685">_xlfn.IFS($G685=$G$5,I$5,$G685=$G$7,I$7,$G685=$G$10,I$10,$G685=$G$13,I$13,$G685=$G$14,I$14,$G685=$G$16,I$16,$G685=$G$17,I$17,$G685=$G$19,I$19,$G685=$G$20,I$20,$G685=$G$22,I$22,$G685=$G$23,I$23,$G685=$G$26,I$26,$G685=$G$29,I$29,$G685=$G$31,I$31,$G685=$G$34,I$34,$G685=$G$37,I$37,$G685=$G$107,I$107,$G685=$G$110,I$110,$G685=$G$140,I$140,$G685=$G$142,I$142,$G685=$G$408,I$408)</f>
        <v>2.1987909999999999</v>
      </c>
      <c r="J685" s="51" cm="1">
        <f t="array" ref="J685">_xlfn.IFS($G685=$G$5,J$5,$G685=$G$7,J$7,$G685=$G$10,J$10,$G685=$G$13,J$13,$G685=$G$14,J$14,$G685=$G$16,J$16,$G685=$G$17,J$17,$G685=$G$19,J$19,$G685=$G$20,J$20,$G685=$G$22,J$22,$G685=$G$23,J$23,$G685=$G$26,J$26,$G685=$G$29,J$29,$G685=$G$31,J$31,$G685=$G$34,J$34,$G685=$G$37,J$37,$G685=$G$107,J$107,$G685=$G$110,J$110,$G685=$G$140,J$140,$G685=$G$142,J$142,$G685=$G$408,J$408)</f>
        <v>4</v>
      </c>
      <c r="K685" s="13" t="str" cm="1">
        <f t="array" ref="K685">_xlfn.IFS($G685=$G$5,K$5,$G685=$G$7,K$7,$G685=$G$10,K$10,$G685=$G$13,K$13,$G685=$G$14,K$14,$G685=$G$16,K$16,$G685=$G$17,K$17,$G685=$G$19,K$19,$G685=$G$20,K$20,$G685=$G$22,K$22,$G685=$G$23,K$23,$G685=$G$26,K$26,$G685=$G$29,K$29,$G685=$G$31,K$31,$G685=$G$34,K$34,$G685=$G$37,K$37,$G685=$G$107,K$107,$G685=$G$110,K$110,$G685=$G$140,K$140,$G685=$G$142,K$142,$G685=$G$408,K$408)</f>
        <v>BG sentinel + BG lure7</v>
      </c>
      <c r="O685" s="13" t="str">
        <f t="shared" si="62"/>
        <v>A_SP_BCN_4_221110</v>
      </c>
      <c r="P685" s="27">
        <v>44875</v>
      </c>
      <c r="Q685" s="29">
        <v>0.46527777777777773</v>
      </c>
      <c r="R685" s="33"/>
      <c r="S685" s="27">
        <v>44881</v>
      </c>
      <c r="T685" s="29">
        <v>0.55208333333333337</v>
      </c>
      <c r="V685" s="13" t="s">
        <v>86</v>
      </c>
      <c r="W685" s="15" t="s">
        <v>150</v>
      </c>
      <c r="X685" s="13">
        <f t="shared" si="65"/>
        <v>6</v>
      </c>
      <c r="Z685" s="13" t="s">
        <v>164</v>
      </c>
      <c r="AA685" s="13">
        <f t="shared" si="64"/>
        <v>6</v>
      </c>
      <c r="AB685" s="13" t="str">
        <f t="shared" si="66"/>
        <v>Adult</v>
      </c>
      <c r="AC685" s="13">
        <v>3</v>
      </c>
      <c r="AD685" s="13">
        <v>3</v>
      </c>
      <c r="AE685" s="13" t="str">
        <f t="shared" si="67"/>
        <v>Morphological</v>
      </c>
      <c r="AF685" s="2">
        <v>4</v>
      </c>
    </row>
    <row r="686" spans="1:32" x14ac:dyDescent="0.25">
      <c r="A686" s="13">
        <v>682</v>
      </c>
      <c r="B686" s="23" t="s">
        <v>56</v>
      </c>
      <c r="C686" s="23" t="s">
        <v>57</v>
      </c>
      <c r="D686" s="23" t="s">
        <v>58</v>
      </c>
      <c r="E686" s="23" t="s">
        <v>58</v>
      </c>
      <c r="F686" s="35" cm="1">
        <f t="array" ref="F686">_xlfn.IFS($G686=$G$5,F$5,$G686=$G$7,F$7,$G686=$G$10,F$10,$G686=$G$13,F$13,$G686=$G$14,F$14,$G686=$G$16,F$16,$G686=$G$17,F$17,$G686=$G$19,F$19,$G686=$G$20,F$20,$G686=$G$22,F$22,$G686=$G$23,F$23,$G686=$G$26,F$26,$G686=$G$29,F$29,$G686=$G$31,F$31,$G686=$G$34,F$34,$G686=$G$37,F$37,$G686=$G$107,F$107,$G686=$G$110,F$110,$G686=$G$140,F$140,$G686=$G$142,F$142,$G686=$G$408,F$408)</f>
        <v>8019</v>
      </c>
      <c r="G686" s="13" t="s">
        <v>64</v>
      </c>
      <c r="H686" s="51" cm="1">
        <f t="array" ref="H686">_xlfn.IFS($G686=$G$5,H$5,$G686=$G$7,H$7,$G686=$G$10,H$10,$G686=$G$13,H$13,$G686=$G$14,H$14,$G686=$G$16,H$16,$G686=$G$17,H$17,$G686=$G$19,H$19,$G686=$G$20,H$20,$G686=$G$22,H$22,$G686=$G$23,H$23,$G686=$G$26,H$26,$G686=$G$29,H$29,$G686=$G$31,H$31,$G686=$G$34,H$34,$G686=$G$37,H$37,$G686=$G$107,H$107,$G686=$G$110,H$110,$G686=$G$140,H$140,$G686=$G$142,H$142,$G686=$G$408,H$408)</f>
        <v>41.410684000000003</v>
      </c>
      <c r="I686" s="51" cm="1">
        <f t="array" ref="I686">_xlfn.IFS($G686=$G$5,I$5,$G686=$G$7,I$7,$G686=$G$10,I$10,$G686=$G$13,I$13,$G686=$G$14,I$14,$G686=$G$16,I$16,$G686=$G$17,I$17,$G686=$G$19,I$19,$G686=$G$20,I$20,$G686=$G$22,I$22,$G686=$G$23,I$23,$G686=$G$26,I$26,$G686=$G$29,I$29,$G686=$G$31,I$31,$G686=$G$34,I$34,$G686=$G$37,I$37,$G686=$G$107,I$107,$G686=$G$110,I$110,$G686=$G$140,I$140,$G686=$G$142,I$142,$G686=$G$408,I$408)</f>
        <v>2.2208019999999999</v>
      </c>
      <c r="J686" s="51" cm="1">
        <f t="array" ref="J686">_xlfn.IFS($G686=$G$5,J$5,$G686=$G$7,J$7,$G686=$G$10,J$10,$G686=$G$13,J$13,$G686=$G$14,J$14,$G686=$G$16,J$16,$G686=$G$17,J$17,$G686=$G$19,J$19,$G686=$G$20,J$20,$G686=$G$22,J$22,$G686=$G$23,J$23,$G686=$G$26,J$26,$G686=$G$29,J$29,$G686=$G$31,J$31,$G686=$G$34,J$34,$G686=$G$37,J$37,$G686=$G$107,J$107,$G686=$G$110,J$110,$G686=$G$140,J$140,$G686=$G$142,J$142,$G686=$G$408,J$408)</f>
        <v>18</v>
      </c>
      <c r="K686" s="13" t="str" cm="1">
        <f t="array" ref="K686">_xlfn.IFS($G686=$G$5,K$5,$G686=$G$7,K$7,$G686=$G$10,K$10,$G686=$G$13,K$13,$G686=$G$14,K$14,$G686=$G$16,K$16,$G686=$G$17,K$17,$G686=$G$19,K$19,$G686=$G$20,K$20,$G686=$G$22,K$22,$G686=$G$23,K$23,$G686=$G$26,K$26,$G686=$G$29,K$29,$G686=$G$31,K$31,$G686=$G$34,K$34,$G686=$G$37,K$37,$G686=$G$107,K$107,$G686=$G$110,K$110,$G686=$G$140,K$140,$G686=$G$142,K$142,$G686=$G$408,K$408)</f>
        <v>BG sentinel + BG lure7</v>
      </c>
      <c r="O686" s="13" t="str">
        <f t="shared" si="62"/>
        <v>A_SP_BCN_5_221110</v>
      </c>
      <c r="P686" s="27">
        <v>44875</v>
      </c>
      <c r="Q686" s="29">
        <v>0.44791666666666669</v>
      </c>
      <c r="R686" s="33"/>
      <c r="S686" s="27">
        <v>44880</v>
      </c>
      <c r="T686" s="29">
        <v>0.70833333333333337</v>
      </c>
      <c r="V686" s="13" t="s">
        <v>86</v>
      </c>
      <c r="X686" s="13">
        <f t="shared" si="65"/>
        <v>5</v>
      </c>
      <c r="Z686" s="13" t="s">
        <v>164</v>
      </c>
      <c r="AA686" s="13">
        <f t="shared" si="64"/>
        <v>4</v>
      </c>
      <c r="AB686" s="13" t="str">
        <f t="shared" si="66"/>
        <v>Adult</v>
      </c>
      <c r="AC686" s="13">
        <v>4</v>
      </c>
      <c r="AD686" s="13">
        <v>0</v>
      </c>
      <c r="AE686" s="13" t="str">
        <f t="shared" si="67"/>
        <v>Morphological</v>
      </c>
      <c r="AF686" s="2">
        <v>4</v>
      </c>
    </row>
    <row r="687" spans="1:32" x14ac:dyDescent="0.25">
      <c r="A687" s="13">
        <v>683</v>
      </c>
      <c r="B687" s="23" t="s">
        <v>56</v>
      </c>
      <c r="C687" s="23" t="s">
        <v>57</v>
      </c>
      <c r="D687" s="23" t="s">
        <v>58</v>
      </c>
      <c r="E687" s="23" t="s">
        <v>58</v>
      </c>
      <c r="F687" s="35" cm="1">
        <f t="array" ref="F687">_xlfn.IFS($G687=$G$5,F$5,$G687=$G$7,F$7,$G687=$G$10,F$10,$G687=$G$13,F$13,$G687=$G$14,F$14,$G687=$G$16,F$16,$G687=$G$17,F$17,$G687=$G$19,F$19,$G687=$G$20,F$20,$G687=$G$22,F$22,$G687=$G$23,F$23,$G687=$G$26,F$26,$G687=$G$29,F$29,$G687=$G$31,F$31,$G687=$G$34,F$34,$G687=$G$37,F$37,$G687=$G$107,F$107,$G687=$G$110,F$110,$G687=$G$140,F$140,$G687=$G$142,F$142,$G687=$G$408,F$408)</f>
        <v>8002</v>
      </c>
      <c r="G687" s="13" t="s">
        <v>65</v>
      </c>
      <c r="H687" s="51" cm="1">
        <f t="array" ref="H687">_xlfn.IFS($G687=$G$5,H$5,$G687=$G$7,H$7,$G687=$G$10,H$10,$G687=$G$13,H$13,$G687=$G$14,H$14,$G687=$G$16,H$16,$G687=$G$17,H$17,$G687=$G$19,H$19,$G687=$G$20,H$20,$G687=$G$22,H$22,$G687=$G$23,H$23,$G687=$G$26,H$26,$G687=$G$29,H$29,$G687=$G$31,H$31,$G687=$G$34,H$34,$G687=$G$37,H$37,$G687=$G$107,H$107,$G687=$G$110,H$110,$G687=$G$140,H$140,$G687=$G$142,H$142,$G687=$G$408,H$408)</f>
        <v>41.382339999999999</v>
      </c>
      <c r="I687" s="51" cm="1">
        <f t="array" ref="I687">_xlfn.IFS($G687=$G$5,I$5,$G687=$G$7,I$7,$G687=$G$10,I$10,$G687=$G$13,I$13,$G687=$G$14,I$14,$G687=$G$16,I$16,$G687=$G$17,I$17,$G687=$G$19,I$19,$G687=$G$20,I$20,$G687=$G$22,I$22,$G687=$G$23,I$23,$G687=$G$26,I$26,$G687=$G$29,I$29,$G687=$G$31,I$31,$G687=$G$34,I$34,$G687=$G$37,I$37,$G687=$G$107,I$107,$G687=$G$110,I$110,$G687=$G$140,I$140,$G687=$G$142,I$142,$G687=$G$408,I$408)</f>
        <v>2.1714790000000002</v>
      </c>
      <c r="J687" s="51" cm="1">
        <f t="array" ref="J687">_xlfn.IFS($G687=$G$5,J$5,$G687=$G$7,J$7,$G687=$G$10,J$10,$G687=$G$13,J$13,$G687=$G$14,J$14,$G687=$G$16,J$16,$G687=$G$17,J$17,$G687=$G$19,J$19,$G687=$G$20,J$20,$G687=$G$22,J$22,$G687=$G$23,J$23,$G687=$G$26,J$26,$G687=$G$29,J$29,$G687=$G$31,J$31,$G687=$G$34,J$34,$G687=$G$37,J$37,$G687=$G$107,J$107,$G687=$G$110,J$110,$G687=$G$140,J$140,$G687=$G$142,J$142,$G687=$G$408,J$408)</f>
        <v>19</v>
      </c>
      <c r="K687" s="13" t="str" cm="1">
        <f t="array" ref="K687">_xlfn.IFS($G687=$G$5,K$5,$G687=$G$7,K$7,$G687=$G$10,K$10,$G687=$G$13,K$13,$G687=$G$14,K$14,$G687=$G$16,K$16,$G687=$G$17,K$17,$G687=$G$19,K$19,$G687=$G$20,K$20,$G687=$G$22,K$22,$G687=$G$23,K$23,$G687=$G$26,K$26,$G687=$G$29,K$29,$G687=$G$31,K$31,$G687=$G$34,K$34,$G687=$G$37,K$37,$G687=$G$107,K$107,$G687=$G$110,K$110,$G687=$G$140,K$140,$G687=$G$142,K$142,$G687=$G$408,K$408)</f>
        <v>BG sentinel + BG lure7</v>
      </c>
      <c r="O687" s="13" t="str">
        <f t="shared" si="62"/>
        <v>A_SP_BCN_6_221110</v>
      </c>
      <c r="P687" s="27">
        <v>44875</v>
      </c>
      <c r="Q687" s="29">
        <v>0.5625</v>
      </c>
      <c r="R687" s="33"/>
      <c r="S687" s="27">
        <v>44881</v>
      </c>
      <c r="T687" s="29">
        <v>0.52777777777777779</v>
      </c>
      <c r="V687" s="13" t="s">
        <v>86</v>
      </c>
      <c r="X687" s="13">
        <f t="shared" si="65"/>
        <v>6</v>
      </c>
      <c r="Z687" s="13" t="s">
        <v>60</v>
      </c>
      <c r="AA687" s="13">
        <f t="shared" si="64"/>
        <v>1</v>
      </c>
      <c r="AB687" s="13" t="str">
        <f t="shared" si="66"/>
        <v>Adult</v>
      </c>
      <c r="AC687" s="13">
        <v>0</v>
      </c>
      <c r="AD687" s="13">
        <v>1</v>
      </c>
      <c r="AE687" s="13" t="str">
        <f t="shared" si="67"/>
        <v>Morphological</v>
      </c>
      <c r="AF687" s="2">
        <v>4</v>
      </c>
    </row>
    <row r="688" spans="1:32" x14ac:dyDescent="0.25">
      <c r="A688" s="13">
        <v>684</v>
      </c>
      <c r="B688" s="23" t="s">
        <v>56</v>
      </c>
      <c r="C688" s="23" t="s">
        <v>57</v>
      </c>
      <c r="D688" s="23" t="s">
        <v>58</v>
      </c>
      <c r="E688" s="23" t="s">
        <v>58</v>
      </c>
      <c r="F688" s="35" cm="1">
        <f t="array" ref="F688">_xlfn.IFS($G688=$G$5,F$5,$G688=$G$7,F$7,$G688=$G$10,F$10,$G688=$G$13,F$13,$G688=$G$14,F$14,$G688=$G$16,F$16,$G688=$G$17,F$17,$G688=$G$19,F$19,$G688=$G$20,F$20,$G688=$G$22,F$22,$G688=$G$23,F$23,$G688=$G$26,F$26,$G688=$G$29,F$29,$G688=$G$31,F$31,$G688=$G$34,F$34,$G688=$G$37,F$37,$G688=$G$107,F$107,$G688=$G$110,F$110,$G688=$G$140,F$140,$G688=$G$142,F$142,$G688=$G$408,F$408)</f>
        <v>8002</v>
      </c>
      <c r="G688" s="13" t="s">
        <v>65</v>
      </c>
      <c r="H688" s="51" cm="1">
        <f t="array" ref="H688">_xlfn.IFS($G688=$G$5,H$5,$G688=$G$7,H$7,$G688=$G$10,H$10,$G688=$G$13,H$13,$G688=$G$14,H$14,$G688=$G$16,H$16,$G688=$G$17,H$17,$G688=$G$19,H$19,$G688=$G$20,H$20,$G688=$G$22,H$22,$G688=$G$23,H$23,$G688=$G$26,H$26,$G688=$G$29,H$29,$G688=$G$31,H$31,$G688=$G$34,H$34,$G688=$G$37,H$37,$G688=$G$107,H$107,$G688=$G$110,H$110,$G688=$G$140,H$140,$G688=$G$142,H$142,$G688=$G$408,H$408)</f>
        <v>41.382339999999999</v>
      </c>
      <c r="I688" s="51" cm="1">
        <f t="array" ref="I688">_xlfn.IFS($G688=$G$5,I$5,$G688=$G$7,I$7,$G688=$G$10,I$10,$G688=$G$13,I$13,$G688=$G$14,I$14,$G688=$G$16,I$16,$G688=$G$17,I$17,$G688=$G$19,I$19,$G688=$G$20,I$20,$G688=$G$22,I$22,$G688=$G$23,I$23,$G688=$G$26,I$26,$G688=$G$29,I$29,$G688=$G$31,I$31,$G688=$G$34,I$34,$G688=$G$37,I$37,$G688=$G$107,I$107,$G688=$G$110,I$110,$G688=$G$140,I$140,$G688=$G$142,I$142,$G688=$G$408,I$408)</f>
        <v>2.1714790000000002</v>
      </c>
      <c r="J688" s="51" cm="1">
        <f t="array" ref="J688">_xlfn.IFS($G688=$G$5,J$5,$G688=$G$7,J$7,$G688=$G$10,J$10,$G688=$G$13,J$13,$G688=$G$14,J$14,$G688=$G$16,J$16,$G688=$G$17,J$17,$G688=$G$19,J$19,$G688=$G$20,J$20,$G688=$G$22,J$22,$G688=$G$23,J$23,$G688=$G$26,J$26,$G688=$G$29,J$29,$G688=$G$31,J$31,$G688=$G$34,J$34,$G688=$G$37,J$37,$G688=$G$107,J$107,$G688=$G$110,J$110,$G688=$G$140,J$140,$G688=$G$142,J$142,$G688=$G$408,J$408)</f>
        <v>19</v>
      </c>
      <c r="K688" s="13" t="str" cm="1">
        <f t="array" ref="K688">_xlfn.IFS($G688=$G$5,K$5,$G688=$G$7,K$7,$G688=$G$10,K$10,$G688=$G$13,K$13,$G688=$G$14,K$14,$G688=$G$16,K$16,$G688=$G$17,K$17,$G688=$G$19,K$19,$G688=$G$20,K$20,$G688=$G$22,K$22,$G688=$G$23,K$23,$G688=$G$26,K$26,$G688=$G$29,K$29,$G688=$G$31,K$31,$G688=$G$34,K$34,$G688=$G$37,K$37,$G688=$G$107,K$107,$G688=$G$110,K$110,$G688=$G$140,K$140,$G688=$G$142,K$142,$G688=$G$408,K$408)</f>
        <v>BG sentinel + BG lure7</v>
      </c>
      <c r="O688" s="13" t="str">
        <f t="shared" si="62"/>
        <v>A_SP_BCN_6_221110</v>
      </c>
      <c r="P688" s="27">
        <v>44875</v>
      </c>
      <c r="Q688" s="29">
        <v>0.5625</v>
      </c>
      <c r="R688" s="33"/>
      <c r="S688" s="27">
        <v>44881</v>
      </c>
      <c r="T688" s="29">
        <v>0.52777777777777779</v>
      </c>
      <c r="V688" s="13" t="s">
        <v>86</v>
      </c>
      <c r="X688" s="13">
        <f t="shared" si="65"/>
        <v>6</v>
      </c>
      <c r="Z688" s="32" t="s">
        <v>163</v>
      </c>
      <c r="AA688" s="13">
        <f t="shared" si="64"/>
        <v>1</v>
      </c>
      <c r="AB688" s="13" t="str">
        <f t="shared" si="66"/>
        <v>Adult</v>
      </c>
      <c r="AC688" s="13">
        <v>1</v>
      </c>
      <c r="AD688" s="13">
        <v>0</v>
      </c>
      <c r="AE688" s="13" t="str">
        <f t="shared" si="67"/>
        <v>Morphological</v>
      </c>
      <c r="AF688" s="2">
        <v>4</v>
      </c>
    </row>
    <row r="689" spans="1:32" x14ac:dyDescent="0.25">
      <c r="A689" s="13">
        <v>685</v>
      </c>
      <c r="B689" s="23" t="s">
        <v>56</v>
      </c>
      <c r="C689" s="23" t="s">
        <v>57</v>
      </c>
      <c r="D689" s="23" t="s">
        <v>58</v>
      </c>
      <c r="E689" s="23" t="s">
        <v>58</v>
      </c>
      <c r="F689" s="35" cm="1">
        <f t="array" ref="F689">_xlfn.IFS($G689=$G$5,F$5,$G689=$G$7,F$7,$G689=$G$10,F$10,$G689=$G$13,F$13,$G689=$G$14,F$14,$G689=$G$16,F$16,$G689=$G$17,F$17,$G689=$G$19,F$19,$G689=$G$20,F$20,$G689=$G$22,F$22,$G689=$G$23,F$23,$G689=$G$26,F$26,$G689=$G$29,F$29,$G689=$G$31,F$31,$G689=$G$34,F$34,$G689=$G$37,F$37,$G689=$G$107,F$107,$G689=$G$110,F$110,$G689=$G$140,F$140,$G689=$G$142,F$142,$G689=$G$408,F$408)</f>
        <v>8040</v>
      </c>
      <c r="G689" s="13" t="s">
        <v>68</v>
      </c>
      <c r="H689" s="51" cm="1">
        <f t="array" ref="H689">_xlfn.IFS($G689=$G$5,H$5,$G689=$G$7,H$7,$G689=$G$10,H$10,$G689=$G$13,H$13,$G689=$G$14,H$14,$G689=$G$16,H$16,$G689=$G$17,H$17,$G689=$G$19,H$19,$G689=$G$20,H$20,$G689=$G$22,H$22,$G689=$G$23,H$23,$G689=$G$26,H$26,$G689=$G$29,H$29,$G689=$G$31,H$31,$G689=$G$34,H$34,$G689=$G$37,H$37,$G689=$G$107,H$107,$G689=$G$110,H$110,$G689=$G$140,H$140,$G689=$G$142,H$142,$G689=$G$408,H$408)</f>
        <v>41.343685000000001</v>
      </c>
      <c r="I689" s="51" cm="1">
        <f t="array" ref="I689">_xlfn.IFS($G689=$G$5,I$5,$G689=$G$7,I$7,$G689=$G$10,I$10,$G689=$G$13,I$13,$G689=$G$14,I$14,$G689=$G$16,I$16,$G689=$G$17,I$17,$G689=$G$19,I$19,$G689=$G$20,I$20,$G689=$G$22,I$22,$G689=$G$23,I$23,$G689=$G$26,I$26,$G689=$G$29,I$29,$G689=$G$31,I$31,$G689=$G$34,I$34,$G689=$G$37,I$37,$G689=$G$107,I$107,$G689=$G$110,I$110,$G689=$G$140,I$140,$G689=$G$142,I$142,$G689=$G$408,I$408)</f>
        <v>2.1441490000000001</v>
      </c>
      <c r="J689" s="51" cm="1">
        <f t="array" ref="J689">_xlfn.IFS($G689=$G$5,J$5,$G689=$G$7,J$7,$G689=$G$10,J$10,$G689=$G$13,J$13,$G689=$G$14,J$14,$G689=$G$16,J$16,$G689=$G$17,J$17,$G689=$G$19,J$19,$G689=$G$20,J$20,$G689=$G$22,J$22,$G689=$G$23,J$23,$G689=$G$26,J$26,$G689=$G$29,J$29,$G689=$G$31,J$31,$G689=$G$34,J$34,$G689=$G$37,J$37,$G689=$G$107,J$107,$G689=$G$110,J$110,$G689=$G$140,J$140,$G689=$G$142,J$142,$G689=$G$408,J$408)</f>
        <v>4</v>
      </c>
      <c r="K689" s="13" t="str" cm="1">
        <f t="array" ref="K689">_xlfn.IFS($G689=$G$5,K$5,$G689=$G$7,K$7,$G689=$G$10,K$10,$G689=$G$13,K$13,$G689=$G$14,K$14,$G689=$G$16,K$16,$G689=$G$17,K$17,$G689=$G$19,K$19,$G689=$G$20,K$20,$G689=$G$22,K$22,$G689=$G$23,K$23,$G689=$G$26,K$26,$G689=$G$29,K$29,$G689=$G$31,K$31,$G689=$G$34,K$34,$G689=$G$37,K$37,$G689=$G$107,K$107,$G689=$G$110,K$110,$G689=$G$140,K$140,$G689=$G$142,K$142,$G689=$G$408,K$408)</f>
        <v>BG sentinel + BG lure7</v>
      </c>
      <c r="O689" s="13" t="str">
        <f t="shared" si="62"/>
        <v>A_SP_BCN_10_221109</v>
      </c>
      <c r="P689" s="27">
        <v>44874</v>
      </c>
      <c r="Q689" s="29">
        <v>0.5</v>
      </c>
      <c r="R689" s="33"/>
      <c r="S689" s="27">
        <v>44880</v>
      </c>
      <c r="T689" s="29">
        <v>0.58333333333333337</v>
      </c>
      <c r="V689" s="13" t="s">
        <v>86</v>
      </c>
      <c r="X689" s="13">
        <f t="shared" si="65"/>
        <v>6</v>
      </c>
      <c r="Z689" s="13" t="s">
        <v>164</v>
      </c>
      <c r="AA689" s="13">
        <f t="shared" si="64"/>
        <v>6</v>
      </c>
      <c r="AB689" s="13" t="str">
        <f t="shared" si="66"/>
        <v>Adult</v>
      </c>
      <c r="AC689" s="13">
        <v>6</v>
      </c>
      <c r="AD689" s="13">
        <v>0</v>
      </c>
      <c r="AE689" s="13" t="str">
        <f t="shared" si="67"/>
        <v>Morphological</v>
      </c>
      <c r="AF689" s="2">
        <v>4</v>
      </c>
    </row>
    <row r="690" spans="1:32" x14ac:dyDescent="0.25">
      <c r="A690" s="13">
        <v>686</v>
      </c>
      <c r="B690" s="23" t="s">
        <v>56</v>
      </c>
      <c r="C690" s="23" t="s">
        <v>57</v>
      </c>
      <c r="D690" s="23" t="s">
        <v>58</v>
      </c>
      <c r="E690" s="23" t="s">
        <v>58</v>
      </c>
      <c r="F690" s="35" cm="1">
        <f t="array" ref="F690">_xlfn.IFS($G690=$G$5,F$5,$G690=$G$7,F$7,$G690=$G$10,F$10,$G690=$G$13,F$13,$G690=$G$14,F$14,$G690=$G$16,F$16,$G690=$G$17,F$17,$G690=$G$19,F$19,$G690=$G$20,F$20,$G690=$G$22,F$22,$G690=$G$23,F$23,$G690=$G$26,F$26,$G690=$G$29,F$29,$G690=$G$31,F$31,$G690=$G$34,F$34,$G690=$G$37,F$37,$G690=$G$107,F$107,$G690=$G$110,F$110,$G690=$G$140,F$140,$G690=$G$142,F$142,$G690=$G$408,F$408)</f>
        <v>8038</v>
      </c>
      <c r="G690" s="13" t="s">
        <v>69</v>
      </c>
      <c r="H690" s="51" cm="1">
        <f t="array" ref="H690">_xlfn.IFS($G690=$G$5,H$5,$G690=$G$7,H$7,$G690=$G$10,H$10,$G690=$G$13,H$13,$G690=$G$14,H$14,$G690=$G$16,H$16,$G690=$G$17,H$17,$G690=$G$19,H$19,$G690=$G$20,H$20,$G690=$G$22,H$22,$G690=$G$23,H$23,$G690=$G$26,H$26,$G690=$G$29,H$29,$G690=$G$31,H$31,$G690=$G$34,H$34,$G690=$G$37,H$37,$G690=$G$107,H$107,$G690=$G$110,H$110,$G690=$G$140,H$140,$G690=$G$142,H$142,$G690=$G$408,H$408)</f>
        <v>41.363377999999997</v>
      </c>
      <c r="I690" s="51" cm="1">
        <f t="array" ref="I690">_xlfn.IFS($G690=$G$5,I$5,$G690=$G$7,I$7,$G690=$G$10,I$10,$G690=$G$13,I$13,$G690=$G$14,I$14,$G690=$G$16,I$16,$G690=$G$17,I$17,$G690=$G$19,I$19,$G690=$G$20,I$20,$G690=$G$22,I$22,$G690=$G$23,I$23,$G690=$G$26,I$26,$G690=$G$29,I$29,$G690=$G$31,I$31,$G690=$G$34,I$34,$G690=$G$37,I$37,$G690=$G$107,I$107,$G690=$G$110,I$110,$G690=$G$140,I$140,$G690=$G$142,I$142,$G690=$G$408,I$408)</f>
        <v>2.164879</v>
      </c>
      <c r="J690" s="51" cm="1">
        <f t="array" ref="J690">_xlfn.IFS($G690=$G$5,J$5,$G690=$G$7,J$7,$G690=$G$10,J$10,$G690=$G$13,J$13,$G690=$G$14,J$14,$G690=$G$16,J$16,$G690=$G$17,J$17,$G690=$G$19,J$19,$G690=$G$20,J$20,$G690=$G$22,J$22,$G690=$G$23,J$23,$G690=$G$26,J$26,$G690=$G$29,J$29,$G690=$G$31,J$31,$G690=$G$34,J$34,$G690=$G$37,J$37,$G690=$G$107,J$107,$G690=$G$110,J$110,$G690=$G$140,J$140,$G690=$G$142,J$142,$G690=$G$408,J$408)</f>
        <v>185</v>
      </c>
      <c r="K690" s="13" t="str" cm="1">
        <f t="array" ref="K690">_xlfn.IFS($G690=$G$5,K$5,$G690=$G$7,K$7,$G690=$G$10,K$10,$G690=$G$13,K$13,$G690=$G$14,K$14,$G690=$G$16,K$16,$G690=$G$17,K$17,$G690=$G$19,K$19,$G690=$G$20,K$20,$G690=$G$22,K$22,$G690=$G$23,K$23,$G690=$G$26,K$26,$G690=$G$29,K$29,$G690=$G$31,K$31,$G690=$G$34,K$34,$G690=$G$37,K$37,$G690=$G$107,K$107,$G690=$G$110,K$110,$G690=$G$140,K$140,$G690=$G$142,K$142,$G690=$G$408,K$408)</f>
        <v>BG sentinel + BG lure7</v>
      </c>
      <c r="O690" s="13" t="str">
        <f t="shared" si="62"/>
        <v>A_SP_BCN_12_221109</v>
      </c>
      <c r="P690" s="27">
        <v>44874</v>
      </c>
      <c r="Q690" s="29">
        <v>0.53819444444444442</v>
      </c>
      <c r="R690" s="33"/>
      <c r="S690" s="27">
        <v>44880</v>
      </c>
      <c r="T690" s="29">
        <v>0.61805555555555558</v>
      </c>
      <c r="V690" s="13" t="s">
        <v>86</v>
      </c>
      <c r="X690" s="13">
        <f t="shared" si="65"/>
        <v>6</v>
      </c>
      <c r="Z690" s="13" t="s">
        <v>164</v>
      </c>
      <c r="AA690" s="13">
        <f t="shared" si="64"/>
        <v>2</v>
      </c>
      <c r="AB690" s="13" t="str">
        <f t="shared" si="66"/>
        <v>Adult</v>
      </c>
      <c r="AC690" s="13">
        <v>2</v>
      </c>
      <c r="AD690" s="13">
        <v>0</v>
      </c>
      <c r="AE690" s="13" t="str">
        <f t="shared" si="67"/>
        <v>Morphological</v>
      </c>
      <c r="AF690" s="2">
        <v>4</v>
      </c>
    </row>
    <row r="691" spans="1:32" x14ac:dyDescent="0.25">
      <c r="A691" s="13">
        <v>687</v>
      </c>
      <c r="B691" s="23" t="s">
        <v>56</v>
      </c>
      <c r="C691" s="23" t="s">
        <v>57</v>
      </c>
      <c r="D691" s="23" t="s">
        <v>58</v>
      </c>
      <c r="E691" s="23" t="s">
        <v>58</v>
      </c>
      <c r="F691" s="35" cm="1">
        <f t="array" ref="F691">_xlfn.IFS($G691=$G$5,F$5,$G691=$G$7,F$7,$G691=$G$10,F$10,$G691=$G$13,F$13,$G691=$G$14,F$14,$G691=$G$16,F$16,$G691=$G$17,F$17,$G691=$G$19,F$19,$G691=$G$20,F$20,$G691=$G$22,F$22,$G691=$G$23,F$23,$G691=$G$26,F$26,$G691=$G$29,F$29,$G691=$G$31,F$31,$G691=$G$34,F$34,$G691=$G$37,F$37,$G691=$G$107,F$107,$G691=$G$110,F$110,$G691=$G$140,F$140,$G691=$G$142,F$142,$G691=$G$408,F$408)</f>
        <v>8017</v>
      </c>
      <c r="G691" s="13" t="s">
        <v>71</v>
      </c>
      <c r="H691" s="51" cm="1">
        <f t="array" ref="H691">_xlfn.IFS($G691=$G$5,H$5,$G691=$G$7,H$7,$G691=$G$10,H$10,$G691=$G$13,H$13,$G691=$G$14,H$14,$G691=$G$16,H$16,$G691=$G$17,H$17,$G691=$G$19,H$19,$G691=$G$20,H$20,$G691=$G$22,H$22,$G691=$G$23,H$23,$G691=$G$26,H$26,$G691=$G$29,H$29,$G691=$G$31,H$31,$G691=$G$34,H$34,$G691=$G$37,H$37,$G691=$G$107,H$107,$G691=$G$110,H$110,$G691=$G$140,H$140,$G691=$G$142,H$142,$G691=$G$408,H$408)</f>
        <v>41.428533999999999</v>
      </c>
      <c r="I691" s="51" cm="1">
        <f t="array" ref="I691">_xlfn.IFS($G691=$G$5,I$5,$G691=$G$7,I$7,$G691=$G$10,I$10,$G691=$G$13,I$13,$G691=$G$14,I$14,$G691=$G$16,I$16,$G691=$G$17,I$17,$G691=$G$19,I$19,$G691=$G$20,I$20,$G691=$G$22,I$22,$G691=$G$23,I$23,$G691=$G$26,I$26,$G691=$G$29,I$29,$G691=$G$31,I$31,$G691=$G$34,I$34,$G691=$G$37,I$37,$G691=$G$107,I$107,$G691=$G$110,I$110,$G691=$G$140,I$140,$G691=$G$142,I$142,$G691=$G$408,I$408)</f>
        <v>2.090954</v>
      </c>
      <c r="J691" s="51" cm="1">
        <f t="array" ref="J691">_xlfn.IFS($G691=$G$5,J$5,$G691=$G$7,J$7,$G691=$G$10,J$10,$G691=$G$13,J$13,$G691=$G$14,J$14,$G691=$G$16,J$16,$G691=$G$17,J$17,$G691=$G$19,J$19,$G691=$G$20,J$20,$G691=$G$22,J$22,$G691=$G$23,J$23,$G691=$G$26,J$26,$G691=$G$29,J$29,$G691=$G$31,J$31,$G691=$G$34,J$34,$G691=$G$37,J$37,$G691=$G$107,J$107,$G691=$G$110,J$110,$G691=$G$140,J$140,$G691=$G$142,J$142,$G691=$G$408,J$408)</f>
        <v>215</v>
      </c>
      <c r="K691" s="13" t="str" cm="1">
        <f t="array" ref="K691">_xlfn.IFS($G691=$G$5,K$5,$G691=$G$7,K$7,$G691=$G$10,K$10,$G691=$G$13,K$13,$G691=$G$14,K$14,$G691=$G$16,K$16,$G691=$G$17,K$17,$G691=$G$19,K$19,$G691=$G$20,K$20,$G691=$G$22,K$22,$G691=$G$23,K$23,$G691=$G$26,K$26,$G691=$G$29,K$29,$G691=$G$31,K$31,$G691=$G$34,K$34,$G691=$G$37,K$37,$G691=$G$107,K$107,$G691=$G$110,K$110,$G691=$G$140,K$140,$G691=$G$142,K$142,$G691=$G$408,K$408)</f>
        <v>BG sentinel + BG lure7</v>
      </c>
      <c r="O691" s="13" t="str">
        <f t="shared" si="62"/>
        <v>A_SP_BCN_14_221109</v>
      </c>
      <c r="P691" s="27">
        <v>44874</v>
      </c>
      <c r="Q691" s="29">
        <v>0.68055555555555547</v>
      </c>
      <c r="R691" s="33"/>
      <c r="S691" s="27">
        <v>44880</v>
      </c>
      <c r="T691" s="29">
        <v>0.77083333333333337</v>
      </c>
      <c r="V691" s="13" t="s">
        <v>86</v>
      </c>
      <c r="X691" s="13">
        <f t="shared" si="65"/>
        <v>6</v>
      </c>
      <c r="Z691" s="13" t="s">
        <v>60</v>
      </c>
      <c r="AA691" s="13">
        <f t="shared" si="64"/>
        <v>3</v>
      </c>
      <c r="AB691" s="13" t="str">
        <f t="shared" si="66"/>
        <v>Adult</v>
      </c>
      <c r="AC691" s="13">
        <v>2</v>
      </c>
      <c r="AD691" s="13">
        <v>1</v>
      </c>
      <c r="AE691" s="13" t="str">
        <f t="shared" si="67"/>
        <v>Morphological</v>
      </c>
      <c r="AF691" s="2">
        <v>4</v>
      </c>
    </row>
    <row r="692" spans="1:32" x14ac:dyDescent="0.25">
      <c r="A692" s="13">
        <v>688</v>
      </c>
      <c r="B692" s="23" t="s">
        <v>56</v>
      </c>
      <c r="C692" s="23" t="s">
        <v>57</v>
      </c>
      <c r="D692" s="23" t="s">
        <v>58</v>
      </c>
      <c r="E692" s="23" t="s">
        <v>58</v>
      </c>
      <c r="F692" s="35" cm="1">
        <f t="array" ref="F692">_xlfn.IFS($G692=$G$5,F$5,$G692=$G$7,F$7,$G692=$G$10,F$10,$G692=$G$13,F$13,$G692=$G$14,F$14,$G692=$G$16,F$16,$G692=$G$17,F$17,$G692=$G$19,F$19,$G692=$G$20,F$20,$G692=$G$22,F$22,$G692=$G$23,F$23,$G692=$G$26,F$26,$G692=$G$29,F$29,$G692=$G$31,F$31,$G692=$G$34,F$34,$G692=$G$37,F$37,$G692=$G$107,F$107,$G692=$G$110,F$110,$G692=$G$140,F$140,$G692=$G$142,F$142,$G692=$G$408,F$408)</f>
        <v>8017</v>
      </c>
      <c r="G692" s="13" t="s">
        <v>72</v>
      </c>
      <c r="H692" s="51" cm="1">
        <f t="array" ref="H692">_xlfn.IFS($G692=$G$5,H$5,$G692=$G$7,H$7,$G692=$G$10,H$10,$G692=$G$13,H$13,$G692=$G$14,H$14,$G692=$G$16,H$16,$G692=$G$17,H$17,$G692=$G$19,H$19,$G692=$G$20,H$20,$G692=$G$22,H$22,$G692=$G$23,H$23,$G692=$G$26,H$26,$G692=$G$29,H$29,$G692=$G$31,H$31,$G692=$G$34,H$34,$G692=$G$37,H$37,$G692=$G$107,H$107,$G692=$G$110,H$110,$G692=$G$140,H$140,$G692=$G$142,H$142,$G692=$G$408,H$408)</f>
        <v>41.419471000000001</v>
      </c>
      <c r="I692" s="51" cm="1">
        <f t="array" ref="I692">_xlfn.IFS($G692=$G$5,I$5,$G692=$G$7,I$7,$G692=$G$10,I$10,$G692=$G$13,I$13,$G692=$G$14,I$14,$G692=$G$16,I$16,$G692=$G$17,I$17,$G692=$G$19,I$19,$G692=$G$20,I$20,$G692=$G$22,I$22,$G692=$G$23,I$23,$G692=$G$26,I$26,$G692=$G$29,I$29,$G692=$G$31,I$31,$G692=$G$34,I$34,$G692=$G$37,I$37,$G692=$G$107,I$107,$G692=$G$110,I$110,$G692=$G$140,I$140,$G692=$G$142,I$142,$G692=$G$408,I$408)</f>
        <v>2.1010149999999999</v>
      </c>
      <c r="J692" s="51" cm="1">
        <f t="array" ref="J692">_xlfn.IFS($G692=$G$5,J$5,$G692=$G$7,J$7,$G692=$G$10,J$10,$G692=$G$13,J$13,$G692=$G$14,J$14,$G692=$G$16,J$16,$G692=$G$17,J$17,$G692=$G$19,J$19,$G692=$G$20,J$20,$G692=$G$22,J$22,$G692=$G$23,J$23,$G692=$G$26,J$26,$G692=$G$29,J$29,$G692=$G$31,J$31,$G692=$G$34,J$34,$G692=$G$37,J$37,$G692=$G$107,J$107,$G692=$G$110,J$110,$G692=$G$140,J$140,$G692=$G$142,J$142,$G692=$G$408,J$408)</f>
        <v>284</v>
      </c>
      <c r="K692" s="13" t="str" cm="1">
        <f t="array" ref="K692">_xlfn.IFS($G692=$G$5,K$5,$G692=$G$7,K$7,$G692=$G$10,K$10,$G692=$G$13,K$13,$G692=$G$14,K$14,$G692=$G$16,K$16,$G692=$G$17,K$17,$G692=$G$19,K$19,$G692=$G$20,K$20,$G692=$G$22,K$22,$G692=$G$23,K$23,$G692=$G$26,K$26,$G692=$G$29,K$29,$G692=$G$31,K$31,$G692=$G$34,K$34,$G692=$G$37,K$37,$G692=$G$107,K$107,$G692=$G$110,K$110,$G692=$G$140,K$140,$G692=$G$142,K$142,$G692=$G$408,K$408)</f>
        <v>BG sentinel + BG lure7</v>
      </c>
      <c r="O692" s="13" t="str">
        <f t="shared" si="62"/>
        <v>A_SP_BCN_15_221109</v>
      </c>
      <c r="P692" s="27">
        <v>44874</v>
      </c>
      <c r="Q692" s="29">
        <v>0.65625</v>
      </c>
      <c r="R692" s="33"/>
      <c r="S692" s="27">
        <v>44880</v>
      </c>
      <c r="T692" s="29">
        <v>0.75</v>
      </c>
      <c r="V692" s="13" t="s">
        <v>86</v>
      </c>
      <c r="X692" s="13">
        <f t="shared" si="65"/>
        <v>6</v>
      </c>
      <c r="AA692" s="13">
        <f>SUM(AC692:AD692)</f>
        <v>0</v>
      </c>
      <c r="AB692" s="13" t="str">
        <f t="shared" si="66"/>
        <v/>
      </c>
      <c r="AE692" s="13" t="str">
        <f t="shared" si="67"/>
        <v/>
      </c>
      <c r="AF692" s="2">
        <v>4</v>
      </c>
    </row>
    <row r="693" spans="1:32" x14ac:dyDescent="0.25">
      <c r="A693" s="13">
        <v>689</v>
      </c>
      <c r="B693" s="23" t="s">
        <v>56</v>
      </c>
      <c r="C693" s="23" t="s">
        <v>57</v>
      </c>
      <c r="D693" s="23" t="s">
        <v>58</v>
      </c>
      <c r="E693" s="23" t="s">
        <v>58</v>
      </c>
      <c r="F693" s="35" cm="1">
        <f t="array" ref="F693">_xlfn.IFS($G693=$G$5,F$5,$G693=$G$7,F$7,$G693=$G$10,F$10,$G693=$G$13,F$13,$G693=$G$14,F$14,$G693=$G$16,F$16,$G693=$G$17,F$17,$G693=$G$19,F$19,$G693=$G$20,F$20,$G693=$G$22,F$22,$G693=$G$23,F$23,$G693=$G$26,F$26,$G693=$G$29,F$29,$G693=$G$31,F$31,$G693=$G$34,F$34,$G693=$G$37,F$37,$G693=$G$107,F$107,$G693=$G$110,F$110,$G693=$G$140,F$140,$G693=$G$142,F$142,$G693=$G$408,F$408)</f>
        <v>8017</v>
      </c>
      <c r="G693" s="13" t="s">
        <v>73</v>
      </c>
      <c r="H693" s="51" cm="1">
        <f t="array" ref="H693">_xlfn.IFS($G693=$G$5,H$5,$G693=$G$7,H$7,$G693=$G$10,H$10,$G693=$G$13,H$13,$G693=$G$14,H$14,$G693=$G$16,H$16,$G693=$G$17,H$17,$G693=$G$19,H$19,$G693=$G$20,H$20,$G693=$G$22,H$22,$G693=$G$23,H$23,$G693=$G$26,H$26,$G693=$G$29,H$29,$G693=$G$31,H$31,$G693=$G$34,H$34,$G693=$G$37,H$37,$G693=$G$107,H$107,$G693=$G$110,H$110,$G693=$G$140,H$140,$G693=$G$142,H$142,$G693=$G$408,H$408)</f>
        <v>41.398387</v>
      </c>
      <c r="I693" s="51" cm="1">
        <f t="array" ref="I693">_xlfn.IFS($G693=$G$5,I$5,$G693=$G$7,I$7,$G693=$G$10,I$10,$G693=$G$13,I$13,$G693=$G$14,I$14,$G693=$G$16,I$16,$G693=$G$17,I$17,$G693=$G$19,I$19,$G693=$G$20,I$20,$G693=$G$22,I$22,$G693=$G$23,I$23,$G693=$G$26,I$26,$G693=$G$29,I$29,$G693=$G$31,I$31,$G693=$G$34,I$34,$G693=$G$37,I$37,$G693=$G$107,I$107,$G693=$G$110,I$110,$G693=$G$140,I$140,$G693=$G$142,I$142,$G693=$G$408,I$408)</f>
        <v>2.1244429999999999</v>
      </c>
      <c r="J693" s="51" cm="1">
        <f t="array" ref="J693">_xlfn.IFS($G693=$G$5,J$5,$G693=$G$7,J$7,$G693=$G$10,J$10,$G693=$G$13,J$13,$G693=$G$14,J$14,$G693=$G$16,J$16,$G693=$G$17,J$17,$G693=$G$19,J$19,$G693=$G$20,J$20,$G693=$G$22,J$22,$G693=$G$23,J$23,$G693=$G$26,J$26,$G693=$G$29,J$29,$G693=$G$31,J$31,$G693=$G$34,J$34,$G693=$G$37,J$37,$G693=$G$107,J$107,$G693=$G$110,J$110,$G693=$G$140,J$140,$G693=$G$142,J$142,$G693=$G$408,J$408)</f>
        <v>106</v>
      </c>
      <c r="K693" s="13" t="str" cm="1">
        <f t="array" ref="K693">_xlfn.IFS($G693=$G$5,K$5,$G693=$G$7,K$7,$G693=$G$10,K$10,$G693=$G$13,K$13,$G693=$G$14,K$14,$G693=$G$16,K$16,$G693=$G$17,K$17,$G693=$G$19,K$19,$G693=$G$20,K$20,$G693=$G$22,K$22,$G693=$G$23,K$23,$G693=$G$26,K$26,$G693=$G$29,K$29,$G693=$G$31,K$31,$G693=$G$34,K$34,$G693=$G$37,K$37,$G693=$G$107,K$107,$G693=$G$110,K$110,$G693=$G$140,K$140,$G693=$G$142,K$142,$G693=$G$408,K$408)</f>
        <v>BG sentinel + BG lure7</v>
      </c>
      <c r="O693" s="13" t="str">
        <f t="shared" si="62"/>
        <v>A_SP_BCN_16_221109</v>
      </c>
      <c r="P693" s="27">
        <v>44874</v>
      </c>
      <c r="Q693" s="29">
        <v>0.70833333333333337</v>
      </c>
      <c r="R693" s="33"/>
      <c r="S693" s="27">
        <v>44880</v>
      </c>
      <c r="T693" s="29">
        <v>0.79166666666666663</v>
      </c>
      <c r="V693" s="13" t="s">
        <v>86</v>
      </c>
      <c r="X693" s="13">
        <f t="shared" si="65"/>
        <v>6</v>
      </c>
      <c r="Z693" s="13" t="s">
        <v>60</v>
      </c>
      <c r="AA693" s="13">
        <f t="shared" ref="AA693:AA707" si="68">SUM(AC693:AD693)</f>
        <v>10</v>
      </c>
      <c r="AB693" s="13" t="str">
        <f t="shared" si="66"/>
        <v>Adult</v>
      </c>
      <c r="AC693" s="13">
        <v>5</v>
      </c>
      <c r="AD693" s="13">
        <v>5</v>
      </c>
      <c r="AE693" s="13" t="str">
        <f t="shared" si="67"/>
        <v>Morphological</v>
      </c>
      <c r="AF693" s="2">
        <v>4</v>
      </c>
    </row>
    <row r="694" spans="1:32" x14ac:dyDescent="0.25">
      <c r="A694" s="13">
        <v>690</v>
      </c>
      <c r="B694" s="23" t="s">
        <v>56</v>
      </c>
      <c r="C694" s="23" t="s">
        <v>57</v>
      </c>
      <c r="D694" s="23" t="s">
        <v>58</v>
      </c>
      <c r="E694" s="23" t="s">
        <v>58</v>
      </c>
      <c r="F694" s="35" cm="1">
        <f t="array" ref="F694">_xlfn.IFS($G694=$G$5,F$5,$G694=$G$7,F$7,$G694=$G$10,F$10,$G694=$G$13,F$13,$G694=$G$14,F$14,$G694=$G$16,F$16,$G694=$G$17,F$17,$G694=$G$19,F$19,$G694=$G$20,F$20,$G694=$G$22,F$22,$G694=$G$23,F$23,$G694=$G$26,F$26,$G694=$G$29,F$29,$G694=$G$31,F$31,$G694=$G$34,F$34,$G694=$G$37,F$37,$G694=$G$107,F$107,$G694=$G$110,F$110,$G694=$G$140,F$140,$G694=$G$142,F$142,$G694=$G$408,F$408)</f>
        <v>8017</v>
      </c>
      <c r="G694" s="13" t="s">
        <v>73</v>
      </c>
      <c r="H694" s="51" cm="1">
        <f t="array" ref="H694">_xlfn.IFS($G694=$G$5,H$5,$G694=$G$7,H$7,$G694=$G$10,H$10,$G694=$G$13,H$13,$G694=$G$14,H$14,$G694=$G$16,H$16,$G694=$G$17,H$17,$G694=$G$19,H$19,$G694=$G$20,H$20,$G694=$G$22,H$22,$G694=$G$23,H$23,$G694=$G$26,H$26,$G694=$G$29,H$29,$G694=$G$31,H$31,$G694=$G$34,H$34,$G694=$G$37,H$37,$G694=$G$107,H$107,$G694=$G$110,H$110,$G694=$G$140,H$140,$G694=$G$142,H$142,$G694=$G$408,H$408)</f>
        <v>41.398387</v>
      </c>
      <c r="I694" s="51" cm="1">
        <f t="array" ref="I694">_xlfn.IFS($G694=$G$5,I$5,$G694=$G$7,I$7,$G694=$G$10,I$10,$G694=$G$13,I$13,$G694=$G$14,I$14,$G694=$G$16,I$16,$G694=$G$17,I$17,$G694=$G$19,I$19,$G694=$G$20,I$20,$G694=$G$22,I$22,$G694=$G$23,I$23,$G694=$G$26,I$26,$G694=$G$29,I$29,$G694=$G$31,I$31,$G694=$G$34,I$34,$G694=$G$37,I$37,$G694=$G$107,I$107,$G694=$G$110,I$110,$G694=$G$140,I$140,$G694=$G$142,I$142,$G694=$G$408,I$408)</f>
        <v>2.1244429999999999</v>
      </c>
      <c r="J694" s="51" cm="1">
        <f t="array" ref="J694">_xlfn.IFS($G694=$G$5,J$5,$G694=$G$7,J$7,$G694=$G$10,J$10,$G694=$G$13,J$13,$G694=$G$14,J$14,$G694=$G$16,J$16,$G694=$G$17,J$17,$G694=$G$19,J$19,$G694=$G$20,J$20,$G694=$G$22,J$22,$G694=$G$23,J$23,$G694=$G$26,J$26,$G694=$G$29,J$29,$G694=$G$31,J$31,$G694=$G$34,J$34,$G694=$G$37,J$37,$G694=$G$107,J$107,$G694=$G$110,J$110,$G694=$G$140,J$140,$G694=$G$142,J$142,$G694=$G$408,J$408)</f>
        <v>106</v>
      </c>
      <c r="K694" s="13" t="str" cm="1">
        <f t="array" ref="K694">_xlfn.IFS($G694=$G$5,K$5,$G694=$G$7,K$7,$G694=$G$10,K$10,$G694=$G$13,K$13,$G694=$G$14,K$14,$G694=$G$16,K$16,$G694=$G$17,K$17,$G694=$G$19,K$19,$G694=$G$20,K$20,$G694=$G$22,K$22,$G694=$G$23,K$23,$G694=$G$26,K$26,$G694=$G$29,K$29,$G694=$G$31,K$31,$G694=$G$34,K$34,$G694=$G$37,K$37,$G694=$G$107,K$107,$G694=$G$110,K$110,$G694=$G$140,K$140,$G694=$G$142,K$142,$G694=$G$408,K$408)</f>
        <v>BG sentinel + BG lure7</v>
      </c>
      <c r="O694" s="13" t="str">
        <f t="shared" si="62"/>
        <v>A_SP_BCN_16_221109</v>
      </c>
      <c r="P694" s="27">
        <v>44874</v>
      </c>
      <c r="Q694" s="29">
        <v>0.70833333333333337</v>
      </c>
      <c r="R694" s="33"/>
      <c r="S694" s="27">
        <v>44880</v>
      </c>
      <c r="T694" s="29">
        <v>0.79166666666666663</v>
      </c>
      <c r="V694" s="13" t="s">
        <v>86</v>
      </c>
      <c r="X694" s="13">
        <f t="shared" si="65"/>
        <v>6</v>
      </c>
      <c r="Z694" s="13" t="s">
        <v>164</v>
      </c>
      <c r="AA694" s="13">
        <f t="shared" si="68"/>
        <v>3</v>
      </c>
      <c r="AB694" s="13" t="str">
        <f t="shared" si="66"/>
        <v>Adult</v>
      </c>
      <c r="AC694" s="13">
        <v>1</v>
      </c>
      <c r="AD694" s="13">
        <v>2</v>
      </c>
      <c r="AE694" s="13" t="str">
        <f t="shared" si="67"/>
        <v>Morphological</v>
      </c>
      <c r="AF694" s="2">
        <v>4</v>
      </c>
    </row>
    <row r="695" spans="1:32" x14ac:dyDescent="0.25">
      <c r="A695" s="13">
        <v>691</v>
      </c>
      <c r="B695" s="23" t="s">
        <v>56</v>
      </c>
      <c r="C695" s="23" t="s">
        <v>57</v>
      </c>
      <c r="D695" s="23" t="s">
        <v>58</v>
      </c>
      <c r="E695" s="23" t="s">
        <v>58</v>
      </c>
      <c r="F695" s="35" cm="1">
        <f t="array" ref="F695">_xlfn.IFS($G695=$G$5,F$5,$G695=$G$7,F$7,$G695=$G$10,F$10,$G695=$G$13,F$13,$G695=$G$14,F$14,$G695=$G$16,F$16,$G695=$G$17,F$17,$G695=$G$19,F$19,$G695=$G$20,F$20,$G695=$G$22,F$22,$G695=$G$23,F$23,$G695=$G$26,F$26,$G695=$G$29,F$29,$G695=$G$31,F$31,$G695=$G$34,F$34,$G695=$G$37,F$37,$G695=$G$107,F$107,$G695=$G$110,F$110,$G695=$G$140,F$140,$G695=$G$142,F$142,$G695=$G$408,F$408)</f>
        <v>8023</v>
      </c>
      <c r="G695" s="13" t="s">
        <v>74</v>
      </c>
      <c r="H695" s="51" cm="1">
        <f t="array" ref="H695">_xlfn.IFS($G695=$G$5,H$5,$G695=$G$7,H$7,$G695=$G$10,H$10,$G695=$G$13,H$13,$G695=$G$14,H$14,$G695=$G$16,H$16,$G695=$G$17,H$17,$G695=$G$19,H$19,$G695=$G$20,H$20,$G695=$G$22,H$22,$G695=$G$23,H$23,$G695=$G$26,H$26,$G695=$G$29,H$29,$G695=$G$31,H$31,$G695=$G$34,H$34,$G695=$G$37,H$37,$G695=$G$107,H$107,$G695=$G$110,H$110,$G695=$G$140,H$140,$G695=$G$142,H$142,$G695=$G$408,H$408)</f>
        <v>41.417256000000002</v>
      </c>
      <c r="I695" s="51" cm="1">
        <f t="array" ref="I695">_xlfn.IFS($G695=$G$5,I$5,$G695=$G$7,I$7,$G695=$G$10,I$10,$G695=$G$13,I$13,$G695=$G$14,I$14,$G695=$G$16,I$16,$G695=$G$17,I$17,$G695=$G$19,I$19,$G695=$G$20,I$20,$G695=$G$22,I$22,$G695=$G$23,I$23,$G695=$G$26,I$26,$G695=$G$29,I$29,$G695=$G$31,I$31,$G695=$G$34,I$34,$G695=$G$37,I$37,$G695=$G$107,I$107,$G695=$G$110,I$110,$G695=$G$140,I$140,$G695=$G$142,I$142,$G695=$G$408,I$408)</f>
        <v>2.1455709999999999</v>
      </c>
      <c r="J695" s="51" cm="1">
        <f t="array" ref="J695">_xlfn.IFS($G695=$G$5,J$5,$G695=$G$7,J$7,$G695=$G$10,J$10,$G695=$G$13,J$13,$G695=$G$14,J$14,$G695=$G$16,J$16,$G695=$G$17,J$17,$G695=$G$19,J$19,$G695=$G$20,J$20,$G695=$G$22,J$22,$G695=$G$23,J$23,$G695=$G$26,J$26,$G695=$G$29,J$29,$G695=$G$31,J$31,$G695=$G$34,J$34,$G695=$G$37,J$37,$G695=$G$107,J$107,$G695=$G$110,J$110,$G695=$G$140,J$140,$G695=$G$142,J$142,$G695=$G$408,J$408)</f>
        <v>186</v>
      </c>
      <c r="K695" s="13" t="str" cm="1">
        <f t="array" ref="K695">_xlfn.IFS($G695=$G$5,K$5,$G695=$G$7,K$7,$G695=$G$10,K$10,$G695=$G$13,K$13,$G695=$G$14,K$14,$G695=$G$16,K$16,$G695=$G$17,K$17,$G695=$G$19,K$19,$G695=$G$20,K$20,$G695=$G$22,K$22,$G695=$G$23,K$23,$G695=$G$26,K$26,$G695=$G$29,K$29,$G695=$G$31,K$31,$G695=$G$34,K$34,$G695=$G$37,K$37,$G695=$G$107,K$107,$G695=$G$110,K$110,$G695=$G$140,K$140,$G695=$G$142,K$142,$G695=$G$408,K$408)</f>
        <v>BG sentinel + BG lure7</v>
      </c>
      <c r="O695" s="13" t="str">
        <f t="shared" si="62"/>
        <v>A_SP_BCN_17_221109</v>
      </c>
      <c r="P695" s="27">
        <v>44874</v>
      </c>
      <c r="Q695" s="29">
        <v>0.59722222222222221</v>
      </c>
      <c r="R695" s="33"/>
      <c r="S695" s="27">
        <v>44880</v>
      </c>
      <c r="T695" s="29">
        <v>0.67361111111111116</v>
      </c>
      <c r="V695" s="13" t="s">
        <v>86</v>
      </c>
      <c r="X695" s="13">
        <f t="shared" si="65"/>
        <v>6</v>
      </c>
      <c r="Z695" s="13" t="s">
        <v>60</v>
      </c>
      <c r="AA695" s="13">
        <f t="shared" si="68"/>
        <v>1</v>
      </c>
      <c r="AB695" s="13" t="str">
        <f t="shared" si="66"/>
        <v>Adult</v>
      </c>
      <c r="AC695" s="13">
        <v>1</v>
      </c>
      <c r="AD695" s="13">
        <v>0</v>
      </c>
      <c r="AE695" s="13" t="str">
        <f t="shared" si="67"/>
        <v>Morphological</v>
      </c>
      <c r="AF695" s="2">
        <v>4</v>
      </c>
    </row>
    <row r="696" spans="1:32" x14ac:dyDescent="0.25">
      <c r="A696" s="13">
        <v>692</v>
      </c>
      <c r="B696" s="23" t="s">
        <v>56</v>
      </c>
      <c r="C696" s="23" t="s">
        <v>57</v>
      </c>
      <c r="D696" s="23" t="s">
        <v>58</v>
      </c>
      <c r="E696" s="23" t="s">
        <v>58</v>
      </c>
      <c r="F696" s="35" cm="1">
        <f t="array" ref="F696">_xlfn.IFS($G696=$G$5,F$5,$G696=$G$7,F$7,$G696=$G$10,F$10,$G696=$G$13,F$13,$G696=$G$14,F$14,$G696=$G$16,F$16,$G696=$G$17,F$17,$G696=$G$19,F$19,$G696=$G$20,F$20,$G696=$G$22,F$22,$G696=$G$23,F$23,$G696=$G$26,F$26,$G696=$G$29,F$29,$G696=$G$31,F$31,$G696=$G$34,F$34,$G696=$G$37,F$37,$G696=$G$107,F$107,$G696=$G$110,F$110,$G696=$G$140,F$140,$G696=$G$142,F$142,$G696=$G$408,F$408)</f>
        <v>8023</v>
      </c>
      <c r="G696" s="13" t="s">
        <v>74</v>
      </c>
      <c r="H696" s="51" cm="1">
        <f t="array" ref="H696">_xlfn.IFS($G696=$G$5,H$5,$G696=$G$7,H$7,$G696=$G$10,H$10,$G696=$G$13,H$13,$G696=$G$14,H$14,$G696=$G$16,H$16,$G696=$G$17,H$17,$G696=$G$19,H$19,$G696=$G$20,H$20,$G696=$G$22,H$22,$G696=$G$23,H$23,$G696=$G$26,H$26,$G696=$G$29,H$29,$G696=$G$31,H$31,$G696=$G$34,H$34,$G696=$G$37,H$37,$G696=$G$107,H$107,$G696=$G$110,H$110,$G696=$G$140,H$140,$G696=$G$142,H$142,$G696=$G$408,H$408)</f>
        <v>41.417256000000002</v>
      </c>
      <c r="I696" s="51" cm="1">
        <f t="array" ref="I696">_xlfn.IFS($G696=$G$5,I$5,$G696=$G$7,I$7,$G696=$G$10,I$10,$G696=$G$13,I$13,$G696=$G$14,I$14,$G696=$G$16,I$16,$G696=$G$17,I$17,$G696=$G$19,I$19,$G696=$G$20,I$20,$G696=$G$22,I$22,$G696=$G$23,I$23,$G696=$G$26,I$26,$G696=$G$29,I$29,$G696=$G$31,I$31,$G696=$G$34,I$34,$G696=$G$37,I$37,$G696=$G$107,I$107,$G696=$G$110,I$110,$G696=$G$140,I$140,$G696=$G$142,I$142,$G696=$G$408,I$408)</f>
        <v>2.1455709999999999</v>
      </c>
      <c r="J696" s="51" cm="1">
        <f t="array" ref="J696">_xlfn.IFS($G696=$G$5,J$5,$G696=$G$7,J$7,$G696=$G$10,J$10,$G696=$G$13,J$13,$G696=$G$14,J$14,$G696=$G$16,J$16,$G696=$G$17,J$17,$G696=$G$19,J$19,$G696=$G$20,J$20,$G696=$G$22,J$22,$G696=$G$23,J$23,$G696=$G$26,J$26,$G696=$G$29,J$29,$G696=$G$31,J$31,$G696=$G$34,J$34,$G696=$G$37,J$37,$G696=$G$107,J$107,$G696=$G$110,J$110,$G696=$G$140,J$140,$G696=$G$142,J$142,$G696=$G$408,J$408)</f>
        <v>186</v>
      </c>
      <c r="K696" s="13" t="str" cm="1">
        <f t="array" ref="K696">_xlfn.IFS($G696=$G$5,K$5,$G696=$G$7,K$7,$G696=$G$10,K$10,$G696=$G$13,K$13,$G696=$G$14,K$14,$G696=$G$16,K$16,$G696=$G$17,K$17,$G696=$G$19,K$19,$G696=$G$20,K$20,$G696=$G$22,K$22,$G696=$G$23,K$23,$G696=$G$26,K$26,$G696=$G$29,K$29,$G696=$G$31,K$31,$G696=$G$34,K$34,$G696=$G$37,K$37,$G696=$G$107,K$107,$G696=$G$110,K$110,$G696=$G$140,K$140,$G696=$G$142,K$142,$G696=$G$408,K$408)</f>
        <v>BG sentinel + BG lure7</v>
      </c>
      <c r="O696" s="13" t="str">
        <f t="shared" si="62"/>
        <v>A_SP_BCN_17_221109</v>
      </c>
      <c r="P696" s="27">
        <v>44874</v>
      </c>
      <c r="Q696" s="29">
        <v>0.59722222222222221</v>
      </c>
      <c r="R696" s="33"/>
      <c r="S696" s="27">
        <v>44880</v>
      </c>
      <c r="T696" s="29">
        <v>0.67361111111111116</v>
      </c>
      <c r="V696" s="13" t="s">
        <v>86</v>
      </c>
      <c r="X696" s="13">
        <f t="shared" si="65"/>
        <v>6</v>
      </c>
      <c r="Z696" s="32" t="s">
        <v>163</v>
      </c>
      <c r="AA696" s="13">
        <f t="shared" si="68"/>
        <v>2</v>
      </c>
      <c r="AB696" s="13" t="str">
        <f t="shared" si="66"/>
        <v>Adult</v>
      </c>
      <c r="AC696" s="13">
        <v>2</v>
      </c>
      <c r="AD696" s="13">
        <v>0</v>
      </c>
      <c r="AE696" s="13" t="str">
        <f t="shared" si="67"/>
        <v>Morphological</v>
      </c>
      <c r="AF696" s="2">
        <v>4</v>
      </c>
    </row>
    <row r="697" spans="1:32" x14ac:dyDescent="0.25">
      <c r="A697" s="13">
        <v>693</v>
      </c>
      <c r="B697" s="23" t="s">
        <v>56</v>
      </c>
      <c r="C697" s="23" t="s">
        <v>57</v>
      </c>
      <c r="D697" s="23" t="s">
        <v>58</v>
      </c>
      <c r="E697" s="23" t="s">
        <v>58</v>
      </c>
      <c r="F697" s="35" cm="1">
        <f t="array" ref="F697">_xlfn.IFS($G697=$G$5,F$5,$G697=$G$7,F$7,$G697=$G$10,F$10,$G697=$G$13,F$13,$G697=$G$14,F$14,$G697=$G$16,F$16,$G697=$G$17,F$17,$G697=$G$19,F$19,$G697=$G$20,F$20,$G697=$G$22,F$22,$G697=$G$23,F$23,$G697=$G$26,F$26,$G697=$G$29,F$29,$G697=$G$31,F$31,$G697=$G$34,F$34,$G697=$G$37,F$37,$G697=$G$107,F$107,$G697=$G$110,F$110,$G697=$G$140,F$140,$G697=$G$142,F$142,$G697=$G$408,F$408)</f>
        <v>8031</v>
      </c>
      <c r="G697" s="13" t="s">
        <v>75</v>
      </c>
      <c r="H697" s="51" cm="1">
        <f t="array" ref="H697">_xlfn.IFS($G697=$G$5,H$5,$G697=$G$7,H$7,$G697=$G$10,H$10,$G697=$G$13,H$13,$G697=$G$14,H$14,$G697=$G$16,H$16,$G697=$G$17,H$17,$G697=$G$19,H$19,$G697=$G$20,H$20,$G697=$G$22,H$22,$G697=$G$23,H$23,$G697=$G$26,H$26,$G697=$G$29,H$29,$G697=$G$31,H$31,$G697=$G$34,H$34,$G697=$G$37,H$37,$G697=$G$107,H$107,$G697=$G$110,H$110,$G697=$G$140,H$140,$G697=$G$142,H$142,$G697=$G$408,H$408)</f>
        <v>41.433618000000003</v>
      </c>
      <c r="I697" s="51" cm="1">
        <f t="array" ref="I697">_xlfn.IFS($G697=$G$5,I$5,$G697=$G$7,I$7,$G697=$G$10,I$10,$G697=$G$13,I$13,$G697=$G$14,I$14,$G697=$G$16,I$16,$G697=$G$17,I$17,$G697=$G$19,I$19,$G697=$G$20,I$20,$G697=$G$22,I$22,$G697=$G$23,I$23,$G697=$G$26,I$26,$G697=$G$29,I$29,$G697=$G$31,I$31,$G697=$G$34,I$34,$G697=$G$37,I$37,$G697=$G$107,I$107,$G697=$G$110,I$110,$G697=$G$140,I$140,$G697=$G$142,I$142,$G697=$G$408,I$408)</f>
        <v>2.1677469999999999</v>
      </c>
      <c r="J697" s="51" cm="1">
        <f t="array" ref="J697">_xlfn.IFS($G697=$G$5,J$5,$G697=$G$7,J$7,$G697=$G$10,J$10,$G697=$G$13,J$13,$G697=$G$14,J$14,$G697=$G$16,J$16,$G697=$G$17,J$17,$G697=$G$19,J$19,$G697=$G$20,J$20,$G697=$G$22,J$22,$G697=$G$23,J$23,$G697=$G$26,J$26,$G697=$G$29,J$29,$G697=$G$31,J$31,$G697=$G$34,J$34,$G697=$G$37,J$37,$G697=$G$107,J$107,$G697=$G$110,J$110,$G697=$G$140,J$140,$G697=$G$142,J$142,$G697=$G$408,J$408)</f>
        <v>96.85</v>
      </c>
      <c r="K697" s="13" t="str" cm="1">
        <f t="array" ref="K697">_xlfn.IFS($G697=$G$5,K$5,$G697=$G$7,K$7,$G697=$G$10,K$10,$G697=$G$13,K$13,$G697=$G$14,K$14,$G697=$G$16,K$16,$G697=$G$17,K$17,$G697=$G$19,K$19,$G697=$G$20,K$20,$G697=$G$22,K$22,$G697=$G$23,K$23,$G697=$G$26,K$26,$G697=$G$29,K$29,$G697=$G$31,K$31,$G697=$G$34,K$34,$G697=$G$37,K$37,$G697=$G$107,K$107,$G697=$G$110,K$110,$G697=$G$140,K$140,$G697=$G$142,K$142,$G697=$G$408,K$408)</f>
        <v>BG sentinel + BG lure7</v>
      </c>
      <c r="O697" s="13" t="str">
        <f t="shared" si="62"/>
        <v>A_SP_BCN_18_221109</v>
      </c>
      <c r="P697" s="27">
        <v>44874</v>
      </c>
      <c r="Q697" s="29">
        <v>0.73611111111111116</v>
      </c>
      <c r="R697" s="33"/>
      <c r="S697" s="27">
        <v>44880</v>
      </c>
      <c r="T697" s="29">
        <v>0.82291666666666663</v>
      </c>
      <c r="V697" s="13" t="s">
        <v>86</v>
      </c>
      <c r="X697" s="13">
        <f t="shared" si="65"/>
        <v>6</v>
      </c>
      <c r="Z697" s="13" t="s">
        <v>60</v>
      </c>
      <c r="AA697" s="13">
        <f t="shared" si="68"/>
        <v>3</v>
      </c>
      <c r="AB697" s="13" t="str">
        <f t="shared" si="66"/>
        <v>Adult</v>
      </c>
      <c r="AC697" s="13">
        <v>3</v>
      </c>
      <c r="AD697" s="13">
        <v>0</v>
      </c>
      <c r="AE697" s="13" t="str">
        <f t="shared" si="67"/>
        <v>Morphological</v>
      </c>
      <c r="AF697" s="2">
        <v>4</v>
      </c>
    </row>
    <row r="698" spans="1:32" x14ac:dyDescent="0.25">
      <c r="A698" s="13">
        <v>694</v>
      </c>
      <c r="B698" s="23" t="s">
        <v>56</v>
      </c>
      <c r="C698" s="23" t="s">
        <v>57</v>
      </c>
      <c r="D698" s="23" t="s">
        <v>58</v>
      </c>
      <c r="E698" s="23" t="s">
        <v>58</v>
      </c>
      <c r="F698" s="35" cm="1">
        <f t="array" ref="F698">_xlfn.IFS($G698=$G$5,F$5,$G698=$G$7,F$7,$G698=$G$10,F$10,$G698=$G$13,F$13,$G698=$G$14,F$14,$G698=$G$16,F$16,$G698=$G$17,F$17,$G698=$G$19,F$19,$G698=$G$20,F$20,$G698=$G$22,F$22,$G698=$G$23,F$23,$G698=$G$26,F$26,$G698=$G$29,F$29,$G698=$G$31,F$31,$G698=$G$34,F$34,$G698=$G$37,F$37,$G698=$G$107,F$107,$G698=$G$110,F$110,$G698=$G$140,F$140,$G698=$G$142,F$142,$G698=$G$408,F$408)</f>
        <v>8038</v>
      </c>
      <c r="G698" s="13" t="s">
        <v>76</v>
      </c>
      <c r="H698" s="51" cm="1">
        <f t="array" ref="H698">_xlfn.IFS($G698=$G$5,H$5,$G698=$G$7,H$7,$G698=$G$10,H$10,$G698=$G$13,H$13,$G698=$G$14,H$14,$G698=$G$16,H$16,$G698=$G$17,H$17,$G698=$G$19,H$19,$G698=$G$20,H$20,$G698=$G$22,H$22,$G698=$G$23,H$23,$G698=$G$26,H$26,$G698=$G$29,H$29,$G698=$G$31,H$31,$G698=$G$34,H$34,$G698=$G$37,H$37,$G698=$G$107,H$107,$G698=$G$110,H$110,$G698=$G$140,H$140,$G698=$G$142,H$142,$G698=$G$408,H$408)</f>
        <v>41.359864999999999</v>
      </c>
      <c r="I698" s="51" cm="1">
        <f t="array" ref="I698">_xlfn.IFS($G698=$G$5,I$5,$G698=$G$7,I$7,$G698=$G$10,I$10,$G698=$G$13,I$13,$G698=$G$14,I$14,$G698=$G$16,I$16,$G698=$G$17,I$17,$G698=$G$19,I$19,$G698=$G$20,I$20,$G698=$G$22,I$22,$G698=$G$23,I$23,$G698=$G$26,I$26,$G698=$G$29,I$29,$G698=$G$31,I$31,$G698=$G$34,I$34,$G698=$G$37,I$37,$G698=$G$107,I$107,$G698=$G$110,I$110,$G698=$G$140,I$140,$G698=$G$142,I$142,$G698=$G$408,I$408)</f>
        <v>2.1445430000000001</v>
      </c>
      <c r="J698" s="51" cm="1">
        <f t="array" ref="J698">_xlfn.IFS($G698=$G$5,J$5,$G698=$G$7,J$7,$G698=$G$10,J$10,$G698=$G$13,J$13,$G698=$G$14,J$14,$G698=$G$16,J$16,$G698=$G$17,J$17,$G698=$G$19,J$19,$G698=$G$20,J$20,$G698=$G$22,J$22,$G698=$G$23,J$23,$G698=$G$26,J$26,$G698=$G$29,J$29,$G698=$G$31,J$31,$G698=$G$34,J$34,$G698=$G$37,J$37,$G698=$G$107,J$107,$G698=$G$110,J$110,$G698=$G$140,J$140,$G698=$G$142,J$142,$G698=$G$408,J$408)</f>
        <v>11.4</v>
      </c>
      <c r="K698" s="13" t="str" cm="1">
        <f t="array" ref="K698">_xlfn.IFS($G698=$G$5,K$5,$G698=$G$7,K$7,$G698=$G$10,K$10,$G698=$G$13,K$13,$G698=$G$14,K$14,$G698=$G$16,K$16,$G698=$G$17,K$17,$G698=$G$19,K$19,$G698=$G$20,K$20,$G698=$G$22,K$22,$G698=$G$23,K$23,$G698=$G$26,K$26,$G698=$G$29,K$29,$G698=$G$31,K$31,$G698=$G$34,K$34,$G698=$G$37,K$37,$G698=$G$107,K$107,$G698=$G$110,K$110,$G698=$G$140,K$140,$G698=$G$142,K$142,$G698=$G$408,K$408)</f>
        <v>BG sentinel + BG lure7</v>
      </c>
      <c r="O698" s="13" t="str">
        <f t="shared" si="62"/>
        <v>A_SP_BCN_19_221109</v>
      </c>
      <c r="P698" s="27">
        <v>44874</v>
      </c>
      <c r="Q698" s="29">
        <v>0.51388888888888895</v>
      </c>
      <c r="R698" s="33"/>
      <c r="S698" s="27">
        <v>44880</v>
      </c>
      <c r="T698" s="29">
        <v>0.59722222222222221</v>
      </c>
      <c r="V698" s="13" t="s">
        <v>86</v>
      </c>
      <c r="X698" s="13">
        <f t="shared" si="65"/>
        <v>6</v>
      </c>
      <c r="Z698" s="13" t="s">
        <v>60</v>
      </c>
      <c r="AA698" s="13">
        <f t="shared" si="68"/>
        <v>2</v>
      </c>
      <c r="AB698" s="13" t="str">
        <f t="shared" si="66"/>
        <v>Adult</v>
      </c>
      <c r="AC698" s="13">
        <v>2</v>
      </c>
      <c r="AD698" s="13">
        <v>0</v>
      </c>
      <c r="AE698" s="13" t="str">
        <f t="shared" si="67"/>
        <v>Morphological</v>
      </c>
      <c r="AF698" s="2">
        <v>4</v>
      </c>
    </row>
    <row r="699" spans="1:32" x14ac:dyDescent="0.25">
      <c r="A699" s="13">
        <v>695</v>
      </c>
      <c r="B699" s="23" t="s">
        <v>56</v>
      </c>
      <c r="C699" s="23" t="s">
        <v>57</v>
      </c>
      <c r="D699" s="23" t="s">
        <v>58</v>
      </c>
      <c r="E699" s="23" t="s">
        <v>58</v>
      </c>
      <c r="F699" s="35" cm="1">
        <f t="array" ref="F699">_xlfn.IFS($G699=$G$5,F$5,$G699=$G$7,F$7,$G699=$G$10,F$10,$G699=$G$13,F$13,$G699=$G$14,F$14,$G699=$G$16,F$16,$G699=$G$17,F$17,$G699=$G$19,F$19,$G699=$G$20,F$20,$G699=$G$22,F$22,$G699=$G$23,F$23,$G699=$G$26,F$26,$G699=$G$29,F$29,$G699=$G$31,F$31,$G699=$G$34,F$34,$G699=$G$37,F$37,$G699=$G$107,F$107,$G699=$G$110,F$110,$G699=$G$140,F$140,$G699=$G$142,F$142,$G699=$G$408,F$408)</f>
        <v>8038</v>
      </c>
      <c r="G699" s="13" t="s">
        <v>76</v>
      </c>
      <c r="H699" s="51" cm="1">
        <f t="array" ref="H699">_xlfn.IFS($G699=$G$5,H$5,$G699=$G$7,H$7,$G699=$G$10,H$10,$G699=$G$13,H$13,$G699=$G$14,H$14,$G699=$G$16,H$16,$G699=$G$17,H$17,$G699=$G$19,H$19,$G699=$G$20,H$20,$G699=$G$22,H$22,$G699=$G$23,H$23,$G699=$G$26,H$26,$G699=$G$29,H$29,$G699=$G$31,H$31,$G699=$G$34,H$34,$G699=$G$37,H$37,$G699=$G$107,H$107,$G699=$G$110,H$110,$G699=$G$140,H$140,$G699=$G$142,H$142,$G699=$G$408,H$408)</f>
        <v>41.359864999999999</v>
      </c>
      <c r="I699" s="51" cm="1">
        <f t="array" ref="I699">_xlfn.IFS($G699=$G$5,I$5,$G699=$G$7,I$7,$G699=$G$10,I$10,$G699=$G$13,I$13,$G699=$G$14,I$14,$G699=$G$16,I$16,$G699=$G$17,I$17,$G699=$G$19,I$19,$G699=$G$20,I$20,$G699=$G$22,I$22,$G699=$G$23,I$23,$G699=$G$26,I$26,$G699=$G$29,I$29,$G699=$G$31,I$31,$G699=$G$34,I$34,$G699=$G$37,I$37,$G699=$G$107,I$107,$G699=$G$110,I$110,$G699=$G$140,I$140,$G699=$G$142,I$142,$G699=$G$408,I$408)</f>
        <v>2.1445430000000001</v>
      </c>
      <c r="J699" s="51" cm="1">
        <f t="array" ref="J699">_xlfn.IFS($G699=$G$5,J$5,$G699=$G$7,J$7,$G699=$G$10,J$10,$G699=$G$13,J$13,$G699=$G$14,J$14,$G699=$G$16,J$16,$G699=$G$17,J$17,$G699=$G$19,J$19,$G699=$G$20,J$20,$G699=$G$22,J$22,$G699=$G$23,J$23,$G699=$G$26,J$26,$G699=$G$29,J$29,$G699=$G$31,J$31,$G699=$G$34,J$34,$G699=$G$37,J$37,$G699=$G$107,J$107,$G699=$G$110,J$110,$G699=$G$140,J$140,$G699=$G$142,J$142,$G699=$G$408,J$408)</f>
        <v>11.4</v>
      </c>
      <c r="K699" s="13" t="str" cm="1">
        <f t="array" ref="K699">_xlfn.IFS($G699=$G$5,K$5,$G699=$G$7,K$7,$G699=$G$10,K$10,$G699=$G$13,K$13,$G699=$G$14,K$14,$G699=$G$16,K$16,$G699=$G$17,K$17,$G699=$G$19,K$19,$G699=$G$20,K$20,$G699=$G$22,K$22,$G699=$G$23,K$23,$G699=$G$26,K$26,$G699=$G$29,K$29,$G699=$G$31,K$31,$G699=$G$34,K$34,$G699=$G$37,K$37,$G699=$G$107,K$107,$G699=$G$110,K$110,$G699=$G$140,K$140,$G699=$G$142,K$142,$G699=$G$408,K$408)</f>
        <v>BG sentinel + BG lure7</v>
      </c>
      <c r="O699" s="13" t="str">
        <f t="shared" si="62"/>
        <v>A_SP_BCN_19_221109</v>
      </c>
      <c r="P699" s="27">
        <v>44874</v>
      </c>
      <c r="Q699" s="29">
        <v>0.51388888888888895</v>
      </c>
      <c r="R699" s="33"/>
      <c r="S699" s="27">
        <v>44880</v>
      </c>
      <c r="T699" s="29">
        <v>0.59722222222222221</v>
      </c>
      <c r="V699" s="13" t="s">
        <v>86</v>
      </c>
      <c r="X699" s="13">
        <f t="shared" si="65"/>
        <v>6</v>
      </c>
      <c r="Z699" s="13" t="s">
        <v>164</v>
      </c>
      <c r="AA699" s="13">
        <f t="shared" si="68"/>
        <v>2</v>
      </c>
      <c r="AB699" s="13" t="str">
        <f t="shared" si="66"/>
        <v>Adult</v>
      </c>
      <c r="AC699" s="13">
        <v>2</v>
      </c>
      <c r="AD699" s="13">
        <v>0</v>
      </c>
      <c r="AE699" s="13" t="str">
        <f t="shared" si="67"/>
        <v>Morphological</v>
      </c>
      <c r="AF699" s="2">
        <v>4</v>
      </c>
    </row>
    <row r="700" spans="1:32" x14ac:dyDescent="0.25">
      <c r="A700" s="13">
        <v>696</v>
      </c>
      <c r="B700" s="23" t="s">
        <v>56</v>
      </c>
      <c r="C700" s="23" t="s">
        <v>57</v>
      </c>
      <c r="D700" s="23" t="s">
        <v>58</v>
      </c>
      <c r="E700" s="23" t="s">
        <v>58</v>
      </c>
      <c r="F700" s="35" cm="1">
        <f t="array" ref="F700">_xlfn.IFS($G700=$G$5,F$5,$G700=$G$7,F$7,$G700=$G$10,F$10,$G700=$G$13,F$13,$G700=$G$14,F$14,$G700=$G$16,F$16,$G700=$G$17,F$17,$G700=$G$19,F$19,$G700=$G$20,F$20,$G700=$G$22,F$22,$G700=$G$23,F$23,$G700=$G$26,F$26,$G700=$G$29,F$29,$G700=$G$31,F$31,$G700=$G$34,F$34,$G700=$G$37,F$37,$G700=$G$107,F$107,$G700=$G$110,F$110,$G700=$G$140,F$140,$G700=$G$142,F$142,$G700=$G$408,F$408)</f>
        <v>8017</v>
      </c>
      <c r="G700" s="13" t="s">
        <v>77</v>
      </c>
      <c r="H700" s="51" cm="1">
        <f t="array" ref="H700">_xlfn.IFS($G700=$G$5,H$5,$G700=$G$7,H$7,$G700=$G$10,H$10,$G700=$G$13,H$13,$G700=$G$14,H$14,$G700=$G$16,H$16,$G700=$G$17,H$17,$G700=$G$19,H$19,$G700=$G$20,H$20,$G700=$G$22,H$22,$G700=$G$23,H$23,$G700=$G$26,H$26,$G700=$G$29,H$29,$G700=$G$31,H$31,$G700=$G$34,H$34,$G700=$G$37,H$37,$G700=$G$107,H$107,$G700=$G$110,H$110,$G700=$G$140,H$140,$G700=$G$142,H$142,$G700=$G$408,H$408)</f>
        <v>41.430315999999998</v>
      </c>
      <c r="I700" s="51" cm="1">
        <f t="array" ref="I700">_xlfn.IFS($G700=$G$5,I$5,$G700=$G$7,I$7,$G700=$G$10,I$10,$G700=$G$13,I$13,$G700=$G$14,I$14,$G700=$G$16,I$16,$G700=$G$17,I$17,$G700=$G$19,I$19,$G700=$G$20,I$20,$G700=$G$22,I$22,$G700=$G$23,I$23,$G700=$G$26,I$26,$G700=$G$29,I$29,$G700=$G$31,I$31,$G700=$G$34,I$34,$G700=$G$37,I$37,$G700=$G$107,I$107,$G700=$G$110,I$110,$G700=$G$140,I$140,$G700=$G$142,I$142,$G700=$G$408,I$408)</f>
        <v>2.077556</v>
      </c>
      <c r="J700" s="51" cm="1">
        <f t="array" ref="J700">_xlfn.IFS($G700=$G$5,J$5,$G700=$G$7,J$7,$G700=$G$10,J$10,$G700=$G$13,J$13,$G700=$G$14,J$14,$G700=$G$16,J$16,$G700=$G$17,J$17,$G700=$G$19,J$19,$G700=$G$20,J$20,$G700=$G$22,J$22,$G700=$G$23,J$23,$G700=$G$26,J$26,$G700=$G$29,J$29,$G700=$G$31,J$31,$G700=$G$34,J$34,$G700=$G$37,J$37,$G700=$G$107,J$107,$G700=$G$110,J$110,$G700=$G$140,J$140,$G700=$G$142,J$142,$G700=$G$408,J$408)</f>
        <v>243.3</v>
      </c>
      <c r="K700" s="13" t="str" cm="1">
        <f t="array" ref="K700">_xlfn.IFS($G700=$G$5,K$5,$G700=$G$7,K$7,$G700=$G$10,K$10,$G700=$G$13,K$13,$G700=$G$14,K$14,$G700=$G$16,K$16,$G700=$G$17,K$17,$G700=$G$19,K$19,$G700=$G$20,K$20,$G700=$G$22,K$22,$G700=$G$23,K$23,$G700=$G$26,K$26,$G700=$G$29,K$29,$G700=$G$31,K$31,$G700=$G$34,K$34,$G700=$G$37,K$37,$G700=$G$107,K$107,$G700=$G$110,K$110,$G700=$G$140,K$140,$G700=$G$142,K$142,$G700=$G$408,K$408)</f>
        <v>BG sentinel + BG lure7</v>
      </c>
      <c r="O700" s="13" t="str">
        <f t="shared" si="62"/>
        <v>A_SP_BCN_22_221109</v>
      </c>
      <c r="P700" s="27">
        <v>44874</v>
      </c>
      <c r="Q700" s="29">
        <v>0.66666666666666663</v>
      </c>
      <c r="R700" s="33"/>
      <c r="S700" s="27">
        <v>44880</v>
      </c>
      <c r="T700" s="29">
        <v>0.76388888888888884</v>
      </c>
      <c r="V700" s="13" t="s">
        <v>86</v>
      </c>
      <c r="X700" s="13">
        <f t="shared" si="65"/>
        <v>6</v>
      </c>
      <c r="Z700" s="13" t="s">
        <v>60</v>
      </c>
      <c r="AA700" s="13">
        <f t="shared" si="68"/>
        <v>2</v>
      </c>
      <c r="AB700" s="13" t="str">
        <f t="shared" si="66"/>
        <v>Adult</v>
      </c>
      <c r="AC700" s="13">
        <v>2</v>
      </c>
      <c r="AD700" s="13">
        <v>0</v>
      </c>
      <c r="AE700" s="13" t="str">
        <f t="shared" si="67"/>
        <v>Morphological</v>
      </c>
      <c r="AF700" s="2">
        <v>4</v>
      </c>
    </row>
    <row r="701" spans="1:32" x14ac:dyDescent="0.25">
      <c r="A701" s="13">
        <v>697</v>
      </c>
      <c r="B701" s="23" t="s">
        <v>56</v>
      </c>
      <c r="C701" s="23" t="s">
        <v>57</v>
      </c>
      <c r="D701" s="23" t="s">
        <v>58</v>
      </c>
      <c r="E701" s="23" t="s">
        <v>58</v>
      </c>
      <c r="F701" s="35" cm="1">
        <f t="array" ref="F701">_xlfn.IFS($G701=$G$5,F$5,$G701=$G$7,F$7,$G701=$G$10,F$10,$G701=$G$13,F$13,$G701=$G$14,F$14,$G701=$G$16,F$16,$G701=$G$17,F$17,$G701=$G$19,F$19,$G701=$G$20,F$20,$G701=$G$22,F$22,$G701=$G$23,F$23,$G701=$G$26,F$26,$G701=$G$29,F$29,$G701=$G$31,F$31,$G701=$G$34,F$34,$G701=$G$37,F$37,$G701=$G$107,F$107,$G701=$G$110,F$110,$G701=$G$140,F$140,$G701=$G$142,F$142,$G701=$G$408,F$408)</f>
        <v>8038</v>
      </c>
      <c r="G701" s="13" t="s">
        <v>79</v>
      </c>
      <c r="H701" s="51" cm="1">
        <f t="array" ref="H701">_xlfn.IFS($G701=$G$5,H$5,$G701=$G$7,H$7,$G701=$G$10,H$10,$G701=$G$13,H$13,$G701=$G$14,H$14,$G701=$G$16,H$16,$G701=$G$17,H$17,$G701=$G$19,H$19,$G701=$G$20,H$20,$G701=$G$22,H$22,$G701=$G$23,H$23,$G701=$G$26,H$26,$G701=$G$29,H$29,$G701=$G$31,H$31,$G701=$G$34,H$34,$G701=$G$37,H$37,$G701=$G$107,H$107,$G701=$G$110,H$110,$G701=$G$140,H$140,$G701=$G$142,H$142,$G701=$G$408,H$408)</f>
        <v>41.367100000000001</v>
      </c>
      <c r="I701" s="51" cm="1">
        <f t="array" ref="I701">_xlfn.IFS($G701=$G$5,I$5,$G701=$G$7,I$7,$G701=$G$10,I$10,$G701=$G$13,I$13,$G701=$G$14,I$14,$G701=$G$16,I$16,$G701=$G$17,I$17,$G701=$G$19,I$19,$G701=$G$20,I$20,$G701=$G$22,I$22,$G701=$G$23,I$23,$G701=$G$26,I$26,$G701=$G$29,I$29,$G701=$G$31,I$31,$G701=$G$34,I$34,$G701=$G$37,I$37,$G701=$G$107,I$107,$G701=$G$110,I$110,$G701=$G$140,I$140,$G701=$G$142,I$142,$G701=$G$408,I$408)</f>
        <v>2.1539079999999999</v>
      </c>
      <c r="J701" s="51" cm="1">
        <f t="array" ref="J701">_xlfn.IFS($G701=$G$5,J$5,$G701=$G$7,J$7,$G701=$G$10,J$10,$G701=$G$13,J$13,$G701=$G$14,J$14,$G701=$G$16,J$16,$G701=$G$17,J$17,$G701=$G$19,J$19,$G701=$G$20,J$20,$G701=$G$22,J$22,$G701=$G$23,J$23,$G701=$G$26,J$26,$G701=$G$29,J$29,$G701=$G$31,J$31,$G701=$G$34,J$34,$G701=$G$37,J$37,$G701=$G$107,J$107,$G701=$G$110,J$110,$G701=$G$140,J$140,$G701=$G$142,J$142,$G701=$G$408,J$408)</f>
        <v>68</v>
      </c>
      <c r="K701" s="13" t="str" cm="1">
        <f t="array" ref="K701">_xlfn.IFS($G701=$G$5,K$5,$G701=$G$7,K$7,$G701=$G$10,K$10,$G701=$G$13,K$13,$G701=$G$14,K$14,$G701=$G$16,K$16,$G701=$G$17,K$17,$G701=$G$19,K$19,$G701=$G$20,K$20,$G701=$G$22,K$22,$G701=$G$23,K$23,$G701=$G$26,K$26,$G701=$G$29,K$29,$G701=$G$31,K$31,$G701=$G$34,K$34,$G701=$G$37,K$37,$G701=$G$107,K$107,$G701=$G$110,K$110,$G701=$G$140,K$140,$G701=$G$142,K$142,$G701=$G$408,K$408)</f>
        <v>BG sentinel + BG lure7</v>
      </c>
      <c r="O701" s="13" t="str">
        <f t="shared" si="62"/>
        <v>A_SP_BCN_23_221109</v>
      </c>
      <c r="P701" s="27">
        <v>44874</v>
      </c>
      <c r="Q701" s="29">
        <v>0.52430555555555558</v>
      </c>
      <c r="R701" s="33"/>
      <c r="S701" s="27">
        <v>44880</v>
      </c>
      <c r="T701" s="29">
        <v>0.60763888888888895</v>
      </c>
      <c r="V701" s="13" t="s">
        <v>86</v>
      </c>
      <c r="X701" s="13">
        <f t="shared" si="65"/>
        <v>6</v>
      </c>
      <c r="Z701" s="13" t="s">
        <v>164</v>
      </c>
      <c r="AA701" s="13">
        <f t="shared" si="68"/>
        <v>1</v>
      </c>
      <c r="AB701" s="13" t="str">
        <f t="shared" si="66"/>
        <v>Adult</v>
      </c>
      <c r="AC701" s="13">
        <v>0</v>
      </c>
      <c r="AD701" s="13">
        <v>1</v>
      </c>
      <c r="AE701" s="13" t="str">
        <f t="shared" si="67"/>
        <v>Morphological</v>
      </c>
      <c r="AF701" s="2">
        <v>4</v>
      </c>
    </row>
    <row r="702" spans="1:32" x14ac:dyDescent="0.25">
      <c r="A702" s="13">
        <v>698</v>
      </c>
      <c r="B702" s="23" t="s">
        <v>56</v>
      </c>
      <c r="C702" s="23" t="s">
        <v>57</v>
      </c>
      <c r="D702" s="23" t="s">
        <v>58</v>
      </c>
      <c r="E702" s="23" t="s">
        <v>58</v>
      </c>
      <c r="F702" s="35" cm="1">
        <f t="array" ref="F702">_xlfn.IFS($G702=$G$5,F$5,$G702=$G$7,F$7,$G702=$G$10,F$10,$G702=$G$13,F$13,$G702=$G$14,F$14,$G702=$G$16,F$16,$G702=$G$17,F$17,$G702=$G$19,F$19,$G702=$G$20,F$20,$G702=$G$22,F$22,$G702=$G$23,F$23,$G702=$G$26,F$26,$G702=$G$29,F$29,$G702=$G$31,F$31,$G702=$G$34,F$34,$G702=$G$37,F$37,$G702=$G$107,F$107,$G702=$G$110,F$110,$G702=$G$140,F$140,$G702=$G$142,F$142,$G702=$G$408,F$408)</f>
        <v>8015</v>
      </c>
      <c r="G702" s="13" t="s">
        <v>78</v>
      </c>
      <c r="H702" s="51" cm="1">
        <f t="array" ref="H702">_xlfn.IFS($G702=$G$5,H$5,$G702=$G$7,H$7,$G702=$G$10,H$10,$G702=$G$13,H$13,$G702=$G$14,H$14,$G702=$G$16,H$16,$G702=$G$17,H$17,$G702=$G$19,H$19,$G702=$G$20,H$20,$G702=$G$22,H$22,$G702=$G$23,H$23,$G702=$G$26,H$26,$G702=$G$29,H$29,$G702=$G$31,H$31,$G702=$G$34,H$34,$G702=$G$37,H$37,$G702=$G$107,H$107,$G702=$G$110,H$110,$G702=$G$140,H$140,$G702=$G$142,H$142,$G702=$G$408,H$408)</f>
        <v>41.381725000000003</v>
      </c>
      <c r="I702" s="51" cm="1">
        <f t="array" ref="I702">_xlfn.IFS($G702=$G$5,I$5,$G702=$G$7,I$7,$G702=$G$10,I$10,$G702=$G$13,I$13,$G702=$G$14,I$14,$G702=$G$16,I$16,$G702=$G$17,I$17,$G702=$G$19,I$19,$G702=$G$20,I$20,$G702=$G$22,I$22,$G702=$G$23,I$23,$G702=$G$26,I$26,$G702=$G$29,I$29,$G702=$G$31,I$31,$G702=$G$34,I$34,$G702=$G$37,I$37,$G702=$G$107,I$107,$G702=$G$110,I$110,$G702=$G$140,I$140,$G702=$G$142,I$142,$G702=$G$408,I$408)</f>
        <v>2.1543679999999998</v>
      </c>
      <c r="J702" s="51" cm="1">
        <f t="array" ref="J702">_xlfn.IFS($G702=$G$5,J$5,$G702=$G$7,J$7,$G702=$G$10,J$10,$G702=$G$13,J$13,$G702=$G$14,J$14,$G702=$G$16,J$16,$G702=$G$17,J$17,$G702=$G$19,J$19,$G702=$G$20,J$20,$G702=$G$22,J$22,$G702=$G$23,J$23,$G702=$G$26,J$26,$G702=$G$29,J$29,$G702=$G$31,J$31,$G702=$G$34,J$34,$G702=$G$37,J$37,$G702=$G$107,J$107,$G702=$G$110,J$110,$G702=$G$140,J$140,$G702=$G$142,J$142,$G702=$G$408,J$408)</f>
        <v>20.7</v>
      </c>
      <c r="K702" s="13" t="str" cm="1">
        <f t="array" ref="K702">_xlfn.IFS($G702=$G$5,K$5,$G702=$G$7,K$7,$G702=$G$10,K$10,$G702=$G$13,K$13,$G702=$G$14,K$14,$G702=$G$16,K$16,$G702=$G$17,K$17,$G702=$G$19,K$19,$G702=$G$20,K$20,$G702=$G$22,K$22,$G702=$G$23,K$23,$G702=$G$26,K$26,$G702=$G$29,K$29,$G702=$G$31,K$31,$G702=$G$34,K$34,$G702=$G$37,K$37,$G702=$G$107,K$107,$G702=$G$110,K$110,$G702=$G$140,K$140,$G702=$G$142,K$142,$G702=$G$408,K$408)</f>
        <v>BG sentinel + BG lure7</v>
      </c>
      <c r="O702" s="13" t="str">
        <f t="shared" si="62"/>
        <v>A_SP_BCN_24_221110</v>
      </c>
      <c r="P702" s="31">
        <v>44875</v>
      </c>
      <c r="Q702" s="29">
        <v>0.54166666666666663</v>
      </c>
      <c r="R702" s="33"/>
      <c r="S702" s="31">
        <v>44881</v>
      </c>
      <c r="T702" s="29">
        <v>0.50694444444444442</v>
      </c>
      <c r="V702" s="13" t="s">
        <v>86</v>
      </c>
      <c r="W702" s="15" t="s">
        <v>150</v>
      </c>
      <c r="X702" s="13">
        <f t="shared" si="65"/>
        <v>6</v>
      </c>
      <c r="Z702" s="13" t="s">
        <v>60</v>
      </c>
      <c r="AA702" s="13">
        <f t="shared" si="68"/>
        <v>1</v>
      </c>
      <c r="AB702" s="13" t="str">
        <f t="shared" si="66"/>
        <v>Adult</v>
      </c>
      <c r="AC702" s="13">
        <v>0</v>
      </c>
      <c r="AD702" s="13">
        <v>1</v>
      </c>
      <c r="AE702" s="13" t="str">
        <f t="shared" si="67"/>
        <v>Morphological</v>
      </c>
      <c r="AF702" s="2">
        <v>4</v>
      </c>
    </row>
    <row r="703" spans="1:32" x14ac:dyDescent="0.25">
      <c r="A703" s="13">
        <v>699</v>
      </c>
      <c r="B703" s="23" t="s">
        <v>56</v>
      </c>
      <c r="C703" s="23" t="s">
        <v>57</v>
      </c>
      <c r="D703" s="23" t="s">
        <v>58</v>
      </c>
      <c r="E703" s="23" t="s">
        <v>58</v>
      </c>
      <c r="F703" s="35" cm="1">
        <f t="array" ref="F703">_xlfn.IFS($G703=$G$5,F$5,$G703=$G$7,F$7,$G703=$G$10,F$10,$G703=$G$13,F$13,$G703=$G$14,F$14,$G703=$G$16,F$16,$G703=$G$17,F$17,$G703=$G$19,F$19,$G703=$G$20,F$20,$G703=$G$22,F$22,$G703=$G$23,F$23,$G703=$G$26,F$26,$G703=$G$29,F$29,$G703=$G$31,F$31,$G703=$G$34,F$34,$G703=$G$37,F$37,$G703=$G$107,F$107,$G703=$G$110,F$110,$G703=$G$140,F$140,$G703=$G$142,F$142,$G703=$G$408,F$408)</f>
        <v>8015</v>
      </c>
      <c r="G703" s="13" t="s">
        <v>78</v>
      </c>
      <c r="H703" s="51" cm="1">
        <f t="array" ref="H703">_xlfn.IFS($G703=$G$5,H$5,$G703=$G$7,H$7,$G703=$G$10,H$10,$G703=$G$13,H$13,$G703=$G$14,H$14,$G703=$G$16,H$16,$G703=$G$17,H$17,$G703=$G$19,H$19,$G703=$G$20,H$20,$G703=$G$22,H$22,$G703=$G$23,H$23,$G703=$G$26,H$26,$G703=$G$29,H$29,$G703=$G$31,H$31,$G703=$G$34,H$34,$G703=$G$37,H$37,$G703=$G$107,H$107,$G703=$G$110,H$110,$G703=$G$140,H$140,$G703=$G$142,H$142,$G703=$G$408,H$408)</f>
        <v>41.381725000000003</v>
      </c>
      <c r="I703" s="51" cm="1">
        <f t="array" ref="I703">_xlfn.IFS($G703=$G$5,I$5,$G703=$G$7,I$7,$G703=$G$10,I$10,$G703=$G$13,I$13,$G703=$G$14,I$14,$G703=$G$16,I$16,$G703=$G$17,I$17,$G703=$G$19,I$19,$G703=$G$20,I$20,$G703=$G$22,I$22,$G703=$G$23,I$23,$G703=$G$26,I$26,$G703=$G$29,I$29,$G703=$G$31,I$31,$G703=$G$34,I$34,$G703=$G$37,I$37,$G703=$G$107,I$107,$G703=$G$110,I$110,$G703=$G$140,I$140,$G703=$G$142,I$142,$G703=$G$408,I$408)</f>
        <v>2.1543679999999998</v>
      </c>
      <c r="J703" s="51" cm="1">
        <f t="array" ref="J703">_xlfn.IFS($G703=$G$5,J$5,$G703=$G$7,J$7,$G703=$G$10,J$10,$G703=$G$13,J$13,$G703=$G$14,J$14,$G703=$G$16,J$16,$G703=$G$17,J$17,$G703=$G$19,J$19,$G703=$G$20,J$20,$G703=$G$22,J$22,$G703=$G$23,J$23,$G703=$G$26,J$26,$G703=$G$29,J$29,$G703=$G$31,J$31,$G703=$G$34,J$34,$G703=$G$37,J$37,$G703=$G$107,J$107,$G703=$G$110,J$110,$G703=$G$140,J$140,$G703=$G$142,J$142,$G703=$G$408,J$408)</f>
        <v>20.7</v>
      </c>
      <c r="K703" s="13" t="str" cm="1">
        <f t="array" ref="K703">_xlfn.IFS($G703=$G$5,K$5,$G703=$G$7,K$7,$G703=$G$10,K$10,$G703=$G$13,K$13,$G703=$G$14,K$14,$G703=$G$16,K$16,$G703=$G$17,K$17,$G703=$G$19,K$19,$G703=$G$20,K$20,$G703=$G$22,K$22,$G703=$G$23,K$23,$G703=$G$26,K$26,$G703=$G$29,K$29,$G703=$G$31,K$31,$G703=$G$34,K$34,$G703=$G$37,K$37,$G703=$G$107,K$107,$G703=$G$110,K$110,$G703=$G$140,K$140,$G703=$G$142,K$142,$G703=$G$408,K$408)</f>
        <v>BG sentinel + BG lure7</v>
      </c>
      <c r="O703" s="13" t="str">
        <f t="shared" si="62"/>
        <v>A_SP_BCN_24_221110</v>
      </c>
      <c r="P703" s="31">
        <v>44875</v>
      </c>
      <c r="Q703" s="29">
        <v>0.54166666666666663</v>
      </c>
      <c r="R703" s="33"/>
      <c r="S703" s="31">
        <v>44881</v>
      </c>
      <c r="T703" s="29">
        <v>0.50694444444444442</v>
      </c>
      <c r="V703" s="13" t="s">
        <v>86</v>
      </c>
      <c r="W703" s="15" t="s">
        <v>150</v>
      </c>
      <c r="X703" s="13">
        <f t="shared" si="65"/>
        <v>6</v>
      </c>
      <c r="Z703" s="13" t="s">
        <v>164</v>
      </c>
      <c r="AA703" s="13">
        <f t="shared" si="68"/>
        <v>5</v>
      </c>
      <c r="AB703" s="13" t="str">
        <f t="shared" si="66"/>
        <v>Adult</v>
      </c>
      <c r="AC703" s="13">
        <v>1</v>
      </c>
      <c r="AD703" s="13">
        <v>4</v>
      </c>
      <c r="AE703" s="13" t="str">
        <f t="shared" si="67"/>
        <v>Morphological</v>
      </c>
      <c r="AF703" s="2">
        <v>4</v>
      </c>
    </row>
    <row r="704" spans="1:32" x14ac:dyDescent="0.25">
      <c r="A704" s="13">
        <v>700</v>
      </c>
      <c r="B704" s="23" t="s">
        <v>56</v>
      </c>
      <c r="C704" s="23" t="s">
        <v>57</v>
      </c>
      <c r="D704" s="23" t="s">
        <v>58</v>
      </c>
      <c r="E704" s="23" t="s">
        <v>58</v>
      </c>
      <c r="F704" s="35" cm="1">
        <f t="array" ref="F704">_xlfn.IFS($G704=$G$5,F$5,$G704=$G$7,F$7,$G704=$G$10,F$10,$G704=$G$13,F$13,$G704=$G$14,F$14,$G704=$G$16,F$16,$G704=$G$17,F$17,$G704=$G$19,F$19,$G704=$G$20,F$20,$G704=$G$22,F$22,$G704=$G$23,F$23,$G704=$G$26,F$26,$G704=$G$29,F$29,$G704=$G$31,F$31,$G704=$G$34,F$34,$G704=$G$37,F$37,$G704=$G$107,F$107,$G704=$G$110,F$110,$G704=$G$140,F$140,$G704=$G$142,F$142,$G704=$G$408,F$408)</f>
        <v>8015</v>
      </c>
      <c r="G704" s="13" t="s">
        <v>78</v>
      </c>
      <c r="H704" s="51" cm="1">
        <f t="array" ref="H704">_xlfn.IFS($G704=$G$5,H$5,$G704=$G$7,H$7,$G704=$G$10,H$10,$G704=$G$13,H$13,$G704=$G$14,H$14,$G704=$G$16,H$16,$G704=$G$17,H$17,$G704=$G$19,H$19,$G704=$G$20,H$20,$G704=$G$22,H$22,$G704=$G$23,H$23,$G704=$G$26,H$26,$G704=$G$29,H$29,$G704=$G$31,H$31,$G704=$G$34,H$34,$G704=$G$37,H$37,$G704=$G$107,H$107,$G704=$G$110,H$110,$G704=$G$140,H$140,$G704=$G$142,H$142,$G704=$G$408,H$408)</f>
        <v>41.381725000000003</v>
      </c>
      <c r="I704" s="51" cm="1">
        <f t="array" ref="I704">_xlfn.IFS($G704=$G$5,I$5,$G704=$G$7,I$7,$G704=$G$10,I$10,$G704=$G$13,I$13,$G704=$G$14,I$14,$G704=$G$16,I$16,$G704=$G$17,I$17,$G704=$G$19,I$19,$G704=$G$20,I$20,$G704=$G$22,I$22,$G704=$G$23,I$23,$G704=$G$26,I$26,$G704=$G$29,I$29,$G704=$G$31,I$31,$G704=$G$34,I$34,$G704=$G$37,I$37,$G704=$G$107,I$107,$G704=$G$110,I$110,$G704=$G$140,I$140,$G704=$G$142,I$142,$G704=$G$408,I$408)</f>
        <v>2.1543679999999998</v>
      </c>
      <c r="J704" s="51" cm="1">
        <f t="array" ref="J704">_xlfn.IFS($G704=$G$5,J$5,$G704=$G$7,J$7,$G704=$G$10,J$10,$G704=$G$13,J$13,$G704=$G$14,J$14,$G704=$G$16,J$16,$G704=$G$17,J$17,$G704=$G$19,J$19,$G704=$G$20,J$20,$G704=$G$22,J$22,$G704=$G$23,J$23,$G704=$G$26,J$26,$G704=$G$29,J$29,$G704=$G$31,J$31,$G704=$G$34,J$34,$G704=$G$37,J$37,$G704=$G$107,J$107,$G704=$G$110,J$110,$G704=$G$140,J$140,$G704=$G$142,J$142,$G704=$G$408,J$408)</f>
        <v>20.7</v>
      </c>
      <c r="K704" s="13" t="str" cm="1">
        <f t="array" ref="K704">_xlfn.IFS($G704=$G$5,K$5,$G704=$G$7,K$7,$G704=$G$10,K$10,$G704=$G$13,K$13,$G704=$G$14,K$14,$G704=$G$16,K$16,$G704=$G$17,K$17,$G704=$G$19,K$19,$G704=$G$20,K$20,$G704=$G$22,K$22,$G704=$G$23,K$23,$G704=$G$26,K$26,$G704=$G$29,K$29,$G704=$G$31,K$31,$G704=$G$34,K$34,$G704=$G$37,K$37,$G704=$G$107,K$107,$G704=$G$110,K$110,$G704=$G$140,K$140,$G704=$G$142,K$142,$G704=$G$408,K$408)</f>
        <v>BG sentinel + BG lure7</v>
      </c>
      <c r="O704" s="13" t="str">
        <f t="shared" si="62"/>
        <v>A_SP_BCN_24_221110</v>
      </c>
      <c r="P704" s="31">
        <v>44875</v>
      </c>
      <c r="Q704" s="29">
        <v>0.54166666666666663</v>
      </c>
      <c r="R704" s="33"/>
      <c r="S704" s="31">
        <v>44881</v>
      </c>
      <c r="T704" s="29">
        <v>0.50694444444444442</v>
      </c>
      <c r="V704" s="13" t="s">
        <v>86</v>
      </c>
      <c r="W704" s="15" t="s">
        <v>150</v>
      </c>
      <c r="X704" s="13">
        <f t="shared" si="65"/>
        <v>6</v>
      </c>
      <c r="Z704" s="32" t="s">
        <v>163</v>
      </c>
      <c r="AA704" s="13">
        <f t="shared" si="68"/>
        <v>1</v>
      </c>
      <c r="AB704" s="13" t="str">
        <f t="shared" si="66"/>
        <v>Adult</v>
      </c>
      <c r="AC704" s="13">
        <v>1</v>
      </c>
      <c r="AD704" s="13">
        <v>0</v>
      </c>
      <c r="AE704" s="13" t="str">
        <f t="shared" si="67"/>
        <v>Morphological</v>
      </c>
      <c r="AF704" s="2">
        <v>4</v>
      </c>
    </row>
    <row r="705" spans="1:32" x14ac:dyDescent="0.25">
      <c r="A705" s="13">
        <v>701</v>
      </c>
      <c r="B705" s="23" t="s">
        <v>56</v>
      </c>
      <c r="C705" s="23" t="s">
        <v>57</v>
      </c>
      <c r="D705" s="23" t="s">
        <v>58</v>
      </c>
      <c r="E705" s="23" t="s">
        <v>58</v>
      </c>
      <c r="F705" s="35" cm="1">
        <f t="array" ref="F705">_xlfn.IFS($G705=$G$5,F$5,$G705=$G$7,F$7,$G705=$G$10,F$10,$G705=$G$13,F$13,$G705=$G$14,F$14,$G705=$G$16,F$16,$G705=$G$17,F$17,$G705=$G$19,F$19,$G705=$G$20,F$20,$G705=$G$22,F$22,$G705=$G$23,F$23,$G705=$G$26,F$26,$G705=$G$29,F$29,$G705=$G$31,F$31,$G705=$G$34,F$34,$G705=$G$37,F$37,$G705=$G$107,F$107,$G705=$G$110,F$110,$G705=$G$140,F$140,$G705=$G$142,F$142,$G705=$G$408,F$408)</f>
        <v>8025</v>
      </c>
      <c r="G705" s="13" t="s">
        <v>104</v>
      </c>
      <c r="H705" s="51" cm="1">
        <f t="array" ref="H705">_xlfn.IFS($G705=$G$5,H$5,$G705=$G$7,H$7,$G705=$G$10,H$10,$G705=$G$13,H$13,$G705=$G$14,H$14,$G705=$G$16,H$16,$G705=$G$17,H$17,$G705=$G$19,H$19,$G705=$G$20,H$20,$G705=$G$22,H$22,$G705=$G$23,H$23,$G705=$G$26,H$26,$G705=$G$29,H$29,$G705=$G$31,H$31,$G705=$G$34,H$34,$G705=$G$37,H$37,$G705=$G$107,H$107,$G705=$G$110,H$110,$G705=$G$140,H$140,$G705=$G$142,H$142,$G705=$G$408,H$408)</f>
        <v>41.408046826557602</v>
      </c>
      <c r="I705" s="51" cm="1">
        <f t="array" ref="I705">_xlfn.IFS($G705=$G$5,I$5,$G705=$G$7,I$7,$G705=$G$10,I$10,$G705=$G$13,I$13,$G705=$G$14,I$14,$G705=$G$16,I$16,$G705=$G$17,I$17,$G705=$G$19,I$19,$G705=$G$20,I$20,$G705=$G$22,I$22,$G705=$G$23,I$23,$G705=$G$26,I$26,$G705=$G$29,I$29,$G705=$G$31,I$31,$G705=$G$34,I$34,$G705=$G$37,I$37,$G705=$G$107,I$107,$G705=$G$110,I$110,$G705=$G$140,I$140,$G705=$G$142,I$142,$G705=$G$408,I$408)</f>
        <v>2.1678084611616502</v>
      </c>
      <c r="J705" s="51" cm="1">
        <f t="array" ref="J705">_xlfn.IFS($G705=$G$5,J$5,$G705=$G$7,J$7,$G705=$G$10,J$10,$G705=$G$13,J$13,$G705=$G$14,J$14,$G705=$G$16,J$16,$G705=$G$17,J$17,$G705=$G$19,J$19,$G705=$G$20,J$20,$G705=$G$22,J$22,$G705=$G$23,J$23,$G705=$G$26,J$26,$G705=$G$29,J$29,$G705=$G$31,J$31,$G705=$G$34,J$34,$G705=$G$37,J$37,$G705=$G$107,J$107,$G705=$G$110,J$110,$G705=$G$140,J$140,$G705=$G$142,J$142,$G705=$G$408,J$408)</f>
        <v>61</v>
      </c>
      <c r="K705" s="13" t="str" cm="1">
        <f t="array" ref="K705">_xlfn.IFS($G705=$G$5,K$5,$G705=$G$7,K$7,$G705=$G$10,K$10,$G705=$G$13,K$13,$G705=$G$14,K$14,$G705=$G$16,K$16,$G705=$G$17,K$17,$G705=$G$19,K$19,$G705=$G$20,K$20,$G705=$G$22,K$22,$G705=$G$23,K$23,$G705=$G$26,K$26,$G705=$G$29,K$29,$G705=$G$31,K$31,$G705=$G$34,K$34,$G705=$G$37,K$37,$G705=$G$107,K$107,$G705=$G$110,K$110,$G705=$G$140,K$140,$G705=$G$142,K$142,$G705=$G$408,K$408)</f>
        <v>BG sentinel</v>
      </c>
      <c r="O705" s="13" t="str">
        <f t="shared" si="62"/>
        <v>A_SP_BCN_26_221109</v>
      </c>
      <c r="P705" s="27">
        <v>44874</v>
      </c>
      <c r="Q705" s="36">
        <v>0.57291666666666663</v>
      </c>
      <c r="R705" s="33"/>
      <c r="S705" s="27">
        <v>44880</v>
      </c>
      <c r="T705" s="29">
        <v>0.64583333333333337</v>
      </c>
      <c r="V705" s="13" t="s">
        <v>86</v>
      </c>
      <c r="X705" s="13">
        <f t="shared" si="65"/>
        <v>6</v>
      </c>
      <c r="Z705" s="13" t="s">
        <v>164</v>
      </c>
      <c r="AA705" s="13">
        <f t="shared" si="68"/>
        <v>2</v>
      </c>
      <c r="AB705" s="13" t="str">
        <f t="shared" si="66"/>
        <v>Adult</v>
      </c>
      <c r="AC705" s="13">
        <v>0</v>
      </c>
      <c r="AD705" s="13">
        <v>2</v>
      </c>
      <c r="AE705" s="13" t="str">
        <f t="shared" si="67"/>
        <v>Morphological</v>
      </c>
      <c r="AF705" s="2">
        <v>4</v>
      </c>
    </row>
    <row r="706" spans="1:32" x14ac:dyDescent="0.25">
      <c r="A706" s="13">
        <v>702</v>
      </c>
      <c r="B706" s="23" t="s">
        <v>56</v>
      </c>
      <c r="C706" s="23" t="s">
        <v>57</v>
      </c>
      <c r="D706" s="23" t="s">
        <v>58</v>
      </c>
      <c r="E706" s="23" t="s">
        <v>58</v>
      </c>
      <c r="F706" s="35" cm="1">
        <f t="array" ref="F706">_xlfn.IFS($G706=$G$5,F$5,$G706=$G$7,F$7,$G706=$G$10,F$10,$G706=$G$13,F$13,$G706=$G$14,F$14,$G706=$G$16,F$16,$G706=$G$17,F$17,$G706=$G$19,F$19,$G706=$G$20,F$20,$G706=$G$22,F$22,$G706=$G$23,F$23,$G706=$G$26,F$26,$G706=$G$29,F$29,$G706=$G$31,F$31,$G706=$G$34,F$34,$G706=$G$37,F$37,$G706=$G$107,F$107,$G706=$G$110,F$110,$G706=$G$140,F$140,$G706=$G$142,F$142,$G706=$G$408,F$408)</f>
        <v>8017</v>
      </c>
      <c r="G706" s="13" t="s">
        <v>97</v>
      </c>
      <c r="H706" s="51" cm="1">
        <f t="array" ref="H706">_xlfn.IFS($G706=$G$5,H$5,$G706=$G$7,H$7,$G706=$G$10,H$10,$G706=$G$13,H$13,$G706=$G$14,H$14,$G706=$G$16,H$16,$G706=$G$17,H$17,$G706=$G$19,H$19,$G706=$G$20,H$20,$G706=$G$22,H$22,$G706=$G$23,H$23,$G706=$G$26,H$26,$G706=$G$29,H$29,$G706=$G$31,H$31,$G706=$G$34,H$34,$G706=$G$37,H$37,$G706=$G$107,H$107,$G706=$G$110,H$110,$G706=$G$140,H$140,$G706=$G$142,H$142,$G706=$G$408,H$408)</f>
        <v>41.430372407595499</v>
      </c>
      <c r="I706" s="51" cm="1">
        <f t="array" ref="I706">_xlfn.IFS($G706=$G$5,I$5,$G706=$G$7,I$7,$G706=$G$10,I$10,$G706=$G$13,I$13,$G706=$G$14,I$14,$G706=$G$16,I$16,$G706=$G$17,I$17,$G706=$G$19,I$19,$G706=$G$20,I$20,$G706=$G$22,I$22,$G706=$G$23,I$23,$G706=$G$26,I$26,$G706=$G$29,I$29,$G706=$G$31,I$31,$G706=$G$34,I$34,$G706=$G$37,I$37,$G706=$G$107,I$107,$G706=$G$110,I$110,$G706=$G$140,I$140,$G706=$G$142,I$142,$G706=$G$408,I$408)</f>
        <v>2.0778358219819002</v>
      </c>
      <c r="J706" s="51" cm="1">
        <f t="array" ref="J706">_xlfn.IFS($G706=$G$5,J$5,$G706=$G$7,J$7,$G706=$G$10,J$10,$G706=$G$13,J$13,$G706=$G$14,J$14,$G706=$G$16,J$16,$G706=$G$17,J$17,$G706=$G$19,J$19,$G706=$G$20,J$20,$G706=$G$22,J$22,$G706=$G$23,J$23,$G706=$G$26,J$26,$G706=$G$29,J$29,$G706=$G$31,J$31,$G706=$G$34,J$34,$G706=$G$37,J$37,$G706=$G$107,J$107,$G706=$G$110,J$110,$G706=$G$140,J$140,$G706=$G$142,J$142,$G706=$G$408,J$408)</f>
        <v>242</v>
      </c>
      <c r="K706" s="13" t="str" cm="1">
        <f t="array" ref="K706">_xlfn.IFS($G706=$G$5,K$5,$G706=$G$7,K$7,$G706=$G$10,K$10,$G706=$G$13,K$13,$G706=$G$14,K$14,$G706=$G$16,K$16,$G706=$G$17,K$17,$G706=$G$19,K$19,$G706=$G$20,K$20,$G706=$G$22,K$22,$G706=$G$23,K$23,$G706=$G$26,K$26,$G706=$G$29,K$29,$G706=$G$31,K$31,$G706=$G$34,K$34,$G706=$G$37,K$37,$G706=$G$107,K$107,$G706=$G$110,K$110,$G706=$G$140,K$140,$G706=$G$142,K$142,$G706=$G$408,K$408)</f>
        <v>Mtego</v>
      </c>
      <c r="O706" s="13" t="str">
        <f t="shared" si="62"/>
        <v>Premal_1_221109</v>
      </c>
      <c r="P706" s="31">
        <v>44874</v>
      </c>
      <c r="Q706" s="29">
        <v>0.66666666666666663</v>
      </c>
      <c r="R706" s="33"/>
      <c r="S706" s="27">
        <v>44880</v>
      </c>
      <c r="T706" s="29">
        <v>0.76388888888888884</v>
      </c>
      <c r="V706" s="13" t="s">
        <v>86</v>
      </c>
      <c r="X706" s="13">
        <f t="shared" si="65"/>
        <v>6</v>
      </c>
      <c r="Z706" s="13" t="s">
        <v>60</v>
      </c>
      <c r="AA706" s="13">
        <f t="shared" si="68"/>
        <v>1</v>
      </c>
      <c r="AB706" s="13" t="str">
        <f t="shared" si="66"/>
        <v>Adult</v>
      </c>
      <c r="AC706" s="13">
        <v>1</v>
      </c>
      <c r="AD706" s="13">
        <v>0</v>
      </c>
      <c r="AE706" s="13" t="str">
        <f t="shared" si="67"/>
        <v>Morphological</v>
      </c>
      <c r="AF706" s="2">
        <v>4</v>
      </c>
    </row>
    <row r="707" spans="1:32" x14ac:dyDescent="0.25">
      <c r="A707" s="13">
        <v>703</v>
      </c>
      <c r="B707" s="23" t="s">
        <v>56</v>
      </c>
      <c r="C707" s="23" t="s">
        <v>57</v>
      </c>
      <c r="D707" s="23" t="s">
        <v>58</v>
      </c>
      <c r="E707" s="23" t="s">
        <v>58</v>
      </c>
      <c r="F707" s="35" cm="1">
        <f t="array" ref="F707">_xlfn.IFS($G707=$G$5,F$5,$G707=$G$7,F$7,$G707=$G$10,F$10,$G707=$G$13,F$13,$G707=$G$14,F$14,$G707=$G$16,F$16,$G707=$G$17,F$17,$G707=$G$19,F$19,$G707=$G$20,F$20,$G707=$G$22,F$22,$G707=$G$23,F$23,$G707=$G$26,F$26,$G707=$G$29,F$29,$G707=$G$31,F$31,$G707=$G$34,F$34,$G707=$G$37,F$37,$G707=$G$107,F$107,$G707=$G$110,F$110,$G707=$G$140,F$140,$G707=$G$142,F$142,$G707=$G$408,F$408)</f>
        <v>8017</v>
      </c>
      <c r="G707" s="13" t="s">
        <v>97</v>
      </c>
      <c r="H707" s="51" cm="1">
        <f t="array" ref="H707">_xlfn.IFS($G707=$G$5,H$5,$G707=$G$7,H$7,$G707=$G$10,H$10,$G707=$G$13,H$13,$G707=$G$14,H$14,$G707=$G$16,H$16,$G707=$G$17,H$17,$G707=$G$19,H$19,$G707=$G$20,H$20,$G707=$G$22,H$22,$G707=$G$23,H$23,$G707=$G$26,H$26,$G707=$G$29,H$29,$G707=$G$31,H$31,$G707=$G$34,H$34,$G707=$G$37,H$37,$G707=$G$107,H$107,$G707=$G$110,H$110,$G707=$G$140,H$140,$G707=$G$142,H$142,$G707=$G$408,H$408)</f>
        <v>41.430372407595499</v>
      </c>
      <c r="I707" s="51" cm="1">
        <f t="array" ref="I707">_xlfn.IFS($G707=$G$5,I$5,$G707=$G$7,I$7,$G707=$G$10,I$10,$G707=$G$13,I$13,$G707=$G$14,I$14,$G707=$G$16,I$16,$G707=$G$17,I$17,$G707=$G$19,I$19,$G707=$G$20,I$20,$G707=$G$22,I$22,$G707=$G$23,I$23,$G707=$G$26,I$26,$G707=$G$29,I$29,$G707=$G$31,I$31,$G707=$G$34,I$34,$G707=$G$37,I$37,$G707=$G$107,I$107,$G707=$G$110,I$110,$G707=$G$140,I$140,$G707=$G$142,I$142,$G707=$G$408,I$408)</f>
        <v>2.0778358219819002</v>
      </c>
      <c r="J707" s="51" cm="1">
        <f t="array" ref="J707">_xlfn.IFS($G707=$G$5,J$5,$G707=$G$7,J$7,$G707=$G$10,J$10,$G707=$G$13,J$13,$G707=$G$14,J$14,$G707=$G$16,J$16,$G707=$G$17,J$17,$G707=$G$19,J$19,$G707=$G$20,J$20,$G707=$G$22,J$22,$G707=$G$23,J$23,$G707=$G$26,J$26,$G707=$G$29,J$29,$G707=$G$31,J$31,$G707=$G$34,J$34,$G707=$G$37,J$37,$G707=$G$107,J$107,$G707=$G$110,J$110,$G707=$G$140,J$140,$G707=$G$142,J$142,$G707=$G$408,J$408)</f>
        <v>242</v>
      </c>
      <c r="K707" s="13" t="str" cm="1">
        <f t="array" ref="K707">_xlfn.IFS($G707=$G$5,K$5,$G707=$G$7,K$7,$G707=$G$10,K$10,$G707=$G$13,K$13,$G707=$G$14,K$14,$G707=$G$16,K$16,$G707=$G$17,K$17,$G707=$G$19,K$19,$G707=$G$20,K$20,$G707=$G$22,K$22,$G707=$G$23,K$23,$G707=$G$26,K$26,$G707=$G$29,K$29,$G707=$G$31,K$31,$G707=$G$34,K$34,$G707=$G$37,K$37,$G707=$G$107,K$107,$G707=$G$110,K$110,$G707=$G$140,K$140,$G707=$G$142,K$142,$G707=$G$408,K$408)</f>
        <v>Mtego</v>
      </c>
      <c r="O707" s="13" t="str">
        <f t="shared" si="62"/>
        <v>Premal_1_221109</v>
      </c>
      <c r="P707" s="31">
        <v>44874</v>
      </c>
      <c r="Q707" s="29">
        <v>0.66666666666666663</v>
      </c>
      <c r="R707" s="33"/>
      <c r="S707" s="27">
        <v>44880</v>
      </c>
      <c r="T707" s="29">
        <v>0.76388888888888884</v>
      </c>
      <c r="V707" s="13" t="s">
        <v>86</v>
      </c>
      <c r="X707" s="13">
        <f t="shared" si="65"/>
        <v>6</v>
      </c>
      <c r="Z707" s="13" t="s">
        <v>164</v>
      </c>
      <c r="AA707" s="13">
        <f t="shared" si="68"/>
        <v>1</v>
      </c>
      <c r="AB707" s="13" t="str">
        <f t="shared" si="66"/>
        <v>Adult</v>
      </c>
      <c r="AC707" s="13">
        <v>1</v>
      </c>
      <c r="AD707" s="13">
        <v>0</v>
      </c>
      <c r="AE707" s="13" t="str">
        <f t="shared" si="67"/>
        <v>Morphological</v>
      </c>
      <c r="AF707" s="2">
        <v>4</v>
      </c>
    </row>
    <row r="708" spans="1:32" x14ac:dyDescent="0.25">
      <c r="A708" s="13">
        <v>704</v>
      </c>
      <c r="B708" s="23" t="s">
        <v>56</v>
      </c>
      <c r="C708" s="23" t="s">
        <v>57</v>
      </c>
      <c r="D708" s="23" t="s">
        <v>58</v>
      </c>
      <c r="E708" s="23" t="s">
        <v>58</v>
      </c>
      <c r="F708" s="35" cm="1">
        <f t="array" ref="F708">_xlfn.IFS($G708=$G$5,F$5,$G708=$G$7,F$7,$G708=$G$10,F$10,$G708=$G$13,F$13,$G708=$G$14,F$14,$G708=$G$16,F$16,$G708=$G$17,F$17,$G708=$G$19,F$19,$G708=$G$20,F$20,$G708=$G$22,F$22,$G708=$G$23,F$23,$G708=$G$26,F$26,$G708=$G$29,F$29,$G708=$G$31,F$31,$G708=$G$34,F$34,$G708=$G$37,F$37,$G708=$G$107,F$107,$G708=$G$110,F$110,$G708=$G$140,F$140,$G708=$G$142,F$142,$G708=$G$408,F$408)</f>
        <v>8035</v>
      </c>
      <c r="G708" s="13" t="s">
        <v>61</v>
      </c>
      <c r="H708" s="51" cm="1">
        <f t="array" ref="H708">_xlfn.IFS($G708=$G$5,H$5,$G708=$G$7,H$7,$G708=$G$10,H$10,$G708=$G$13,H$13,$G708=$G$14,H$14,$G708=$G$16,H$16,$G708=$G$17,H$17,$G708=$G$19,H$19,$G708=$G$20,H$20,$G708=$G$22,H$22,$G708=$G$23,H$23,$G708=$G$26,H$26,$G708=$G$29,H$29,$G708=$G$31,H$31,$G708=$G$34,H$34,$G708=$G$37,H$37,$G708=$G$107,H$107,$G708=$G$110,H$110,$G708=$G$140,H$140,$G708=$G$142,H$142,$G708=$G$408,H$408)</f>
        <v>41.424387000000003</v>
      </c>
      <c r="I708" s="51" cm="1">
        <f t="array" ref="I708">_xlfn.IFS($G708=$G$5,I$5,$G708=$G$7,I$7,$G708=$G$10,I$10,$G708=$G$13,I$13,$G708=$G$14,I$14,$G708=$G$16,I$16,$G708=$G$17,I$17,$G708=$G$19,I$19,$G708=$G$20,I$20,$G708=$G$22,I$22,$G708=$G$23,I$23,$G708=$G$26,I$26,$G708=$G$29,I$29,$G708=$G$31,I$31,$G708=$G$34,I$34,$G708=$G$37,I$37,$G708=$G$107,I$107,$G708=$G$110,I$110,$G708=$G$140,I$140,$G708=$G$142,I$142,$G708=$G$408,I$408)</f>
        <v>2.1431439999999999</v>
      </c>
      <c r="J708" s="51" cm="1">
        <f t="array" ref="J708">_xlfn.IFS($G708=$G$5,J$5,$G708=$G$7,J$7,$G708=$G$10,J$10,$G708=$G$13,J$13,$G708=$G$14,J$14,$G708=$G$16,J$16,$G708=$G$17,J$17,$G708=$G$19,J$19,$G708=$G$20,J$20,$G708=$G$22,J$22,$G708=$G$23,J$23,$G708=$G$26,J$26,$G708=$G$29,J$29,$G708=$G$31,J$31,$G708=$G$34,J$34,$G708=$G$37,J$37,$G708=$G$107,J$107,$G708=$G$110,J$110,$G708=$G$140,J$140,$G708=$G$142,J$142,$G708=$G$408,J$408)</f>
        <v>160</v>
      </c>
      <c r="K708" s="13" t="str" cm="1">
        <f t="array" ref="K708">_xlfn.IFS($G708=$G$5,K$5,$G708=$G$7,K$7,$G708=$G$10,K$10,$G708=$G$13,K$13,$G708=$G$14,K$14,$G708=$G$16,K$16,$G708=$G$17,K$17,$G708=$G$19,K$19,$G708=$G$20,K$20,$G708=$G$22,K$22,$G708=$G$23,K$23,$G708=$G$26,K$26,$G708=$G$29,K$29,$G708=$G$31,K$31,$G708=$G$34,K$34,$G708=$G$37,K$37,$G708=$G$107,K$107,$G708=$G$110,K$110,$G708=$G$140,K$140,$G708=$G$142,K$142,$G708=$G$408,K$408)</f>
        <v>BG sentinel + BG lure7</v>
      </c>
      <c r="O708" s="13" t="str">
        <f t="shared" si="62"/>
        <v>A_SP_BCN_2_221115</v>
      </c>
      <c r="P708" s="27">
        <v>44880</v>
      </c>
      <c r="Q708" s="29">
        <v>0.6875</v>
      </c>
      <c r="R708" s="33"/>
      <c r="S708" s="27">
        <v>44887</v>
      </c>
      <c r="T708" s="29">
        <v>0.625</v>
      </c>
      <c r="V708" s="13" t="s">
        <v>86</v>
      </c>
      <c r="X708" s="13">
        <f t="shared" si="65"/>
        <v>7</v>
      </c>
      <c r="AA708" s="13">
        <v>0</v>
      </c>
      <c r="AB708" s="13" t="str">
        <f t="shared" si="66"/>
        <v/>
      </c>
      <c r="AE708" s="13" t="str">
        <f t="shared" si="67"/>
        <v/>
      </c>
      <c r="AF708" s="2">
        <v>4</v>
      </c>
    </row>
    <row r="709" spans="1:32" x14ac:dyDescent="0.25">
      <c r="A709" s="13">
        <v>705</v>
      </c>
      <c r="B709" s="23" t="s">
        <v>56</v>
      </c>
      <c r="C709" s="23" t="s">
        <v>57</v>
      </c>
      <c r="D709" s="23" t="s">
        <v>58</v>
      </c>
      <c r="E709" s="23" t="s">
        <v>58</v>
      </c>
      <c r="F709" s="35" cm="1">
        <f t="array" ref="F709">_xlfn.IFS($G709=$G$5,F$5,$G709=$G$7,F$7,$G709=$G$10,F$10,$G709=$G$13,F$13,$G709=$G$14,F$14,$G709=$G$16,F$16,$G709=$G$17,F$17,$G709=$G$19,F$19,$G709=$G$20,F$20,$G709=$G$22,F$22,$G709=$G$23,F$23,$G709=$G$26,F$26,$G709=$G$29,F$29,$G709=$G$31,F$31,$G709=$G$34,F$34,$G709=$G$37,F$37,$G709=$G$107,F$107,$G709=$G$110,F$110,$G709=$G$140,F$140,$G709=$G$142,F$142,$G709=$G$408,F$408)</f>
        <v>8016</v>
      </c>
      <c r="G709" s="13" t="s">
        <v>62</v>
      </c>
      <c r="H709" s="51" cm="1">
        <f t="array" ref="H709">_xlfn.IFS($G709=$G$5,H$5,$G709=$G$7,H$7,$G709=$G$10,H$10,$G709=$G$13,H$13,$G709=$G$14,H$14,$G709=$G$16,H$16,$G709=$G$17,H$17,$G709=$G$19,H$19,$G709=$G$20,H$20,$G709=$G$22,H$22,$G709=$G$23,H$23,$G709=$G$26,H$26,$G709=$G$29,H$29,$G709=$G$31,H$31,$G709=$G$34,H$34,$G709=$G$37,H$37,$G709=$G$107,H$107,$G709=$G$110,H$110,$G709=$G$140,H$140,$G709=$G$142,H$142,$G709=$G$408,H$408)</f>
        <v>41.437435000000001</v>
      </c>
      <c r="I709" s="51" cm="1">
        <f t="array" ref="I709">_xlfn.IFS($G709=$G$5,I$5,$G709=$G$7,I$7,$G709=$G$10,I$10,$G709=$G$13,I$13,$G709=$G$14,I$14,$G709=$G$16,I$16,$G709=$G$17,I$17,$G709=$G$19,I$19,$G709=$G$20,I$20,$G709=$G$22,I$22,$G709=$G$23,I$23,$G709=$G$26,I$26,$G709=$G$29,I$29,$G709=$G$31,I$31,$G709=$G$34,I$34,$G709=$G$37,I$37,$G709=$G$107,I$107,$G709=$G$110,I$110,$G709=$G$140,I$140,$G709=$G$142,I$142,$G709=$G$408,I$408)</f>
        <v>2.1812779999999998</v>
      </c>
      <c r="J709" s="51" cm="1">
        <f t="array" ref="J709">_xlfn.IFS($G709=$G$5,J$5,$G709=$G$7,J$7,$G709=$G$10,J$10,$G709=$G$13,J$13,$G709=$G$14,J$14,$G709=$G$16,J$16,$G709=$G$17,J$17,$G709=$G$19,J$19,$G709=$G$20,J$20,$G709=$G$22,J$22,$G709=$G$23,J$23,$G709=$G$26,J$26,$G709=$G$29,J$29,$G709=$G$31,J$31,$G709=$G$34,J$34,$G709=$G$37,J$37,$G709=$G$107,J$107,$G709=$G$110,J$110,$G709=$G$140,J$140,$G709=$G$142,J$142,$G709=$G$408,J$408)</f>
        <v>47</v>
      </c>
      <c r="K709" s="13" t="str" cm="1">
        <f t="array" ref="K709">_xlfn.IFS($G709=$G$5,K$5,$G709=$G$7,K$7,$G709=$G$10,K$10,$G709=$G$13,K$13,$G709=$G$14,K$14,$G709=$G$16,K$16,$G709=$G$17,K$17,$G709=$G$19,K$19,$G709=$G$20,K$20,$G709=$G$22,K$22,$G709=$G$23,K$23,$G709=$G$26,K$26,$G709=$G$29,K$29,$G709=$G$31,K$31,$G709=$G$34,K$34,$G709=$G$37,K$37,$G709=$G$107,K$107,$G709=$G$110,K$110,$G709=$G$140,K$140,$G709=$G$142,K$142,$G709=$G$408,K$408)</f>
        <v>BG sentinel + BG lure7</v>
      </c>
      <c r="O709" s="13" t="str">
        <f t="shared" si="62"/>
        <v>A_SP_BCN_3_221115</v>
      </c>
      <c r="P709" s="27">
        <v>44880</v>
      </c>
      <c r="Q709" s="29">
        <v>0.83333333333333337</v>
      </c>
      <c r="R709" s="33"/>
      <c r="S709" s="27">
        <v>44887</v>
      </c>
      <c r="T709" s="29">
        <v>0.83333333333333337</v>
      </c>
      <c r="V709" s="13" t="s">
        <v>86</v>
      </c>
      <c r="X709" s="13">
        <f t="shared" si="65"/>
        <v>7</v>
      </c>
      <c r="Z709" s="13" t="s">
        <v>164</v>
      </c>
      <c r="AA709" s="13">
        <f>SUM(AC709:AD709)</f>
        <v>1</v>
      </c>
      <c r="AB709" s="13" t="str">
        <f t="shared" si="66"/>
        <v>Adult</v>
      </c>
      <c r="AC709" s="13">
        <v>1</v>
      </c>
      <c r="AD709" s="13">
        <v>0</v>
      </c>
      <c r="AE709" s="13" t="str">
        <f t="shared" si="67"/>
        <v>Morphological</v>
      </c>
      <c r="AF709" s="2">
        <v>4</v>
      </c>
    </row>
    <row r="710" spans="1:32" x14ac:dyDescent="0.25">
      <c r="A710" s="13">
        <v>706</v>
      </c>
      <c r="B710" s="23" t="s">
        <v>56</v>
      </c>
      <c r="C710" s="23" t="s">
        <v>57</v>
      </c>
      <c r="D710" s="23" t="s">
        <v>58</v>
      </c>
      <c r="E710" s="23" t="s">
        <v>58</v>
      </c>
      <c r="F710" s="35" cm="1">
        <f t="array" ref="F710">_xlfn.IFS($G710=$G$5,F$5,$G710=$G$7,F$7,$G710=$G$10,F$10,$G710=$G$13,F$13,$G710=$G$14,F$14,$G710=$G$16,F$16,$G710=$G$17,F$17,$G710=$G$19,F$19,$G710=$G$20,F$20,$G710=$G$22,F$22,$G710=$G$23,F$23,$G710=$G$26,F$26,$G710=$G$29,F$29,$G710=$G$31,F$31,$G710=$G$34,F$34,$G710=$G$37,F$37,$G710=$G$107,F$107,$G710=$G$110,F$110,$G710=$G$140,F$140,$G710=$G$142,F$142,$G710=$G$408,F$408)</f>
        <v>8018</v>
      </c>
      <c r="G710" s="13" t="s">
        <v>63</v>
      </c>
      <c r="H710" s="51" cm="1">
        <f t="array" ref="H710">_xlfn.IFS($G710=$G$5,H$5,$G710=$G$7,H$7,$G710=$G$10,H$10,$G710=$G$13,H$13,$G710=$G$14,H$14,$G710=$G$16,H$16,$G710=$G$17,H$17,$G710=$G$19,H$19,$G710=$G$20,H$20,$G710=$G$22,H$22,$G710=$G$23,H$23,$G710=$G$26,H$26,$G710=$G$29,H$29,$G710=$G$31,H$31,$G710=$G$34,H$34,$G710=$G$37,H$37,$G710=$G$107,H$107,$G710=$G$110,H$110,$G710=$G$140,H$140,$G710=$G$142,H$142,$G710=$G$408,H$408)</f>
        <v>41.404924999999999</v>
      </c>
      <c r="I710" s="51" cm="1">
        <f t="array" ref="I710">_xlfn.IFS($G710=$G$5,I$5,$G710=$G$7,I$7,$G710=$G$10,I$10,$G710=$G$13,I$13,$G710=$G$14,I$14,$G710=$G$16,I$16,$G710=$G$17,I$17,$G710=$G$19,I$19,$G710=$G$20,I$20,$G710=$G$22,I$22,$G710=$G$23,I$23,$G710=$G$26,I$26,$G710=$G$29,I$29,$G710=$G$31,I$31,$G710=$G$34,I$34,$G710=$G$37,I$37,$G710=$G$107,I$107,$G710=$G$110,I$110,$G710=$G$140,I$140,$G710=$G$142,I$142,$G710=$G$408,I$408)</f>
        <v>2.1987909999999999</v>
      </c>
      <c r="J710" s="51" cm="1">
        <f t="array" ref="J710">_xlfn.IFS($G710=$G$5,J$5,$G710=$G$7,J$7,$G710=$G$10,J$10,$G710=$G$13,J$13,$G710=$G$14,J$14,$G710=$G$16,J$16,$G710=$G$17,J$17,$G710=$G$19,J$19,$G710=$G$20,J$20,$G710=$G$22,J$22,$G710=$G$23,J$23,$G710=$G$26,J$26,$G710=$G$29,J$29,$G710=$G$31,J$31,$G710=$G$34,J$34,$G710=$G$37,J$37,$G710=$G$107,J$107,$G710=$G$110,J$110,$G710=$G$140,J$140,$G710=$G$142,J$142,$G710=$G$408,J$408)</f>
        <v>4</v>
      </c>
      <c r="K710" s="13" t="str" cm="1">
        <f t="array" ref="K710">_xlfn.IFS($G710=$G$5,K$5,$G710=$G$7,K$7,$G710=$G$10,K$10,$G710=$G$13,K$13,$G710=$G$14,K$14,$G710=$G$16,K$16,$G710=$G$17,K$17,$G710=$G$19,K$19,$G710=$G$20,K$20,$G710=$G$22,K$22,$G710=$G$23,K$23,$G710=$G$26,K$26,$G710=$G$29,K$29,$G710=$G$31,K$31,$G710=$G$34,K$34,$G710=$G$37,K$37,$G710=$G$107,K$107,$G710=$G$110,K$110,$G710=$G$140,K$140,$G710=$G$142,K$142,$G710=$G$408,K$408)</f>
        <v>BG sentinel + BG lure7</v>
      </c>
      <c r="O710" s="13" t="str">
        <f t="shared" ref="O710:O735" si="69">G710&amp;"_"&amp;TEXT(P710, "AAMMDD")</f>
        <v>A_SP_BCN_4_221116</v>
      </c>
      <c r="P710" s="27">
        <v>44881</v>
      </c>
      <c r="Q710" s="29">
        <v>0.55208333333333337</v>
      </c>
      <c r="R710" s="33"/>
      <c r="S710" s="27">
        <v>44887</v>
      </c>
      <c r="T710" s="29">
        <v>0.80555555555555547</v>
      </c>
      <c r="V710" s="13" t="s">
        <v>86</v>
      </c>
      <c r="X710" s="13">
        <f t="shared" ref="X710:X759" si="70">S710-P710</f>
        <v>6</v>
      </c>
      <c r="AA710" s="13">
        <v>0</v>
      </c>
      <c r="AB710" s="13" t="str">
        <f t="shared" ref="AB710:AB759" si="71">IF(AA710=0,"",IF(AA710="","",IF(AA710&gt;0,"Adult")))</f>
        <v/>
      </c>
      <c r="AE710" s="13" t="str">
        <f t="shared" ref="AE710:AE759" si="72">IF(AA710=0,"",IF(AA710="","",IF(AA710&gt;0,"Morphological")))</f>
        <v/>
      </c>
      <c r="AF710" s="2">
        <v>4</v>
      </c>
    </row>
    <row r="711" spans="1:32" x14ac:dyDescent="0.25">
      <c r="A711" s="13">
        <v>707</v>
      </c>
      <c r="B711" s="23" t="s">
        <v>56</v>
      </c>
      <c r="C711" s="23" t="s">
        <v>57</v>
      </c>
      <c r="D711" s="23" t="s">
        <v>58</v>
      </c>
      <c r="E711" s="23" t="s">
        <v>58</v>
      </c>
      <c r="F711" s="35" cm="1">
        <f t="array" ref="F711">_xlfn.IFS($G711=$G$5,F$5,$G711=$G$7,F$7,$G711=$G$10,F$10,$G711=$G$13,F$13,$G711=$G$14,F$14,$G711=$G$16,F$16,$G711=$G$17,F$17,$G711=$G$19,F$19,$G711=$G$20,F$20,$G711=$G$22,F$22,$G711=$G$23,F$23,$G711=$G$26,F$26,$G711=$G$29,F$29,$G711=$G$31,F$31,$G711=$G$34,F$34,$G711=$G$37,F$37,$G711=$G$107,F$107,$G711=$G$110,F$110,$G711=$G$140,F$140,$G711=$G$142,F$142,$G711=$G$408,F$408)</f>
        <v>8019</v>
      </c>
      <c r="G711" s="13" t="s">
        <v>64</v>
      </c>
      <c r="H711" s="51" cm="1">
        <f t="array" ref="H711">_xlfn.IFS($G711=$G$5,H$5,$G711=$G$7,H$7,$G711=$G$10,H$10,$G711=$G$13,H$13,$G711=$G$14,H$14,$G711=$G$16,H$16,$G711=$G$17,H$17,$G711=$G$19,H$19,$G711=$G$20,H$20,$G711=$G$22,H$22,$G711=$G$23,H$23,$G711=$G$26,H$26,$G711=$G$29,H$29,$G711=$G$31,H$31,$G711=$G$34,H$34,$G711=$G$37,H$37,$G711=$G$107,H$107,$G711=$G$110,H$110,$G711=$G$140,H$140,$G711=$G$142,H$142,$G711=$G$408,H$408)</f>
        <v>41.410684000000003</v>
      </c>
      <c r="I711" s="51" cm="1">
        <f t="array" ref="I711">_xlfn.IFS($G711=$G$5,I$5,$G711=$G$7,I$7,$G711=$G$10,I$10,$G711=$G$13,I$13,$G711=$G$14,I$14,$G711=$G$16,I$16,$G711=$G$17,I$17,$G711=$G$19,I$19,$G711=$G$20,I$20,$G711=$G$22,I$22,$G711=$G$23,I$23,$G711=$G$26,I$26,$G711=$G$29,I$29,$G711=$G$31,I$31,$G711=$G$34,I$34,$G711=$G$37,I$37,$G711=$G$107,I$107,$G711=$G$110,I$110,$G711=$G$140,I$140,$G711=$G$142,I$142,$G711=$G$408,I$408)</f>
        <v>2.2208019999999999</v>
      </c>
      <c r="J711" s="51" cm="1">
        <f t="array" ref="J711">_xlfn.IFS($G711=$G$5,J$5,$G711=$G$7,J$7,$G711=$G$10,J$10,$G711=$G$13,J$13,$G711=$G$14,J$14,$G711=$G$16,J$16,$G711=$G$17,J$17,$G711=$G$19,J$19,$G711=$G$20,J$20,$G711=$G$22,J$22,$G711=$G$23,J$23,$G711=$G$26,J$26,$G711=$G$29,J$29,$G711=$G$31,J$31,$G711=$G$34,J$34,$G711=$G$37,J$37,$G711=$G$107,J$107,$G711=$G$110,J$110,$G711=$G$140,J$140,$G711=$G$142,J$142,$G711=$G$408,J$408)</f>
        <v>18</v>
      </c>
      <c r="K711" s="13" t="str" cm="1">
        <f t="array" ref="K711">_xlfn.IFS($G711=$G$5,K$5,$G711=$G$7,K$7,$G711=$G$10,K$10,$G711=$G$13,K$13,$G711=$G$14,K$14,$G711=$G$16,K$16,$G711=$G$17,K$17,$G711=$G$19,K$19,$G711=$G$20,K$20,$G711=$G$22,K$22,$G711=$G$23,K$23,$G711=$G$26,K$26,$G711=$G$29,K$29,$G711=$G$31,K$31,$G711=$G$34,K$34,$G711=$G$37,K$37,$G711=$G$107,K$107,$G711=$G$110,K$110,$G711=$G$140,K$140,$G711=$G$142,K$142,$G711=$G$408,K$408)</f>
        <v>BG sentinel + BG lure7</v>
      </c>
      <c r="O711" s="13" t="str">
        <f t="shared" si="69"/>
        <v>A_SP_BCN_5_221115</v>
      </c>
      <c r="P711" s="27">
        <v>44880</v>
      </c>
      <c r="Q711" s="29">
        <v>0.70833333333333337</v>
      </c>
      <c r="R711" s="33"/>
      <c r="S711" s="27">
        <v>44887</v>
      </c>
      <c r="T711" s="29">
        <v>0.65277777777777779</v>
      </c>
      <c r="V711" s="13" t="s">
        <v>86</v>
      </c>
      <c r="X711" s="13">
        <f t="shared" si="70"/>
        <v>7</v>
      </c>
      <c r="AA711" s="13">
        <v>0</v>
      </c>
      <c r="AB711" s="13" t="str">
        <f t="shared" si="71"/>
        <v/>
      </c>
      <c r="AE711" s="13" t="str">
        <f t="shared" si="72"/>
        <v/>
      </c>
      <c r="AF711" s="2">
        <v>4</v>
      </c>
    </row>
    <row r="712" spans="1:32" x14ac:dyDescent="0.25">
      <c r="A712" s="13">
        <v>708</v>
      </c>
      <c r="B712" s="23" t="s">
        <v>56</v>
      </c>
      <c r="C712" s="23" t="s">
        <v>57</v>
      </c>
      <c r="D712" s="23" t="s">
        <v>58</v>
      </c>
      <c r="E712" s="23" t="s">
        <v>58</v>
      </c>
      <c r="F712" s="35" cm="1">
        <f t="array" ref="F712">_xlfn.IFS($G712=$G$5,F$5,$G712=$G$7,F$7,$G712=$G$10,F$10,$G712=$G$13,F$13,$G712=$G$14,F$14,$G712=$G$16,F$16,$G712=$G$17,F$17,$G712=$G$19,F$19,$G712=$G$20,F$20,$G712=$G$22,F$22,$G712=$G$23,F$23,$G712=$G$26,F$26,$G712=$G$29,F$29,$G712=$G$31,F$31,$G712=$G$34,F$34,$G712=$G$37,F$37,$G712=$G$107,F$107,$G712=$G$110,F$110,$G712=$G$140,F$140,$G712=$G$142,F$142,$G712=$G$408,F$408)</f>
        <v>8002</v>
      </c>
      <c r="G712" s="13" t="s">
        <v>65</v>
      </c>
      <c r="H712" s="51" cm="1">
        <f t="array" ref="H712">_xlfn.IFS($G712=$G$5,H$5,$G712=$G$7,H$7,$G712=$G$10,H$10,$G712=$G$13,H$13,$G712=$G$14,H$14,$G712=$G$16,H$16,$G712=$G$17,H$17,$G712=$G$19,H$19,$G712=$G$20,H$20,$G712=$G$22,H$22,$G712=$G$23,H$23,$G712=$G$26,H$26,$G712=$G$29,H$29,$G712=$G$31,H$31,$G712=$G$34,H$34,$G712=$G$37,H$37,$G712=$G$107,H$107,$G712=$G$110,H$110,$G712=$G$140,H$140,$G712=$G$142,H$142,$G712=$G$408,H$408)</f>
        <v>41.382339999999999</v>
      </c>
      <c r="I712" s="51" cm="1">
        <f t="array" ref="I712">_xlfn.IFS($G712=$G$5,I$5,$G712=$G$7,I$7,$G712=$G$10,I$10,$G712=$G$13,I$13,$G712=$G$14,I$14,$G712=$G$16,I$16,$G712=$G$17,I$17,$G712=$G$19,I$19,$G712=$G$20,I$20,$G712=$G$22,I$22,$G712=$G$23,I$23,$G712=$G$26,I$26,$G712=$G$29,I$29,$G712=$G$31,I$31,$G712=$G$34,I$34,$G712=$G$37,I$37,$G712=$G$107,I$107,$G712=$G$110,I$110,$G712=$G$140,I$140,$G712=$G$142,I$142,$G712=$G$408,I$408)</f>
        <v>2.1714790000000002</v>
      </c>
      <c r="J712" s="51" cm="1">
        <f t="array" ref="J712">_xlfn.IFS($G712=$G$5,J$5,$G712=$G$7,J$7,$G712=$G$10,J$10,$G712=$G$13,J$13,$G712=$G$14,J$14,$G712=$G$16,J$16,$G712=$G$17,J$17,$G712=$G$19,J$19,$G712=$G$20,J$20,$G712=$G$22,J$22,$G712=$G$23,J$23,$G712=$G$26,J$26,$G712=$G$29,J$29,$G712=$G$31,J$31,$G712=$G$34,J$34,$G712=$G$37,J$37,$G712=$G$107,J$107,$G712=$G$110,J$110,$G712=$G$140,J$140,$G712=$G$142,J$142,$G712=$G$408,J$408)</f>
        <v>19</v>
      </c>
      <c r="K712" s="13" t="str" cm="1">
        <f t="array" ref="K712">_xlfn.IFS($G712=$G$5,K$5,$G712=$G$7,K$7,$G712=$G$10,K$10,$G712=$G$13,K$13,$G712=$G$14,K$14,$G712=$G$16,K$16,$G712=$G$17,K$17,$G712=$G$19,K$19,$G712=$G$20,K$20,$G712=$G$22,K$22,$G712=$G$23,K$23,$G712=$G$26,K$26,$G712=$G$29,K$29,$G712=$G$31,K$31,$G712=$G$34,K$34,$G712=$G$37,K$37,$G712=$G$107,K$107,$G712=$G$110,K$110,$G712=$G$140,K$140,$G712=$G$142,K$142,$G712=$G$408,K$408)</f>
        <v>BG sentinel + BG lure7</v>
      </c>
      <c r="O712" s="13" t="str">
        <f t="shared" si="69"/>
        <v>A_SP_BCN_6_221116</v>
      </c>
      <c r="P712" s="27">
        <v>44881</v>
      </c>
      <c r="Q712" s="29">
        <v>0.52777777777777779</v>
      </c>
      <c r="R712" s="33"/>
      <c r="S712" s="27">
        <v>44887</v>
      </c>
      <c r="T712" s="29">
        <v>0.83333333333333337</v>
      </c>
      <c r="V712" s="13" t="s">
        <v>86</v>
      </c>
      <c r="X712" s="13">
        <f t="shared" si="70"/>
        <v>6</v>
      </c>
      <c r="Z712" s="13" t="s">
        <v>164</v>
      </c>
      <c r="AA712" s="13">
        <f>SUM(AC712:AD712)</f>
        <v>1</v>
      </c>
      <c r="AB712" s="13" t="str">
        <f t="shared" si="71"/>
        <v>Adult</v>
      </c>
      <c r="AC712" s="13">
        <v>1</v>
      </c>
      <c r="AD712" s="13">
        <v>0</v>
      </c>
      <c r="AE712" s="13" t="str">
        <f t="shared" si="72"/>
        <v>Morphological</v>
      </c>
      <c r="AF712" s="2">
        <v>4</v>
      </c>
    </row>
    <row r="713" spans="1:32" x14ac:dyDescent="0.25">
      <c r="A713" s="13">
        <v>709</v>
      </c>
      <c r="B713" s="23" t="s">
        <v>56</v>
      </c>
      <c r="C713" s="23" t="s">
        <v>57</v>
      </c>
      <c r="D713" s="23" t="s">
        <v>58</v>
      </c>
      <c r="E713" s="23" t="s">
        <v>58</v>
      </c>
      <c r="F713" s="35" cm="1">
        <f t="array" ref="F713">_xlfn.IFS($G713=$G$5,F$5,$G713=$G$7,F$7,$G713=$G$10,F$10,$G713=$G$13,F$13,$G713=$G$14,F$14,$G713=$G$16,F$16,$G713=$G$17,F$17,$G713=$G$19,F$19,$G713=$G$20,F$20,$G713=$G$22,F$22,$G713=$G$23,F$23,$G713=$G$26,F$26,$G713=$G$29,F$29,$G713=$G$31,F$31,$G713=$G$34,F$34,$G713=$G$37,F$37,$G713=$G$107,F$107,$G713=$G$110,F$110,$G713=$G$140,F$140,$G713=$G$142,F$142,$G713=$G$408,F$408)</f>
        <v>8002</v>
      </c>
      <c r="G713" s="13" t="s">
        <v>65</v>
      </c>
      <c r="H713" s="51" cm="1">
        <f t="array" ref="H713">_xlfn.IFS($G713=$G$5,H$5,$G713=$G$7,H$7,$G713=$G$10,H$10,$G713=$G$13,H$13,$G713=$G$14,H$14,$G713=$G$16,H$16,$G713=$G$17,H$17,$G713=$G$19,H$19,$G713=$G$20,H$20,$G713=$G$22,H$22,$G713=$G$23,H$23,$G713=$G$26,H$26,$G713=$G$29,H$29,$G713=$G$31,H$31,$G713=$G$34,H$34,$G713=$G$37,H$37,$G713=$G$107,H$107,$G713=$G$110,H$110,$G713=$G$140,H$140,$G713=$G$142,H$142,$G713=$G$408,H$408)</f>
        <v>41.382339999999999</v>
      </c>
      <c r="I713" s="51" cm="1">
        <f t="array" ref="I713">_xlfn.IFS($G713=$G$5,I$5,$G713=$G$7,I$7,$G713=$G$10,I$10,$G713=$G$13,I$13,$G713=$G$14,I$14,$G713=$G$16,I$16,$G713=$G$17,I$17,$G713=$G$19,I$19,$G713=$G$20,I$20,$G713=$G$22,I$22,$G713=$G$23,I$23,$G713=$G$26,I$26,$G713=$G$29,I$29,$G713=$G$31,I$31,$G713=$G$34,I$34,$G713=$G$37,I$37,$G713=$G$107,I$107,$G713=$G$110,I$110,$G713=$G$140,I$140,$G713=$G$142,I$142,$G713=$G$408,I$408)</f>
        <v>2.1714790000000002</v>
      </c>
      <c r="J713" s="51" cm="1">
        <f t="array" ref="J713">_xlfn.IFS($G713=$G$5,J$5,$G713=$G$7,J$7,$G713=$G$10,J$10,$G713=$G$13,J$13,$G713=$G$14,J$14,$G713=$G$16,J$16,$G713=$G$17,J$17,$G713=$G$19,J$19,$G713=$G$20,J$20,$G713=$G$22,J$22,$G713=$G$23,J$23,$G713=$G$26,J$26,$G713=$G$29,J$29,$G713=$G$31,J$31,$G713=$G$34,J$34,$G713=$G$37,J$37,$G713=$G$107,J$107,$G713=$G$110,J$110,$G713=$G$140,J$140,$G713=$G$142,J$142,$G713=$G$408,J$408)</f>
        <v>19</v>
      </c>
      <c r="K713" s="13" t="str" cm="1">
        <f t="array" ref="K713">_xlfn.IFS($G713=$G$5,K$5,$G713=$G$7,K$7,$G713=$G$10,K$10,$G713=$G$13,K$13,$G713=$G$14,K$14,$G713=$G$16,K$16,$G713=$G$17,K$17,$G713=$G$19,K$19,$G713=$G$20,K$20,$G713=$G$22,K$22,$G713=$G$23,K$23,$G713=$G$26,K$26,$G713=$G$29,K$29,$G713=$G$31,K$31,$G713=$G$34,K$34,$G713=$G$37,K$37,$G713=$G$107,K$107,$G713=$G$110,K$110,$G713=$G$140,K$140,$G713=$G$142,K$142,$G713=$G$408,K$408)</f>
        <v>BG sentinel + BG lure7</v>
      </c>
      <c r="O713" s="13" t="str">
        <f t="shared" si="69"/>
        <v>A_SP_BCN_6_221116</v>
      </c>
      <c r="P713" s="27">
        <v>44881</v>
      </c>
      <c r="Q713" s="29">
        <v>0.52777777777777779</v>
      </c>
      <c r="R713" s="33"/>
      <c r="S713" s="27">
        <v>44887</v>
      </c>
      <c r="T713" s="29">
        <v>0.83333333333333337</v>
      </c>
      <c r="V713" s="13" t="s">
        <v>86</v>
      </c>
      <c r="X713" s="13">
        <f t="shared" si="70"/>
        <v>6</v>
      </c>
      <c r="Z713" s="32" t="s">
        <v>163</v>
      </c>
      <c r="AA713" s="13">
        <f>SUM(AC713:AD713)</f>
        <v>2</v>
      </c>
      <c r="AB713" s="13" t="str">
        <f t="shared" si="71"/>
        <v>Adult</v>
      </c>
      <c r="AC713" s="13">
        <v>2</v>
      </c>
      <c r="AD713" s="13">
        <v>0</v>
      </c>
      <c r="AE713" s="13" t="str">
        <f t="shared" si="72"/>
        <v>Morphological</v>
      </c>
      <c r="AF713" s="2">
        <v>4</v>
      </c>
    </row>
    <row r="714" spans="1:32" x14ac:dyDescent="0.25">
      <c r="A714" s="13">
        <v>710</v>
      </c>
      <c r="B714" s="23" t="s">
        <v>56</v>
      </c>
      <c r="C714" s="23" t="s">
        <v>57</v>
      </c>
      <c r="D714" s="23" t="s">
        <v>58</v>
      </c>
      <c r="E714" s="23" t="s">
        <v>58</v>
      </c>
      <c r="F714" s="35" cm="1">
        <f t="array" ref="F714">_xlfn.IFS($G714=$G$5,F$5,$G714=$G$7,F$7,$G714=$G$10,F$10,$G714=$G$13,F$13,$G714=$G$14,F$14,$G714=$G$16,F$16,$G714=$G$17,F$17,$G714=$G$19,F$19,$G714=$G$20,F$20,$G714=$G$22,F$22,$G714=$G$23,F$23,$G714=$G$26,F$26,$G714=$G$29,F$29,$G714=$G$31,F$31,$G714=$G$34,F$34,$G714=$G$37,F$37,$G714=$G$107,F$107,$G714=$G$110,F$110,$G714=$G$140,F$140,$G714=$G$142,F$142,$G714=$G$408,F$408)</f>
        <v>8040</v>
      </c>
      <c r="G714" s="13" t="s">
        <v>68</v>
      </c>
      <c r="H714" s="51" cm="1">
        <f t="array" ref="H714">_xlfn.IFS($G714=$G$5,H$5,$G714=$G$7,H$7,$G714=$G$10,H$10,$G714=$G$13,H$13,$G714=$G$14,H$14,$G714=$G$16,H$16,$G714=$G$17,H$17,$G714=$G$19,H$19,$G714=$G$20,H$20,$G714=$G$22,H$22,$G714=$G$23,H$23,$G714=$G$26,H$26,$G714=$G$29,H$29,$G714=$G$31,H$31,$G714=$G$34,H$34,$G714=$G$37,H$37,$G714=$G$107,H$107,$G714=$G$110,H$110,$G714=$G$140,H$140,$G714=$G$142,H$142,$G714=$G$408,H$408)</f>
        <v>41.343685000000001</v>
      </c>
      <c r="I714" s="51" cm="1">
        <f t="array" ref="I714">_xlfn.IFS($G714=$G$5,I$5,$G714=$G$7,I$7,$G714=$G$10,I$10,$G714=$G$13,I$13,$G714=$G$14,I$14,$G714=$G$16,I$16,$G714=$G$17,I$17,$G714=$G$19,I$19,$G714=$G$20,I$20,$G714=$G$22,I$22,$G714=$G$23,I$23,$G714=$G$26,I$26,$G714=$G$29,I$29,$G714=$G$31,I$31,$G714=$G$34,I$34,$G714=$G$37,I$37,$G714=$G$107,I$107,$G714=$G$110,I$110,$G714=$G$140,I$140,$G714=$G$142,I$142,$G714=$G$408,I$408)</f>
        <v>2.1441490000000001</v>
      </c>
      <c r="J714" s="51" cm="1">
        <f t="array" ref="J714">_xlfn.IFS($G714=$G$5,J$5,$G714=$G$7,J$7,$G714=$G$10,J$10,$G714=$G$13,J$13,$G714=$G$14,J$14,$G714=$G$16,J$16,$G714=$G$17,J$17,$G714=$G$19,J$19,$G714=$G$20,J$20,$G714=$G$22,J$22,$G714=$G$23,J$23,$G714=$G$26,J$26,$G714=$G$29,J$29,$G714=$G$31,J$31,$G714=$G$34,J$34,$G714=$G$37,J$37,$G714=$G$107,J$107,$G714=$G$110,J$110,$G714=$G$140,J$140,$G714=$G$142,J$142,$G714=$G$408,J$408)</f>
        <v>4</v>
      </c>
      <c r="K714" s="13" t="str" cm="1">
        <f t="array" ref="K714">_xlfn.IFS($G714=$G$5,K$5,$G714=$G$7,K$7,$G714=$G$10,K$10,$G714=$G$13,K$13,$G714=$G$14,K$14,$G714=$G$16,K$16,$G714=$G$17,K$17,$G714=$G$19,K$19,$G714=$G$20,K$20,$G714=$G$22,K$22,$G714=$G$23,K$23,$G714=$G$26,K$26,$G714=$G$29,K$29,$G714=$G$31,K$31,$G714=$G$34,K$34,$G714=$G$37,K$37,$G714=$G$107,K$107,$G714=$G$110,K$110,$G714=$G$140,K$140,$G714=$G$142,K$142,$G714=$G$408,K$408)</f>
        <v>BG sentinel + BG lure7</v>
      </c>
      <c r="O714" s="13" t="str">
        <f t="shared" si="69"/>
        <v>A_SP_BCN_10_221115</v>
      </c>
      <c r="P714" s="27">
        <v>44880</v>
      </c>
      <c r="Q714" s="29">
        <v>0.58333333333333337</v>
      </c>
      <c r="R714" s="33"/>
      <c r="S714" s="27">
        <v>44887</v>
      </c>
      <c r="T714" s="29">
        <v>0.5</v>
      </c>
      <c r="V714" s="13" t="s">
        <v>86</v>
      </c>
      <c r="X714" s="13">
        <f t="shared" si="70"/>
        <v>7</v>
      </c>
      <c r="Z714" s="13" t="s">
        <v>60</v>
      </c>
      <c r="AA714" s="13">
        <f>SUM(AC714:AD714)</f>
        <v>1</v>
      </c>
      <c r="AB714" s="13" t="str">
        <f t="shared" si="71"/>
        <v>Adult</v>
      </c>
      <c r="AC714" s="13">
        <v>1</v>
      </c>
      <c r="AD714" s="13">
        <v>0</v>
      </c>
      <c r="AE714" s="13" t="str">
        <f t="shared" si="72"/>
        <v>Morphological</v>
      </c>
      <c r="AF714" s="2">
        <v>4</v>
      </c>
    </row>
    <row r="715" spans="1:32" x14ac:dyDescent="0.25">
      <c r="A715" s="13">
        <v>711</v>
      </c>
      <c r="B715" s="23" t="s">
        <v>56</v>
      </c>
      <c r="C715" s="23" t="s">
        <v>57</v>
      </c>
      <c r="D715" s="23" t="s">
        <v>58</v>
      </c>
      <c r="E715" s="23" t="s">
        <v>58</v>
      </c>
      <c r="F715" s="35" cm="1">
        <f t="array" ref="F715">_xlfn.IFS($G715=$G$5,F$5,$G715=$G$7,F$7,$G715=$G$10,F$10,$G715=$G$13,F$13,$G715=$G$14,F$14,$G715=$G$16,F$16,$G715=$G$17,F$17,$G715=$G$19,F$19,$G715=$G$20,F$20,$G715=$G$22,F$22,$G715=$G$23,F$23,$G715=$G$26,F$26,$G715=$G$29,F$29,$G715=$G$31,F$31,$G715=$G$34,F$34,$G715=$G$37,F$37,$G715=$G$107,F$107,$G715=$G$110,F$110,$G715=$G$140,F$140,$G715=$G$142,F$142,$G715=$G$408,F$408)</f>
        <v>8040</v>
      </c>
      <c r="G715" s="13" t="s">
        <v>68</v>
      </c>
      <c r="H715" s="51" cm="1">
        <f t="array" ref="H715">_xlfn.IFS($G715=$G$5,H$5,$G715=$G$7,H$7,$G715=$G$10,H$10,$G715=$G$13,H$13,$G715=$G$14,H$14,$G715=$G$16,H$16,$G715=$G$17,H$17,$G715=$G$19,H$19,$G715=$G$20,H$20,$G715=$G$22,H$22,$G715=$G$23,H$23,$G715=$G$26,H$26,$G715=$G$29,H$29,$G715=$G$31,H$31,$G715=$G$34,H$34,$G715=$G$37,H$37,$G715=$G$107,H$107,$G715=$G$110,H$110,$G715=$G$140,H$140,$G715=$G$142,H$142,$G715=$G$408,H$408)</f>
        <v>41.343685000000001</v>
      </c>
      <c r="I715" s="51" cm="1">
        <f t="array" ref="I715">_xlfn.IFS($G715=$G$5,I$5,$G715=$G$7,I$7,$G715=$G$10,I$10,$G715=$G$13,I$13,$G715=$G$14,I$14,$G715=$G$16,I$16,$G715=$G$17,I$17,$G715=$G$19,I$19,$G715=$G$20,I$20,$G715=$G$22,I$22,$G715=$G$23,I$23,$G715=$G$26,I$26,$G715=$G$29,I$29,$G715=$G$31,I$31,$G715=$G$34,I$34,$G715=$G$37,I$37,$G715=$G$107,I$107,$G715=$G$110,I$110,$G715=$G$140,I$140,$G715=$G$142,I$142,$G715=$G$408,I$408)</f>
        <v>2.1441490000000001</v>
      </c>
      <c r="J715" s="51" cm="1">
        <f t="array" ref="J715">_xlfn.IFS($G715=$G$5,J$5,$G715=$G$7,J$7,$G715=$G$10,J$10,$G715=$G$13,J$13,$G715=$G$14,J$14,$G715=$G$16,J$16,$G715=$G$17,J$17,$G715=$G$19,J$19,$G715=$G$20,J$20,$G715=$G$22,J$22,$G715=$G$23,J$23,$G715=$G$26,J$26,$G715=$G$29,J$29,$G715=$G$31,J$31,$G715=$G$34,J$34,$G715=$G$37,J$37,$G715=$G$107,J$107,$G715=$G$110,J$110,$G715=$G$140,J$140,$G715=$G$142,J$142,$G715=$G$408,J$408)</f>
        <v>4</v>
      </c>
      <c r="K715" s="13" t="str" cm="1">
        <f t="array" ref="K715">_xlfn.IFS($G715=$G$5,K$5,$G715=$G$7,K$7,$G715=$G$10,K$10,$G715=$G$13,K$13,$G715=$G$14,K$14,$G715=$G$16,K$16,$G715=$G$17,K$17,$G715=$G$19,K$19,$G715=$G$20,K$20,$G715=$G$22,K$22,$G715=$G$23,K$23,$G715=$G$26,K$26,$G715=$G$29,K$29,$G715=$G$31,K$31,$G715=$G$34,K$34,$G715=$G$37,K$37,$G715=$G$107,K$107,$G715=$G$110,K$110,$G715=$G$140,K$140,$G715=$G$142,K$142,$G715=$G$408,K$408)</f>
        <v>BG sentinel + BG lure7</v>
      </c>
      <c r="O715" s="13" t="str">
        <f t="shared" si="69"/>
        <v>A_SP_BCN_10_221115</v>
      </c>
      <c r="P715" s="27">
        <v>44880</v>
      </c>
      <c r="Q715" s="29">
        <v>0.58333333333333337</v>
      </c>
      <c r="R715" s="33"/>
      <c r="S715" s="27">
        <v>44887</v>
      </c>
      <c r="T715" s="29">
        <v>0.5</v>
      </c>
      <c r="V715" s="13" t="s">
        <v>86</v>
      </c>
      <c r="X715" s="13">
        <f t="shared" si="70"/>
        <v>7</v>
      </c>
      <c r="Z715" s="13" t="s">
        <v>164</v>
      </c>
      <c r="AA715" s="13">
        <f>SUM(AC715:AD715)</f>
        <v>5</v>
      </c>
      <c r="AB715" s="13" t="str">
        <f t="shared" si="71"/>
        <v>Adult</v>
      </c>
      <c r="AC715" s="13">
        <v>5</v>
      </c>
      <c r="AD715" s="13">
        <v>0</v>
      </c>
      <c r="AE715" s="13" t="str">
        <f t="shared" si="72"/>
        <v>Morphological</v>
      </c>
      <c r="AF715" s="2">
        <v>4</v>
      </c>
    </row>
    <row r="716" spans="1:32" x14ac:dyDescent="0.25">
      <c r="A716" s="13">
        <v>712</v>
      </c>
      <c r="B716" s="23" t="s">
        <v>56</v>
      </c>
      <c r="C716" s="23" t="s">
        <v>57</v>
      </c>
      <c r="D716" s="23" t="s">
        <v>58</v>
      </c>
      <c r="E716" s="23" t="s">
        <v>58</v>
      </c>
      <c r="F716" s="35" cm="1">
        <f t="array" ref="F716">_xlfn.IFS($G716=$G$5,F$5,$G716=$G$7,F$7,$G716=$G$10,F$10,$G716=$G$13,F$13,$G716=$G$14,F$14,$G716=$G$16,F$16,$G716=$G$17,F$17,$G716=$G$19,F$19,$G716=$G$20,F$20,$G716=$G$22,F$22,$G716=$G$23,F$23,$G716=$G$26,F$26,$G716=$G$29,F$29,$G716=$G$31,F$31,$G716=$G$34,F$34,$G716=$G$37,F$37,$G716=$G$107,F$107,$G716=$G$110,F$110,$G716=$G$140,F$140,$G716=$G$142,F$142,$G716=$G$408,F$408)</f>
        <v>8038</v>
      </c>
      <c r="G716" s="13" t="s">
        <v>69</v>
      </c>
      <c r="H716" s="51" cm="1">
        <f t="array" ref="H716">_xlfn.IFS($G716=$G$5,H$5,$G716=$G$7,H$7,$G716=$G$10,H$10,$G716=$G$13,H$13,$G716=$G$14,H$14,$G716=$G$16,H$16,$G716=$G$17,H$17,$G716=$G$19,H$19,$G716=$G$20,H$20,$G716=$G$22,H$22,$G716=$G$23,H$23,$G716=$G$26,H$26,$G716=$G$29,H$29,$G716=$G$31,H$31,$G716=$G$34,H$34,$G716=$G$37,H$37,$G716=$G$107,H$107,$G716=$G$110,H$110,$G716=$G$140,H$140,$G716=$G$142,H$142,$G716=$G$408,H$408)</f>
        <v>41.363377999999997</v>
      </c>
      <c r="I716" s="51" cm="1">
        <f t="array" ref="I716">_xlfn.IFS($G716=$G$5,I$5,$G716=$G$7,I$7,$G716=$G$10,I$10,$G716=$G$13,I$13,$G716=$G$14,I$14,$G716=$G$16,I$16,$G716=$G$17,I$17,$G716=$G$19,I$19,$G716=$G$20,I$20,$G716=$G$22,I$22,$G716=$G$23,I$23,$G716=$G$26,I$26,$G716=$G$29,I$29,$G716=$G$31,I$31,$G716=$G$34,I$34,$G716=$G$37,I$37,$G716=$G$107,I$107,$G716=$G$110,I$110,$G716=$G$140,I$140,$G716=$G$142,I$142,$G716=$G$408,I$408)</f>
        <v>2.164879</v>
      </c>
      <c r="J716" s="51" cm="1">
        <f t="array" ref="J716">_xlfn.IFS($G716=$G$5,J$5,$G716=$G$7,J$7,$G716=$G$10,J$10,$G716=$G$13,J$13,$G716=$G$14,J$14,$G716=$G$16,J$16,$G716=$G$17,J$17,$G716=$G$19,J$19,$G716=$G$20,J$20,$G716=$G$22,J$22,$G716=$G$23,J$23,$G716=$G$26,J$26,$G716=$G$29,J$29,$G716=$G$31,J$31,$G716=$G$34,J$34,$G716=$G$37,J$37,$G716=$G$107,J$107,$G716=$G$110,J$110,$G716=$G$140,J$140,$G716=$G$142,J$142,$G716=$G$408,J$408)</f>
        <v>185</v>
      </c>
      <c r="K716" s="13" t="str" cm="1">
        <f t="array" ref="K716">_xlfn.IFS($G716=$G$5,K$5,$G716=$G$7,K$7,$G716=$G$10,K$10,$G716=$G$13,K$13,$G716=$G$14,K$14,$G716=$G$16,K$16,$G716=$G$17,K$17,$G716=$G$19,K$19,$G716=$G$20,K$20,$G716=$G$22,K$22,$G716=$G$23,K$23,$G716=$G$26,K$26,$G716=$G$29,K$29,$G716=$G$31,K$31,$G716=$G$34,K$34,$G716=$G$37,K$37,$G716=$G$107,K$107,$G716=$G$110,K$110,$G716=$G$140,K$140,$G716=$G$142,K$142,$G716=$G$408,K$408)</f>
        <v>BG sentinel + BG lure7</v>
      </c>
      <c r="O716" s="13" t="str">
        <f t="shared" si="69"/>
        <v>A_SP_BCN_12_221115</v>
      </c>
      <c r="P716" s="27">
        <v>44880</v>
      </c>
      <c r="Q716" s="29">
        <v>0.61805555555555558</v>
      </c>
      <c r="R716" s="33"/>
      <c r="S716" s="27">
        <v>44887</v>
      </c>
      <c r="T716" s="29">
        <v>0.53819444444444442</v>
      </c>
      <c r="V716" s="13" t="s">
        <v>86</v>
      </c>
      <c r="X716" s="13">
        <f t="shared" si="70"/>
        <v>7</v>
      </c>
      <c r="Z716" s="13" t="s">
        <v>164</v>
      </c>
      <c r="AA716" s="13">
        <f>SUM(AC716:AD716)</f>
        <v>2</v>
      </c>
      <c r="AB716" s="13" t="str">
        <f t="shared" si="71"/>
        <v>Adult</v>
      </c>
      <c r="AC716" s="13">
        <v>2</v>
      </c>
      <c r="AD716" s="13">
        <v>0</v>
      </c>
      <c r="AE716" s="13" t="str">
        <f t="shared" si="72"/>
        <v>Morphological</v>
      </c>
      <c r="AF716" s="2">
        <v>4</v>
      </c>
    </row>
    <row r="717" spans="1:32" x14ac:dyDescent="0.25">
      <c r="A717" s="13">
        <v>713</v>
      </c>
      <c r="B717" s="23" t="s">
        <v>56</v>
      </c>
      <c r="C717" s="23" t="s">
        <v>57</v>
      </c>
      <c r="D717" s="23" t="s">
        <v>58</v>
      </c>
      <c r="E717" s="23" t="s">
        <v>58</v>
      </c>
      <c r="F717" s="35" cm="1">
        <f t="array" ref="F717">_xlfn.IFS($G717=$G$5,F$5,$G717=$G$7,F$7,$G717=$G$10,F$10,$G717=$G$13,F$13,$G717=$G$14,F$14,$G717=$G$16,F$16,$G717=$G$17,F$17,$G717=$G$19,F$19,$G717=$G$20,F$20,$G717=$G$22,F$22,$G717=$G$23,F$23,$G717=$G$26,F$26,$G717=$G$29,F$29,$G717=$G$31,F$31,$G717=$G$34,F$34,$G717=$G$37,F$37,$G717=$G$107,F$107,$G717=$G$110,F$110,$G717=$G$140,F$140,$G717=$G$142,F$142,$G717=$G$408,F$408)</f>
        <v>8035</v>
      </c>
      <c r="G717" s="13" t="s">
        <v>70</v>
      </c>
      <c r="H717" s="51" cm="1">
        <f t="array" ref="H717">_xlfn.IFS($G717=$G$5,H$5,$G717=$G$7,H$7,$G717=$G$10,H$10,$G717=$G$13,H$13,$G717=$G$14,H$14,$G717=$G$16,H$16,$G717=$G$17,H$17,$G717=$G$19,H$19,$G717=$G$20,H$20,$G717=$G$22,H$22,$G717=$G$23,H$23,$G717=$G$26,H$26,$G717=$G$29,H$29,$G717=$G$31,H$31,$G717=$G$34,H$34,$G717=$G$37,H$37,$G717=$G$107,H$107,$G717=$G$110,H$110,$G717=$G$140,H$140,$G717=$G$142,H$142,$G717=$G$408,H$408)</f>
        <v>41.434472</v>
      </c>
      <c r="I717" s="51" cm="1">
        <f t="array" ref="I717">_xlfn.IFS($G717=$G$5,I$5,$G717=$G$7,I$7,$G717=$G$10,I$10,$G717=$G$13,I$13,$G717=$G$14,I$14,$G717=$G$16,I$16,$G717=$G$17,I$17,$G717=$G$19,I$19,$G717=$G$20,I$20,$G717=$G$22,I$22,$G717=$G$23,I$23,$G717=$G$26,I$26,$G717=$G$29,I$29,$G717=$G$31,I$31,$G717=$G$34,I$34,$G717=$G$37,I$37,$G717=$G$107,I$107,$G717=$G$110,I$110,$G717=$G$140,I$140,$G717=$G$142,I$142,$G717=$G$408,I$408)</f>
        <v>2.1315789999999999</v>
      </c>
      <c r="J717" s="51" cm="1">
        <f t="array" ref="J717">_xlfn.IFS($G717=$G$5,J$5,$G717=$G$7,J$7,$G717=$G$10,J$10,$G717=$G$13,J$13,$G717=$G$14,J$14,$G717=$G$16,J$16,$G717=$G$17,J$17,$G717=$G$19,J$19,$G717=$G$20,J$20,$G717=$G$22,J$22,$G717=$G$23,J$23,$G717=$G$26,J$26,$G717=$G$29,J$29,$G717=$G$31,J$31,$G717=$G$34,J$34,$G717=$G$37,J$37,$G717=$G$107,J$107,$G717=$G$110,J$110,$G717=$G$140,J$140,$G717=$G$142,J$142,$G717=$G$408,J$408)</f>
        <v>365</v>
      </c>
      <c r="K717" s="13" t="str" cm="1">
        <f t="array" ref="K717">_xlfn.IFS($G717=$G$5,K$5,$G717=$G$7,K$7,$G717=$G$10,K$10,$G717=$G$13,K$13,$G717=$G$14,K$14,$G717=$G$16,K$16,$G717=$G$17,K$17,$G717=$G$19,K$19,$G717=$G$20,K$20,$G717=$G$22,K$22,$G717=$G$23,K$23,$G717=$G$26,K$26,$G717=$G$29,K$29,$G717=$G$31,K$31,$G717=$G$34,K$34,$G717=$G$37,K$37,$G717=$G$107,K$107,$G717=$G$110,K$110,$G717=$G$140,K$140,$G717=$G$142,K$142,$G717=$G$408,K$408)</f>
        <v>BG sentinel + BG lure7</v>
      </c>
      <c r="O717" s="13" t="str">
        <f t="shared" si="69"/>
        <v>A_SP_BCN_13_221115</v>
      </c>
      <c r="P717" s="27">
        <v>44880</v>
      </c>
      <c r="Q717" s="29">
        <v>0.73958333333333337</v>
      </c>
      <c r="R717" s="33"/>
      <c r="S717" s="31">
        <v>44896</v>
      </c>
      <c r="T717" s="29">
        <v>0.45833333333333331</v>
      </c>
      <c r="V717" s="13" t="s">
        <v>160</v>
      </c>
      <c r="W717" s="15" t="s">
        <v>206</v>
      </c>
      <c r="X717" s="13">
        <f t="shared" si="70"/>
        <v>16</v>
      </c>
      <c r="Z717" s="13" t="s">
        <v>60</v>
      </c>
      <c r="AA717" s="13">
        <f t="shared" ref="AA717:AA722" si="73">SUM(AC717:AD717)</f>
        <v>2</v>
      </c>
      <c r="AB717" s="13" t="str">
        <f t="shared" si="71"/>
        <v>Adult</v>
      </c>
      <c r="AC717" s="13">
        <v>2</v>
      </c>
      <c r="AD717" s="13">
        <v>0</v>
      </c>
      <c r="AE717" s="13" t="str">
        <f t="shared" si="72"/>
        <v>Morphological</v>
      </c>
      <c r="AF717" s="2">
        <v>1</v>
      </c>
    </row>
    <row r="718" spans="1:32" x14ac:dyDescent="0.25">
      <c r="A718" s="13">
        <v>714</v>
      </c>
      <c r="B718" s="23" t="s">
        <v>56</v>
      </c>
      <c r="C718" s="23" t="s">
        <v>57</v>
      </c>
      <c r="D718" s="23" t="s">
        <v>58</v>
      </c>
      <c r="E718" s="23" t="s">
        <v>58</v>
      </c>
      <c r="F718" s="35" cm="1">
        <f t="array" ref="F718">_xlfn.IFS($G718=$G$5,F$5,$G718=$G$7,F$7,$G718=$G$10,F$10,$G718=$G$13,F$13,$G718=$G$14,F$14,$G718=$G$16,F$16,$G718=$G$17,F$17,$G718=$G$19,F$19,$G718=$G$20,F$20,$G718=$G$22,F$22,$G718=$G$23,F$23,$G718=$G$26,F$26,$G718=$G$29,F$29,$G718=$G$31,F$31,$G718=$G$34,F$34,$G718=$G$37,F$37,$G718=$G$107,F$107,$G718=$G$110,F$110,$G718=$G$140,F$140,$G718=$G$142,F$142,$G718=$G$408,F$408)</f>
        <v>8017</v>
      </c>
      <c r="G718" s="13" t="s">
        <v>71</v>
      </c>
      <c r="H718" s="51" cm="1">
        <f t="array" ref="H718">_xlfn.IFS($G718=$G$5,H$5,$G718=$G$7,H$7,$G718=$G$10,H$10,$G718=$G$13,H$13,$G718=$G$14,H$14,$G718=$G$16,H$16,$G718=$G$17,H$17,$G718=$G$19,H$19,$G718=$G$20,H$20,$G718=$G$22,H$22,$G718=$G$23,H$23,$G718=$G$26,H$26,$G718=$G$29,H$29,$G718=$G$31,H$31,$G718=$G$34,H$34,$G718=$G$37,H$37,$G718=$G$107,H$107,$G718=$G$110,H$110,$G718=$G$140,H$140,$G718=$G$142,H$142,$G718=$G$408,H$408)</f>
        <v>41.428533999999999</v>
      </c>
      <c r="I718" s="51" cm="1">
        <f t="array" ref="I718">_xlfn.IFS($G718=$G$5,I$5,$G718=$G$7,I$7,$G718=$G$10,I$10,$G718=$G$13,I$13,$G718=$G$14,I$14,$G718=$G$16,I$16,$G718=$G$17,I$17,$G718=$G$19,I$19,$G718=$G$20,I$20,$G718=$G$22,I$22,$G718=$G$23,I$23,$G718=$G$26,I$26,$G718=$G$29,I$29,$G718=$G$31,I$31,$G718=$G$34,I$34,$G718=$G$37,I$37,$G718=$G$107,I$107,$G718=$G$110,I$110,$G718=$G$140,I$140,$G718=$G$142,I$142,$G718=$G$408,I$408)</f>
        <v>2.090954</v>
      </c>
      <c r="J718" s="51" cm="1">
        <f t="array" ref="J718">_xlfn.IFS($G718=$G$5,J$5,$G718=$G$7,J$7,$G718=$G$10,J$10,$G718=$G$13,J$13,$G718=$G$14,J$14,$G718=$G$16,J$16,$G718=$G$17,J$17,$G718=$G$19,J$19,$G718=$G$20,J$20,$G718=$G$22,J$22,$G718=$G$23,J$23,$G718=$G$26,J$26,$G718=$G$29,J$29,$G718=$G$31,J$31,$G718=$G$34,J$34,$G718=$G$37,J$37,$G718=$G$107,J$107,$G718=$G$110,J$110,$G718=$G$140,J$140,$G718=$G$142,J$142,$G718=$G$408,J$408)</f>
        <v>215</v>
      </c>
      <c r="K718" s="13" t="str" cm="1">
        <f t="array" ref="K718">_xlfn.IFS($G718=$G$5,K$5,$G718=$G$7,K$7,$G718=$G$10,K$10,$G718=$G$13,K$13,$G718=$G$14,K$14,$G718=$G$16,K$16,$G718=$G$17,K$17,$G718=$G$19,K$19,$G718=$G$20,K$20,$G718=$G$22,K$22,$G718=$G$23,K$23,$G718=$G$26,K$26,$G718=$G$29,K$29,$G718=$G$31,K$31,$G718=$G$34,K$34,$G718=$G$37,K$37,$G718=$G$107,K$107,$G718=$G$110,K$110,$G718=$G$140,K$140,$G718=$G$142,K$142,$G718=$G$408,K$408)</f>
        <v>BG sentinel + BG lure7</v>
      </c>
      <c r="O718" s="13" t="str">
        <f t="shared" si="69"/>
        <v>A_SP_BCN_14_221115</v>
      </c>
      <c r="P718" s="27">
        <v>44880</v>
      </c>
      <c r="Q718" s="29">
        <v>0.77083333333333337</v>
      </c>
      <c r="R718" s="33"/>
      <c r="S718" s="27">
        <v>44887</v>
      </c>
      <c r="T718" s="29">
        <v>0.71875</v>
      </c>
      <c r="V718" s="13" t="s">
        <v>86</v>
      </c>
      <c r="X718" s="13">
        <f t="shared" si="70"/>
        <v>7</v>
      </c>
      <c r="Z718" s="13" t="s">
        <v>164</v>
      </c>
      <c r="AA718" s="13">
        <f t="shared" si="73"/>
        <v>3</v>
      </c>
      <c r="AB718" s="13" t="str">
        <f t="shared" si="71"/>
        <v>Adult</v>
      </c>
      <c r="AC718" s="13">
        <v>3</v>
      </c>
      <c r="AD718" s="13">
        <v>0</v>
      </c>
      <c r="AE718" s="13" t="str">
        <f t="shared" si="72"/>
        <v>Morphological</v>
      </c>
      <c r="AF718" s="2">
        <v>4</v>
      </c>
    </row>
    <row r="719" spans="1:32" x14ac:dyDescent="0.25">
      <c r="A719" s="13">
        <v>715</v>
      </c>
      <c r="B719" s="23" t="s">
        <v>56</v>
      </c>
      <c r="C719" s="23" t="s">
        <v>57</v>
      </c>
      <c r="D719" s="23" t="s">
        <v>58</v>
      </c>
      <c r="E719" s="23" t="s">
        <v>58</v>
      </c>
      <c r="F719" s="35" cm="1">
        <f t="array" ref="F719">_xlfn.IFS($G719=$G$5,F$5,$G719=$G$7,F$7,$G719=$G$10,F$10,$G719=$G$13,F$13,$G719=$G$14,F$14,$G719=$G$16,F$16,$G719=$G$17,F$17,$G719=$G$19,F$19,$G719=$G$20,F$20,$G719=$G$22,F$22,$G719=$G$23,F$23,$G719=$G$26,F$26,$G719=$G$29,F$29,$G719=$G$31,F$31,$G719=$G$34,F$34,$G719=$G$37,F$37,$G719=$G$107,F$107,$G719=$G$110,F$110,$G719=$G$140,F$140,$G719=$G$142,F$142,$G719=$G$408,F$408)</f>
        <v>8017</v>
      </c>
      <c r="G719" s="13" t="s">
        <v>71</v>
      </c>
      <c r="H719" s="51" cm="1">
        <f t="array" ref="H719">_xlfn.IFS($G719=$G$5,H$5,$G719=$G$7,H$7,$G719=$G$10,H$10,$G719=$G$13,H$13,$G719=$G$14,H$14,$G719=$G$16,H$16,$G719=$G$17,H$17,$G719=$G$19,H$19,$G719=$G$20,H$20,$G719=$G$22,H$22,$G719=$G$23,H$23,$G719=$G$26,H$26,$G719=$G$29,H$29,$G719=$G$31,H$31,$G719=$G$34,H$34,$G719=$G$37,H$37,$G719=$G$107,H$107,$G719=$G$110,H$110,$G719=$G$140,H$140,$G719=$G$142,H$142,$G719=$G$408,H$408)</f>
        <v>41.428533999999999</v>
      </c>
      <c r="I719" s="51" cm="1">
        <f t="array" ref="I719">_xlfn.IFS($G719=$G$5,I$5,$G719=$G$7,I$7,$G719=$G$10,I$10,$G719=$G$13,I$13,$G719=$G$14,I$14,$G719=$G$16,I$16,$G719=$G$17,I$17,$G719=$G$19,I$19,$G719=$G$20,I$20,$G719=$G$22,I$22,$G719=$G$23,I$23,$G719=$G$26,I$26,$G719=$G$29,I$29,$G719=$G$31,I$31,$G719=$G$34,I$34,$G719=$G$37,I$37,$G719=$G$107,I$107,$G719=$G$110,I$110,$G719=$G$140,I$140,$G719=$G$142,I$142,$G719=$G$408,I$408)</f>
        <v>2.090954</v>
      </c>
      <c r="J719" s="51" cm="1">
        <f t="array" ref="J719">_xlfn.IFS($G719=$G$5,J$5,$G719=$G$7,J$7,$G719=$G$10,J$10,$G719=$G$13,J$13,$G719=$G$14,J$14,$G719=$G$16,J$16,$G719=$G$17,J$17,$G719=$G$19,J$19,$G719=$G$20,J$20,$G719=$G$22,J$22,$G719=$G$23,J$23,$G719=$G$26,J$26,$G719=$G$29,J$29,$G719=$G$31,J$31,$G719=$G$34,J$34,$G719=$G$37,J$37,$G719=$G$107,J$107,$G719=$G$110,J$110,$G719=$G$140,J$140,$G719=$G$142,J$142,$G719=$G$408,J$408)</f>
        <v>215</v>
      </c>
      <c r="K719" s="13" t="str" cm="1">
        <f t="array" ref="K719">_xlfn.IFS($G719=$G$5,K$5,$G719=$G$7,K$7,$G719=$G$10,K$10,$G719=$G$13,K$13,$G719=$G$14,K$14,$G719=$G$16,K$16,$G719=$G$17,K$17,$G719=$G$19,K$19,$G719=$G$20,K$20,$G719=$G$22,K$22,$G719=$G$23,K$23,$G719=$G$26,K$26,$G719=$G$29,K$29,$G719=$G$31,K$31,$G719=$G$34,K$34,$G719=$G$37,K$37,$G719=$G$107,K$107,$G719=$G$110,K$110,$G719=$G$140,K$140,$G719=$G$142,K$142,$G719=$G$408,K$408)</f>
        <v>BG sentinel + BG lure7</v>
      </c>
      <c r="O719" s="13" t="str">
        <f t="shared" si="69"/>
        <v>A_SP_BCN_14_221115</v>
      </c>
      <c r="P719" s="27">
        <v>44880</v>
      </c>
      <c r="Q719" s="29">
        <v>0.77083333333333337</v>
      </c>
      <c r="R719" s="33"/>
      <c r="S719" s="27">
        <v>44887</v>
      </c>
      <c r="T719" s="29">
        <v>0.71875</v>
      </c>
      <c r="V719" s="13" t="s">
        <v>86</v>
      </c>
      <c r="X719" s="13">
        <f t="shared" si="70"/>
        <v>7</v>
      </c>
      <c r="Z719" s="32" t="s">
        <v>163</v>
      </c>
      <c r="AA719" s="13">
        <f t="shared" si="73"/>
        <v>1</v>
      </c>
      <c r="AB719" s="13" t="str">
        <f t="shared" si="71"/>
        <v>Adult</v>
      </c>
      <c r="AC719" s="13">
        <v>0</v>
      </c>
      <c r="AD719" s="13">
        <v>1</v>
      </c>
      <c r="AE719" s="13" t="str">
        <f t="shared" si="72"/>
        <v>Morphological</v>
      </c>
      <c r="AF719" s="2">
        <v>4</v>
      </c>
    </row>
    <row r="720" spans="1:32" x14ac:dyDescent="0.25">
      <c r="A720" s="13">
        <v>716</v>
      </c>
      <c r="B720" s="23" t="s">
        <v>56</v>
      </c>
      <c r="C720" s="23" t="s">
        <v>57</v>
      </c>
      <c r="D720" s="23" t="s">
        <v>58</v>
      </c>
      <c r="E720" s="23" t="s">
        <v>58</v>
      </c>
      <c r="F720" s="35" cm="1">
        <f t="array" ref="F720">_xlfn.IFS($G720=$G$5,F$5,$G720=$G$7,F$7,$G720=$G$10,F$10,$G720=$G$13,F$13,$G720=$G$14,F$14,$G720=$G$16,F$16,$G720=$G$17,F$17,$G720=$G$19,F$19,$G720=$G$20,F$20,$G720=$G$22,F$22,$G720=$G$23,F$23,$G720=$G$26,F$26,$G720=$G$29,F$29,$G720=$G$31,F$31,$G720=$G$34,F$34,$G720=$G$37,F$37,$G720=$G$107,F$107,$G720=$G$110,F$110,$G720=$G$140,F$140,$G720=$G$142,F$142,$G720=$G$408,F$408)</f>
        <v>8017</v>
      </c>
      <c r="G720" s="13" t="s">
        <v>72</v>
      </c>
      <c r="H720" s="51" cm="1">
        <f t="array" ref="H720">_xlfn.IFS($G720=$G$5,H$5,$G720=$G$7,H$7,$G720=$G$10,H$10,$G720=$G$13,H$13,$G720=$G$14,H$14,$G720=$G$16,H$16,$G720=$G$17,H$17,$G720=$G$19,H$19,$G720=$G$20,H$20,$G720=$G$22,H$22,$G720=$G$23,H$23,$G720=$G$26,H$26,$G720=$G$29,H$29,$G720=$G$31,H$31,$G720=$G$34,H$34,$G720=$G$37,H$37,$G720=$G$107,H$107,$G720=$G$110,H$110,$G720=$G$140,H$140,$G720=$G$142,H$142,$G720=$G$408,H$408)</f>
        <v>41.419471000000001</v>
      </c>
      <c r="I720" s="51" cm="1">
        <f t="array" ref="I720">_xlfn.IFS($G720=$G$5,I$5,$G720=$G$7,I$7,$G720=$G$10,I$10,$G720=$G$13,I$13,$G720=$G$14,I$14,$G720=$G$16,I$16,$G720=$G$17,I$17,$G720=$G$19,I$19,$G720=$G$20,I$20,$G720=$G$22,I$22,$G720=$G$23,I$23,$G720=$G$26,I$26,$G720=$G$29,I$29,$G720=$G$31,I$31,$G720=$G$34,I$34,$G720=$G$37,I$37,$G720=$G$107,I$107,$G720=$G$110,I$110,$G720=$G$140,I$140,$G720=$G$142,I$142,$G720=$G$408,I$408)</f>
        <v>2.1010149999999999</v>
      </c>
      <c r="J720" s="51" cm="1">
        <f t="array" ref="J720">_xlfn.IFS($G720=$G$5,J$5,$G720=$G$7,J$7,$G720=$G$10,J$10,$G720=$G$13,J$13,$G720=$G$14,J$14,$G720=$G$16,J$16,$G720=$G$17,J$17,$G720=$G$19,J$19,$G720=$G$20,J$20,$G720=$G$22,J$22,$G720=$G$23,J$23,$G720=$G$26,J$26,$G720=$G$29,J$29,$G720=$G$31,J$31,$G720=$G$34,J$34,$G720=$G$37,J$37,$G720=$G$107,J$107,$G720=$G$110,J$110,$G720=$G$140,J$140,$G720=$G$142,J$142,$G720=$G$408,J$408)</f>
        <v>284</v>
      </c>
      <c r="K720" s="13" t="str" cm="1">
        <f t="array" ref="K720">_xlfn.IFS($G720=$G$5,K$5,$G720=$G$7,K$7,$G720=$G$10,K$10,$G720=$G$13,K$13,$G720=$G$14,K$14,$G720=$G$16,K$16,$G720=$G$17,K$17,$G720=$G$19,K$19,$G720=$G$20,K$20,$G720=$G$22,K$22,$G720=$G$23,K$23,$G720=$G$26,K$26,$G720=$G$29,K$29,$G720=$G$31,K$31,$G720=$G$34,K$34,$G720=$G$37,K$37,$G720=$G$107,K$107,$G720=$G$110,K$110,$G720=$G$140,K$140,$G720=$G$142,K$142,$G720=$G$408,K$408)</f>
        <v>BG sentinel + BG lure7</v>
      </c>
      <c r="O720" s="13" t="str">
        <f t="shared" si="69"/>
        <v>A_SP_BCN_15_221115</v>
      </c>
      <c r="P720" s="27">
        <v>44880</v>
      </c>
      <c r="Q720" s="29">
        <v>0.75</v>
      </c>
      <c r="R720" s="33"/>
      <c r="S720" s="27">
        <v>44887</v>
      </c>
      <c r="T720" s="29">
        <v>0.69791666666666663</v>
      </c>
      <c r="V720" s="13" t="s">
        <v>86</v>
      </c>
      <c r="X720" s="13">
        <f t="shared" si="70"/>
        <v>7</v>
      </c>
      <c r="Z720" s="32" t="s">
        <v>163</v>
      </c>
      <c r="AA720" s="13">
        <f t="shared" si="73"/>
        <v>1</v>
      </c>
      <c r="AB720" s="13" t="str">
        <f t="shared" si="71"/>
        <v>Adult</v>
      </c>
      <c r="AC720" s="13">
        <v>1</v>
      </c>
      <c r="AD720" s="13">
        <v>0</v>
      </c>
      <c r="AE720" s="13" t="str">
        <f t="shared" si="72"/>
        <v>Morphological</v>
      </c>
      <c r="AF720" s="2">
        <v>4</v>
      </c>
    </row>
    <row r="721" spans="1:32" x14ac:dyDescent="0.25">
      <c r="A721" s="13">
        <v>717</v>
      </c>
      <c r="B721" s="23" t="s">
        <v>56</v>
      </c>
      <c r="C721" s="23" t="s">
        <v>57</v>
      </c>
      <c r="D721" s="23" t="s">
        <v>58</v>
      </c>
      <c r="E721" s="23" t="s">
        <v>58</v>
      </c>
      <c r="F721" s="35" cm="1">
        <f t="array" ref="F721">_xlfn.IFS($G721=$G$5,F$5,$G721=$G$7,F$7,$G721=$G$10,F$10,$G721=$G$13,F$13,$G721=$G$14,F$14,$G721=$G$16,F$16,$G721=$G$17,F$17,$G721=$G$19,F$19,$G721=$G$20,F$20,$G721=$G$22,F$22,$G721=$G$23,F$23,$G721=$G$26,F$26,$G721=$G$29,F$29,$G721=$G$31,F$31,$G721=$G$34,F$34,$G721=$G$37,F$37,$G721=$G$107,F$107,$G721=$G$110,F$110,$G721=$G$140,F$140,$G721=$G$142,F$142,$G721=$G$408,F$408)</f>
        <v>8017</v>
      </c>
      <c r="G721" s="2" t="s">
        <v>73</v>
      </c>
      <c r="H721" s="51" cm="1">
        <f t="array" ref="H721">_xlfn.IFS($G721=$G$5,H$5,$G721=$G$7,H$7,$G721=$G$10,H$10,$G721=$G$13,H$13,$G721=$G$14,H$14,$G721=$G$16,H$16,$G721=$G$17,H$17,$G721=$G$19,H$19,$G721=$G$20,H$20,$G721=$G$22,H$22,$G721=$G$23,H$23,$G721=$G$26,H$26,$G721=$G$29,H$29,$G721=$G$31,H$31,$G721=$G$34,H$34,$G721=$G$37,H$37,$G721=$G$107,H$107,$G721=$G$110,H$110,$G721=$G$140,H$140,$G721=$G$142,H$142,$G721=$G$408,H$408)</f>
        <v>41.398387</v>
      </c>
      <c r="I721" s="51" cm="1">
        <f t="array" ref="I721">_xlfn.IFS($G721=$G$5,I$5,$G721=$G$7,I$7,$G721=$G$10,I$10,$G721=$G$13,I$13,$G721=$G$14,I$14,$G721=$G$16,I$16,$G721=$G$17,I$17,$G721=$G$19,I$19,$G721=$G$20,I$20,$G721=$G$22,I$22,$G721=$G$23,I$23,$G721=$G$26,I$26,$G721=$G$29,I$29,$G721=$G$31,I$31,$G721=$G$34,I$34,$G721=$G$37,I$37,$G721=$G$107,I$107,$G721=$G$110,I$110,$G721=$G$140,I$140,$G721=$G$142,I$142,$G721=$G$408,I$408)</f>
        <v>2.1244429999999999</v>
      </c>
      <c r="J721" s="51" cm="1">
        <f t="array" ref="J721">_xlfn.IFS($G721=$G$5,J$5,$G721=$G$7,J$7,$G721=$G$10,J$10,$G721=$G$13,J$13,$G721=$G$14,J$14,$G721=$G$16,J$16,$G721=$G$17,J$17,$G721=$G$19,J$19,$G721=$G$20,J$20,$G721=$G$22,J$22,$G721=$G$23,J$23,$G721=$G$26,J$26,$G721=$G$29,J$29,$G721=$G$31,J$31,$G721=$G$34,J$34,$G721=$G$37,J$37,$G721=$G$107,J$107,$G721=$G$110,J$110,$G721=$G$140,J$140,$G721=$G$142,J$142,$G721=$G$408,J$408)</f>
        <v>106</v>
      </c>
      <c r="K721" s="13" t="str" cm="1">
        <f t="array" ref="K721">_xlfn.IFS($G721=$G$5,K$5,$G721=$G$7,K$7,$G721=$G$10,K$10,$G721=$G$13,K$13,$G721=$G$14,K$14,$G721=$G$16,K$16,$G721=$G$17,K$17,$G721=$G$19,K$19,$G721=$G$20,K$20,$G721=$G$22,K$22,$G721=$G$23,K$23,$G721=$G$26,K$26,$G721=$G$29,K$29,$G721=$G$31,K$31,$G721=$G$34,K$34,$G721=$G$37,K$37,$G721=$G$107,K$107,$G721=$G$110,K$110,$G721=$G$140,K$140,$G721=$G$142,K$142,$G721=$G$408,K$408)</f>
        <v>BG sentinel + BG lure7</v>
      </c>
      <c r="O721" s="13" t="str">
        <f t="shared" si="69"/>
        <v>A_SP_BCN_16_221115</v>
      </c>
      <c r="P721" s="27">
        <v>44880</v>
      </c>
      <c r="Q721" s="29">
        <v>0.79166666666666663</v>
      </c>
      <c r="R721" s="33"/>
      <c r="S721" s="27">
        <v>44887</v>
      </c>
      <c r="T721" s="29">
        <v>0.73958333333333337</v>
      </c>
      <c r="V721" s="13" t="s">
        <v>86</v>
      </c>
      <c r="X721" s="13">
        <f t="shared" si="70"/>
        <v>7</v>
      </c>
      <c r="Z721" s="13" t="s">
        <v>60</v>
      </c>
      <c r="AA721" s="13">
        <f t="shared" si="73"/>
        <v>1</v>
      </c>
      <c r="AB721" s="13" t="str">
        <f t="shared" si="71"/>
        <v>Adult</v>
      </c>
      <c r="AC721" s="13">
        <v>1</v>
      </c>
      <c r="AD721" s="13">
        <v>0</v>
      </c>
      <c r="AE721" s="13" t="str">
        <f t="shared" si="72"/>
        <v>Morphological</v>
      </c>
      <c r="AF721" s="2">
        <v>4</v>
      </c>
    </row>
    <row r="722" spans="1:32" x14ac:dyDescent="0.25">
      <c r="A722" s="13">
        <v>718</v>
      </c>
      <c r="B722" s="23" t="s">
        <v>56</v>
      </c>
      <c r="C722" s="23" t="s">
        <v>57</v>
      </c>
      <c r="D722" s="23" t="s">
        <v>58</v>
      </c>
      <c r="E722" s="23" t="s">
        <v>58</v>
      </c>
      <c r="F722" s="35" cm="1">
        <f t="array" ref="F722">_xlfn.IFS($G722=$G$5,F$5,$G722=$G$7,F$7,$G722=$G$10,F$10,$G722=$G$13,F$13,$G722=$G$14,F$14,$G722=$G$16,F$16,$G722=$G$17,F$17,$G722=$G$19,F$19,$G722=$G$20,F$20,$G722=$G$22,F$22,$G722=$G$23,F$23,$G722=$G$26,F$26,$G722=$G$29,F$29,$G722=$G$31,F$31,$G722=$G$34,F$34,$G722=$G$37,F$37,$G722=$G$107,F$107,$G722=$G$110,F$110,$G722=$G$140,F$140,$G722=$G$142,F$142,$G722=$G$408,F$408)</f>
        <v>8017</v>
      </c>
      <c r="G722" s="2" t="s">
        <v>73</v>
      </c>
      <c r="H722" s="51" cm="1">
        <f t="array" ref="H722">_xlfn.IFS($G722=$G$5,H$5,$G722=$G$7,H$7,$G722=$G$10,H$10,$G722=$G$13,H$13,$G722=$G$14,H$14,$G722=$G$16,H$16,$G722=$G$17,H$17,$G722=$G$19,H$19,$G722=$G$20,H$20,$G722=$G$22,H$22,$G722=$G$23,H$23,$G722=$G$26,H$26,$G722=$G$29,H$29,$G722=$G$31,H$31,$G722=$G$34,H$34,$G722=$G$37,H$37,$G722=$G$107,H$107,$G722=$G$110,H$110,$G722=$G$140,H$140,$G722=$G$142,H$142,$G722=$G$408,H$408)</f>
        <v>41.398387</v>
      </c>
      <c r="I722" s="51" cm="1">
        <f t="array" ref="I722">_xlfn.IFS($G722=$G$5,I$5,$G722=$G$7,I$7,$G722=$G$10,I$10,$G722=$G$13,I$13,$G722=$G$14,I$14,$G722=$G$16,I$16,$G722=$G$17,I$17,$G722=$G$19,I$19,$G722=$G$20,I$20,$G722=$G$22,I$22,$G722=$G$23,I$23,$G722=$G$26,I$26,$G722=$G$29,I$29,$G722=$G$31,I$31,$G722=$G$34,I$34,$G722=$G$37,I$37,$G722=$G$107,I$107,$G722=$G$110,I$110,$G722=$G$140,I$140,$G722=$G$142,I$142,$G722=$G$408,I$408)</f>
        <v>2.1244429999999999</v>
      </c>
      <c r="J722" s="51" cm="1">
        <f t="array" ref="J722">_xlfn.IFS($G722=$G$5,J$5,$G722=$G$7,J$7,$G722=$G$10,J$10,$G722=$G$13,J$13,$G722=$G$14,J$14,$G722=$G$16,J$16,$G722=$G$17,J$17,$G722=$G$19,J$19,$G722=$G$20,J$20,$G722=$G$22,J$22,$G722=$G$23,J$23,$G722=$G$26,J$26,$G722=$G$29,J$29,$G722=$G$31,J$31,$G722=$G$34,J$34,$G722=$G$37,J$37,$G722=$G$107,J$107,$G722=$G$110,J$110,$G722=$G$140,J$140,$G722=$G$142,J$142,$G722=$G$408,J$408)</f>
        <v>106</v>
      </c>
      <c r="K722" s="13" t="str" cm="1">
        <f t="array" ref="K722">_xlfn.IFS($G722=$G$5,K$5,$G722=$G$7,K$7,$G722=$G$10,K$10,$G722=$G$13,K$13,$G722=$G$14,K$14,$G722=$G$16,K$16,$G722=$G$17,K$17,$G722=$G$19,K$19,$G722=$G$20,K$20,$G722=$G$22,K$22,$G722=$G$23,K$23,$G722=$G$26,K$26,$G722=$G$29,K$29,$G722=$G$31,K$31,$G722=$G$34,K$34,$G722=$G$37,K$37,$G722=$G$107,K$107,$G722=$G$110,K$110,$G722=$G$140,K$140,$G722=$G$142,K$142,$G722=$G$408,K$408)</f>
        <v>BG sentinel + BG lure7</v>
      </c>
      <c r="O722" s="13" t="str">
        <f t="shared" si="69"/>
        <v>A_SP_BCN_16_221115</v>
      </c>
      <c r="P722" s="27">
        <v>44880</v>
      </c>
      <c r="Q722" s="29">
        <v>0.79166666666666663</v>
      </c>
      <c r="R722" s="33"/>
      <c r="S722" s="27">
        <v>44887</v>
      </c>
      <c r="T722" s="29">
        <v>0.73958333333333337</v>
      </c>
      <c r="V722" s="13" t="s">
        <v>86</v>
      </c>
      <c r="X722" s="13">
        <f t="shared" si="70"/>
        <v>7</v>
      </c>
      <c r="Z722" s="13" t="s">
        <v>164</v>
      </c>
      <c r="AA722" s="13">
        <f t="shared" si="73"/>
        <v>2</v>
      </c>
      <c r="AB722" s="13" t="str">
        <f t="shared" si="71"/>
        <v>Adult</v>
      </c>
      <c r="AC722" s="13">
        <v>0</v>
      </c>
      <c r="AD722" s="13">
        <v>2</v>
      </c>
      <c r="AE722" s="13" t="str">
        <f t="shared" si="72"/>
        <v>Morphological</v>
      </c>
      <c r="AF722" s="2">
        <v>4</v>
      </c>
    </row>
    <row r="723" spans="1:32" x14ac:dyDescent="0.25">
      <c r="A723" s="13">
        <v>719</v>
      </c>
      <c r="B723" s="23" t="s">
        <v>56</v>
      </c>
      <c r="C723" s="23" t="s">
        <v>57</v>
      </c>
      <c r="D723" s="23" t="s">
        <v>58</v>
      </c>
      <c r="E723" s="23" t="s">
        <v>58</v>
      </c>
      <c r="F723" s="35" cm="1">
        <f t="array" ref="F723">_xlfn.IFS($G723=$G$5,F$5,$G723=$G$7,F$7,$G723=$G$10,F$10,$G723=$G$13,F$13,$G723=$G$14,F$14,$G723=$G$16,F$16,$G723=$G$17,F$17,$G723=$G$19,F$19,$G723=$G$20,F$20,$G723=$G$22,F$22,$G723=$G$23,F$23,$G723=$G$26,F$26,$G723=$G$29,F$29,$G723=$G$31,F$31,$G723=$G$34,F$34,$G723=$G$37,F$37,$G723=$G$107,F$107,$G723=$G$110,F$110,$G723=$G$140,F$140,$G723=$G$142,F$142,$G723=$G$408,F$408)</f>
        <v>8023</v>
      </c>
      <c r="G723" s="2" t="s">
        <v>74</v>
      </c>
      <c r="H723" s="51" cm="1">
        <f t="array" ref="H723">_xlfn.IFS($G723=$G$5,H$5,$G723=$G$7,H$7,$G723=$G$10,H$10,$G723=$G$13,H$13,$G723=$G$14,H$14,$G723=$G$16,H$16,$G723=$G$17,H$17,$G723=$G$19,H$19,$G723=$G$20,H$20,$G723=$G$22,H$22,$G723=$G$23,H$23,$G723=$G$26,H$26,$G723=$G$29,H$29,$G723=$G$31,H$31,$G723=$G$34,H$34,$G723=$G$37,H$37,$G723=$G$107,H$107,$G723=$G$110,H$110,$G723=$G$140,H$140,$G723=$G$142,H$142,$G723=$G$408,H$408)</f>
        <v>41.417256000000002</v>
      </c>
      <c r="I723" s="51" cm="1">
        <f t="array" ref="I723">_xlfn.IFS($G723=$G$5,I$5,$G723=$G$7,I$7,$G723=$G$10,I$10,$G723=$G$13,I$13,$G723=$G$14,I$14,$G723=$G$16,I$16,$G723=$G$17,I$17,$G723=$G$19,I$19,$G723=$G$20,I$20,$G723=$G$22,I$22,$G723=$G$23,I$23,$G723=$G$26,I$26,$G723=$G$29,I$29,$G723=$G$31,I$31,$G723=$G$34,I$34,$G723=$G$37,I$37,$G723=$G$107,I$107,$G723=$G$110,I$110,$G723=$G$140,I$140,$G723=$G$142,I$142,$G723=$G$408,I$408)</f>
        <v>2.1455709999999999</v>
      </c>
      <c r="J723" s="51" cm="1">
        <f t="array" ref="J723">_xlfn.IFS($G723=$G$5,J$5,$G723=$G$7,J$7,$G723=$G$10,J$10,$G723=$G$13,J$13,$G723=$G$14,J$14,$G723=$G$16,J$16,$G723=$G$17,J$17,$G723=$G$19,J$19,$G723=$G$20,J$20,$G723=$G$22,J$22,$G723=$G$23,J$23,$G723=$G$26,J$26,$G723=$G$29,J$29,$G723=$G$31,J$31,$G723=$G$34,J$34,$G723=$G$37,J$37,$G723=$G$107,J$107,$G723=$G$110,J$110,$G723=$G$140,J$140,$G723=$G$142,J$142,$G723=$G$408,J$408)</f>
        <v>186</v>
      </c>
      <c r="K723" s="13" t="str" cm="1">
        <f t="array" ref="K723">_xlfn.IFS($G723=$G$5,K$5,$G723=$G$7,K$7,$G723=$G$10,K$10,$G723=$G$13,K$13,$G723=$G$14,K$14,$G723=$G$16,K$16,$G723=$G$17,K$17,$G723=$G$19,K$19,$G723=$G$20,K$20,$G723=$G$22,K$22,$G723=$G$23,K$23,$G723=$G$26,K$26,$G723=$G$29,K$29,$G723=$G$31,K$31,$G723=$G$34,K$34,$G723=$G$37,K$37,$G723=$G$107,K$107,$G723=$G$110,K$110,$G723=$G$140,K$140,$G723=$G$142,K$142,$G723=$G$408,K$408)</f>
        <v>BG sentinel + BG lure7</v>
      </c>
      <c r="O723" s="13" t="str">
        <f t="shared" si="69"/>
        <v>A_SP_BCN_17_221115</v>
      </c>
      <c r="P723" s="27">
        <v>44880</v>
      </c>
      <c r="Q723" s="29">
        <v>0.67361111111111116</v>
      </c>
      <c r="R723" s="33"/>
      <c r="S723" s="27">
        <v>44887</v>
      </c>
      <c r="T723" s="36">
        <v>0.61111111111111105</v>
      </c>
      <c r="V723" s="13" t="s">
        <v>86</v>
      </c>
      <c r="W723" s="15" t="s">
        <v>155</v>
      </c>
      <c r="X723" s="13">
        <f t="shared" si="70"/>
        <v>7</v>
      </c>
      <c r="AB723" s="13" t="str">
        <f t="shared" si="71"/>
        <v/>
      </c>
      <c r="AE723" s="13" t="str">
        <f t="shared" si="72"/>
        <v/>
      </c>
      <c r="AF723" s="2">
        <v>1</v>
      </c>
    </row>
    <row r="724" spans="1:32" x14ac:dyDescent="0.25">
      <c r="A724" s="13">
        <v>720</v>
      </c>
      <c r="B724" s="23" t="s">
        <v>56</v>
      </c>
      <c r="C724" s="23" t="s">
        <v>57</v>
      </c>
      <c r="D724" s="23" t="s">
        <v>58</v>
      </c>
      <c r="E724" s="23" t="s">
        <v>58</v>
      </c>
      <c r="F724" s="35" cm="1">
        <f t="array" ref="F724">_xlfn.IFS($G724=$G$5,F$5,$G724=$G$7,F$7,$G724=$G$10,F$10,$G724=$G$13,F$13,$G724=$G$14,F$14,$G724=$G$16,F$16,$G724=$G$17,F$17,$G724=$G$19,F$19,$G724=$G$20,F$20,$G724=$G$22,F$22,$G724=$G$23,F$23,$G724=$G$26,F$26,$G724=$G$29,F$29,$G724=$G$31,F$31,$G724=$G$34,F$34,$G724=$G$37,F$37,$G724=$G$107,F$107,$G724=$G$110,F$110,$G724=$G$140,F$140,$G724=$G$142,F$142,$G724=$G$408,F$408)</f>
        <v>8031</v>
      </c>
      <c r="G724" s="13" t="s">
        <v>75</v>
      </c>
      <c r="H724" s="51" cm="1">
        <f t="array" ref="H724">_xlfn.IFS($G724=$G$5,H$5,$G724=$G$7,H$7,$G724=$G$10,H$10,$G724=$G$13,H$13,$G724=$G$14,H$14,$G724=$G$16,H$16,$G724=$G$17,H$17,$G724=$G$19,H$19,$G724=$G$20,H$20,$G724=$G$22,H$22,$G724=$G$23,H$23,$G724=$G$26,H$26,$G724=$G$29,H$29,$G724=$G$31,H$31,$G724=$G$34,H$34,$G724=$G$37,H$37,$G724=$G$107,H$107,$G724=$G$110,H$110,$G724=$G$140,H$140,$G724=$G$142,H$142,$G724=$G$408,H$408)</f>
        <v>41.433618000000003</v>
      </c>
      <c r="I724" s="51" cm="1">
        <f t="array" ref="I724">_xlfn.IFS($G724=$G$5,I$5,$G724=$G$7,I$7,$G724=$G$10,I$10,$G724=$G$13,I$13,$G724=$G$14,I$14,$G724=$G$16,I$16,$G724=$G$17,I$17,$G724=$G$19,I$19,$G724=$G$20,I$20,$G724=$G$22,I$22,$G724=$G$23,I$23,$G724=$G$26,I$26,$G724=$G$29,I$29,$G724=$G$31,I$31,$G724=$G$34,I$34,$G724=$G$37,I$37,$G724=$G$107,I$107,$G724=$G$110,I$110,$G724=$G$140,I$140,$G724=$G$142,I$142,$G724=$G$408,I$408)</f>
        <v>2.1677469999999999</v>
      </c>
      <c r="J724" s="51" cm="1">
        <f t="array" ref="J724">_xlfn.IFS($G724=$G$5,J$5,$G724=$G$7,J$7,$G724=$G$10,J$10,$G724=$G$13,J$13,$G724=$G$14,J$14,$G724=$G$16,J$16,$G724=$G$17,J$17,$G724=$G$19,J$19,$G724=$G$20,J$20,$G724=$G$22,J$22,$G724=$G$23,J$23,$G724=$G$26,J$26,$G724=$G$29,J$29,$G724=$G$31,J$31,$G724=$G$34,J$34,$G724=$G$37,J$37,$G724=$G$107,J$107,$G724=$G$110,J$110,$G724=$G$140,J$140,$G724=$G$142,J$142,$G724=$G$408,J$408)</f>
        <v>96.85</v>
      </c>
      <c r="K724" s="13" t="str" cm="1">
        <f t="array" ref="K724">_xlfn.IFS($G724=$G$5,K$5,$G724=$G$7,K$7,$G724=$G$10,K$10,$G724=$G$13,K$13,$G724=$G$14,K$14,$G724=$G$16,K$16,$G724=$G$17,K$17,$G724=$G$19,K$19,$G724=$G$20,K$20,$G724=$G$22,K$22,$G724=$G$23,K$23,$G724=$G$26,K$26,$G724=$G$29,K$29,$G724=$G$31,K$31,$G724=$G$34,K$34,$G724=$G$37,K$37,$G724=$G$107,K$107,$G724=$G$110,K$110,$G724=$G$140,K$140,$G724=$G$142,K$142,$G724=$G$408,K$408)</f>
        <v>BG sentinel + BG lure7</v>
      </c>
      <c r="O724" s="13" t="str">
        <f t="shared" si="69"/>
        <v>A_SP_BCN_18_221115</v>
      </c>
      <c r="P724" s="27">
        <v>44880</v>
      </c>
      <c r="Q724" s="29">
        <v>0.82291666666666663</v>
      </c>
      <c r="R724" s="33"/>
      <c r="S724" s="27">
        <v>44887</v>
      </c>
      <c r="T724" s="29">
        <v>0.77083333333333337</v>
      </c>
      <c r="V724" s="13" t="s">
        <v>86</v>
      </c>
      <c r="X724" s="13">
        <f t="shared" si="70"/>
        <v>7</v>
      </c>
      <c r="Z724" s="13" t="s">
        <v>164</v>
      </c>
      <c r="AA724" s="13">
        <f t="shared" ref="AA724:AA732" si="74">SUM(AC724:AD724)</f>
        <v>1</v>
      </c>
      <c r="AB724" s="13" t="str">
        <f t="shared" si="71"/>
        <v>Adult</v>
      </c>
      <c r="AC724" s="13">
        <v>1</v>
      </c>
      <c r="AD724" s="13">
        <v>0</v>
      </c>
      <c r="AE724" s="13" t="str">
        <f t="shared" si="72"/>
        <v>Morphological</v>
      </c>
      <c r="AF724" s="2">
        <v>4</v>
      </c>
    </row>
    <row r="725" spans="1:32" x14ac:dyDescent="0.25">
      <c r="A725" s="13">
        <v>721</v>
      </c>
      <c r="B725" s="23" t="s">
        <v>56</v>
      </c>
      <c r="C725" s="23" t="s">
        <v>57</v>
      </c>
      <c r="D725" s="23" t="s">
        <v>58</v>
      </c>
      <c r="E725" s="23" t="s">
        <v>58</v>
      </c>
      <c r="F725" s="35" cm="1">
        <f t="array" ref="F725">_xlfn.IFS($G725=$G$5,F$5,$G725=$G$7,F$7,$G725=$G$10,F$10,$G725=$G$13,F$13,$G725=$G$14,F$14,$G725=$G$16,F$16,$G725=$G$17,F$17,$G725=$G$19,F$19,$G725=$G$20,F$20,$G725=$G$22,F$22,$G725=$G$23,F$23,$G725=$G$26,F$26,$G725=$G$29,F$29,$G725=$G$31,F$31,$G725=$G$34,F$34,$G725=$G$37,F$37,$G725=$G$107,F$107,$G725=$G$110,F$110,$G725=$G$140,F$140,$G725=$G$142,F$142,$G725=$G$408,F$408)</f>
        <v>8031</v>
      </c>
      <c r="G725" s="13" t="s">
        <v>75</v>
      </c>
      <c r="H725" s="51" cm="1">
        <f t="array" ref="H725">_xlfn.IFS($G725=$G$5,H$5,$G725=$G$7,H$7,$G725=$G$10,H$10,$G725=$G$13,H$13,$G725=$G$14,H$14,$G725=$G$16,H$16,$G725=$G$17,H$17,$G725=$G$19,H$19,$G725=$G$20,H$20,$G725=$G$22,H$22,$G725=$G$23,H$23,$G725=$G$26,H$26,$G725=$G$29,H$29,$G725=$G$31,H$31,$G725=$G$34,H$34,$G725=$G$37,H$37,$G725=$G$107,H$107,$G725=$G$110,H$110,$G725=$G$140,H$140,$G725=$G$142,H$142,$G725=$G$408,H$408)</f>
        <v>41.433618000000003</v>
      </c>
      <c r="I725" s="51" cm="1">
        <f t="array" ref="I725">_xlfn.IFS($G725=$G$5,I$5,$G725=$G$7,I$7,$G725=$G$10,I$10,$G725=$G$13,I$13,$G725=$G$14,I$14,$G725=$G$16,I$16,$G725=$G$17,I$17,$G725=$G$19,I$19,$G725=$G$20,I$20,$G725=$G$22,I$22,$G725=$G$23,I$23,$G725=$G$26,I$26,$G725=$G$29,I$29,$G725=$G$31,I$31,$G725=$G$34,I$34,$G725=$G$37,I$37,$G725=$G$107,I$107,$G725=$G$110,I$110,$G725=$G$140,I$140,$G725=$G$142,I$142,$G725=$G$408,I$408)</f>
        <v>2.1677469999999999</v>
      </c>
      <c r="J725" s="51" cm="1">
        <f t="array" ref="J725">_xlfn.IFS($G725=$G$5,J$5,$G725=$G$7,J$7,$G725=$G$10,J$10,$G725=$G$13,J$13,$G725=$G$14,J$14,$G725=$G$16,J$16,$G725=$G$17,J$17,$G725=$G$19,J$19,$G725=$G$20,J$20,$G725=$G$22,J$22,$G725=$G$23,J$23,$G725=$G$26,J$26,$G725=$G$29,J$29,$G725=$G$31,J$31,$G725=$G$34,J$34,$G725=$G$37,J$37,$G725=$G$107,J$107,$G725=$G$110,J$110,$G725=$G$140,J$140,$G725=$G$142,J$142,$G725=$G$408,J$408)</f>
        <v>96.85</v>
      </c>
      <c r="K725" s="13" t="str" cm="1">
        <f t="array" ref="K725">_xlfn.IFS($G725=$G$5,K$5,$G725=$G$7,K$7,$G725=$G$10,K$10,$G725=$G$13,K$13,$G725=$G$14,K$14,$G725=$G$16,K$16,$G725=$G$17,K$17,$G725=$G$19,K$19,$G725=$G$20,K$20,$G725=$G$22,K$22,$G725=$G$23,K$23,$G725=$G$26,K$26,$G725=$G$29,K$29,$G725=$G$31,K$31,$G725=$G$34,K$34,$G725=$G$37,K$37,$G725=$G$107,K$107,$G725=$G$110,K$110,$G725=$G$140,K$140,$G725=$G$142,K$142,$G725=$G$408,K$408)</f>
        <v>BG sentinel + BG lure7</v>
      </c>
      <c r="O725" s="13" t="str">
        <f t="shared" si="69"/>
        <v>A_SP_BCN_18_221115</v>
      </c>
      <c r="P725" s="27">
        <v>44880</v>
      </c>
      <c r="Q725" s="29">
        <v>0.82291666666666663</v>
      </c>
      <c r="R725" s="33"/>
      <c r="S725" s="27">
        <v>44887</v>
      </c>
      <c r="T725" s="29">
        <v>0.77083333333333337</v>
      </c>
      <c r="V725" s="13" t="s">
        <v>86</v>
      </c>
      <c r="X725" s="13">
        <f t="shared" si="70"/>
        <v>7</v>
      </c>
      <c r="Z725" s="32" t="s">
        <v>163</v>
      </c>
      <c r="AA725" s="13">
        <f t="shared" si="74"/>
        <v>3</v>
      </c>
      <c r="AB725" s="13" t="str">
        <f t="shared" si="71"/>
        <v>Adult</v>
      </c>
      <c r="AC725" s="13">
        <v>1</v>
      </c>
      <c r="AD725" s="13">
        <v>2</v>
      </c>
      <c r="AE725" s="13" t="str">
        <f t="shared" si="72"/>
        <v>Morphological</v>
      </c>
      <c r="AF725" s="2">
        <v>4</v>
      </c>
    </row>
    <row r="726" spans="1:32" x14ac:dyDescent="0.25">
      <c r="A726" s="13">
        <v>722</v>
      </c>
      <c r="B726" s="23" t="s">
        <v>56</v>
      </c>
      <c r="C726" s="23" t="s">
        <v>57</v>
      </c>
      <c r="D726" s="23" t="s">
        <v>58</v>
      </c>
      <c r="E726" s="23" t="s">
        <v>58</v>
      </c>
      <c r="F726" s="35" cm="1">
        <f t="array" ref="F726">_xlfn.IFS($G726=$G$5,F$5,$G726=$G$7,F$7,$G726=$G$10,F$10,$G726=$G$13,F$13,$G726=$G$14,F$14,$G726=$G$16,F$16,$G726=$G$17,F$17,$G726=$G$19,F$19,$G726=$G$20,F$20,$G726=$G$22,F$22,$G726=$G$23,F$23,$G726=$G$26,F$26,$G726=$G$29,F$29,$G726=$G$31,F$31,$G726=$G$34,F$34,$G726=$G$37,F$37,$G726=$G$107,F$107,$G726=$G$110,F$110,$G726=$G$140,F$140,$G726=$G$142,F$142,$G726=$G$408,F$408)</f>
        <v>8038</v>
      </c>
      <c r="G726" s="13" t="s">
        <v>76</v>
      </c>
      <c r="H726" s="51" cm="1">
        <f t="array" ref="H726">_xlfn.IFS($G726=$G$5,H$5,$G726=$G$7,H$7,$G726=$G$10,H$10,$G726=$G$13,H$13,$G726=$G$14,H$14,$G726=$G$16,H$16,$G726=$G$17,H$17,$G726=$G$19,H$19,$G726=$G$20,H$20,$G726=$G$22,H$22,$G726=$G$23,H$23,$G726=$G$26,H$26,$G726=$G$29,H$29,$G726=$G$31,H$31,$G726=$G$34,H$34,$G726=$G$37,H$37,$G726=$G$107,H$107,$G726=$G$110,H$110,$G726=$G$140,H$140,$G726=$G$142,H$142,$G726=$G$408,H$408)</f>
        <v>41.359864999999999</v>
      </c>
      <c r="I726" s="51" cm="1">
        <f t="array" ref="I726">_xlfn.IFS($G726=$G$5,I$5,$G726=$G$7,I$7,$G726=$G$10,I$10,$G726=$G$13,I$13,$G726=$G$14,I$14,$G726=$G$16,I$16,$G726=$G$17,I$17,$G726=$G$19,I$19,$G726=$G$20,I$20,$G726=$G$22,I$22,$G726=$G$23,I$23,$G726=$G$26,I$26,$G726=$G$29,I$29,$G726=$G$31,I$31,$G726=$G$34,I$34,$G726=$G$37,I$37,$G726=$G$107,I$107,$G726=$G$110,I$110,$G726=$G$140,I$140,$G726=$G$142,I$142,$G726=$G$408,I$408)</f>
        <v>2.1445430000000001</v>
      </c>
      <c r="J726" s="51" cm="1">
        <f t="array" ref="J726">_xlfn.IFS($G726=$G$5,J$5,$G726=$G$7,J$7,$G726=$G$10,J$10,$G726=$G$13,J$13,$G726=$G$14,J$14,$G726=$G$16,J$16,$G726=$G$17,J$17,$G726=$G$19,J$19,$G726=$G$20,J$20,$G726=$G$22,J$22,$G726=$G$23,J$23,$G726=$G$26,J$26,$G726=$G$29,J$29,$G726=$G$31,J$31,$G726=$G$34,J$34,$G726=$G$37,J$37,$G726=$G$107,J$107,$G726=$G$110,J$110,$G726=$G$140,J$140,$G726=$G$142,J$142,$G726=$G$408,J$408)</f>
        <v>11.4</v>
      </c>
      <c r="K726" s="13" t="str" cm="1">
        <f t="array" ref="K726">_xlfn.IFS($G726=$G$5,K$5,$G726=$G$7,K$7,$G726=$G$10,K$10,$G726=$G$13,K$13,$G726=$G$14,K$14,$G726=$G$16,K$16,$G726=$G$17,K$17,$G726=$G$19,K$19,$G726=$G$20,K$20,$G726=$G$22,K$22,$G726=$G$23,K$23,$G726=$G$26,K$26,$G726=$G$29,K$29,$G726=$G$31,K$31,$G726=$G$34,K$34,$G726=$G$37,K$37,$G726=$G$107,K$107,$G726=$G$110,K$110,$G726=$G$140,K$140,$G726=$G$142,K$142,$G726=$G$408,K$408)</f>
        <v>BG sentinel + BG lure7</v>
      </c>
      <c r="O726" s="13" t="str">
        <f t="shared" si="69"/>
        <v>A_SP_BCN_19_221115</v>
      </c>
      <c r="P726" s="27">
        <v>44880</v>
      </c>
      <c r="Q726" s="29">
        <v>0.59722222222222221</v>
      </c>
      <c r="R726" s="33"/>
      <c r="S726" s="27">
        <v>44887</v>
      </c>
      <c r="T726" s="29">
        <v>0.51736111111111105</v>
      </c>
      <c r="V726" s="13" t="s">
        <v>86</v>
      </c>
      <c r="X726" s="13">
        <f t="shared" si="70"/>
        <v>7</v>
      </c>
      <c r="Z726" s="13" t="s">
        <v>60</v>
      </c>
      <c r="AA726" s="13">
        <f t="shared" si="74"/>
        <v>1</v>
      </c>
      <c r="AB726" s="13" t="str">
        <f t="shared" si="71"/>
        <v>Adult</v>
      </c>
      <c r="AC726" s="13">
        <v>1</v>
      </c>
      <c r="AD726" s="13">
        <v>0</v>
      </c>
      <c r="AE726" s="13" t="str">
        <f t="shared" si="72"/>
        <v>Morphological</v>
      </c>
      <c r="AF726" s="2">
        <v>4</v>
      </c>
    </row>
    <row r="727" spans="1:32" x14ac:dyDescent="0.25">
      <c r="A727" s="13">
        <v>723</v>
      </c>
      <c r="B727" s="23" t="s">
        <v>56</v>
      </c>
      <c r="C727" s="23" t="s">
        <v>57</v>
      </c>
      <c r="D727" s="23" t="s">
        <v>58</v>
      </c>
      <c r="E727" s="23" t="s">
        <v>58</v>
      </c>
      <c r="F727" s="35" cm="1">
        <f t="array" ref="F727">_xlfn.IFS($G727=$G$5,F$5,$G727=$G$7,F$7,$G727=$G$10,F$10,$G727=$G$13,F$13,$G727=$G$14,F$14,$G727=$G$16,F$16,$G727=$G$17,F$17,$G727=$G$19,F$19,$G727=$G$20,F$20,$G727=$G$22,F$22,$G727=$G$23,F$23,$G727=$G$26,F$26,$G727=$G$29,F$29,$G727=$G$31,F$31,$G727=$G$34,F$34,$G727=$G$37,F$37,$G727=$G$107,F$107,$G727=$G$110,F$110,$G727=$G$140,F$140,$G727=$G$142,F$142,$G727=$G$408,F$408)</f>
        <v>8038</v>
      </c>
      <c r="G727" s="13" t="s">
        <v>76</v>
      </c>
      <c r="H727" s="51" cm="1">
        <f t="array" ref="H727">_xlfn.IFS($G727=$G$5,H$5,$G727=$G$7,H$7,$G727=$G$10,H$10,$G727=$G$13,H$13,$G727=$G$14,H$14,$G727=$G$16,H$16,$G727=$G$17,H$17,$G727=$G$19,H$19,$G727=$G$20,H$20,$G727=$G$22,H$22,$G727=$G$23,H$23,$G727=$G$26,H$26,$G727=$G$29,H$29,$G727=$G$31,H$31,$G727=$G$34,H$34,$G727=$G$37,H$37,$G727=$G$107,H$107,$G727=$G$110,H$110,$G727=$G$140,H$140,$G727=$G$142,H$142,$G727=$G$408,H$408)</f>
        <v>41.359864999999999</v>
      </c>
      <c r="I727" s="51" cm="1">
        <f t="array" ref="I727">_xlfn.IFS($G727=$G$5,I$5,$G727=$G$7,I$7,$G727=$G$10,I$10,$G727=$G$13,I$13,$G727=$G$14,I$14,$G727=$G$16,I$16,$G727=$G$17,I$17,$G727=$G$19,I$19,$G727=$G$20,I$20,$G727=$G$22,I$22,$G727=$G$23,I$23,$G727=$G$26,I$26,$G727=$G$29,I$29,$G727=$G$31,I$31,$G727=$G$34,I$34,$G727=$G$37,I$37,$G727=$G$107,I$107,$G727=$G$110,I$110,$G727=$G$140,I$140,$G727=$G$142,I$142,$G727=$G$408,I$408)</f>
        <v>2.1445430000000001</v>
      </c>
      <c r="J727" s="51" cm="1">
        <f t="array" ref="J727">_xlfn.IFS($G727=$G$5,J$5,$G727=$G$7,J$7,$G727=$G$10,J$10,$G727=$G$13,J$13,$G727=$G$14,J$14,$G727=$G$16,J$16,$G727=$G$17,J$17,$G727=$G$19,J$19,$G727=$G$20,J$20,$G727=$G$22,J$22,$G727=$G$23,J$23,$G727=$G$26,J$26,$G727=$G$29,J$29,$G727=$G$31,J$31,$G727=$G$34,J$34,$G727=$G$37,J$37,$G727=$G$107,J$107,$G727=$G$110,J$110,$G727=$G$140,J$140,$G727=$G$142,J$142,$G727=$G$408,J$408)</f>
        <v>11.4</v>
      </c>
      <c r="K727" s="13" t="str" cm="1">
        <f t="array" ref="K727">_xlfn.IFS($G727=$G$5,K$5,$G727=$G$7,K$7,$G727=$G$10,K$10,$G727=$G$13,K$13,$G727=$G$14,K$14,$G727=$G$16,K$16,$G727=$G$17,K$17,$G727=$G$19,K$19,$G727=$G$20,K$20,$G727=$G$22,K$22,$G727=$G$23,K$23,$G727=$G$26,K$26,$G727=$G$29,K$29,$G727=$G$31,K$31,$G727=$G$34,K$34,$G727=$G$37,K$37,$G727=$G$107,K$107,$G727=$G$110,K$110,$G727=$G$140,K$140,$G727=$G$142,K$142,$G727=$G$408,K$408)</f>
        <v>BG sentinel + BG lure7</v>
      </c>
      <c r="O727" s="13" t="str">
        <f t="shared" si="69"/>
        <v>A_SP_BCN_19_221115</v>
      </c>
      <c r="P727" s="27">
        <v>44880</v>
      </c>
      <c r="Q727" s="29">
        <v>0.59722222222222221</v>
      </c>
      <c r="R727" s="33"/>
      <c r="S727" s="27">
        <v>44887</v>
      </c>
      <c r="T727" s="29">
        <v>0.51736111111111105</v>
      </c>
      <c r="V727" s="13" t="s">
        <v>86</v>
      </c>
      <c r="X727" s="13">
        <f t="shared" si="70"/>
        <v>7</v>
      </c>
      <c r="Z727" s="13" t="s">
        <v>164</v>
      </c>
      <c r="AA727" s="13">
        <f t="shared" si="74"/>
        <v>3</v>
      </c>
      <c r="AB727" s="13" t="str">
        <f t="shared" si="71"/>
        <v>Adult</v>
      </c>
      <c r="AC727" s="13">
        <v>3</v>
      </c>
      <c r="AD727" s="13">
        <v>0</v>
      </c>
      <c r="AE727" s="13" t="str">
        <f t="shared" si="72"/>
        <v>Morphological</v>
      </c>
      <c r="AF727" s="2">
        <v>4</v>
      </c>
    </row>
    <row r="728" spans="1:32" x14ac:dyDescent="0.25">
      <c r="A728" s="13">
        <v>724</v>
      </c>
      <c r="B728" s="23" t="s">
        <v>56</v>
      </c>
      <c r="C728" s="23" t="s">
        <v>57</v>
      </c>
      <c r="D728" s="23" t="s">
        <v>58</v>
      </c>
      <c r="E728" s="23" t="s">
        <v>58</v>
      </c>
      <c r="F728" s="35" cm="1">
        <f t="array" ref="F728">_xlfn.IFS($G728=$G$5,F$5,$G728=$G$7,F$7,$G728=$G$10,F$10,$G728=$G$13,F$13,$G728=$G$14,F$14,$G728=$G$16,F$16,$G728=$G$17,F$17,$G728=$G$19,F$19,$G728=$G$20,F$20,$G728=$G$22,F$22,$G728=$G$23,F$23,$G728=$G$26,F$26,$G728=$G$29,F$29,$G728=$G$31,F$31,$G728=$G$34,F$34,$G728=$G$37,F$37,$G728=$G$107,F$107,$G728=$G$110,F$110,$G728=$G$140,F$140,$G728=$G$142,F$142,$G728=$G$408,F$408)</f>
        <v>8038</v>
      </c>
      <c r="G728" s="13" t="s">
        <v>76</v>
      </c>
      <c r="H728" s="51" cm="1">
        <f t="array" ref="H728">_xlfn.IFS($G728=$G$5,H$5,$G728=$G$7,H$7,$G728=$G$10,H$10,$G728=$G$13,H$13,$G728=$G$14,H$14,$G728=$G$16,H$16,$G728=$G$17,H$17,$G728=$G$19,H$19,$G728=$G$20,H$20,$G728=$G$22,H$22,$G728=$G$23,H$23,$G728=$G$26,H$26,$G728=$G$29,H$29,$G728=$G$31,H$31,$G728=$G$34,H$34,$G728=$G$37,H$37,$G728=$G$107,H$107,$G728=$G$110,H$110,$G728=$G$140,H$140,$G728=$G$142,H$142,$G728=$G$408,H$408)</f>
        <v>41.359864999999999</v>
      </c>
      <c r="I728" s="51" cm="1">
        <f t="array" ref="I728">_xlfn.IFS($G728=$G$5,I$5,$G728=$G$7,I$7,$G728=$G$10,I$10,$G728=$G$13,I$13,$G728=$G$14,I$14,$G728=$G$16,I$16,$G728=$G$17,I$17,$G728=$G$19,I$19,$G728=$G$20,I$20,$G728=$G$22,I$22,$G728=$G$23,I$23,$G728=$G$26,I$26,$G728=$G$29,I$29,$G728=$G$31,I$31,$G728=$G$34,I$34,$G728=$G$37,I$37,$G728=$G$107,I$107,$G728=$G$110,I$110,$G728=$G$140,I$140,$G728=$G$142,I$142,$G728=$G$408,I$408)</f>
        <v>2.1445430000000001</v>
      </c>
      <c r="J728" s="51" cm="1">
        <f t="array" ref="J728">_xlfn.IFS($G728=$G$5,J$5,$G728=$G$7,J$7,$G728=$G$10,J$10,$G728=$G$13,J$13,$G728=$G$14,J$14,$G728=$G$16,J$16,$G728=$G$17,J$17,$G728=$G$19,J$19,$G728=$G$20,J$20,$G728=$G$22,J$22,$G728=$G$23,J$23,$G728=$G$26,J$26,$G728=$G$29,J$29,$G728=$G$31,J$31,$G728=$G$34,J$34,$G728=$G$37,J$37,$G728=$G$107,J$107,$G728=$G$110,J$110,$G728=$G$140,J$140,$G728=$G$142,J$142,$G728=$G$408,J$408)</f>
        <v>11.4</v>
      </c>
      <c r="K728" s="13" t="str" cm="1">
        <f t="array" ref="K728">_xlfn.IFS($G728=$G$5,K$5,$G728=$G$7,K$7,$G728=$G$10,K$10,$G728=$G$13,K$13,$G728=$G$14,K$14,$G728=$G$16,K$16,$G728=$G$17,K$17,$G728=$G$19,K$19,$G728=$G$20,K$20,$G728=$G$22,K$22,$G728=$G$23,K$23,$G728=$G$26,K$26,$G728=$G$29,K$29,$G728=$G$31,K$31,$G728=$G$34,K$34,$G728=$G$37,K$37,$G728=$G$107,K$107,$G728=$G$110,K$110,$G728=$G$140,K$140,$G728=$G$142,K$142,$G728=$G$408,K$408)</f>
        <v>BG sentinel + BG lure7</v>
      </c>
      <c r="O728" s="13" t="str">
        <f t="shared" si="69"/>
        <v>A_SP_BCN_19_221115</v>
      </c>
      <c r="P728" s="27">
        <v>44880</v>
      </c>
      <c r="Q728" s="29">
        <v>0.59722222222222221</v>
      </c>
      <c r="R728" s="33"/>
      <c r="S728" s="27">
        <v>44887</v>
      </c>
      <c r="T728" s="29">
        <v>0.51736111111111105</v>
      </c>
      <c r="V728" s="13" t="s">
        <v>86</v>
      </c>
      <c r="X728" s="13">
        <f t="shared" si="70"/>
        <v>7</v>
      </c>
      <c r="Z728" s="32" t="s">
        <v>163</v>
      </c>
      <c r="AA728" s="13">
        <f t="shared" si="74"/>
        <v>1</v>
      </c>
      <c r="AB728" s="13" t="str">
        <f t="shared" si="71"/>
        <v>Adult</v>
      </c>
      <c r="AC728" s="13">
        <v>1</v>
      </c>
      <c r="AD728" s="13">
        <v>0</v>
      </c>
      <c r="AE728" s="13" t="str">
        <f t="shared" si="72"/>
        <v>Morphological</v>
      </c>
      <c r="AF728" s="2">
        <v>4</v>
      </c>
    </row>
    <row r="729" spans="1:32" x14ac:dyDescent="0.25">
      <c r="A729" s="13">
        <v>725</v>
      </c>
      <c r="B729" s="23" t="s">
        <v>56</v>
      </c>
      <c r="C729" s="23" t="s">
        <v>57</v>
      </c>
      <c r="D729" s="23" t="s">
        <v>58</v>
      </c>
      <c r="E729" s="23" t="s">
        <v>58</v>
      </c>
      <c r="F729" s="35" cm="1">
        <f t="array" ref="F729">_xlfn.IFS($G729=$G$5,F$5,$G729=$G$7,F$7,$G729=$G$10,F$10,$G729=$G$13,F$13,$G729=$G$14,F$14,$G729=$G$16,F$16,$G729=$G$17,F$17,$G729=$G$19,F$19,$G729=$G$20,F$20,$G729=$G$22,F$22,$G729=$G$23,F$23,$G729=$G$26,F$26,$G729=$G$29,F$29,$G729=$G$31,F$31,$G729=$G$34,F$34,$G729=$G$37,F$37,$G729=$G$107,F$107,$G729=$G$110,F$110,$G729=$G$140,F$140,$G729=$G$142,F$142,$G729=$G$408,F$408)</f>
        <v>8017</v>
      </c>
      <c r="G729" s="13" t="s">
        <v>77</v>
      </c>
      <c r="H729" s="51" cm="1">
        <f t="array" ref="H729">_xlfn.IFS($G729=$G$5,H$5,$G729=$G$7,H$7,$G729=$G$10,H$10,$G729=$G$13,H$13,$G729=$G$14,H$14,$G729=$G$16,H$16,$G729=$G$17,H$17,$G729=$G$19,H$19,$G729=$G$20,H$20,$G729=$G$22,H$22,$G729=$G$23,H$23,$G729=$G$26,H$26,$G729=$G$29,H$29,$G729=$G$31,H$31,$G729=$G$34,H$34,$G729=$G$37,H$37,$G729=$G$107,H$107,$G729=$G$110,H$110,$G729=$G$140,H$140,$G729=$G$142,H$142,$G729=$G$408,H$408)</f>
        <v>41.430315999999998</v>
      </c>
      <c r="I729" s="51" cm="1">
        <f t="array" ref="I729">_xlfn.IFS($G729=$G$5,I$5,$G729=$G$7,I$7,$G729=$G$10,I$10,$G729=$G$13,I$13,$G729=$G$14,I$14,$G729=$G$16,I$16,$G729=$G$17,I$17,$G729=$G$19,I$19,$G729=$G$20,I$20,$G729=$G$22,I$22,$G729=$G$23,I$23,$G729=$G$26,I$26,$G729=$G$29,I$29,$G729=$G$31,I$31,$G729=$G$34,I$34,$G729=$G$37,I$37,$G729=$G$107,I$107,$G729=$G$110,I$110,$G729=$G$140,I$140,$G729=$G$142,I$142,$G729=$G$408,I$408)</f>
        <v>2.077556</v>
      </c>
      <c r="J729" s="51" cm="1">
        <f t="array" ref="J729">_xlfn.IFS($G729=$G$5,J$5,$G729=$G$7,J$7,$G729=$G$10,J$10,$G729=$G$13,J$13,$G729=$G$14,J$14,$G729=$G$16,J$16,$G729=$G$17,J$17,$G729=$G$19,J$19,$G729=$G$20,J$20,$G729=$G$22,J$22,$G729=$G$23,J$23,$G729=$G$26,J$26,$G729=$G$29,J$29,$G729=$G$31,J$31,$G729=$G$34,J$34,$G729=$G$37,J$37,$G729=$G$107,J$107,$G729=$G$110,J$110,$G729=$G$140,J$140,$G729=$G$142,J$142,$G729=$G$408,J$408)</f>
        <v>243.3</v>
      </c>
      <c r="K729" s="13" t="str" cm="1">
        <f t="array" ref="K729">_xlfn.IFS($G729=$G$5,K$5,$G729=$G$7,K$7,$G729=$G$10,K$10,$G729=$G$13,K$13,$G729=$G$14,K$14,$G729=$G$16,K$16,$G729=$G$17,K$17,$G729=$G$19,K$19,$G729=$G$20,K$20,$G729=$G$22,K$22,$G729=$G$23,K$23,$G729=$G$26,K$26,$G729=$G$29,K$29,$G729=$G$31,K$31,$G729=$G$34,K$34,$G729=$G$37,K$37,$G729=$G$107,K$107,$G729=$G$110,K$110,$G729=$G$140,K$140,$G729=$G$142,K$142,$G729=$G$408,K$408)</f>
        <v>BG sentinel + BG lure7</v>
      </c>
      <c r="O729" s="13" t="str">
        <f t="shared" si="69"/>
        <v>A_SP_BCN_22_221115</v>
      </c>
      <c r="P729" s="27">
        <v>44880</v>
      </c>
      <c r="Q729" s="29">
        <v>0.76388888888888884</v>
      </c>
      <c r="R729" s="33"/>
      <c r="S729" s="27">
        <v>44887</v>
      </c>
      <c r="T729" s="29">
        <v>0.70138888888888884</v>
      </c>
      <c r="V729" s="13" t="s">
        <v>86</v>
      </c>
      <c r="X729" s="13">
        <f t="shared" si="70"/>
        <v>7</v>
      </c>
      <c r="Z729" s="13" t="s">
        <v>164</v>
      </c>
      <c r="AA729" s="13">
        <f t="shared" si="74"/>
        <v>1</v>
      </c>
      <c r="AB729" s="13" t="str">
        <f t="shared" si="71"/>
        <v>Adult</v>
      </c>
      <c r="AC729" s="13">
        <v>1</v>
      </c>
      <c r="AD729" s="13">
        <v>0</v>
      </c>
      <c r="AE729" s="13" t="str">
        <f t="shared" si="72"/>
        <v>Morphological</v>
      </c>
      <c r="AF729" s="2">
        <v>4</v>
      </c>
    </row>
    <row r="730" spans="1:32" x14ac:dyDescent="0.25">
      <c r="A730" s="13">
        <v>726</v>
      </c>
      <c r="B730" s="23" t="s">
        <v>56</v>
      </c>
      <c r="C730" s="23" t="s">
        <v>57</v>
      </c>
      <c r="D730" s="23" t="s">
        <v>58</v>
      </c>
      <c r="E730" s="23" t="s">
        <v>58</v>
      </c>
      <c r="F730" s="35" cm="1">
        <f t="array" ref="F730">_xlfn.IFS($G730=$G$5,F$5,$G730=$G$7,F$7,$G730=$G$10,F$10,$G730=$G$13,F$13,$G730=$G$14,F$14,$G730=$G$16,F$16,$G730=$G$17,F$17,$G730=$G$19,F$19,$G730=$G$20,F$20,$G730=$G$22,F$22,$G730=$G$23,F$23,$G730=$G$26,F$26,$G730=$G$29,F$29,$G730=$G$31,F$31,$G730=$G$34,F$34,$G730=$G$37,F$37,$G730=$G$107,F$107,$G730=$G$110,F$110,$G730=$G$140,F$140,$G730=$G$142,F$142,$G730=$G$408,F$408)</f>
        <v>8038</v>
      </c>
      <c r="G730" s="13" t="s">
        <v>79</v>
      </c>
      <c r="H730" s="51" cm="1">
        <f t="array" ref="H730">_xlfn.IFS($G730=$G$5,H$5,$G730=$G$7,H$7,$G730=$G$10,H$10,$G730=$G$13,H$13,$G730=$G$14,H$14,$G730=$G$16,H$16,$G730=$G$17,H$17,$G730=$G$19,H$19,$G730=$G$20,H$20,$G730=$G$22,H$22,$G730=$G$23,H$23,$G730=$G$26,H$26,$G730=$G$29,H$29,$G730=$G$31,H$31,$G730=$G$34,H$34,$G730=$G$37,H$37,$G730=$G$107,H$107,$G730=$G$110,H$110,$G730=$G$140,H$140,$G730=$G$142,H$142,$G730=$G$408,H$408)</f>
        <v>41.367100000000001</v>
      </c>
      <c r="I730" s="51" cm="1">
        <f t="array" ref="I730">_xlfn.IFS($G730=$G$5,I$5,$G730=$G$7,I$7,$G730=$G$10,I$10,$G730=$G$13,I$13,$G730=$G$14,I$14,$G730=$G$16,I$16,$G730=$G$17,I$17,$G730=$G$19,I$19,$G730=$G$20,I$20,$G730=$G$22,I$22,$G730=$G$23,I$23,$G730=$G$26,I$26,$G730=$G$29,I$29,$G730=$G$31,I$31,$G730=$G$34,I$34,$G730=$G$37,I$37,$G730=$G$107,I$107,$G730=$G$110,I$110,$G730=$G$140,I$140,$G730=$G$142,I$142,$G730=$G$408,I$408)</f>
        <v>2.1539079999999999</v>
      </c>
      <c r="J730" s="51" cm="1">
        <f t="array" ref="J730">_xlfn.IFS($G730=$G$5,J$5,$G730=$G$7,J$7,$G730=$G$10,J$10,$G730=$G$13,J$13,$G730=$G$14,J$14,$G730=$G$16,J$16,$G730=$G$17,J$17,$G730=$G$19,J$19,$G730=$G$20,J$20,$G730=$G$22,J$22,$G730=$G$23,J$23,$G730=$G$26,J$26,$G730=$G$29,J$29,$G730=$G$31,J$31,$G730=$G$34,J$34,$G730=$G$37,J$37,$G730=$G$107,J$107,$G730=$G$110,J$110,$G730=$G$140,J$140,$G730=$G$142,J$142,$G730=$G$408,J$408)</f>
        <v>68</v>
      </c>
      <c r="K730" s="13" t="str" cm="1">
        <f t="array" ref="K730">_xlfn.IFS($G730=$G$5,K$5,$G730=$G$7,K$7,$G730=$G$10,K$10,$G730=$G$13,K$13,$G730=$G$14,K$14,$G730=$G$16,K$16,$G730=$G$17,K$17,$G730=$G$19,K$19,$G730=$G$20,K$20,$G730=$G$22,K$22,$G730=$G$23,K$23,$G730=$G$26,K$26,$G730=$G$29,K$29,$G730=$G$31,K$31,$G730=$G$34,K$34,$G730=$G$37,K$37,$G730=$G$107,K$107,$G730=$G$110,K$110,$G730=$G$140,K$140,$G730=$G$142,K$142,$G730=$G$408,K$408)</f>
        <v>BG sentinel + BG lure7</v>
      </c>
      <c r="O730" s="13" t="str">
        <f t="shared" si="69"/>
        <v>A_SP_BCN_23_221115</v>
      </c>
      <c r="P730" s="27">
        <v>44880</v>
      </c>
      <c r="Q730" s="29">
        <v>0.60763888888888895</v>
      </c>
      <c r="R730" s="33"/>
      <c r="S730" s="27">
        <v>44887</v>
      </c>
      <c r="T730" s="29">
        <v>0.52777777777777779</v>
      </c>
      <c r="V730" s="13" t="s">
        <v>86</v>
      </c>
      <c r="X730" s="13">
        <f t="shared" si="70"/>
        <v>7</v>
      </c>
      <c r="AA730" s="13">
        <v>0</v>
      </c>
      <c r="AB730" s="13" t="str">
        <f t="shared" si="71"/>
        <v/>
      </c>
      <c r="AE730" s="13" t="str">
        <f t="shared" si="72"/>
        <v/>
      </c>
      <c r="AF730" s="2">
        <v>4</v>
      </c>
    </row>
    <row r="731" spans="1:32" x14ac:dyDescent="0.25">
      <c r="A731" s="13">
        <v>727</v>
      </c>
      <c r="B731" s="23" t="s">
        <v>56</v>
      </c>
      <c r="C731" s="23" t="s">
        <v>57</v>
      </c>
      <c r="D731" s="23" t="s">
        <v>58</v>
      </c>
      <c r="E731" s="23" t="s">
        <v>58</v>
      </c>
      <c r="F731" s="35" cm="1">
        <f t="array" ref="F731">_xlfn.IFS($G731=$G$5,F$5,$G731=$G$7,F$7,$G731=$G$10,F$10,$G731=$G$13,F$13,$G731=$G$14,F$14,$G731=$G$16,F$16,$G731=$G$17,F$17,$G731=$G$19,F$19,$G731=$G$20,F$20,$G731=$G$22,F$22,$G731=$G$23,F$23,$G731=$G$26,F$26,$G731=$G$29,F$29,$G731=$G$31,F$31,$G731=$G$34,F$34,$G731=$G$37,F$37,$G731=$G$107,F$107,$G731=$G$110,F$110,$G731=$G$140,F$140,$G731=$G$142,F$142,$G731=$G$408,F$408)</f>
        <v>8015</v>
      </c>
      <c r="G731" s="13" t="s">
        <v>78</v>
      </c>
      <c r="H731" s="51" cm="1">
        <f t="array" ref="H731">_xlfn.IFS($G731=$G$5,H$5,$G731=$G$7,H$7,$G731=$G$10,H$10,$G731=$G$13,H$13,$G731=$G$14,H$14,$G731=$G$16,H$16,$G731=$G$17,H$17,$G731=$G$19,H$19,$G731=$G$20,H$20,$G731=$G$22,H$22,$G731=$G$23,H$23,$G731=$G$26,H$26,$G731=$G$29,H$29,$G731=$G$31,H$31,$G731=$G$34,H$34,$G731=$G$37,H$37,$G731=$G$107,H$107,$G731=$G$110,H$110,$G731=$G$140,H$140,$G731=$G$142,H$142,$G731=$G$408,H$408)</f>
        <v>41.381725000000003</v>
      </c>
      <c r="I731" s="51" cm="1">
        <f t="array" ref="I731">_xlfn.IFS($G731=$G$5,I$5,$G731=$G$7,I$7,$G731=$G$10,I$10,$G731=$G$13,I$13,$G731=$G$14,I$14,$G731=$G$16,I$16,$G731=$G$17,I$17,$G731=$G$19,I$19,$G731=$G$20,I$20,$G731=$G$22,I$22,$G731=$G$23,I$23,$G731=$G$26,I$26,$G731=$G$29,I$29,$G731=$G$31,I$31,$G731=$G$34,I$34,$G731=$G$37,I$37,$G731=$G$107,I$107,$G731=$G$110,I$110,$G731=$G$140,I$140,$G731=$G$142,I$142,$G731=$G$408,I$408)</f>
        <v>2.1543679999999998</v>
      </c>
      <c r="J731" s="51" cm="1">
        <f t="array" ref="J731">_xlfn.IFS($G731=$G$5,J$5,$G731=$G$7,J$7,$G731=$G$10,J$10,$G731=$G$13,J$13,$G731=$G$14,J$14,$G731=$G$16,J$16,$G731=$G$17,J$17,$G731=$G$19,J$19,$G731=$G$20,J$20,$G731=$G$22,J$22,$G731=$G$23,J$23,$G731=$G$26,J$26,$G731=$G$29,J$29,$G731=$G$31,J$31,$G731=$G$34,J$34,$G731=$G$37,J$37,$G731=$G$107,J$107,$G731=$G$110,J$110,$G731=$G$140,J$140,$G731=$G$142,J$142,$G731=$G$408,J$408)</f>
        <v>20.7</v>
      </c>
      <c r="K731" s="13" t="str" cm="1">
        <f t="array" ref="K731">_xlfn.IFS($G731=$G$5,K$5,$G731=$G$7,K$7,$G731=$G$10,K$10,$G731=$G$13,K$13,$G731=$G$14,K$14,$G731=$G$16,K$16,$G731=$G$17,K$17,$G731=$G$19,K$19,$G731=$G$20,K$20,$G731=$G$22,K$22,$G731=$G$23,K$23,$G731=$G$26,K$26,$G731=$G$29,K$29,$G731=$G$31,K$31,$G731=$G$34,K$34,$G731=$G$37,K$37,$G731=$G$107,K$107,$G731=$G$110,K$110,$G731=$G$140,K$140,$G731=$G$142,K$142,$G731=$G$408,K$408)</f>
        <v>BG sentinel + BG lure7</v>
      </c>
      <c r="O731" s="13" t="str">
        <f t="shared" si="69"/>
        <v>A_SP_BCN_24_221116</v>
      </c>
      <c r="P731" s="27">
        <v>44881</v>
      </c>
      <c r="Q731" s="29">
        <v>0.50694444444444442</v>
      </c>
      <c r="R731" s="33"/>
      <c r="S731" s="31">
        <v>44895</v>
      </c>
      <c r="T731" s="29">
        <v>0.69791666666666663</v>
      </c>
      <c r="V731" s="13" t="s">
        <v>139</v>
      </c>
      <c r="W731" s="15" t="s">
        <v>158</v>
      </c>
      <c r="X731" s="13">
        <f t="shared" si="70"/>
        <v>14</v>
      </c>
      <c r="Z731" s="13" t="s">
        <v>60</v>
      </c>
      <c r="AA731" s="13">
        <f t="shared" si="74"/>
        <v>2</v>
      </c>
      <c r="AB731" s="13" t="str">
        <f>IF(AA731=0,"",IF(AA731="","",IF(AA731&gt;0,"Adult")))</f>
        <v>Adult</v>
      </c>
      <c r="AC731" s="13">
        <v>1</v>
      </c>
      <c r="AD731" s="13">
        <v>1</v>
      </c>
      <c r="AE731" s="13" t="str">
        <f t="shared" si="72"/>
        <v>Morphological</v>
      </c>
      <c r="AF731" s="2">
        <v>1</v>
      </c>
    </row>
    <row r="732" spans="1:32" x14ac:dyDescent="0.25">
      <c r="A732" s="13">
        <v>728</v>
      </c>
      <c r="B732" s="23" t="s">
        <v>56</v>
      </c>
      <c r="C732" s="23" t="s">
        <v>57</v>
      </c>
      <c r="D732" s="23" t="s">
        <v>58</v>
      </c>
      <c r="E732" s="23" t="s">
        <v>58</v>
      </c>
      <c r="F732" s="35" cm="1">
        <f t="array" ref="F732">_xlfn.IFS($G732=$G$5,F$5,$G732=$G$7,F$7,$G732=$G$10,F$10,$G732=$G$13,F$13,$G732=$G$14,F$14,$G732=$G$16,F$16,$G732=$G$17,F$17,$G732=$G$19,F$19,$G732=$G$20,F$20,$G732=$G$22,F$22,$G732=$G$23,F$23,$G732=$G$26,F$26,$G732=$G$29,F$29,$G732=$G$31,F$31,$G732=$G$34,F$34,$G732=$G$37,F$37,$G732=$G$107,F$107,$G732=$G$110,F$110,$G732=$G$140,F$140,$G732=$G$142,F$142,$G732=$G$408,F$408)</f>
        <v>8015</v>
      </c>
      <c r="G732" s="13" t="s">
        <v>78</v>
      </c>
      <c r="H732" s="51" cm="1">
        <f t="array" ref="H732">_xlfn.IFS($G732=$G$5,H$5,$G732=$G$7,H$7,$G732=$G$10,H$10,$G732=$G$13,H$13,$G732=$G$14,H$14,$G732=$G$16,H$16,$G732=$G$17,H$17,$G732=$G$19,H$19,$G732=$G$20,H$20,$G732=$G$22,H$22,$G732=$G$23,H$23,$G732=$G$26,H$26,$G732=$G$29,H$29,$G732=$G$31,H$31,$G732=$G$34,H$34,$G732=$G$37,H$37,$G732=$G$107,H$107,$G732=$G$110,H$110,$G732=$G$140,H$140,$G732=$G$142,H$142,$G732=$G$408,H$408)</f>
        <v>41.381725000000003</v>
      </c>
      <c r="I732" s="51" cm="1">
        <f t="array" ref="I732">_xlfn.IFS($G732=$G$5,I$5,$G732=$G$7,I$7,$G732=$G$10,I$10,$G732=$G$13,I$13,$G732=$G$14,I$14,$G732=$G$16,I$16,$G732=$G$17,I$17,$G732=$G$19,I$19,$G732=$G$20,I$20,$G732=$G$22,I$22,$G732=$G$23,I$23,$G732=$G$26,I$26,$G732=$G$29,I$29,$G732=$G$31,I$31,$G732=$G$34,I$34,$G732=$G$37,I$37,$G732=$G$107,I$107,$G732=$G$110,I$110,$G732=$G$140,I$140,$G732=$G$142,I$142,$G732=$G$408,I$408)</f>
        <v>2.1543679999999998</v>
      </c>
      <c r="J732" s="51" cm="1">
        <f t="array" ref="J732">_xlfn.IFS($G732=$G$5,J$5,$G732=$G$7,J$7,$G732=$G$10,J$10,$G732=$G$13,J$13,$G732=$G$14,J$14,$G732=$G$16,J$16,$G732=$G$17,J$17,$G732=$G$19,J$19,$G732=$G$20,J$20,$G732=$G$22,J$22,$G732=$G$23,J$23,$G732=$G$26,J$26,$G732=$G$29,J$29,$G732=$G$31,J$31,$G732=$G$34,J$34,$G732=$G$37,J$37,$G732=$G$107,J$107,$G732=$G$110,J$110,$G732=$G$140,J$140,$G732=$G$142,J$142,$G732=$G$408,J$408)</f>
        <v>20.7</v>
      </c>
      <c r="K732" s="13" t="str" cm="1">
        <f t="array" ref="K732">_xlfn.IFS($G732=$G$5,K$5,$G732=$G$7,K$7,$G732=$G$10,K$10,$G732=$G$13,K$13,$G732=$G$14,K$14,$G732=$G$16,K$16,$G732=$G$17,K$17,$G732=$G$19,K$19,$G732=$G$20,K$20,$G732=$G$22,K$22,$G732=$G$23,K$23,$G732=$G$26,K$26,$G732=$G$29,K$29,$G732=$G$31,K$31,$G732=$G$34,K$34,$G732=$G$37,K$37,$G732=$G$107,K$107,$G732=$G$110,K$110,$G732=$G$140,K$140,$G732=$G$142,K$142,$G732=$G$408,K$408)</f>
        <v>BG sentinel + BG lure7</v>
      </c>
      <c r="O732" s="13" t="str">
        <f t="shared" si="69"/>
        <v>A_SP_BCN_24_221116</v>
      </c>
      <c r="P732" s="27">
        <v>44881</v>
      </c>
      <c r="Q732" s="29">
        <v>0.50694444444444442</v>
      </c>
      <c r="R732" s="33"/>
      <c r="S732" s="31">
        <v>44895</v>
      </c>
      <c r="T732" s="29">
        <v>0.69791666666666663</v>
      </c>
      <c r="V732" s="13" t="s">
        <v>139</v>
      </c>
      <c r="W732" s="15" t="s">
        <v>158</v>
      </c>
      <c r="X732" s="13">
        <f t="shared" si="70"/>
        <v>14</v>
      </c>
      <c r="Z732" s="13" t="s">
        <v>164</v>
      </c>
      <c r="AA732" s="13">
        <f t="shared" si="74"/>
        <v>4</v>
      </c>
      <c r="AB732" s="13" t="str">
        <f t="shared" si="71"/>
        <v>Adult</v>
      </c>
      <c r="AC732" s="13">
        <v>1</v>
      </c>
      <c r="AD732" s="13">
        <v>3</v>
      </c>
      <c r="AE732" s="13" t="str">
        <f t="shared" si="72"/>
        <v>Morphological</v>
      </c>
      <c r="AF732" s="2">
        <v>1</v>
      </c>
    </row>
    <row r="733" spans="1:32" x14ac:dyDescent="0.25">
      <c r="A733" s="13">
        <v>729</v>
      </c>
      <c r="B733" s="23" t="s">
        <v>56</v>
      </c>
      <c r="C733" s="23" t="s">
        <v>57</v>
      </c>
      <c r="D733" s="23" t="s">
        <v>58</v>
      </c>
      <c r="E733" s="23" t="s">
        <v>58</v>
      </c>
      <c r="F733" s="35" cm="1">
        <f t="array" ref="F733">_xlfn.IFS($G733=$G$5,F$5,$G733=$G$7,F$7,$G733=$G$10,F$10,$G733=$G$13,F$13,$G733=$G$14,F$14,$G733=$G$16,F$16,$G733=$G$17,F$17,$G733=$G$19,F$19,$G733=$G$20,F$20,$G733=$G$22,F$22,$G733=$G$23,F$23,$G733=$G$26,F$26,$G733=$G$29,F$29,$G733=$G$31,F$31,$G733=$G$34,F$34,$G733=$G$37,F$37,$G733=$G$107,F$107,$G733=$G$110,F$110,$G733=$G$140,F$140,$G733=$G$142,F$142,$G733=$G$408,F$408)</f>
        <v>8025</v>
      </c>
      <c r="G733" s="13" t="s">
        <v>104</v>
      </c>
      <c r="H733" s="51" cm="1">
        <f t="array" ref="H733">_xlfn.IFS($G733=$G$5,H$5,$G733=$G$7,H$7,$G733=$G$10,H$10,$G733=$G$13,H$13,$G733=$G$14,H$14,$G733=$G$16,H$16,$G733=$G$17,H$17,$G733=$G$19,H$19,$G733=$G$20,H$20,$G733=$G$22,H$22,$G733=$G$23,H$23,$G733=$G$26,H$26,$G733=$G$29,H$29,$G733=$G$31,H$31,$G733=$G$34,H$34,$G733=$G$37,H$37,$G733=$G$107,H$107,$G733=$G$110,H$110,$G733=$G$140,H$140,$G733=$G$142,H$142,$G733=$G$408,H$408)</f>
        <v>41.408046826557602</v>
      </c>
      <c r="I733" s="51" cm="1">
        <f t="array" ref="I733">_xlfn.IFS($G733=$G$5,I$5,$G733=$G$7,I$7,$G733=$G$10,I$10,$G733=$G$13,I$13,$G733=$G$14,I$14,$G733=$G$16,I$16,$G733=$G$17,I$17,$G733=$G$19,I$19,$G733=$G$20,I$20,$G733=$G$22,I$22,$G733=$G$23,I$23,$G733=$G$26,I$26,$G733=$G$29,I$29,$G733=$G$31,I$31,$G733=$G$34,I$34,$G733=$G$37,I$37,$G733=$G$107,I$107,$G733=$G$110,I$110,$G733=$G$140,I$140,$G733=$G$142,I$142,$G733=$G$408,I$408)</f>
        <v>2.1678084611616502</v>
      </c>
      <c r="J733" s="51" cm="1">
        <f t="array" ref="J733">_xlfn.IFS($G733=$G$5,J$5,$G733=$G$7,J$7,$G733=$G$10,J$10,$G733=$G$13,J$13,$G733=$G$14,J$14,$G733=$G$16,J$16,$G733=$G$17,J$17,$G733=$G$19,J$19,$G733=$G$20,J$20,$G733=$G$22,J$22,$G733=$G$23,J$23,$G733=$G$26,J$26,$G733=$G$29,J$29,$G733=$G$31,J$31,$G733=$G$34,J$34,$G733=$G$37,J$37,$G733=$G$107,J$107,$G733=$G$110,J$110,$G733=$G$140,J$140,$G733=$G$142,J$142,$G733=$G$408,J$408)</f>
        <v>61</v>
      </c>
      <c r="K733" s="13" t="str" cm="1">
        <f t="array" ref="K733">_xlfn.IFS($G733=$G$5,K$5,$G733=$G$7,K$7,$G733=$G$10,K$10,$G733=$G$13,K$13,$G733=$G$14,K$14,$G733=$G$16,K$16,$G733=$G$17,K$17,$G733=$G$19,K$19,$G733=$G$20,K$20,$G733=$G$22,K$22,$G733=$G$23,K$23,$G733=$G$26,K$26,$G733=$G$29,K$29,$G733=$G$31,K$31,$G733=$G$34,K$34,$G733=$G$37,K$37,$G733=$G$107,K$107,$G733=$G$110,K$110,$G733=$G$140,K$140,$G733=$G$142,K$142,$G733=$G$408,K$408)</f>
        <v>BG sentinel</v>
      </c>
      <c r="O733" s="13" t="str">
        <f t="shared" si="69"/>
        <v>A_SP_BCN_26_221115</v>
      </c>
      <c r="P733" s="42">
        <v>44880</v>
      </c>
      <c r="Q733" s="36">
        <v>0.64583333333333337</v>
      </c>
      <c r="R733" s="43"/>
      <c r="S733" s="42">
        <v>44887</v>
      </c>
      <c r="T733" s="36">
        <v>0.57638888888888895</v>
      </c>
      <c r="V733" s="13" t="s">
        <v>123</v>
      </c>
      <c r="W733" s="13" t="s">
        <v>87</v>
      </c>
      <c r="X733" s="13">
        <f t="shared" si="70"/>
        <v>7</v>
      </c>
      <c r="AB733" s="13" t="str">
        <f t="shared" si="71"/>
        <v/>
      </c>
      <c r="AE733" s="13" t="str">
        <f t="shared" si="72"/>
        <v/>
      </c>
      <c r="AF733" s="2">
        <v>1</v>
      </c>
    </row>
    <row r="734" spans="1:32" x14ac:dyDescent="0.25">
      <c r="A734" s="13">
        <v>730</v>
      </c>
      <c r="B734" s="23" t="s">
        <v>56</v>
      </c>
      <c r="C734" s="23" t="s">
        <v>57</v>
      </c>
      <c r="D734" s="23" t="s">
        <v>58</v>
      </c>
      <c r="E734" s="23" t="s">
        <v>58</v>
      </c>
      <c r="F734" s="35" cm="1">
        <f t="array" ref="F734">_xlfn.IFS($G734=$G$5,F$5,$G734=$G$7,F$7,$G734=$G$10,F$10,$G734=$G$13,F$13,$G734=$G$14,F$14,$G734=$G$16,F$16,$G734=$G$17,F$17,$G734=$G$19,F$19,$G734=$G$20,F$20,$G734=$G$22,F$22,$G734=$G$23,F$23,$G734=$G$26,F$26,$G734=$G$29,F$29,$G734=$G$31,F$31,$G734=$G$34,F$34,$G734=$G$37,F$37,$G734=$G$107,F$107,$G734=$G$110,F$110,$G734=$G$140,F$140,$G734=$G$142,F$142,$G734=$G$408,F$408)</f>
        <v>8017</v>
      </c>
      <c r="G734" s="13" t="s">
        <v>97</v>
      </c>
      <c r="H734" s="51" cm="1">
        <f t="array" ref="H734">_xlfn.IFS($G734=$G$5,H$5,$G734=$G$7,H$7,$G734=$G$10,H$10,$G734=$G$13,H$13,$G734=$G$14,H$14,$G734=$G$16,H$16,$G734=$G$17,H$17,$G734=$G$19,H$19,$G734=$G$20,H$20,$G734=$G$22,H$22,$G734=$G$23,H$23,$G734=$G$26,H$26,$G734=$G$29,H$29,$G734=$G$31,H$31,$G734=$G$34,H$34,$G734=$G$37,H$37,$G734=$G$107,H$107,$G734=$G$110,H$110,$G734=$G$140,H$140,$G734=$G$142,H$142,$G734=$G$408,H$408)</f>
        <v>41.430372407595499</v>
      </c>
      <c r="I734" s="51" cm="1">
        <f t="array" ref="I734">_xlfn.IFS($G734=$G$5,I$5,$G734=$G$7,I$7,$G734=$G$10,I$10,$G734=$G$13,I$13,$G734=$G$14,I$14,$G734=$G$16,I$16,$G734=$G$17,I$17,$G734=$G$19,I$19,$G734=$G$20,I$20,$G734=$G$22,I$22,$G734=$G$23,I$23,$G734=$G$26,I$26,$G734=$G$29,I$29,$G734=$G$31,I$31,$G734=$G$34,I$34,$G734=$G$37,I$37,$G734=$G$107,I$107,$G734=$G$110,I$110,$G734=$G$140,I$140,$G734=$G$142,I$142,$G734=$G$408,I$408)</f>
        <v>2.0778358219819002</v>
      </c>
      <c r="J734" s="51" cm="1">
        <f t="array" ref="J734">_xlfn.IFS($G734=$G$5,J$5,$G734=$G$7,J$7,$G734=$G$10,J$10,$G734=$G$13,J$13,$G734=$G$14,J$14,$G734=$G$16,J$16,$G734=$G$17,J$17,$G734=$G$19,J$19,$G734=$G$20,J$20,$G734=$G$22,J$22,$G734=$G$23,J$23,$G734=$G$26,J$26,$G734=$G$29,J$29,$G734=$G$31,J$31,$G734=$G$34,J$34,$G734=$G$37,J$37,$G734=$G$107,J$107,$G734=$G$110,J$110,$G734=$G$140,J$140,$G734=$G$142,J$142,$G734=$G$408,J$408)</f>
        <v>242</v>
      </c>
      <c r="K734" s="13" t="str" cm="1">
        <f t="array" ref="K734">_xlfn.IFS($G734=$G$5,K$5,$G734=$G$7,K$7,$G734=$G$10,K$10,$G734=$G$13,K$13,$G734=$G$14,K$14,$G734=$G$16,K$16,$G734=$G$17,K$17,$G734=$G$19,K$19,$G734=$G$20,K$20,$G734=$G$22,K$22,$G734=$G$23,K$23,$G734=$G$26,K$26,$G734=$G$29,K$29,$G734=$G$31,K$31,$G734=$G$34,K$34,$G734=$G$37,K$37,$G734=$G$107,K$107,$G734=$G$110,K$110,$G734=$G$140,K$140,$G734=$G$142,K$142,$G734=$G$408,K$408)</f>
        <v>Mtego</v>
      </c>
      <c r="O734" s="13" t="str">
        <f t="shared" si="69"/>
        <v>Premal_1_221115</v>
      </c>
      <c r="P734" s="27">
        <v>44880</v>
      </c>
      <c r="Q734" s="29">
        <v>0.76388888888888884</v>
      </c>
      <c r="R734" s="33"/>
      <c r="S734" s="27">
        <v>44887</v>
      </c>
      <c r="T734" s="29">
        <v>0.70138888888888884</v>
      </c>
      <c r="V734" s="13" t="s">
        <v>86</v>
      </c>
      <c r="X734" s="13">
        <f t="shared" si="70"/>
        <v>7</v>
      </c>
      <c r="Z734" s="13" t="s">
        <v>164</v>
      </c>
      <c r="AA734" s="13">
        <f>SUM(AC734:AD734)</f>
        <v>1</v>
      </c>
      <c r="AB734" s="13" t="str">
        <f t="shared" si="71"/>
        <v>Adult</v>
      </c>
      <c r="AC734" s="13">
        <v>1</v>
      </c>
      <c r="AD734" s="13">
        <v>0</v>
      </c>
      <c r="AE734" s="13" t="str">
        <f t="shared" si="72"/>
        <v>Morphological</v>
      </c>
      <c r="AF734" s="2">
        <v>4</v>
      </c>
    </row>
    <row r="735" spans="1:32" x14ac:dyDescent="0.25">
      <c r="A735" s="13">
        <v>731</v>
      </c>
      <c r="B735" s="23" t="s">
        <v>56</v>
      </c>
      <c r="C735" s="23" t="s">
        <v>57</v>
      </c>
      <c r="D735" s="23" t="s">
        <v>58</v>
      </c>
      <c r="E735" s="23" t="s">
        <v>58</v>
      </c>
      <c r="F735" s="35" cm="1">
        <f t="array" ref="F735">_xlfn.IFS($G735=$G$5,F$5,$G735=$G$7,F$7,$G735=$G$10,F$10,$G735=$G$13,F$13,$G735=$G$14,F$14,$G735=$G$16,F$16,$G735=$G$17,F$17,$G735=$G$19,F$19,$G735=$G$20,F$20,$G735=$G$22,F$22,$G735=$G$23,F$23,$G735=$G$26,F$26,$G735=$G$29,F$29,$G735=$G$31,F$31,$G735=$G$34,F$34,$G735=$G$37,F$37,$G735=$G$107,F$107,$G735=$G$110,F$110,$G735=$G$140,F$140,$G735=$G$142,F$142,$G735=$G$408,F$408)</f>
        <v>8017</v>
      </c>
      <c r="G735" s="13" t="s">
        <v>97</v>
      </c>
      <c r="H735" s="51" cm="1">
        <f t="array" ref="H735">_xlfn.IFS($G735=$G$5,H$5,$G735=$G$7,H$7,$G735=$G$10,H$10,$G735=$G$13,H$13,$G735=$G$14,H$14,$G735=$G$16,H$16,$G735=$G$17,H$17,$G735=$G$19,H$19,$G735=$G$20,H$20,$G735=$G$22,H$22,$G735=$G$23,H$23,$G735=$G$26,H$26,$G735=$G$29,H$29,$G735=$G$31,H$31,$G735=$G$34,H$34,$G735=$G$37,H$37,$G735=$G$107,H$107,$G735=$G$110,H$110,$G735=$G$140,H$140,$G735=$G$142,H$142,$G735=$G$408,H$408)</f>
        <v>41.430372407595499</v>
      </c>
      <c r="I735" s="51" cm="1">
        <f t="array" ref="I735">_xlfn.IFS($G735=$G$5,I$5,$G735=$G$7,I$7,$G735=$G$10,I$10,$G735=$G$13,I$13,$G735=$G$14,I$14,$G735=$G$16,I$16,$G735=$G$17,I$17,$G735=$G$19,I$19,$G735=$G$20,I$20,$G735=$G$22,I$22,$G735=$G$23,I$23,$G735=$G$26,I$26,$G735=$G$29,I$29,$G735=$G$31,I$31,$G735=$G$34,I$34,$G735=$G$37,I$37,$G735=$G$107,I$107,$G735=$G$110,I$110,$G735=$G$140,I$140,$G735=$G$142,I$142,$G735=$G$408,I$408)</f>
        <v>2.0778358219819002</v>
      </c>
      <c r="J735" s="51" cm="1">
        <f t="array" ref="J735">_xlfn.IFS($G735=$G$5,J$5,$G735=$G$7,J$7,$G735=$G$10,J$10,$G735=$G$13,J$13,$G735=$G$14,J$14,$G735=$G$16,J$16,$G735=$G$17,J$17,$G735=$G$19,J$19,$G735=$G$20,J$20,$G735=$G$22,J$22,$G735=$G$23,J$23,$G735=$G$26,J$26,$G735=$G$29,J$29,$G735=$G$31,J$31,$G735=$G$34,J$34,$G735=$G$37,J$37,$G735=$G$107,J$107,$G735=$G$110,J$110,$G735=$G$140,J$140,$G735=$G$142,J$142,$G735=$G$408,J$408)</f>
        <v>242</v>
      </c>
      <c r="K735" s="13" t="str" cm="1">
        <f t="array" ref="K735">_xlfn.IFS($G735=$G$5,K$5,$G735=$G$7,K$7,$G735=$G$10,K$10,$G735=$G$13,K$13,$G735=$G$14,K$14,$G735=$G$16,K$16,$G735=$G$17,K$17,$G735=$G$19,K$19,$G735=$G$20,K$20,$G735=$G$22,K$22,$G735=$G$23,K$23,$G735=$G$26,K$26,$G735=$G$29,K$29,$G735=$G$31,K$31,$G735=$G$34,K$34,$G735=$G$37,K$37,$G735=$G$107,K$107,$G735=$G$110,K$110,$G735=$G$140,K$140,$G735=$G$142,K$142,$G735=$G$408,K$408)</f>
        <v>Mtego</v>
      </c>
      <c r="O735" s="13" t="str">
        <f t="shared" si="69"/>
        <v>Premal_1_221115</v>
      </c>
      <c r="P735" s="27">
        <v>44880</v>
      </c>
      <c r="Q735" s="29">
        <v>0.76388888888888884</v>
      </c>
      <c r="R735" s="33"/>
      <c r="S735" s="27">
        <v>44887</v>
      </c>
      <c r="T735" s="29">
        <v>0.70138888888888884</v>
      </c>
      <c r="V735" s="13" t="s">
        <v>86</v>
      </c>
      <c r="X735" s="13">
        <f t="shared" si="70"/>
        <v>7</v>
      </c>
      <c r="Z735" s="32" t="s">
        <v>163</v>
      </c>
      <c r="AA735" s="13">
        <f>SUM(AC735:AD735)</f>
        <v>3</v>
      </c>
      <c r="AB735" s="13" t="str">
        <f t="shared" si="71"/>
        <v>Adult</v>
      </c>
      <c r="AC735" s="13">
        <v>3</v>
      </c>
      <c r="AD735" s="13">
        <v>0</v>
      </c>
      <c r="AE735" s="13" t="str">
        <f t="shared" si="72"/>
        <v>Morphological</v>
      </c>
      <c r="AF735" s="2">
        <v>4</v>
      </c>
    </row>
    <row r="736" spans="1:32" x14ac:dyDescent="0.25">
      <c r="A736" s="13">
        <v>732</v>
      </c>
      <c r="B736" s="23" t="s">
        <v>56</v>
      </c>
      <c r="C736" s="23" t="s">
        <v>57</v>
      </c>
      <c r="D736" s="23" t="s">
        <v>58</v>
      </c>
      <c r="E736" s="23" t="s">
        <v>58</v>
      </c>
      <c r="F736" s="35" cm="1">
        <f t="array" ref="F736">_xlfn.IFS($G736=$G$5,F$5,$G736=$G$7,F$7,$G736=$G$10,F$10,$G736=$G$13,F$13,$G736=$G$14,F$14,$G736=$G$16,F$16,$G736=$G$17,F$17,$G736=$G$19,F$19,$G736=$G$20,F$20,$G736=$G$22,F$22,$G736=$G$23,F$23,$G736=$G$26,F$26,$G736=$G$29,F$29,$G736=$G$31,F$31,$G736=$G$34,F$34,$G736=$G$37,F$37,$G736=$G$107,F$107,$G736=$G$110,F$110,$G736=$G$140,F$140,$G736=$G$142,F$142,$G736=$G$408,F$408)</f>
        <v>8035</v>
      </c>
      <c r="G736" s="13" t="s">
        <v>61</v>
      </c>
      <c r="H736" s="51" cm="1">
        <f t="array" ref="H736">_xlfn.IFS($G736=$G$5,H$5,$G736=$G$7,H$7,$G736=$G$10,H$10,$G736=$G$13,H$13,$G736=$G$14,H$14,$G736=$G$16,H$16,$G736=$G$17,H$17,$G736=$G$19,H$19,$G736=$G$20,H$20,$G736=$G$22,H$22,$G736=$G$23,H$23,$G736=$G$26,H$26,$G736=$G$29,H$29,$G736=$G$31,H$31,$G736=$G$34,H$34,$G736=$G$37,H$37,$G736=$G$107,H$107,$G736=$G$110,H$110,$G736=$G$140,H$140,$G736=$G$142,H$142,$G736=$G$408,H$408)</f>
        <v>41.424387000000003</v>
      </c>
      <c r="I736" s="51" cm="1">
        <f t="array" ref="I736">_xlfn.IFS($G736=$G$5,I$5,$G736=$G$7,I$7,$G736=$G$10,I$10,$G736=$G$13,I$13,$G736=$G$14,I$14,$G736=$G$16,I$16,$G736=$G$17,I$17,$G736=$G$19,I$19,$G736=$G$20,I$20,$G736=$G$22,I$22,$G736=$G$23,I$23,$G736=$G$26,I$26,$G736=$G$29,I$29,$G736=$G$31,I$31,$G736=$G$34,I$34,$G736=$G$37,I$37,$G736=$G$107,I$107,$G736=$G$110,I$110,$G736=$G$140,I$140,$G736=$G$142,I$142,$G736=$G$408,I$408)</f>
        <v>2.1431439999999999</v>
      </c>
      <c r="J736" s="51" cm="1">
        <f t="array" ref="J736">_xlfn.IFS($G736=$G$5,J$5,$G736=$G$7,J$7,$G736=$G$10,J$10,$G736=$G$13,J$13,$G736=$G$14,J$14,$G736=$G$16,J$16,$G736=$G$17,J$17,$G736=$G$19,J$19,$G736=$G$20,J$20,$G736=$G$22,J$22,$G736=$G$23,J$23,$G736=$G$26,J$26,$G736=$G$29,J$29,$G736=$G$31,J$31,$G736=$G$34,J$34,$G736=$G$37,J$37,$G736=$G$107,J$107,$G736=$G$110,J$110,$G736=$G$140,J$140,$G736=$G$142,J$142,$G736=$G$408,J$408)</f>
        <v>160</v>
      </c>
      <c r="K736" s="13" t="str" cm="1">
        <f t="array" ref="K736">_xlfn.IFS($G736=$G$5,K$5,$G736=$G$7,K$7,$G736=$G$10,K$10,$G736=$G$13,K$13,$G736=$G$14,K$14,$G736=$G$16,K$16,$G736=$G$17,K$17,$G736=$G$19,K$19,$G736=$G$20,K$20,$G736=$G$22,K$22,$G736=$G$23,K$23,$G736=$G$26,K$26,$G736=$G$29,K$29,$G736=$G$31,K$31,$G736=$G$34,K$34,$G736=$G$37,K$37,$G736=$G$107,K$107,$G736=$G$110,K$110,$G736=$G$140,K$140,$G736=$G$142,K$142,$G736=$G$408,K$408)</f>
        <v>BG sentinel + BG lure7</v>
      </c>
      <c r="O736" s="13" t="str">
        <f>G736&amp;"_"&amp;TEXT(P736, "AAMMDD")</f>
        <v>A_SP_BCN_2_221122</v>
      </c>
      <c r="P736" s="27">
        <v>44887</v>
      </c>
      <c r="Q736" s="29">
        <v>0.625</v>
      </c>
      <c r="R736" s="33"/>
      <c r="S736" s="27">
        <v>44894</v>
      </c>
      <c r="T736" s="29">
        <v>0.70833333333333337</v>
      </c>
      <c r="V736" s="13" t="s">
        <v>86</v>
      </c>
      <c r="X736" s="13">
        <f t="shared" si="70"/>
        <v>7</v>
      </c>
      <c r="Z736" s="32" t="s">
        <v>163</v>
      </c>
      <c r="AA736" s="13">
        <f>SUM(AC736:AD736)</f>
        <v>1</v>
      </c>
      <c r="AB736" s="13" t="str">
        <f t="shared" si="71"/>
        <v>Adult</v>
      </c>
      <c r="AC736" s="13">
        <v>1</v>
      </c>
      <c r="AD736" s="13">
        <v>0</v>
      </c>
      <c r="AE736" s="13" t="str">
        <f t="shared" si="72"/>
        <v>Morphological</v>
      </c>
      <c r="AF736" s="2">
        <v>4</v>
      </c>
    </row>
    <row r="737" spans="1:32" x14ac:dyDescent="0.25">
      <c r="A737" s="13">
        <v>733</v>
      </c>
      <c r="B737" s="23" t="s">
        <v>56</v>
      </c>
      <c r="C737" s="23" t="s">
        <v>57</v>
      </c>
      <c r="D737" s="23" t="s">
        <v>58</v>
      </c>
      <c r="E737" s="23" t="s">
        <v>58</v>
      </c>
      <c r="F737" s="35" cm="1">
        <f t="array" ref="F737">_xlfn.IFS($G737=$G$5,F$5,$G737=$G$7,F$7,$G737=$G$10,F$10,$G737=$G$13,F$13,$G737=$G$14,F$14,$G737=$G$16,F$16,$G737=$G$17,F$17,$G737=$G$19,F$19,$G737=$G$20,F$20,$G737=$G$22,F$22,$G737=$G$23,F$23,$G737=$G$26,F$26,$G737=$G$29,F$29,$G737=$G$31,F$31,$G737=$G$34,F$34,$G737=$G$37,F$37,$G737=$G$107,F$107,$G737=$G$110,F$110,$G737=$G$140,F$140,$G737=$G$142,F$142,$G737=$G$408,F$408)</f>
        <v>8016</v>
      </c>
      <c r="G737" s="13" t="s">
        <v>62</v>
      </c>
      <c r="H737" s="51" cm="1">
        <f t="array" ref="H737">_xlfn.IFS($G737=$G$5,H$5,$G737=$G$7,H$7,$G737=$G$10,H$10,$G737=$G$13,H$13,$G737=$G$14,H$14,$G737=$G$16,H$16,$G737=$G$17,H$17,$G737=$G$19,H$19,$G737=$G$20,H$20,$G737=$G$22,H$22,$G737=$G$23,H$23,$G737=$G$26,H$26,$G737=$G$29,H$29,$G737=$G$31,H$31,$G737=$G$34,H$34,$G737=$G$37,H$37,$G737=$G$107,H$107,$G737=$G$110,H$110,$G737=$G$140,H$140,$G737=$G$142,H$142,$G737=$G$408,H$408)</f>
        <v>41.437435000000001</v>
      </c>
      <c r="I737" s="51" cm="1">
        <f t="array" ref="I737">_xlfn.IFS($G737=$G$5,I$5,$G737=$G$7,I$7,$G737=$G$10,I$10,$G737=$G$13,I$13,$G737=$G$14,I$14,$G737=$G$16,I$16,$G737=$G$17,I$17,$G737=$G$19,I$19,$G737=$G$20,I$20,$G737=$G$22,I$22,$G737=$G$23,I$23,$G737=$G$26,I$26,$G737=$G$29,I$29,$G737=$G$31,I$31,$G737=$G$34,I$34,$G737=$G$37,I$37,$G737=$G$107,I$107,$G737=$G$110,I$110,$G737=$G$140,I$140,$G737=$G$142,I$142,$G737=$G$408,I$408)</f>
        <v>2.1812779999999998</v>
      </c>
      <c r="J737" s="51" cm="1">
        <f t="array" ref="J737">_xlfn.IFS($G737=$G$5,J$5,$G737=$G$7,J$7,$G737=$G$10,J$10,$G737=$G$13,J$13,$G737=$G$14,J$14,$G737=$G$16,J$16,$G737=$G$17,J$17,$G737=$G$19,J$19,$G737=$G$20,J$20,$G737=$G$22,J$22,$G737=$G$23,J$23,$G737=$G$26,J$26,$G737=$G$29,J$29,$G737=$G$31,J$31,$G737=$G$34,J$34,$G737=$G$37,J$37,$G737=$G$107,J$107,$G737=$G$110,J$110,$G737=$G$140,J$140,$G737=$G$142,J$142,$G737=$G$408,J$408)</f>
        <v>47</v>
      </c>
      <c r="K737" s="13" t="str" cm="1">
        <f t="array" ref="K737">_xlfn.IFS($G737=$G$5,K$5,$G737=$G$7,K$7,$G737=$G$10,K$10,$G737=$G$13,K$13,$G737=$G$14,K$14,$G737=$G$16,K$16,$G737=$G$17,K$17,$G737=$G$19,K$19,$G737=$G$20,K$20,$G737=$G$22,K$22,$G737=$G$23,K$23,$G737=$G$26,K$26,$G737=$G$29,K$29,$G737=$G$31,K$31,$G737=$G$34,K$34,$G737=$G$37,K$37,$G737=$G$107,K$107,$G737=$G$110,K$110,$G737=$G$140,K$140,$G737=$G$142,K$142,$G737=$G$408,K$408)</f>
        <v>BG sentinel + BG lure7</v>
      </c>
      <c r="O737" s="13" t="str">
        <f t="shared" ref="O737:O759" si="75">G737&amp;"_"&amp;TEXT(P737, "AAMMDD")</f>
        <v>A_SP_BCN_3_221122</v>
      </c>
      <c r="P737" s="27">
        <v>44887</v>
      </c>
      <c r="Q737" s="29">
        <v>0.83333333333333337</v>
      </c>
      <c r="R737" s="33"/>
      <c r="S737" s="31">
        <v>44895</v>
      </c>
      <c r="T737" s="29">
        <v>0.58333333333333337</v>
      </c>
      <c r="V737" s="13" t="s">
        <v>86</v>
      </c>
      <c r="W737" s="15" t="s">
        <v>149</v>
      </c>
      <c r="X737" s="13">
        <f t="shared" si="70"/>
        <v>8</v>
      </c>
      <c r="Z737" s="13" t="s">
        <v>60</v>
      </c>
      <c r="AA737" s="13">
        <f>SUM(AC737:AD737)</f>
        <v>1</v>
      </c>
      <c r="AB737" s="13" t="str">
        <f t="shared" si="71"/>
        <v>Adult</v>
      </c>
      <c r="AC737" s="13">
        <v>0</v>
      </c>
      <c r="AD737" s="13">
        <v>1</v>
      </c>
      <c r="AE737" s="13" t="str">
        <f t="shared" si="72"/>
        <v>Morphological</v>
      </c>
      <c r="AF737" s="2">
        <v>4</v>
      </c>
    </row>
    <row r="738" spans="1:32" x14ac:dyDescent="0.25">
      <c r="A738" s="13">
        <v>734</v>
      </c>
      <c r="B738" s="23" t="s">
        <v>56</v>
      </c>
      <c r="C738" s="23" t="s">
        <v>57</v>
      </c>
      <c r="D738" s="23" t="s">
        <v>58</v>
      </c>
      <c r="E738" s="23" t="s">
        <v>58</v>
      </c>
      <c r="F738" s="35" cm="1">
        <f t="array" ref="F738">_xlfn.IFS($G738=$G$5,F$5,$G738=$G$7,F$7,$G738=$G$10,F$10,$G738=$G$13,F$13,$G738=$G$14,F$14,$G738=$G$16,F$16,$G738=$G$17,F$17,$G738=$G$19,F$19,$G738=$G$20,F$20,$G738=$G$22,F$22,$G738=$G$23,F$23,$G738=$G$26,F$26,$G738=$G$29,F$29,$G738=$G$31,F$31,$G738=$G$34,F$34,$G738=$G$37,F$37,$G738=$G$107,F$107,$G738=$G$110,F$110,$G738=$G$140,F$140,$G738=$G$142,F$142,$G738=$G$408,F$408)</f>
        <v>8016</v>
      </c>
      <c r="G738" s="13" t="s">
        <v>62</v>
      </c>
      <c r="H738" s="51" cm="1">
        <f t="array" ref="H738">_xlfn.IFS($G738=$G$5,H$5,$G738=$G$7,H$7,$G738=$G$10,H$10,$G738=$G$13,H$13,$G738=$G$14,H$14,$G738=$G$16,H$16,$G738=$G$17,H$17,$G738=$G$19,H$19,$G738=$G$20,H$20,$G738=$G$22,H$22,$G738=$G$23,H$23,$G738=$G$26,H$26,$G738=$G$29,H$29,$G738=$G$31,H$31,$G738=$G$34,H$34,$G738=$G$37,H$37,$G738=$G$107,H$107,$G738=$G$110,H$110,$G738=$G$140,H$140,$G738=$G$142,H$142,$G738=$G$408,H$408)</f>
        <v>41.437435000000001</v>
      </c>
      <c r="I738" s="51" cm="1">
        <f t="array" ref="I738">_xlfn.IFS($G738=$G$5,I$5,$G738=$G$7,I$7,$G738=$G$10,I$10,$G738=$G$13,I$13,$G738=$G$14,I$14,$G738=$G$16,I$16,$G738=$G$17,I$17,$G738=$G$19,I$19,$G738=$G$20,I$20,$G738=$G$22,I$22,$G738=$G$23,I$23,$G738=$G$26,I$26,$G738=$G$29,I$29,$G738=$G$31,I$31,$G738=$G$34,I$34,$G738=$G$37,I$37,$G738=$G$107,I$107,$G738=$G$110,I$110,$G738=$G$140,I$140,$G738=$G$142,I$142,$G738=$G$408,I$408)</f>
        <v>2.1812779999999998</v>
      </c>
      <c r="J738" s="51" cm="1">
        <f t="array" ref="J738">_xlfn.IFS($G738=$G$5,J$5,$G738=$G$7,J$7,$G738=$G$10,J$10,$G738=$G$13,J$13,$G738=$G$14,J$14,$G738=$G$16,J$16,$G738=$G$17,J$17,$G738=$G$19,J$19,$G738=$G$20,J$20,$G738=$G$22,J$22,$G738=$G$23,J$23,$G738=$G$26,J$26,$G738=$G$29,J$29,$G738=$G$31,J$31,$G738=$G$34,J$34,$G738=$G$37,J$37,$G738=$G$107,J$107,$G738=$G$110,J$110,$G738=$G$140,J$140,$G738=$G$142,J$142,$G738=$G$408,J$408)</f>
        <v>47</v>
      </c>
      <c r="K738" s="13" t="str" cm="1">
        <f t="array" ref="K738">_xlfn.IFS($G738=$G$5,K$5,$G738=$G$7,K$7,$G738=$G$10,K$10,$G738=$G$13,K$13,$G738=$G$14,K$14,$G738=$G$16,K$16,$G738=$G$17,K$17,$G738=$G$19,K$19,$G738=$G$20,K$20,$G738=$G$22,K$22,$G738=$G$23,K$23,$G738=$G$26,K$26,$G738=$G$29,K$29,$G738=$G$31,K$31,$G738=$G$34,K$34,$G738=$G$37,K$37,$G738=$G$107,K$107,$G738=$G$110,K$110,$G738=$G$140,K$140,$G738=$G$142,K$142,$G738=$G$408,K$408)</f>
        <v>BG sentinel + BG lure7</v>
      </c>
      <c r="O738" s="13" t="str">
        <f t="shared" si="75"/>
        <v>A_SP_BCN_3_221122</v>
      </c>
      <c r="P738" s="27">
        <v>44887</v>
      </c>
      <c r="Q738" s="29">
        <v>0.83333333333333337</v>
      </c>
      <c r="R738" s="33"/>
      <c r="S738" s="31">
        <v>44895</v>
      </c>
      <c r="T738" s="29">
        <v>0.58333333333333337</v>
      </c>
      <c r="V738" s="13" t="s">
        <v>86</v>
      </c>
      <c r="W738" s="15" t="s">
        <v>149</v>
      </c>
      <c r="X738" s="13">
        <f t="shared" si="70"/>
        <v>8</v>
      </c>
      <c r="Z738" s="13" t="s">
        <v>164</v>
      </c>
      <c r="AA738" s="13">
        <f>SUM(AC738:AD738)</f>
        <v>4</v>
      </c>
      <c r="AB738" s="13" t="str">
        <f t="shared" si="71"/>
        <v>Adult</v>
      </c>
      <c r="AC738" s="13">
        <v>3</v>
      </c>
      <c r="AD738" s="13">
        <v>1</v>
      </c>
      <c r="AE738" s="13" t="str">
        <f t="shared" si="72"/>
        <v>Morphological</v>
      </c>
      <c r="AF738" s="2">
        <v>4</v>
      </c>
    </row>
    <row r="739" spans="1:32" x14ac:dyDescent="0.25">
      <c r="A739" s="13">
        <v>735</v>
      </c>
      <c r="B739" s="23" t="s">
        <v>56</v>
      </c>
      <c r="C739" s="23" t="s">
        <v>57</v>
      </c>
      <c r="D739" s="23" t="s">
        <v>58</v>
      </c>
      <c r="E739" s="23" t="s">
        <v>58</v>
      </c>
      <c r="F739" s="35" cm="1">
        <f t="array" ref="F739">_xlfn.IFS($G739=$G$5,F$5,$G739=$G$7,F$7,$G739=$G$10,F$10,$G739=$G$13,F$13,$G739=$G$14,F$14,$G739=$G$16,F$16,$G739=$G$17,F$17,$G739=$G$19,F$19,$G739=$G$20,F$20,$G739=$G$22,F$22,$G739=$G$23,F$23,$G739=$G$26,F$26,$G739=$G$29,F$29,$G739=$G$31,F$31,$G739=$G$34,F$34,$G739=$G$37,F$37,$G739=$G$107,F$107,$G739=$G$110,F$110,$G739=$G$140,F$140,$G739=$G$142,F$142,$G739=$G$408,F$408)</f>
        <v>8018</v>
      </c>
      <c r="G739" s="13" t="s">
        <v>63</v>
      </c>
      <c r="H739" s="51" cm="1">
        <f t="array" ref="H739">_xlfn.IFS($G739=$G$5,H$5,$G739=$G$7,H$7,$G739=$G$10,H$10,$G739=$G$13,H$13,$G739=$G$14,H$14,$G739=$G$16,H$16,$G739=$G$17,H$17,$G739=$G$19,H$19,$G739=$G$20,H$20,$G739=$G$22,H$22,$G739=$G$23,H$23,$G739=$G$26,H$26,$G739=$G$29,H$29,$G739=$G$31,H$31,$G739=$G$34,H$34,$G739=$G$37,H$37,$G739=$G$107,H$107,$G739=$G$110,H$110,$G739=$G$140,H$140,$G739=$G$142,H$142,$G739=$G$408,H$408)</f>
        <v>41.404924999999999</v>
      </c>
      <c r="I739" s="51" cm="1">
        <f t="array" ref="I739">_xlfn.IFS($G739=$G$5,I$5,$G739=$G$7,I$7,$G739=$G$10,I$10,$G739=$G$13,I$13,$G739=$G$14,I$14,$G739=$G$16,I$16,$G739=$G$17,I$17,$G739=$G$19,I$19,$G739=$G$20,I$20,$G739=$G$22,I$22,$G739=$G$23,I$23,$G739=$G$26,I$26,$G739=$G$29,I$29,$G739=$G$31,I$31,$G739=$G$34,I$34,$G739=$G$37,I$37,$G739=$G$107,I$107,$G739=$G$110,I$110,$G739=$G$140,I$140,$G739=$G$142,I$142,$G739=$G$408,I$408)</f>
        <v>2.1987909999999999</v>
      </c>
      <c r="J739" s="51" cm="1">
        <f t="array" ref="J739">_xlfn.IFS($G739=$G$5,J$5,$G739=$G$7,J$7,$G739=$G$10,J$10,$G739=$G$13,J$13,$G739=$G$14,J$14,$G739=$G$16,J$16,$G739=$G$17,J$17,$G739=$G$19,J$19,$G739=$G$20,J$20,$G739=$G$22,J$22,$G739=$G$23,J$23,$G739=$G$26,J$26,$G739=$G$29,J$29,$G739=$G$31,J$31,$G739=$G$34,J$34,$G739=$G$37,J$37,$G739=$G$107,J$107,$G739=$G$110,J$110,$G739=$G$140,J$140,$G739=$G$142,J$142,$G739=$G$408,J$408)</f>
        <v>4</v>
      </c>
      <c r="K739" s="13" t="str" cm="1">
        <f t="array" ref="K739">_xlfn.IFS($G739=$G$5,K$5,$G739=$G$7,K$7,$G739=$G$10,K$10,$G739=$G$13,K$13,$G739=$G$14,K$14,$G739=$G$16,K$16,$G739=$G$17,K$17,$G739=$G$19,K$19,$G739=$G$20,K$20,$G739=$G$22,K$22,$G739=$G$23,K$23,$G739=$G$26,K$26,$G739=$G$29,K$29,$G739=$G$31,K$31,$G739=$G$34,K$34,$G739=$G$37,K$37,$G739=$G$107,K$107,$G739=$G$110,K$110,$G739=$G$140,K$140,$G739=$G$142,K$142,$G739=$G$408,K$408)</f>
        <v>BG sentinel + BG lure7</v>
      </c>
      <c r="O739" s="13" t="str">
        <f t="shared" si="75"/>
        <v>A_SP_BCN_4_221122</v>
      </c>
      <c r="P739" s="27">
        <v>44887</v>
      </c>
      <c r="Q739" s="29">
        <v>0.80555555555555547</v>
      </c>
      <c r="R739" s="33"/>
      <c r="S739" s="31">
        <v>44895</v>
      </c>
      <c r="T739" s="29">
        <v>0.62847222222222221</v>
      </c>
      <c r="V739" s="13" t="s">
        <v>86</v>
      </c>
      <c r="W739" s="15" t="s">
        <v>88</v>
      </c>
      <c r="X739" s="13">
        <f t="shared" si="70"/>
        <v>8</v>
      </c>
      <c r="AA739" s="13">
        <v>0</v>
      </c>
      <c r="AB739" s="13" t="str">
        <f t="shared" si="71"/>
        <v/>
      </c>
      <c r="AE739" s="13" t="str">
        <f t="shared" si="72"/>
        <v/>
      </c>
      <c r="AF739" s="2">
        <v>3</v>
      </c>
    </row>
    <row r="740" spans="1:32" x14ac:dyDescent="0.25">
      <c r="A740" s="13">
        <v>736</v>
      </c>
      <c r="B740" s="23" t="s">
        <v>56</v>
      </c>
      <c r="C740" s="23" t="s">
        <v>57</v>
      </c>
      <c r="D740" s="23" t="s">
        <v>58</v>
      </c>
      <c r="E740" s="23" t="s">
        <v>58</v>
      </c>
      <c r="F740" s="35" cm="1">
        <f t="array" ref="F740">_xlfn.IFS($G740=$G$5,F$5,$G740=$G$7,F$7,$G740=$G$10,F$10,$G740=$G$13,F$13,$G740=$G$14,F$14,$G740=$G$16,F$16,$G740=$G$17,F$17,$G740=$G$19,F$19,$G740=$G$20,F$20,$G740=$G$22,F$22,$G740=$G$23,F$23,$G740=$G$26,F$26,$G740=$G$29,F$29,$G740=$G$31,F$31,$G740=$G$34,F$34,$G740=$G$37,F$37,$G740=$G$107,F$107,$G740=$G$110,F$110,$G740=$G$140,F$140,$G740=$G$142,F$142,$G740=$G$408,F$408)</f>
        <v>8019</v>
      </c>
      <c r="G740" s="13" t="s">
        <v>64</v>
      </c>
      <c r="H740" s="51" cm="1">
        <f t="array" ref="H740">_xlfn.IFS($G740=$G$5,H$5,$G740=$G$7,H$7,$G740=$G$10,H$10,$G740=$G$13,H$13,$G740=$G$14,H$14,$G740=$G$16,H$16,$G740=$G$17,H$17,$G740=$G$19,H$19,$G740=$G$20,H$20,$G740=$G$22,H$22,$G740=$G$23,H$23,$G740=$G$26,H$26,$G740=$G$29,H$29,$G740=$G$31,H$31,$G740=$G$34,H$34,$G740=$G$37,H$37,$G740=$G$107,H$107,$G740=$G$110,H$110,$G740=$G$140,H$140,$G740=$G$142,H$142,$G740=$G$408,H$408)</f>
        <v>41.410684000000003</v>
      </c>
      <c r="I740" s="51" cm="1">
        <f t="array" ref="I740">_xlfn.IFS($G740=$G$5,I$5,$G740=$G$7,I$7,$G740=$G$10,I$10,$G740=$G$13,I$13,$G740=$G$14,I$14,$G740=$G$16,I$16,$G740=$G$17,I$17,$G740=$G$19,I$19,$G740=$G$20,I$20,$G740=$G$22,I$22,$G740=$G$23,I$23,$G740=$G$26,I$26,$G740=$G$29,I$29,$G740=$G$31,I$31,$G740=$G$34,I$34,$G740=$G$37,I$37,$G740=$G$107,I$107,$G740=$G$110,I$110,$G740=$G$140,I$140,$G740=$G$142,I$142,$G740=$G$408,I$408)</f>
        <v>2.2208019999999999</v>
      </c>
      <c r="J740" s="51" cm="1">
        <f t="array" ref="J740">_xlfn.IFS($G740=$G$5,J$5,$G740=$G$7,J$7,$G740=$G$10,J$10,$G740=$G$13,J$13,$G740=$G$14,J$14,$G740=$G$16,J$16,$G740=$G$17,J$17,$G740=$G$19,J$19,$G740=$G$20,J$20,$G740=$G$22,J$22,$G740=$G$23,J$23,$G740=$G$26,J$26,$G740=$G$29,J$29,$G740=$G$31,J$31,$G740=$G$34,J$34,$G740=$G$37,J$37,$G740=$G$107,J$107,$G740=$G$110,J$110,$G740=$G$140,J$140,$G740=$G$142,J$142,$G740=$G$408,J$408)</f>
        <v>18</v>
      </c>
      <c r="K740" s="13" t="str" cm="1">
        <f t="array" ref="K740">_xlfn.IFS($G740=$G$5,K$5,$G740=$G$7,K$7,$G740=$G$10,K$10,$G740=$G$13,K$13,$G740=$G$14,K$14,$G740=$G$16,K$16,$G740=$G$17,K$17,$G740=$G$19,K$19,$G740=$G$20,K$20,$G740=$G$22,K$22,$G740=$G$23,K$23,$G740=$G$26,K$26,$G740=$G$29,K$29,$G740=$G$31,K$31,$G740=$G$34,K$34,$G740=$G$37,K$37,$G740=$G$107,K$107,$G740=$G$110,K$110,$G740=$G$140,K$140,$G740=$G$142,K$142,$G740=$G$408,K$408)</f>
        <v>BG sentinel + BG lure7</v>
      </c>
      <c r="O740" s="13" t="str">
        <f t="shared" si="75"/>
        <v>A_SP_BCN_5_221122</v>
      </c>
      <c r="P740" s="27">
        <v>44887</v>
      </c>
      <c r="Q740" s="29">
        <v>0.65277777777777779</v>
      </c>
      <c r="R740" s="33"/>
      <c r="S740" s="31">
        <v>44895</v>
      </c>
      <c r="T740" s="29">
        <v>0.61458333333333337</v>
      </c>
      <c r="V740" s="13" t="s">
        <v>86</v>
      </c>
      <c r="X740" s="13">
        <f t="shared" si="70"/>
        <v>8</v>
      </c>
      <c r="Z740" s="13" t="s">
        <v>164</v>
      </c>
      <c r="AA740" s="13">
        <f t="shared" ref="AA740:AA751" si="76">SUM(AC740:AD740)</f>
        <v>1</v>
      </c>
      <c r="AB740" s="13" t="str">
        <f t="shared" si="71"/>
        <v>Adult</v>
      </c>
      <c r="AC740" s="13">
        <v>1</v>
      </c>
      <c r="AD740" s="13">
        <v>0</v>
      </c>
      <c r="AE740" s="13" t="str">
        <f t="shared" si="72"/>
        <v>Morphological</v>
      </c>
      <c r="AF740" s="2">
        <v>4</v>
      </c>
    </row>
    <row r="741" spans="1:32" x14ac:dyDescent="0.25">
      <c r="A741" s="13">
        <v>737</v>
      </c>
      <c r="B741" s="23" t="s">
        <v>56</v>
      </c>
      <c r="C741" s="23" t="s">
        <v>57</v>
      </c>
      <c r="D741" s="23" t="s">
        <v>58</v>
      </c>
      <c r="E741" s="23" t="s">
        <v>58</v>
      </c>
      <c r="F741" s="35" cm="1">
        <f t="array" ref="F741">_xlfn.IFS($G741=$G$5,F$5,$G741=$G$7,F$7,$G741=$G$10,F$10,$G741=$G$13,F$13,$G741=$G$14,F$14,$G741=$G$16,F$16,$G741=$G$17,F$17,$G741=$G$19,F$19,$G741=$G$20,F$20,$G741=$G$22,F$22,$G741=$G$23,F$23,$G741=$G$26,F$26,$G741=$G$29,F$29,$G741=$G$31,F$31,$G741=$G$34,F$34,$G741=$G$37,F$37,$G741=$G$107,F$107,$G741=$G$110,F$110,$G741=$G$140,F$140,$G741=$G$142,F$142,$G741=$G$408,F$408)</f>
        <v>8002</v>
      </c>
      <c r="G741" s="13" t="s">
        <v>65</v>
      </c>
      <c r="H741" s="51" cm="1">
        <f t="array" ref="H741">_xlfn.IFS($G741=$G$5,H$5,$G741=$G$7,H$7,$G741=$G$10,H$10,$G741=$G$13,H$13,$G741=$G$14,H$14,$G741=$G$16,H$16,$G741=$G$17,H$17,$G741=$G$19,H$19,$G741=$G$20,H$20,$G741=$G$22,H$22,$G741=$G$23,H$23,$G741=$G$26,H$26,$G741=$G$29,H$29,$G741=$G$31,H$31,$G741=$G$34,H$34,$G741=$G$37,H$37,$G741=$G$107,H$107,$G741=$G$110,H$110,$G741=$G$140,H$140,$G741=$G$142,H$142,$G741=$G$408,H$408)</f>
        <v>41.382339999999999</v>
      </c>
      <c r="I741" s="51" cm="1">
        <f t="array" ref="I741">_xlfn.IFS($G741=$G$5,I$5,$G741=$G$7,I$7,$G741=$G$10,I$10,$G741=$G$13,I$13,$G741=$G$14,I$14,$G741=$G$16,I$16,$G741=$G$17,I$17,$G741=$G$19,I$19,$G741=$G$20,I$20,$G741=$G$22,I$22,$G741=$G$23,I$23,$G741=$G$26,I$26,$G741=$G$29,I$29,$G741=$G$31,I$31,$G741=$G$34,I$34,$G741=$G$37,I$37,$G741=$G$107,I$107,$G741=$G$110,I$110,$G741=$G$140,I$140,$G741=$G$142,I$142,$G741=$G$408,I$408)</f>
        <v>2.1714790000000002</v>
      </c>
      <c r="J741" s="51" cm="1">
        <f t="array" ref="J741">_xlfn.IFS($G741=$G$5,J$5,$G741=$G$7,J$7,$G741=$G$10,J$10,$G741=$G$13,J$13,$G741=$G$14,J$14,$G741=$G$16,J$16,$G741=$G$17,J$17,$G741=$G$19,J$19,$G741=$G$20,J$20,$G741=$G$22,J$22,$G741=$G$23,J$23,$G741=$G$26,J$26,$G741=$G$29,J$29,$G741=$G$31,J$31,$G741=$G$34,J$34,$G741=$G$37,J$37,$G741=$G$107,J$107,$G741=$G$110,J$110,$G741=$G$140,J$140,$G741=$G$142,J$142,$G741=$G$408,J$408)</f>
        <v>19</v>
      </c>
      <c r="K741" s="13" t="str" cm="1">
        <f t="array" ref="K741">_xlfn.IFS($G741=$G$5,K$5,$G741=$G$7,K$7,$G741=$G$10,K$10,$G741=$G$13,K$13,$G741=$G$14,K$14,$G741=$G$16,K$16,$G741=$G$17,K$17,$G741=$G$19,K$19,$G741=$G$20,K$20,$G741=$G$22,K$22,$G741=$G$23,K$23,$G741=$G$26,K$26,$G741=$G$29,K$29,$G741=$G$31,K$31,$G741=$G$34,K$34,$G741=$G$37,K$37,$G741=$G$107,K$107,$G741=$G$110,K$110,$G741=$G$140,K$140,$G741=$G$142,K$142,$G741=$G$408,K$408)</f>
        <v>BG sentinel + BG lure7</v>
      </c>
      <c r="O741" s="13" t="str">
        <f t="shared" si="75"/>
        <v>A_SP_BCN_6_221122</v>
      </c>
      <c r="P741" s="27">
        <v>44887</v>
      </c>
      <c r="Q741" s="29">
        <v>0.83333333333333337</v>
      </c>
      <c r="R741" s="33"/>
      <c r="S741" s="31">
        <v>44895</v>
      </c>
      <c r="T741" s="29">
        <v>0.67708333333333337</v>
      </c>
      <c r="V741" s="13" t="s">
        <v>86</v>
      </c>
      <c r="X741" s="13">
        <f t="shared" si="70"/>
        <v>8</v>
      </c>
      <c r="Z741" s="13" t="s">
        <v>164</v>
      </c>
      <c r="AA741" s="13">
        <f t="shared" si="76"/>
        <v>3</v>
      </c>
      <c r="AB741" s="13" t="str">
        <f t="shared" si="71"/>
        <v>Adult</v>
      </c>
      <c r="AC741" s="13">
        <v>3</v>
      </c>
      <c r="AD741" s="13">
        <v>0</v>
      </c>
      <c r="AE741" s="13" t="str">
        <f t="shared" si="72"/>
        <v>Morphological</v>
      </c>
      <c r="AF741" s="2">
        <v>4</v>
      </c>
    </row>
    <row r="742" spans="1:32" x14ac:dyDescent="0.25">
      <c r="A742" s="13">
        <v>738</v>
      </c>
      <c r="B742" s="23" t="s">
        <v>56</v>
      </c>
      <c r="C742" s="23" t="s">
        <v>57</v>
      </c>
      <c r="D742" s="23" t="s">
        <v>58</v>
      </c>
      <c r="E742" s="23" t="s">
        <v>58</v>
      </c>
      <c r="F742" s="35" cm="1">
        <f t="array" ref="F742">_xlfn.IFS($G742=$G$5,F$5,$G742=$G$7,F$7,$G742=$G$10,F$10,$G742=$G$13,F$13,$G742=$G$14,F$14,$G742=$G$16,F$16,$G742=$G$17,F$17,$G742=$G$19,F$19,$G742=$G$20,F$20,$G742=$G$22,F$22,$G742=$G$23,F$23,$G742=$G$26,F$26,$G742=$G$29,F$29,$G742=$G$31,F$31,$G742=$G$34,F$34,$G742=$G$37,F$37,$G742=$G$107,F$107,$G742=$G$110,F$110,$G742=$G$140,F$140,$G742=$G$142,F$142,$G742=$G$408,F$408)</f>
        <v>8002</v>
      </c>
      <c r="G742" s="13" t="s">
        <v>65</v>
      </c>
      <c r="H742" s="51" cm="1">
        <f t="array" ref="H742">_xlfn.IFS($G742=$G$5,H$5,$G742=$G$7,H$7,$G742=$G$10,H$10,$G742=$G$13,H$13,$G742=$G$14,H$14,$G742=$G$16,H$16,$G742=$G$17,H$17,$G742=$G$19,H$19,$G742=$G$20,H$20,$G742=$G$22,H$22,$G742=$G$23,H$23,$G742=$G$26,H$26,$G742=$G$29,H$29,$G742=$G$31,H$31,$G742=$G$34,H$34,$G742=$G$37,H$37,$G742=$G$107,H$107,$G742=$G$110,H$110,$G742=$G$140,H$140,$G742=$G$142,H$142,$G742=$G$408,H$408)</f>
        <v>41.382339999999999</v>
      </c>
      <c r="I742" s="51" cm="1">
        <f t="array" ref="I742">_xlfn.IFS($G742=$G$5,I$5,$G742=$G$7,I$7,$G742=$G$10,I$10,$G742=$G$13,I$13,$G742=$G$14,I$14,$G742=$G$16,I$16,$G742=$G$17,I$17,$G742=$G$19,I$19,$G742=$G$20,I$20,$G742=$G$22,I$22,$G742=$G$23,I$23,$G742=$G$26,I$26,$G742=$G$29,I$29,$G742=$G$31,I$31,$G742=$G$34,I$34,$G742=$G$37,I$37,$G742=$G$107,I$107,$G742=$G$110,I$110,$G742=$G$140,I$140,$G742=$G$142,I$142,$G742=$G$408,I$408)</f>
        <v>2.1714790000000002</v>
      </c>
      <c r="J742" s="51" cm="1">
        <f t="array" ref="J742">_xlfn.IFS($G742=$G$5,J$5,$G742=$G$7,J$7,$G742=$G$10,J$10,$G742=$G$13,J$13,$G742=$G$14,J$14,$G742=$G$16,J$16,$G742=$G$17,J$17,$G742=$G$19,J$19,$G742=$G$20,J$20,$G742=$G$22,J$22,$G742=$G$23,J$23,$G742=$G$26,J$26,$G742=$G$29,J$29,$G742=$G$31,J$31,$G742=$G$34,J$34,$G742=$G$37,J$37,$G742=$G$107,J$107,$G742=$G$110,J$110,$G742=$G$140,J$140,$G742=$G$142,J$142,$G742=$G$408,J$408)</f>
        <v>19</v>
      </c>
      <c r="K742" s="13" t="str" cm="1">
        <f t="array" ref="K742">_xlfn.IFS($G742=$G$5,K$5,$G742=$G$7,K$7,$G742=$G$10,K$10,$G742=$G$13,K$13,$G742=$G$14,K$14,$G742=$G$16,K$16,$G742=$G$17,K$17,$G742=$G$19,K$19,$G742=$G$20,K$20,$G742=$G$22,K$22,$G742=$G$23,K$23,$G742=$G$26,K$26,$G742=$G$29,K$29,$G742=$G$31,K$31,$G742=$G$34,K$34,$G742=$G$37,K$37,$G742=$G$107,K$107,$G742=$G$110,K$110,$G742=$G$140,K$140,$G742=$G$142,K$142,$G742=$G$408,K$408)</f>
        <v>BG sentinel + BG lure7</v>
      </c>
      <c r="O742" s="13" t="str">
        <f t="shared" si="75"/>
        <v>A_SP_BCN_6_221122</v>
      </c>
      <c r="P742" s="27">
        <v>44887</v>
      </c>
      <c r="Q742" s="29">
        <v>0.83333333333333337</v>
      </c>
      <c r="R742" s="33"/>
      <c r="S742" s="31">
        <v>44895</v>
      </c>
      <c r="T742" s="29">
        <v>0.67708333333333337</v>
      </c>
      <c r="V742" s="13" t="s">
        <v>86</v>
      </c>
      <c r="X742" s="13">
        <f t="shared" si="70"/>
        <v>8</v>
      </c>
      <c r="Z742" s="32" t="s">
        <v>163</v>
      </c>
      <c r="AA742" s="13">
        <f t="shared" si="76"/>
        <v>3</v>
      </c>
      <c r="AB742" s="13" t="str">
        <f t="shared" si="71"/>
        <v>Adult</v>
      </c>
      <c r="AC742" s="13">
        <v>1</v>
      </c>
      <c r="AD742" s="13">
        <v>2</v>
      </c>
      <c r="AE742" s="13" t="str">
        <f t="shared" si="72"/>
        <v>Morphological</v>
      </c>
      <c r="AF742" s="2">
        <v>4</v>
      </c>
    </row>
    <row r="743" spans="1:32" x14ac:dyDescent="0.25">
      <c r="A743" s="13">
        <v>739</v>
      </c>
      <c r="B743" s="23" t="s">
        <v>56</v>
      </c>
      <c r="C743" s="23" t="s">
        <v>57</v>
      </c>
      <c r="D743" s="23" t="s">
        <v>58</v>
      </c>
      <c r="E743" s="23" t="s">
        <v>58</v>
      </c>
      <c r="F743" s="35" cm="1">
        <f t="array" ref="F743">_xlfn.IFS($G743=$G$5,F$5,$G743=$G$7,F$7,$G743=$G$10,F$10,$G743=$G$13,F$13,$G743=$G$14,F$14,$G743=$G$16,F$16,$G743=$G$17,F$17,$G743=$G$19,F$19,$G743=$G$20,F$20,$G743=$G$22,F$22,$G743=$G$23,F$23,$G743=$G$26,F$26,$G743=$G$29,F$29,$G743=$G$31,F$31,$G743=$G$34,F$34,$G743=$G$37,F$37,$G743=$G$107,F$107,$G743=$G$110,F$110,$G743=$G$140,F$140,$G743=$G$142,F$142,$G743=$G$408,F$408)</f>
        <v>8040</v>
      </c>
      <c r="G743" s="13" t="s">
        <v>68</v>
      </c>
      <c r="H743" s="51" cm="1">
        <f t="array" ref="H743">_xlfn.IFS($G743=$G$5,H$5,$G743=$G$7,H$7,$G743=$G$10,H$10,$G743=$G$13,H$13,$G743=$G$14,H$14,$G743=$G$16,H$16,$G743=$G$17,H$17,$G743=$G$19,H$19,$G743=$G$20,H$20,$G743=$G$22,H$22,$G743=$G$23,H$23,$G743=$G$26,H$26,$G743=$G$29,H$29,$G743=$G$31,H$31,$G743=$G$34,H$34,$G743=$G$37,H$37,$G743=$G$107,H$107,$G743=$G$110,H$110,$G743=$G$140,H$140,$G743=$G$142,H$142,$G743=$G$408,H$408)</f>
        <v>41.343685000000001</v>
      </c>
      <c r="I743" s="51" cm="1">
        <f t="array" ref="I743">_xlfn.IFS($G743=$G$5,I$5,$G743=$G$7,I$7,$G743=$G$10,I$10,$G743=$G$13,I$13,$G743=$G$14,I$14,$G743=$G$16,I$16,$G743=$G$17,I$17,$G743=$G$19,I$19,$G743=$G$20,I$20,$G743=$G$22,I$22,$G743=$G$23,I$23,$G743=$G$26,I$26,$G743=$G$29,I$29,$G743=$G$31,I$31,$G743=$G$34,I$34,$G743=$G$37,I$37,$G743=$G$107,I$107,$G743=$G$110,I$110,$G743=$G$140,I$140,$G743=$G$142,I$142,$G743=$G$408,I$408)</f>
        <v>2.1441490000000001</v>
      </c>
      <c r="J743" s="51" cm="1">
        <f t="array" ref="J743">_xlfn.IFS($G743=$G$5,J$5,$G743=$G$7,J$7,$G743=$G$10,J$10,$G743=$G$13,J$13,$G743=$G$14,J$14,$G743=$G$16,J$16,$G743=$G$17,J$17,$G743=$G$19,J$19,$G743=$G$20,J$20,$G743=$G$22,J$22,$G743=$G$23,J$23,$G743=$G$26,J$26,$G743=$G$29,J$29,$G743=$G$31,J$31,$G743=$G$34,J$34,$G743=$G$37,J$37,$G743=$G$107,J$107,$G743=$G$110,J$110,$G743=$G$140,J$140,$G743=$G$142,J$142,$G743=$G$408,J$408)</f>
        <v>4</v>
      </c>
      <c r="K743" s="13" t="str" cm="1">
        <f t="array" ref="K743">_xlfn.IFS($G743=$G$5,K$5,$G743=$G$7,K$7,$G743=$G$10,K$10,$G743=$G$13,K$13,$G743=$G$14,K$14,$G743=$G$16,K$16,$G743=$G$17,K$17,$G743=$G$19,K$19,$G743=$G$20,K$20,$G743=$G$22,K$22,$G743=$G$23,K$23,$G743=$G$26,K$26,$G743=$G$29,K$29,$G743=$G$31,K$31,$G743=$G$34,K$34,$G743=$G$37,K$37,$G743=$G$107,K$107,$G743=$G$110,K$110,$G743=$G$140,K$140,$G743=$G$142,K$142,$G743=$G$408,K$408)</f>
        <v>BG sentinel + BG lure7</v>
      </c>
      <c r="O743" s="13" t="str">
        <f t="shared" si="75"/>
        <v>A_SP_BCN_10_221122</v>
      </c>
      <c r="P743" s="27">
        <v>44887</v>
      </c>
      <c r="Q743" s="29">
        <v>0.5</v>
      </c>
      <c r="R743" s="33"/>
      <c r="S743" s="27">
        <v>44894</v>
      </c>
      <c r="T743" s="29">
        <v>0.5</v>
      </c>
      <c r="V743" s="13" t="s">
        <v>86</v>
      </c>
      <c r="X743" s="13">
        <f t="shared" si="70"/>
        <v>7</v>
      </c>
      <c r="Z743" s="13" t="s">
        <v>60</v>
      </c>
      <c r="AA743" s="13">
        <f t="shared" si="76"/>
        <v>1</v>
      </c>
      <c r="AB743" s="13" t="str">
        <f t="shared" si="71"/>
        <v>Adult</v>
      </c>
      <c r="AC743" s="13">
        <v>1</v>
      </c>
      <c r="AD743" s="13">
        <v>0</v>
      </c>
      <c r="AE743" s="13" t="str">
        <f t="shared" si="72"/>
        <v>Morphological</v>
      </c>
      <c r="AF743" s="2">
        <v>4</v>
      </c>
    </row>
    <row r="744" spans="1:32" x14ac:dyDescent="0.25">
      <c r="A744" s="13">
        <v>740</v>
      </c>
      <c r="B744" s="23" t="s">
        <v>56</v>
      </c>
      <c r="C744" s="23" t="s">
        <v>57</v>
      </c>
      <c r="D744" s="23" t="s">
        <v>58</v>
      </c>
      <c r="E744" s="23" t="s">
        <v>58</v>
      </c>
      <c r="F744" s="35" cm="1">
        <f t="array" ref="F744">_xlfn.IFS($G744=$G$5,F$5,$G744=$G$7,F$7,$G744=$G$10,F$10,$G744=$G$13,F$13,$G744=$G$14,F$14,$G744=$G$16,F$16,$G744=$G$17,F$17,$G744=$G$19,F$19,$G744=$G$20,F$20,$G744=$G$22,F$22,$G744=$G$23,F$23,$G744=$G$26,F$26,$G744=$G$29,F$29,$G744=$G$31,F$31,$G744=$G$34,F$34,$G744=$G$37,F$37,$G744=$G$107,F$107,$G744=$G$110,F$110,$G744=$G$140,F$140,$G744=$G$142,F$142,$G744=$G$408,F$408)</f>
        <v>8040</v>
      </c>
      <c r="G744" s="13" t="s">
        <v>68</v>
      </c>
      <c r="H744" s="51" cm="1">
        <f t="array" ref="H744">_xlfn.IFS($G744=$G$5,H$5,$G744=$G$7,H$7,$G744=$G$10,H$10,$G744=$G$13,H$13,$G744=$G$14,H$14,$G744=$G$16,H$16,$G744=$G$17,H$17,$G744=$G$19,H$19,$G744=$G$20,H$20,$G744=$G$22,H$22,$G744=$G$23,H$23,$G744=$G$26,H$26,$G744=$G$29,H$29,$G744=$G$31,H$31,$G744=$G$34,H$34,$G744=$G$37,H$37,$G744=$G$107,H$107,$G744=$G$110,H$110,$G744=$G$140,H$140,$G744=$G$142,H$142,$G744=$G$408,H$408)</f>
        <v>41.343685000000001</v>
      </c>
      <c r="I744" s="51" cm="1">
        <f t="array" ref="I744">_xlfn.IFS($G744=$G$5,I$5,$G744=$G$7,I$7,$G744=$G$10,I$10,$G744=$G$13,I$13,$G744=$G$14,I$14,$G744=$G$16,I$16,$G744=$G$17,I$17,$G744=$G$19,I$19,$G744=$G$20,I$20,$G744=$G$22,I$22,$G744=$G$23,I$23,$G744=$G$26,I$26,$G744=$G$29,I$29,$G744=$G$31,I$31,$G744=$G$34,I$34,$G744=$G$37,I$37,$G744=$G$107,I$107,$G744=$G$110,I$110,$G744=$G$140,I$140,$G744=$G$142,I$142,$G744=$G$408,I$408)</f>
        <v>2.1441490000000001</v>
      </c>
      <c r="J744" s="51" cm="1">
        <f t="array" ref="J744">_xlfn.IFS($G744=$G$5,J$5,$G744=$G$7,J$7,$G744=$G$10,J$10,$G744=$G$13,J$13,$G744=$G$14,J$14,$G744=$G$16,J$16,$G744=$G$17,J$17,$G744=$G$19,J$19,$G744=$G$20,J$20,$G744=$G$22,J$22,$G744=$G$23,J$23,$G744=$G$26,J$26,$G744=$G$29,J$29,$G744=$G$31,J$31,$G744=$G$34,J$34,$G744=$G$37,J$37,$G744=$G$107,J$107,$G744=$G$110,J$110,$G744=$G$140,J$140,$G744=$G$142,J$142,$G744=$G$408,J$408)</f>
        <v>4</v>
      </c>
      <c r="K744" s="13" t="str" cm="1">
        <f t="array" ref="K744">_xlfn.IFS($G744=$G$5,K$5,$G744=$G$7,K$7,$G744=$G$10,K$10,$G744=$G$13,K$13,$G744=$G$14,K$14,$G744=$G$16,K$16,$G744=$G$17,K$17,$G744=$G$19,K$19,$G744=$G$20,K$20,$G744=$G$22,K$22,$G744=$G$23,K$23,$G744=$G$26,K$26,$G744=$G$29,K$29,$G744=$G$31,K$31,$G744=$G$34,K$34,$G744=$G$37,K$37,$G744=$G$107,K$107,$G744=$G$110,K$110,$G744=$G$140,K$140,$G744=$G$142,K$142,$G744=$G$408,K$408)</f>
        <v>BG sentinel + BG lure7</v>
      </c>
      <c r="O744" s="13" t="str">
        <f t="shared" si="75"/>
        <v>A_SP_BCN_10_221122</v>
      </c>
      <c r="P744" s="27">
        <v>44887</v>
      </c>
      <c r="Q744" s="29">
        <v>0.5</v>
      </c>
      <c r="R744" s="33"/>
      <c r="S744" s="27">
        <v>44894</v>
      </c>
      <c r="T744" s="29">
        <v>0.5</v>
      </c>
      <c r="V744" s="13" t="s">
        <v>86</v>
      </c>
      <c r="X744" s="13">
        <f t="shared" si="70"/>
        <v>7</v>
      </c>
      <c r="Z744" s="13" t="s">
        <v>164</v>
      </c>
      <c r="AA744" s="13">
        <f t="shared" si="76"/>
        <v>2</v>
      </c>
      <c r="AB744" s="13" t="str">
        <f t="shared" si="71"/>
        <v>Adult</v>
      </c>
      <c r="AC744" s="13">
        <v>1</v>
      </c>
      <c r="AD744" s="13">
        <v>1</v>
      </c>
      <c r="AE744" s="13" t="str">
        <f t="shared" si="72"/>
        <v>Morphological</v>
      </c>
      <c r="AF744" s="2">
        <v>4</v>
      </c>
    </row>
    <row r="745" spans="1:32" x14ac:dyDescent="0.25">
      <c r="A745" s="13">
        <v>741</v>
      </c>
      <c r="B745" s="23" t="s">
        <v>56</v>
      </c>
      <c r="C745" s="23" t="s">
        <v>57</v>
      </c>
      <c r="D745" s="23" t="s">
        <v>58</v>
      </c>
      <c r="E745" s="23" t="s">
        <v>58</v>
      </c>
      <c r="F745" s="35" cm="1">
        <f t="array" ref="F745">_xlfn.IFS($G745=$G$5,F$5,$G745=$G$7,F$7,$G745=$G$10,F$10,$G745=$G$13,F$13,$G745=$G$14,F$14,$G745=$G$16,F$16,$G745=$G$17,F$17,$G745=$G$19,F$19,$G745=$G$20,F$20,$G745=$G$22,F$22,$G745=$G$23,F$23,$G745=$G$26,F$26,$G745=$G$29,F$29,$G745=$G$31,F$31,$G745=$G$34,F$34,$G745=$G$37,F$37,$G745=$G$107,F$107,$G745=$G$110,F$110,$G745=$G$140,F$140,$G745=$G$142,F$142,$G745=$G$408,F$408)</f>
        <v>8038</v>
      </c>
      <c r="G745" s="13" t="s">
        <v>69</v>
      </c>
      <c r="H745" s="51" cm="1">
        <f t="array" ref="H745">_xlfn.IFS($G745=$G$5,H$5,$G745=$G$7,H$7,$G745=$G$10,H$10,$G745=$G$13,H$13,$G745=$G$14,H$14,$G745=$G$16,H$16,$G745=$G$17,H$17,$G745=$G$19,H$19,$G745=$G$20,H$20,$G745=$G$22,H$22,$G745=$G$23,H$23,$G745=$G$26,H$26,$G745=$G$29,H$29,$G745=$G$31,H$31,$G745=$G$34,H$34,$G745=$G$37,H$37,$G745=$G$107,H$107,$G745=$G$110,H$110,$G745=$G$140,H$140,$G745=$G$142,H$142,$G745=$G$408,H$408)</f>
        <v>41.363377999999997</v>
      </c>
      <c r="I745" s="51" cm="1">
        <f t="array" ref="I745">_xlfn.IFS($G745=$G$5,I$5,$G745=$G$7,I$7,$G745=$G$10,I$10,$G745=$G$13,I$13,$G745=$G$14,I$14,$G745=$G$16,I$16,$G745=$G$17,I$17,$G745=$G$19,I$19,$G745=$G$20,I$20,$G745=$G$22,I$22,$G745=$G$23,I$23,$G745=$G$26,I$26,$G745=$G$29,I$29,$G745=$G$31,I$31,$G745=$G$34,I$34,$G745=$G$37,I$37,$G745=$G$107,I$107,$G745=$G$110,I$110,$G745=$G$140,I$140,$G745=$G$142,I$142,$G745=$G$408,I$408)</f>
        <v>2.164879</v>
      </c>
      <c r="J745" s="51" cm="1">
        <f t="array" ref="J745">_xlfn.IFS($G745=$G$5,J$5,$G745=$G$7,J$7,$G745=$G$10,J$10,$G745=$G$13,J$13,$G745=$G$14,J$14,$G745=$G$16,J$16,$G745=$G$17,J$17,$G745=$G$19,J$19,$G745=$G$20,J$20,$G745=$G$22,J$22,$G745=$G$23,J$23,$G745=$G$26,J$26,$G745=$G$29,J$29,$G745=$G$31,J$31,$G745=$G$34,J$34,$G745=$G$37,J$37,$G745=$G$107,J$107,$G745=$G$110,J$110,$G745=$G$140,J$140,$G745=$G$142,J$142,$G745=$G$408,J$408)</f>
        <v>185</v>
      </c>
      <c r="K745" s="13" t="str" cm="1">
        <f t="array" ref="K745">_xlfn.IFS($G745=$G$5,K$5,$G745=$G$7,K$7,$G745=$G$10,K$10,$G745=$G$13,K$13,$G745=$G$14,K$14,$G745=$G$16,K$16,$G745=$G$17,K$17,$G745=$G$19,K$19,$G745=$G$20,K$20,$G745=$G$22,K$22,$G745=$G$23,K$23,$G745=$G$26,K$26,$G745=$G$29,K$29,$G745=$G$31,K$31,$G745=$G$34,K$34,$G745=$G$37,K$37,$G745=$G$107,K$107,$G745=$G$110,K$110,$G745=$G$140,K$140,$G745=$G$142,K$142,$G745=$G$408,K$408)</f>
        <v>BG sentinel + BG lure7</v>
      </c>
      <c r="O745" s="13" t="str">
        <f t="shared" si="75"/>
        <v>A_SP_BCN_12_221122</v>
      </c>
      <c r="P745" s="27">
        <v>44887</v>
      </c>
      <c r="Q745" s="29">
        <v>0.53819444444444442</v>
      </c>
      <c r="R745" s="33"/>
      <c r="S745" s="27">
        <v>44894</v>
      </c>
      <c r="T745" s="29">
        <v>0.58680555555555558</v>
      </c>
      <c r="V745" s="13" t="s">
        <v>86</v>
      </c>
      <c r="X745" s="13">
        <f t="shared" si="70"/>
        <v>7</v>
      </c>
      <c r="Z745" s="32" t="s">
        <v>163</v>
      </c>
      <c r="AA745" s="13">
        <f t="shared" si="76"/>
        <v>2</v>
      </c>
      <c r="AB745" s="13" t="str">
        <f t="shared" si="71"/>
        <v>Adult</v>
      </c>
      <c r="AC745" s="13">
        <v>2</v>
      </c>
      <c r="AD745" s="13">
        <v>0</v>
      </c>
      <c r="AE745" s="13" t="str">
        <f t="shared" si="72"/>
        <v>Morphological</v>
      </c>
      <c r="AF745" s="2">
        <v>4</v>
      </c>
    </row>
    <row r="746" spans="1:32" x14ac:dyDescent="0.25">
      <c r="A746" s="13">
        <v>742</v>
      </c>
      <c r="B746" s="23" t="s">
        <v>56</v>
      </c>
      <c r="C746" s="23" t="s">
        <v>57</v>
      </c>
      <c r="D746" s="23" t="s">
        <v>58</v>
      </c>
      <c r="E746" s="23" t="s">
        <v>58</v>
      </c>
      <c r="F746" s="35" cm="1">
        <f t="array" ref="F746">_xlfn.IFS($G746=$G$5,F$5,$G746=$G$7,F$7,$G746=$G$10,F$10,$G746=$G$13,F$13,$G746=$G$14,F$14,$G746=$G$16,F$16,$G746=$G$17,F$17,$G746=$G$19,F$19,$G746=$G$20,F$20,$G746=$G$22,F$22,$G746=$G$23,F$23,$G746=$G$26,F$26,$G746=$G$29,F$29,$G746=$G$31,F$31,$G746=$G$34,F$34,$G746=$G$37,F$37,$G746=$G$107,F$107,$G746=$G$110,F$110,$G746=$G$140,F$140,$G746=$G$142,F$142,$G746=$G$408,F$408)</f>
        <v>8017</v>
      </c>
      <c r="G746" s="13" t="s">
        <v>71</v>
      </c>
      <c r="H746" s="51" cm="1">
        <f t="array" ref="H746">_xlfn.IFS($G746=$G$5,H$5,$G746=$G$7,H$7,$G746=$G$10,H$10,$G746=$G$13,H$13,$G746=$G$14,H$14,$G746=$G$16,H$16,$G746=$G$17,H$17,$G746=$G$19,H$19,$G746=$G$20,H$20,$G746=$G$22,H$22,$G746=$G$23,H$23,$G746=$G$26,H$26,$G746=$G$29,H$29,$G746=$G$31,H$31,$G746=$G$34,H$34,$G746=$G$37,H$37,$G746=$G$107,H$107,$G746=$G$110,H$110,$G746=$G$140,H$140,$G746=$G$142,H$142,$G746=$G$408,H$408)</f>
        <v>41.428533999999999</v>
      </c>
      <c r="I746" s="51" cm="1">
        <f t="array" ref="I746">_xlfn.IFS($G746=$G$5,I$5,$G746=$G$7,I$7,$G746=$G$10,I$10,$G746=$G$13,I$13,$G746=$G$14,I$14,$G746=$G$16,I$16,$G746=$G$17,I$17,$G746=$G$19,I$19,$G746=$G$20,I$20,$G746=$G$22,I$22,$G746=$G$23,I$23,$G746=$G$26,I$26,$G746=$G$29,I$29,$G746=$G$31,I$31,$G746=$G$34,I$34,$G746=$G$37,I$37,$G746=$G$107,I$107,$G746=$G$110,I$110,$G746=$G$140,I$140,$G746=$G$142,I$142,$G746=$G$408,I$408)</f>
        <v>2.090954</v>
      </c>
      <c r="J746" s="51" cm="1">
        <f t="array" ref="J746">_xlfn.IFS($G746=$G$5,J$5,$G746=$G$7,J$7,$G746=$G$10,J$10,$G746=$G$13,J$13,$G746=$G$14,J$14,$G746=$G$16,J$16,$G746=$G$17,J$17,$G746=$G$19,J$19,$G746=$G$20,J$20,$G746=$G$22,J$22,$G746=$G$23,J$23,$G746=$G$26,J$26,$G746=$G$29,J$29,$G746=$G$31,J$31,$G746=$G$34,J$34,$G746=$G$37,J$37,$G746=$G$107,J$107,$G746=$G$110,J$110,$G746=$G$140,J$140,$G746=$G$142,J$142,$G746=$G$408,J$408)</f>
        <v>215</v>
      </c>
      <c r="K746" s="13" t="str" cm="1">
        <f t="array" ref="K746">_xlfn.IFS($G746=$G$5,K$5,$G746=$G$7,K$7,$G746=$G$10,K$10,$G746=$G$13,K$13,$G746=$G$14,K$14,$G746=$G$16,K$16,$G746=$G$17,K$17,$G746=$G$19,K$19,$G746=$G$20,K$20,$G746=$G$22,K$22,$G746=$G$23,K$23,$G746=$G$26,K$26,$G746=$G$29,K$29,$G746=$G$31,K$31,$G746=$G$34,K$34,$G746=$G$37,K$37,$G746=$G$107,K$107,$G746=$G$110,K$110,$G746=$G$140,K$140,$G746=$G$142,K$142,$G746=$G$408,K$408)</f>
        <v>BG sentinel + BG lure7</v>
      </c>
      <c r="O746" s="13" t="str">
        <f t="shared" si="75"/>
        <v>A_SP_BCN_14_221122</v>
      </c>
      <c r="P746" s="27">
        <v>44887</v>
      </c>
      <c r="Q746" s="29">
        <v>0.76388888888888884</v>
      </c>
      <c r="R746" s="33"/>
      <c r="S746" s="27">
        <v>44894</v>
      </c>
      <c r="T746" s="29">
        <v>0.76388888888888884</v>
      </c>
      <c r="V746" s="13" t="s">
        <v>86</v>
      </c>
      <c r="X746" s="13">
        <f t="shared" si="70"/>
        <v>7</v>
      </c>
      <c r="Z746" s="13" t="s">
        <v>164</v>
      </c>
      <c r="AA746" s="13">
        <f t="shared" si="76"/>
        <v>1</v>
      </c>
      <c r="AB746" s="13" t="str">
        <f t="shared" si="71"/>
        <v>Adult</v>
      </c>
      <c r="AC746" s="13">
        <v>1</v>
      </c>
      <c r="AD746" s="13">
        <v>0</v>
      </c>
      <c r="AE746" s="13" t="str">
        <f t="shared" si="72"/>
        <v>Morphological</v>
      </c>
      <c r="AF746" s="2">
        <v>4</v>
      </c>
    </row>
    <row r="747" spans="1:32" x14ac:dyDescent="0.25">
      <c r="A747" s="13">
        <v>743</v>
      </c>
      <c r="B747" s="23" t="s">
        <v>56</v>
      </c>
      <c r="C747" s="23" t="s">
        <v>57</v>
      </c>
      <c r="D747" s="23" t="s">
        <v>58</v>
      </c>
      <c r="E747" s="23" t="s">
        <v>58</v>
      </c>
      <c r="F747" s="35" cm="1">
        <f t="array" ref="F747">_xlfn.IFS($G747=$G$5,F$5,$G747=$G$7,F$7,$G747=$G$10,F$10,$G747=$G$13,F$13,$G747=$G$14,F$14,$G747=$G$16,F$16,$G747=$G$17,F$17,$G747=$G$19,F$19,$G747=$G$20,F$20,$G747=$G$22,F$22,$G747=$G$23,F$23,$G747=$G$26,F$26,$G747=$G$29,F$29,$G747=$G$31,F$31,$G747=$G$34,F$34,$G747=$G$37,F$37,$G747=$G$107,F$107,$G747=$G$110,F$110,$G747=$G$140,F$140,$G747=$G$142,F$142,$G747=$G$408,F$408)</f>
        <v>8017</v>
      </c>
      <c r="G747" s="13" t="s">
        <v>72</v>
      </c>
      <c r="H747" s="51" cm="1">
        <f t="array" ref="H747">_xlfn.IFS($G747=$G$5,H$5,$G747=$G$7,H$7,$G747=$G$10,H$10,$G747=$G$13,H$13,$G747=$G$14,H$14,$G747=$G$16,H$16,$G747=$G$17,H$17,$G747=$G$19,H$19,$G747=$G$20,H$20,$G747=$G$22,H$22,$G747=$G$23,H$23,$G747=$G$26,H$26,$G747=$G$29,H$29,$G747=$G$31,H$31,$G747=$G$34,H$34,$G747=$G$37,H$37,$G747=$G$107,H$107,$G747=$G$110,H$110,$G747=$G$140,H$140,$G747=$G$142,H$142,$G747=$G$408,H$408)</f>
        <v>41.419471000000001</v>
      </c>
      <c r="I747" s="51" cm="1">
        <f t="array" ref="I747">_xlfn.IFS($G747=$G$5,I$5,$G747=$G$7,I$7,$G747=$G$10,I$10,$G747=$G$13,I$13,$G747=$G$14,I$14,$G747=$G$16,I$16,$G747=$G$17,I$17,$G747=$G$19,I$19,$G747=$G$20,I$20,$G747=$G$22,I$22,$G747=$G$23,I$23,$G747=$G$26,I$26,$G747=$G$29,I$29,$G747=$G$31,I$31,$G747=$G$34,I$34,$G747=$G$37,I$37,$G747=$G$107,I$107,$G747=$G$110,I$110,$G747=$G$140,I$140,$G747=$G$142,I$142,$G747=$G$408,I$408)</f>
        <v>2.1010149999999999</v>
      </c>
      <c r="J747" s="51" cm="1">
        <f t="array" ref="J747">_xlfn.IFS($G747=$G$5,J$5,$G747=$G$7,J$7,$G747=$G$10,J$10,$G747=$G$13,J$13,$G747=$G$14,J$14,$G747=$G$16,J$16,$G747=$G$17,J$17,$G747=$G$19,J$19,$G747=$G$20,J$20,$G747=$G$22,J$22,$G747=$G$23,J$23,$G747=$G$26,J$26,$G747=$G$29,J$29,$G747=$G$31,J$31,$G747=$G$34,J$34,$G747=$G$37,J$37,$G747=$G$107,J$107,$G747=$G$110,J$110,$G747=$G$140,J$140,$G747=$G$142,J$142,$G747=$G$408,J$408)</f>
        <v>284</v>
      </c>
      <c r="K747" s="13" t="str" cm="1">
        <f t="array" ref="K747">_xlfn.IFS($G747=$G$5,K$5,$G747=$G$7,K$7,$G747=$G$10,K$10,$G747=$G$13,K$13,$G747=$G$14,K$14,$G747=$G$16,K$16,$G747=$G$17,K$17,$G747=$G$19,K$19,$G747=$G$20,K$20,$G747=$G$22,K$22,$G747=$G$23,K$23,$G747=$G$26,K$26,$G747=$G$29,K$29,$G747=$G$31,K$31,$G747=$G$34,K$34,$G747=$G$37,K$37,$G747=$G$107,K$107,$G747=$G$110,K$110,$G747=$G$140,K$140,$G747=$G$142,K$142,$G747=$G$408,K$408)</f>
        <v>BG sentinel + BG lure7</v>
      </c>
      <c r="O747" s="13" t="str">
        <f t="shared" si="75"/>
        <v>A_SP_BCN_15_221122</v>
      </c>
      <c r="P747" s="27">
        <v>44887</v>
      </c>
      <c r="Q747" s="29">
        <v>0.69791666666666663</v>
      </c>
      <c r="R747" s="33"/>
      <c r="S747" s="27">
        <v>44894</v>
      </c>
      <c r="T747" s="29">
        <v>0.73263888888888884</v>
      </c>
      <c r="V747" s="13" t="s">
        <v>86</v>
      </c>
      <c r="X747" s="13">
        <f t="shared" si="70"/>
        <v>7</v>
      </c>
      <c r="Z747" s="32" t="s">
        <v>163</v>
      </c>
      <c r="AA747" s="13">
        <f t="shared" si="76"/>
        <v>1</v>
      </c>
      <c r="AB747" s="13" t="str">
        <f t="shared" si="71"/>
        <v>Adult</v>
      </c>
      <c r="AC747" s="13">
        <v>1</v>
      </c>
      <c r="AD747" s="13">
        <v>0</v>
      </c>
      <c r="AE747" s="13" t="str">
        <f t="shared" si="72"/>
        <v>Morphological</v>
      </c>
      <c r="AF747" s="2">
        <v>4</v>
      </c>
    </row>
    <row r="748" spans="1:32" x14ac:dyDescent="0.25">
      <c r="A748" s="13">
        <v>744</v>
      </c>
      <c r="B748" s="23" t="s">
        <v>56</v>
      </c>
      <c r="C748" s="23" t="s">
        <v>57</v>
      </c>
      <c r="D748" s="23" t="s">
        <v>58</v>
      </c>
      <c r="E748" s="23" t="s">
        <v>58</v>
      </c>
      <c r="F748" s="35" cm="1">
        <f t="array" ref="F748">_xlfn.IFS($G748=$G$5,F$5,$G748=$G$7,F$7,$G748=$G$10,F$10,$G748=$G$13,F$13,$G748=$G$14,F$14,$G748=$G$16,F$16,$G748=$G$17,F$17,$G748=$G$19,F$19,$G748=$G$20,F$20,$G748=$G$22,F$22,$G748=$G$23,F$23,$G748=$G$26,F$26,$G748=$G$29,F$29,$G748=$G$31,F$31,$G748=$G$34,F$34,$G748=$G$37,F$37,$G748=$G$107,F$107,$G748=$G$110,F$110,$G748=$G$140,F$140,$G748=$G$142,F$142,$G748=$G$408,F$408)</f>
        <v>8017</v>
      </c>
      <c r="G748" s="14" t="s">
        <v>73</v>
      </c>
      <c r="H748" s="51" cm="1">
        <f t="array" ref="H748">_xlfn.IFS($G748=$G$5,H$5,$G748=$G$7,H$7,$G748=$G$10,H$10,$G748=$G$13,H$13,$G748=$G$14,H$14,$G748=$G$16,H$16,$G748=$G$17,H$17,$G748=$G$19,H$19,$G748=$G$20,H$20,$G748=$G$22,H$22,$G748=$G$23,H$23,$G748=$G$26,H$26,$G748=$G$29,H$29,$G748=$G$31,H$31,$G748=$G$34,H$34,$G748=$G$37,H$37,$G748=$G$107,H$107,$G748=$G$110,H$110,$G748=$G$140,H$140,$G748=$G$142,H$142,$G748=$G$408,H$408)</f>
        <v>41.398387</v>
      </c>
      <c r="I748" s="51" cm="1">
        <f t="array" ref="I748">_xlfn.IFS($G748=$G$5,I$5,$G748=$G$7,I$7,$G748=$G$10,I$10,$G748=$G$13,I$13,$G748=$G$14,I$14,$G748=$G$16,I$16,$G748=$G$17,I$17,$G748=$G$19,I$19,$G748=$G$20,I$20,$G748=$G$22,I$22,$G748=$G$23,I$23,$G748=$G$26,I$26,$G748=$G$29,I$29,$G748=$G$31,I$31,$G748=$G$34,I$34,$G748=$G$37,I$37,$G748=$G$107,I$107,$G748=$G$110,I$110,$G748=$G$140,I$140,$G748=$G$142,I$142,$G748=$G$408,I$408)</f>
        <v>2.1244429999999999</v>
      </c>
      <c r="J748" s="51" cm="1">
        <f t="array" ref="J748">_xlfn.IFS($G748=$G$5,J$5,$G748=$G$7,J$7,$G748=$G$10,J$10,$G748=$G$13,J$13,$G748=$G$14,J$14,$G748=$G$16,J$16,$G748=$G$17,J$17,$G748=$G$19,J$19,$G748=$G$20,J$20,$G748=$G$22,J$22,$G748=$G$23,J$23,$G748=$G$26,J$26,$G748=$G$29,J$29,$G748=$G$31,J$31,$G748=$G$34,J$34,$G748=$G$37,J$37,$G748=$G$107,J$107,$G748=$G$110,J$110,$G748=$G$140,J$140,$G748=$G$142,J$142,$G748=$G$408,J$408)</f>
        <v>106</v>
      </c>
      <c r="K748" s="13" t="str" cm="1">
        <f t="array" ref="K748">_xlfn.IFS($G748=$G$5,K$5,$G748=$G$7,K$7,$G748=$G$10,K$10,$G748=$G$13,K$13,$G748=$G$14,K$14,$G748=$G$16,K$16,$G748=$G$17,K$17,$G748=$G$19,K$19,$G748=$G$20,K$20,$G748=$G$22,K$22,$G748=$G$23,K$23,$G748=$G$26,K$26,$G748=$G$29,K$29,$G748=$G$31,K$31,$G748=$G$34,K$34,$G748=$G$37,K$37,$G748=$G$107,K$107,$G748=$G$110,K$110,$G748=$G$140,K$140,$G748=$G$142,K$142,$G748=$G$408,K$408)</f>
        <v>BG sentinel + BG lure7</v>
      </c>
      <c r="O748" s="13" t="str">
        <f t="shared" si="75"/>
        <v>A_SP_BCN_16_221122</v>
      </c>
      <c r="P748" s="27">
        <v>44887</v>
      </c>
      <c r="Q748" s="29">
        <v>0.73958333333333337</v>
      </c>
      <c r="R748" s="33"/>
      <c r="S748" s="27">
        <v>44894</v>
      </c>
      <c r="T748" s="29">
        <v>0.80555555555555547</v>
      </c>
      <c r="V748" s="13" t="s">
        <v>86</v>
      </c>
      <c r="X748" s="13">
        <f t="shared" si="70"/>
        <v>7</v>
      </c>
      <c r="Z748" s="13" t="s">
        <v>60</v>
      </c>
      <c r="AA748" s="13">
        <f t="shared" si="76"/>
        <v>1</v>
      </c>
      <c r="AB748" s="13" t="str">
        <f t="shared" si="71"/>
        <v>Adult</v>
      </c>
      <c r="AC748" s="13">
        <v>1</v>
      </c>
      <c r="AD748" s="13">
        <v>0</v>
      </c>
      <c r="AE748" s="13" t="str">
        <f t="shared" si="72"/>
        <v>Morphological</v>
      </c>
      <c r="AF748" s="2">
        <v>4</v>
      </c>
    </row>
    <row r="749" spans="1:32" x14ac:dyDescent="0.25">
      <c r="A749" s="13">
        <v>745</v>
      </c>
      <c r="B749" s="23" t="s">
        <v>56</v>
      </c>
      <c r="C749" s="23" t="s">
        <v>57</v>
      </c>
      <c r="D749" s="23" t="s">
        <v>58</v>
      </c>
      <c r="E749" s="23" t="s">
        <v>58</v>
      </c>
      <c r="F749" s="35" cm="1">
        <f t="array" ref="F749">_xlfn.IFS($G749=$G$5,F$5,$G749=$G$7,F$7,$G749=$G$10,F$10,$G749=$G$13,F$13,$G749=$G$14,F$14,$G749=$G$16,F$16,$G749=$G$17,F$17,$G749=$G$19,F$19,$G749=$G$20,F$20,$G749=$G$22,F$22,$G749=$G$23,F$23,$G749=$G$26,F$26,$G749=$G$29,F$29,$G749=$G$31,F$31,$G749=$G$34,F$34,$G749=$G$37,F$37,$G749=$G$107,F$107,$G749=$G$110,F$110,$G749=$G$140,F$140,$G749=$G$142,F$142,$G749=$G$408,F$408)</f>
        <v>8023</v>
      </c>
      <c r="G749" s="13" t="s">
        <v>74</v>
      </c>
      <c r="H749" s="51" cm="1">
        <f t="array" ref="H749">_xlfn.IFS($G749=$G$5,H$5,$G749=$G$7,H$7,$G749=$G$10,H$10,$G749=$G$13,H$13,$G749=$G$14,H$14,$G749=$G$16,H$16,$G749=$G$17,H$17,$G749=$G$19,H$19,$G749=$G$20,H$20,$G749=$G$22,H$22,$G749=$G$23,H$23,$G749=$G$26,H$26,$G749=$G$29,H$29,$G749=$G$31,H$31,$G749=$G$34,H$34,$G749=$G$37,H$37,$G749=$G$107,H$107,$G749=$G$110,H$110,$G749=$G$140,H$140,$G749=$G$142,H$142,$G749=$G$408,H$408)</f>
        <v>41.417256000000002</v>
      </c>
      <c r="I749" s="51" cm="1">
        <f t="array" ref="I749">_xlfn.IFS($G749=$G$5,I$5,$G749=$G$7,I$7,$G749=$G$10,I$10,$G749=$G$13,I$13,$G749=$G$14,I$14,$G749=$G$16,I$16,$G749=$G$17,I$17,$G749=$G$19,I$19,$G749=$G$20,I$20,$G749=$G$22,I$22,$G749=$G$23,I$23,$G749=$G$26,I$26,$G749=$G$29,I$29,$G749=$G$31,I$31,$G749=$G$34,I$34,$G749=$G$37,I$37,$G749=$G$107,I$107,$G749=$G$110,I$110,$G749=$G$140,I$140,$G749=$G$142,I$142,$G749=$G$408,I$408)</f>
        <v>2.1455709999999999</v>
      </c>
      <c r="J749" s="51" cm="1">
        <f t="array" ref="J749">_xlfn.IFS($G749=$G$5,J$5,$G749=$G$7,J$7,$G749=$G$10,J$10,$G749=$G$13,J$13,$G749=$G$14,J$14,$G749=$G$16,J$16,$G749=$G$17,J$17,$G749=$G$19,J$19,$G749=$G$20,J$20,$G749=$G$22,J$22,$G749=$G$23,J$23,$G749=$G$26,J$26,$G749=$G$29,J$29,$G749=$G$31,J$31,$G749=$G$34,J$34,$G749=$G$37,J$37,$G749=$G$107,J$107,$G749=$G$110,J$110,$G749=$G$140,J$140,$G749=$G$142,J$142,$G749=$G$408,J$408)</f>
        <v>186</v>
      </c>
      <c r="K749" s="13" t="str" cm="1">
        <f t="array" ref="K749">_xlfn.IFS($G749=$G$5,K$5,$G749=$G$7,K$7,$G749=$G$10,K$10,$G749=$G$13,K$13,$G749=$G$14,K$14,$G749=$G$16,K$16,$G749=$G$17,K$17,$G749=$G$19,K$19,$G749=$G$20,K$20,$G749=$G$22,K$22,$G749=$G$23,K$23,$G749=$G$26,K$26,$G749=$G$29,K$29,$G749=$G$31,K$31,$G749=$G$34,K$34,$G749=$G$37,K$37,$G749=$G$107,K$107,$G749=$G$110,K$110,$G749=$G$140,K$140,$G749=$G$142,K$142,$G749=$G$408,K$408)</f>
        <v>BG sentinel + BG lure7</v>
      </c>
      <c r="O749" s="13" t="str">
        <f t="shared" si="75"/>
        <v>A_SP_BCN_17_221122</v>
      </c>
      <c r="P749" s="27">
        <v>44887</v>
      </c>
      <c r="Q749" s="36">
        <v>0.61111111111111105</v>
      </c>
      <c r="R749" s="33"/>
      <c r="S749" s="27">
        <v>44894</v>
      </c>
      <c r="T749" s="29">
        <v>0.69444444444444453</v>
      </c>
      <c r="V749" s="13" t="s">
        <v>86</v>
      </c>
      <c r="X749" s="13">
        <f t="shared" si="70"/>
        <v>7</v>
      </c>
      <c r="Z749" s="32" t="s">
        <v>163</v>
      </c>
      <c r="AA749" s="13">
        <f t="shared" si="76"/>
        <v>1</v>
      </c>
      <c r="AB749" s="13" t="str">
        <f t="shared" si="71"/>
        <v>Adult</v>
      </c>
      <c r="AC749" s="13">
        <v>0</v>
      </c>
      <c r="AD749" s="13">
        <v>1</v>
      </c>
      <c r="AE749" s="13" t="str">
        <f t="shared" si="72"/>
        <v>Morphological</v>
      </c>
      <c r="AF749" s="2">
        <v>4</v>
      </c>
    </row>
    <row r="750" spans="1:32" x14ac:dyDescent="0.25">
      <c r="A750" s="13">
        <v>746</v>
      </c>
      <c r="B750" s="23" t="s">
        <v>56</v>
      </c>
      <c r="C750" s="23" t="s">
        <v>57</v>
      </c>
      <c r="D750" s="23" t="s">
        <v>58</v>
      </c>
      <c r="E750" s="23" t="s">
        <v>58</v>
      </c>
      <c r="F750" s="35" cm="1">
        <f t="array" ref="F750">_xlfn.IFS($G750=$G$5,F$5,$G750=$G$7,F$7,$G750=$G$10,F$10,$G750=$G$13,F$13,$G750=$G$14,F$14,$G750=$G$16,F$16,$G750=$G$17,F$17,$G750=$G$19,F$19,$G750=$G$20,F$20,$G750=$G$22,F$22,$G750=$G$23,F$23,$G750=$G$26,F$26,$G750=$G$29,F$29,$G750=$G$31,F$31,$G750=$G$34,F$34,$G750=$G$37,F$37,$G750=$G$107,F$107,$G750=$G$110,F$110,$G750=$G$140,F$140,$G750=$G$142,F$142,$G750=$G$408,F$408)</f>
        <v>8031</v>
      </c>
      <c r="G750" s="13" t="s">
        <v>75</v>
      </c>
      <c r="H750" s="51" cm="1">
        <f t="array" ref="H750">_xlfn.IFS($G750=$G$5,H$5,$G750=$G$7,H$7,$G750=$G$10,H$10,$G750=$G$13,H$13,$G750=$G$14,H$14,$G750=$G$16,H$16,$G750=$G$17,H$17,$G750=$G$19,H$19,$G750=$G$20,H$20,$G750=$G$22,H$22,$G750=$G$23,H$23,$G750=$G$26,H$26,$G750=$G$29,H$29,$G750=$G$31,H$31,$G750=$G$34,H$34,$G750=$G$37,H$37,$G750=$G$107,H$107,$G750=$G$110,H$110,$G750=$G$140,H$140,$G750=$G$142,H$142,$G750=$G$408,H$408)</f>
        <v>41.433618000000003</v>
      </c>
      <c r="I750" s="51" cm="1">
        <f t="array" ref="I750">_xlfn.IFS($G750=$G$5,I$5,$G750=$G$7,I$7,$G750=$G$10,I$10,$G750=$G$13,I$13,$G750=$G$14,I$14,$G750=$G$16,I$16,$G750=$G$17,I$17,$G750=$G$19,I$19,$G750=$G$20,I$20,$G750=$G$22,I$22,$G750=$G$23,I$23,$G750=$G$26,I$26,$G750=$G$29,I$29,$G750=$G$31,I$31,$G750=$G$34,I$34,$G750=$G$37,I$37,$G750=$G$107,I$107,$G750=$G$110,I$110,$G750=$G$140,I$140,$G750=$G$142,I$142,$G750=$G$408,I$408)</f>
        <v>2.1677469999999999</v>
      </c>
      <c r="J750" s="51" cm="1">
        <f t="array" ref="J750">_xlfn.IFS($G750=$G$5,J$5,$G750=$G$7,J$7,$G750=$G$10,J$10,$G750=$G$13,J$13,$G750=$G$14,J$14,$G750=$G$16,J$16,$G750=$G$17,J$17,$G750=$G$19,J$19,$G750=$G$20,J$20,$G750=$G$22,J$22,$G750=$G$23,J$23,$G750=$G$26,J$26,$G750=$G$29,J$29,$G750=$G$31,J$31,$G750=$G$34,J$34,$G750=$G$37,J$37,$G750=$G$107,J$107,$G750=$G$110,J$110,$G750=$G$140,J$140,$G750=$G$142,J$142,$G750=$G$408,J$408)</f>
        <v>96.85</v>
      </c>
      <c r="K750" s="13" t="str" cm="1">
        <f t="array" ref="K750">_xlfn.IFS($G750=$G$5,K$5,$G750=$G$7,K$7,$G750=$G$10,K$10,$G750=$G$13,K$13,$G750=$G$14,K$14,$G750=$G$16,K$16,$G750=$G$17,K$17,$G750=$G$19,K$19,$G750=$G$20,K$20,$G750=$G$22,K$22,$G750=$G$23,K$23,$G750=$G$26,K$26,$G750=$G$29,K$29,$G750=$G$31,K$31,$G750=$G$34,K$34,$G750=$G$37,K$37,$G750=$G$107,K$107,$G750=$G$110,K$110,$G750=$G$140,K$140,$G750=$G$142,K$142,$G750=$G$408,K$408)</f>
        <v>BG sentinel + BG lure7</v>
      </c>
      <c r="O750" s="13" t="str">
        <f t="shared" si="75"/>
        <v>A_SP_BCN_18_221122</v>
      </c>
      <c r="P750" s="27">
        <v>44887</v>
      </c>
      <c r="Q750" s="29">
        <v>0.77083333333333337</v>
      </c>
      <c r="R750" s="33"/>
      <c r="S750" s="31">
        <v>44895</v>
      </c>
      <c r="T750" s="29">
        <v>0.74652777777777779</v>
      </c>
      <c r="V750" s="13" t="s">
        <v>86</v>
      </c>
      <c r="X750" s="13">
        <f t="shared" si="70"/>
        <v>8</v>
      </c>
      <c r="Z750" s="13" t="s">
        <v>60</v>
      </c>
      <c r="AA750" s="13">
        <f t="shared" si="76"/>
        <v>1</v>
      </c>
      <c r="AB750" s="13" t="str">
        <f t="shared" si="71"/>
        <v>Adult</v>
      </c>
      <c r="AC750" s="13">
        <v>1</v>
      </c>
      <c r="AD750" s="13">
        <v>0</v>
      </c>
      <c r="AE750" s="13" t="str">
        <f t="shared" si="72"/>
        <v>Morphological</v>
      </c>
      <c r="AF750" s="2">
        <v>4</v>
      </c>
    </row>
    <row r="751" spans="1:32" x14ac:dyDescent="0.25">
      <c r="A751" s="13">
        <v>747</v>
      </c>
      <c r="B751" s="23" t="s">
        <v>56</v>
      </c>
      <c r="C751" s="23" t="s">
        <v>57</v>
      </c>
      <c r="D751" s="23" t="s">
        <v>58</v>
      </c>
      <c r="E751" s="23" t="s">
        <v>58</v>
      </c>
      <c r="F751" s="35" cm="1">
        <f t="array" ref="F751">_xlfn.IFS($G751=$G$5,F$5,$G751=$G$7,F$7,$G751=$G$10,F$10,$G751=$G$13,F$13,$G751=$G$14,F$14,$G751=$G$16,F$16,$G751=$G$17,F$17,$G751=$G$19,F$19,$G751=$G$20,F$20,$G751=$G$22,F$22,$G751=$G$23,F$23,$G751=$G$26,F$26,$G751=$G$29,F$29,$G751=$G$31,F$31,$G751=$G$34,F$34,$G751=$G$37,F$37,$G751=$G$107,F$107,$G751=$G$110,F$110,$G751=$G$140,F$140,$G751=$G$142,F$142,$G751=$G$408,F$408)</f>
        <v>8031</v>
      </c>
      <c r="G751" s="13" t="s">
        <v>75</v>
      </c>
      <c r="H751" s="51" cm="1">
        <f t="array" ref="H751">_xlfn.IFS($G751=$G$5,H$5,$G751=$G$7,H$7,$G751=$G$10,H$10,$G751=$G$13,H$13,$G751=$G$14,H$14,$G751=$G$16,H$16,$G751=$G$17,H$17,$G751=$G$19,H$19,$G751=$G$20,H$20,$G751=$G$22,H$22,$G751=$G$23,H$23,$G751=$G$26,H$26,$G751=$G$29,H$29,$G751=$G$31,H$31,$G751=$G$34,H$34,$G751=$G$37,H$37,$G751=$G$107,H$107,$G751=$G$110,H$110,$G751=$G$140,H$140,$G751=$G$142,H$142,$G751=$G$408,H$408)</f>
        <v>41.433618000000003</v>
      </c>
      <c r="I751" s="51" cm="1">
        <f t="array" ref="I751">_xlfn.IFS($G751=$G$5,I$5,$G751=$G$7,I$7,$G751=$G$10,I$10,$G751=$G$13,I$13,$G751=$G$14,I$14,$G751=$G$16,I$16,$G751=$G$17,I$17,$G751=$G$19,I$19,$G751=$G$20,I$20,$G751=$G$22,I$22,$G751=$G$23,I$23,$G751=$G$26,I$26,$G751=$G$29,I$29,$G751=$G$31,I$31,$G751=$G$34,I$34,$G751=$G$37,I$37,$G751=$G$107,I$107,$G751=$G$110,I$110,$G751=$G$140,I$140,$G751=$G$142,I$142,$G751=$G$408,I$408)</f>
        <v>2.1677469999999999</v>
      </c>
      <c r="J751" s="51" cm="1">
        <f t="array" ref="J751">_xlfn.IFS($G751=$G$5,J$5,$G751=$G$7,J$7,$G751=$G$10,J$10,$G751=$G$13,J$13,$G751=$G$14,J$14,$G751=$G$16,J$16,$G751=$G$17,J$17,$G751=$G$19,J$19,$G751=$G$20,J$20,$G751=$G$22,J$22,$G751=$G$23,J$23,$G751=$G$26,J$26,$G751=$G$29,J$29,$G751=$G$31,J$31,$G751=$G$34,J$34,$G751=$G$37,J$37,$G751=$G$107,J$107,$G751=$G$110,J$110,$G751=$G$140,J$140,$G751=$G$142,J$142,$G751=$G$408,J$408)</f>
        <v>96.85</v>
      </c>
      <c r="K751" s="13" t="str" cm="1">
        <f t="array" ref="K751">_xlfn.IFS($G751=$G$5,K$5,$G751=$G$7,K$7,$G751=$G$10,K$10,$G751=$G$13,K$13,$G751=$G$14,K$14,$G751=$G$16,K$16,$G751=$G$17,K$17,$G751=$G$19,K$19,$G751=$G$20,K$20,$G751=$G$22,K$22,$G751=$G$23,K$23,$G751=$G$26,K$26,$G751=$G$29,K$29,$G751=$G$31,K$31,$G751=$G$34,K$34,$G751=$G$37,K$37,$G751=$G$107,K$107,$G751=$G$110,K$110,$G751=$G$140,K$140,$G751=$G$142,K$142,$G751=$G$408,K$408)</f>
        <v>BG sentinel + BG lure7</v>
      </c>
      <c r="O751" s="13" t="str">
        <f t="shared" si="75"/>
        <v>A_SP_BCN_18_221122</v>
      </c>
      <c r="P751" s="27">
        <v>44887</v>
      </c>
      <c r="Q751" s="29">
        <v>0.77083333333333337</v>
      </c>
      <c r="R751" s="33"/>
      <c r="S751" s="31">
        <v>44895</v>
      </c>
      <c r="T751" s="29">
        <v>0.74652777777777779</v>
      </c>
      <c r="V751" s="13" t="s">
        <v>86</v>
      </c>
      <c r="X751" s="13">
        <f t="shared" si="70"/>
        <v>8</v>
      </c>
      <c r="Z751" s="13" t="s">
        <v>164</v>
      </c>
      <c r="AA751" s="13">
        <f t="shared" si="76"/>
        <v>1</v>
      </c>
      <c r="AB751" s="13" t="str">
        <f t="shared" si="71"/>
        <v>Adult</v>
      </c>
      <c r="AC751" s="13">
        <v>0</v>
      </c>
      <c r="AD751" s="13">
        <v>1</v>
      </c>
      <c r="AE751" s="13" t="str">
        <f t="shared" si="72"/>
        <v>Morphological</v>
      </c>
      <c r="AF751" s="2">
        <v>4</v>
      </c>
    </row>
    <row r="752" spans="1:32" x14ac:dyDescent="0.25">
      <c r="A752" s="13">
        <v>748</v>
      </c>
      <c r="B752" s="23" t="s">
        <v>56</v>
      </c>
      <c r="C752" s="23" t="s">
        <v>57</v>
      </c>
      <c r="D752" s="23" t="s">
        <v>58</v>
      </c>
      <c r="E752" s="23" t="s">
        <v>58</v>
      </c>
      <c r="F752" s="35" cm="1">
        <f t="array" ref="F752">_xlfn.IFS($G752=$G$5,F$5,$G752=$G$7,F$7,$G752=$G$10,F$10,$G752=$G$13,F$13,$G752=$G$14,F$14,$G752=$G$16,F$16,$G752=$G$17,F$17,$G752=$G$19,F$19,$G752=$G$20,F$20,$G752=$G$22,F$22,$G752=$G$23,F$23,$G752=$G$26,F$26,$G752=$G$29,F$29,$G752=$G$31,F$31,$G752=$G$34,F$34,$G752=$G$37,F$37,$G752=$G$107,F$107,$G752=$G$110,F$110,$G752=$G$140,F$140,$G752=$G$142,F$142,$G752=$G$408,F$408)</f>
        <v>8038</v>
      </c>
      <c r="G752" s="13" t="s">
        <v>76</v>
      </c>
      <c r="H752" s="51" cm="1">
        <f t="array" ref="H752">_xlfn.IFS($G752=$G$5,H$5,$G752=$G$7,H$7,$G752=$G$10,H$10,$G752=$G$13,H$13,$G752=$G$14,H$14,$G752=$G$16,H$16,$G752=$G$17,H$17,$G752=$G$19,H$19,$G752=$G$20,H$20,$G752=$G$22,H$22,$G752=$G$23,H$23,$G752=$G$26,H$26,$G752=$G$29,H$29,$G752=$G$31,H$31,$G752=$G$34,H$34,$G752=$G$37,H$37,$G752=$G$107,H$107,$G752=$G$110,H$110,$G752=$G$140,H$140,$G752=$G$142,H$142,$G752=$G$408,H$408)</f>
        <v>41.359864999999999</v>
      </c>
      <c r="I752" s="51" cm="1">
        <f t="array" ref="I752">_xlfn.IFS($G752=$G$5,I$5,$G752=$G$7,I$7,$G752=$G$10,I$10,$G752=$G$13,I$13,$G752=$G$14,I$14,$G752=$G$16,I$16,$G752=$G$17,I$17,$G752=$G$19,I$19,$G752=$G$20,I$20,$G752=$G$22,I$22,$G752=$G$23,I$23,$G752=$G$26,I$26,$G752=$G$29,I$29,$G752=$G$31,I$31,$G752=$G$34,I$34,$G752=$G$37,I$37,$G752=$G$107,I$107,$G752=$G$110,I$110,$G752=$G$140,I$140,$G752=$G$142,I$142,$G752=$G$408,I$408)</f>
        <v>2.1445430000000001</v>
      </c>
      <c r="J752" s="51" cm="1">
        <f t="array" ref="J752">_xlfn.IFS($G752=$G$5,J$5,$G752=$G$7,J$7,$G752=$G$10,J$10,$G752=$G$13,J$13,$G752=$G$14,J$14,$G752=$G$16,J$16,$G752=$G$17,J$17,$G752=$G$19,J$19,$G752=$G$20,J$20,$G752=$G$22,J$22,$G752=$G$23,J$23,$G752=$G$26,J$26,$G752=$G$29,J$29,$G752=$G$31,J$31,$G752=$G$34,J$34,$G752=$G$37,J$37,$G752=$G$107,J$107,$G752=$G$110,J$110,$G752=$G$140,J$140,$G752=$G$142,J$142,$G752=$G$408,J$408)</f>
        <v>11.4</v>
      </c>
      <c r="K752" s="13" t="str" cm="1">
        <f t="array" ref="K752">_xlfn.IFS($G752=$G$5,K$5,$G752=$G$7,K$7,$G752=$G$10,K$10,$G752=$G$13,K$13,$G752=$G$14,K$14,$G752=$G$16,K$16,$G752=$G$17,K$17,$G752=$G$19,K$19,$G752=$G$20,K$20,$G752=$G$22,K$22,$G752=$G$23,K$23,$G752=$G$26,K$26,$G752=$G$29,K$29,$G752=$G$31,K$31,$G752=$G$34,K$34,$G752=$G$37,K$37,$G752=$G$107,K$107,$G752=$G$110,K$110,$G752=$G$140,K$140,$G752=$G$142,K$142,$G752=$G$408,K$408)</f>
        <v>BG sentinel + BG lure7</v>
      </c>
      <c r="O752" s="13" t="str">
        <f t="shared" si="75"/>
        <v>A_SP_BCN_19_221122</v>
      </c>
      <c r="P752" s="27">
        <v>44887</v>
      </c>
      <c r="Q752" s="29">
        <v>0.51736111111111105</v>
      </c>
      <c r="R752" s="33"/>
      <c r="S752" s="27">
        <v>44894</v>
      </c>
      <c r="T752" s="29">
        <v>0.54513888888888895</v>
      </c>
      <c r="V752" s="13" t="s">
        <v>86</v>
      </c>
      <c r="W752" s="15" t="s">
        <v>207</v>
      </c>
      <c r="X752" s="13">
        <f t="shared" si="70"/>
        <v>7</v>
      </c>
      <c r="Z752" s="13" t="s">
        <v>164</v>
      </c>
      <c r="AA752" s="13">
        <f>SUM(AC752:AD752)</f>
        <v>1</v>
      </c>
      <c r="AB752" s="13" t="str">
        <f t="shared" si="71"/>
        <v>Adult</v>
      </c>
      <c r="AC752" s="13">
        <v>1</v>
      </c>
      <c r="AD752" s="13">
        <v>0</v>
      </c>
      <c r="AE752" s="13" t="str">
        <f t="shared" si="72"/>
        <v>Morphological</v>
      </c>
      <c r="AF752" s="2">
        <v>1</v>
      </c>
    </row>
    <row r="753" spans="1:32" x14ac:dyDescent="0.25">
      <c r="A753" s="13">
        <v>749</v>
      </c>
      <c r="B753" s="23" t="s">
        <v>56</v>
      </c>
      <c r="C753" s="23" t="s">
        <v>57</v>
      </c>
      <c r="D753" s="23" t="s">
        <v>58</v>
      </c>
      <c r="E753" s="23" t="s">
        <v>58</v>
      </c>
      <c r="F753" s="35" cm="1">
        <f t="array" ref="F753">_xlfn.IFS($G753=$G$5,F$5,$G753=$G$7,F$7,$G753=$G$10,F$10,$G753=$G$13,F$13,$G753=$G$14,F$14,$G753=$G$16,F$16,$G753=$G$17,F$17,$G753=$G$19,F$19,$G753=$G$20,F$20,$G753=$G$22,F$22,$G753=$G$23,F$23,$G753=$G$26,F$26,$G753=$G$29,F$29,$G753=$G$31,F$31,$G753=$G$34,F$34,$G753=$G$37,F$37,$G753=$G$107,F$107,$G753=$G$110,F$110,$G753=$G$140,F$140,$G753=$G$142,F$142,$G753=$G$408,F$408)</f>
        <v>8017</v>
      </c>
      <c r="G753" s="13" t="s">
        <v>77</v>
      </c>
      <c r="H753" s="51" cm="1">
        <f t="array" ref="H753">_xlfn.IFS($G753=$G$5,H$5,$G753=$G$7,H$7,$G753=$G$10,H$10,$G753=$G$13,H$13,$G753=$G$14,H$14,$G753=$G$16,H$16,$G753=$G$17,H$17,$G753=$G$19,H$19,$G753=$G$20,H$20,$G753=$G$22,H$22,$G753=$G$23,H$23,$G753=$G$26,H$26,$G753=$G$29,H$29,$G753=$G$31,H$31,$G753=$G$34,H$34,$G753=$G$37,H$37,$G753=$G$107,H$107,$G753=$G$110,H$110,$G753=$G$140,H$140,$G753=$G$142,H$142,$G753=$G$408,H$408)</f>
        <v>41.430315999999998</v>
      </c>
      <c r="I753" s="51" cm="1">
        <f t="array" ref="I753">_xlfn.IFS($G753=$G$5,I$5,$G753=$G$7,I$7,$G753=$G$10,I$10,$G753=$G$13,I$13,$G753=$G$14,I$14,$G753=$G$16,I$16,$G753=$G$17,I$17,$G753=$G$19,I$19,$G753=$G$20,I$20,$G753=$G$22,I$22,$G753=$G$23,I$23,$G753=$G$26,I$26,$G753=$G$29,I$29,$G753=$G$31,I$31,$G753=$G$34,I$34,$G753=$G$37,I$37,$G753=$G$107,I$107,$G753=$G$110,I$110,$G753=$G$140,I$140,$G753=$G$142,I$142,$G753=$G$408,I$408)</f>
        <v>2.077556</v>
      </c>
      <c r="J753" s="51" cm="1">
        <f t="array" ref="J753">_xlfn.IFS($G753=$G$5,J$5,$G753=$G$7,J$7,$G753=$G$10,J$10,$G753=$G$13,J$13,$G753=$G$14,J$14,$G753=$G$16,J$16,$G753=$G$17,J$17,$G753=$G$19,J$19,$G753=$G$20,J$20,$G753=$G$22,J$22,$G753=$G$23,J$23,$G753=$G$26,J$26,$G753=$G$29,J$29,$G753=$G$31,J$31,$G753=$G$34,J$34,$G753=$G$37,J$37,$G753=$G$107,J$107,$G753=$G$110,J$110,$G753=$G$140,J$140,$G753=$G$142,J$142,$G753=$G$408,J$408)</f>
        <v>243.3</v>
      </c>
      <c r="K753" s="13" t="str" cm="1">
        <f t="array" ref="K753">_xlfn.IFS($G753=$G$5,K$5,$G753=$G$7,K$7,$G753=$G$10,K$10,$G753=$G$13,K$13,$G753=$G$14,K$14,$G753=$G$16,K$16,$G753=$G$17,K$17,$G753=$G$19,K$19,$G753=$G$20,K$20,$G753=$G$22,K$22,$G753=$G$23,K$23,$G753=$G$26,K$26,$G753=$G$29,K$29,$G753=$G$31,K$31,$G753=$G$34,K$34,$G753=$G$37,K$37,$G753=$G$107,K$107,$G753=$G$110,K$110,$G753=$G$140,K$140,$G753=$G$142,K$142,$G753=$G$408,K$408)</f>
        <v>BG sentinel + BG lure7</v>
      </c>
      <c r="O753" s="13" t="str">
        <f t="shared" si="75"/>
        <v>A_SP_BCN_22_221122</v>
      </c>
      <c r="P753" s="27">
        <v>44887</v>
      </c>
      <c r="Q753" s="29">
        <v>0.70138888888888884</v>
      </c>
      <c r="R753" s="33"/>
      <c r="S753" s="27">
        <v>44894</v>
      </c>
      <c r="T753" s="29">
        <v>0.74305555555555547</v>
      </c>
      <c r="V753" s="13" t="s">
        <v>86</v>
      </c>
      <c r="X753" s="13">
        <f t="shared" si="70"/>
        <v>7</v>
      </c>
      <c r="Z753" s="13" t="s">
        <v>60</v>
      </c>
      <c r="AA753" s="13">
        <f>SUM(AC753:AD753)</f>
        <v>1</v>
      </c>
      <c r="AB753" s="13" t="str">
        <f t="shared" si="71"/>
        <v>Adult</v>
      </c>
      <c r="AC753" s="13">
        <v>1</v>
      </c>
      <c r="AD753" s="13">
        <v>0</v>
      </c>
      <c r="AE753" s="13" t="str">
        <f t="shared" si="72"/>
        <v>Morphological</v>
      </c>
      <c r="AF753" s="2">
        <v>4</v>
      </c>
    </row>
    <row r="754" spans="1:32" x14ac:dyDescent="0.25">
      <c r="A754" s="13">
        <v>750</v>
      </c>
      <c r="B754" s="23" t="s">
        <v>56</v>
      </c>
      <c r="C754" s="23" t="s">
        <v>57</v>
      </c>
      <c r="D754" s="23" t="s">
        <v>58</v>
      </c>
      <c r="E754" s="23" t="s">
        <v>58</v>
      </c>
      <c r="F754" s="35" cm="1">
        <f t="array" ref="F754">_xlfn.IFS($G754=$G$5,F$5,$G754=$G$7,F$7,$G754=$G$10,F$10,$G754=$G$13,F$13,$G754=$G$14,F$14,$G754=$G$16,F$16,$G754=$G$17,F$17,$G754=$G$19,F$19,$G754=$G$20,F$20,$G754=$G$22,F$22,$G754=$G$23,F$23,$G754=$G$26,F$26,$G754=$G$29,F$29,$G754=$G$31,F$31,$G754=$G$34,F$34,$G754=$G$37,F$37,$G754=$G$107,F$107,$G754=$G$110,F$110,$G754=$G$140,F$140,$G754=$G$142,F$142,$G754=$G$408,F$408)</f>
        <v>8038</v>
      </c>
      <c r="G754" s="13" t="s">
        <v>79</v>
      </c>
      <c r="H754" s="51" cm="1">
        <f t="array" ref="H754">_xlfn.IFS($G754=$G$5,H$5,$G754=$G$7,H$7,$G754=$G$10,H$10,$G754=$G$13,H$13,$G754=$G$14,H$14,$G754=$G$16,H$16,$G754=$G$17,H$17,$G754=$G$19,H$19,$G754=$G$20,H$20,$G754=$G$22,H$22,$G754=$G$23,H$23,$G754=$G$26,H$26,$G754=$G$29,H$29,$G754=$G$31,H$31,$G754=$G$34,H$34,$G754=$G$37,H$37,$G754=$G$107,H$107,$G754=$G$110,H$110,$G754=$G$140,H$140,$G754=$G$142,H$142,$G754=$G$408,H$408)</f>
        <v>41.367100000000001</v>
      </c>
      <c r="I754" s="51" cm="1">
        <f t="array" ref="I754">_xlfn.IFS($G754=$G$5,I$5,$G754=$G$7,I$7,$G754=$G$10,I$10,$G754=$G$13,I$13,$G754=$G$14,I$14,$G754=$G$16,I$16,$G754=$G$17,I$17,$G754=$G$19,I$19,$G754=$G$20,I$20,$G754=$G$22,I$22,$G754=$G$23,I$23,$G754=$G$26,I$26,$G754=$G$29,I$29,$G754=$G$31,I$31,$G754=$G$34,I$34,$G754=$G$37,I$37,$G754=$G$107,I$107,$G754=$G$110,I$110,$G754=$G$140,I$140,$G754=$G$142,I$142,$G754=$G$408,I$408)</f>
        <v>2.1539079999999999</v>
      </c>
      <c r="J754" s="51" cm="1">
        <f t="array" ref="J754">_xlfn.IFS($G754=$G$5,J$5,$G754=$G$7,J$7,$G754=$G$10,J$10,$G754=$G$13,J$13,$G754=$G$14,J$14,$G754=$G$16,J$16,$G754=$G$17,J$17,$G754=$G$19,J$19,$G754=$G$20,J$20,$G754=$G$22,J$22,$G754=$G$23,J$23,$G754=$G$26,J$26,$G754=$G$29,J$29,$G754=$G$31,J$31,$G754=$G$34,J$34,$G754=$G$37,J$37,$G754=$G$107,J$107,$G754=$G$110,J$110,$G754=$G$140,J$140,$G754=$G$142,J$142,$G754=$G$408,J$408)</f>
        <v>68</v>
      </c>
      <c r="K754" s="13" t="str" cm="1">
        <f t="array" ref="K754">_xlfn.IFS($G754=$G$5,K$5,$G754=$G$7,K$7,$G754=$G$10,K$10,$G754=$G$13,K$13,$G754=$G$14,K$14,$G754=$G$16,K$16,$G754=$G$17,K$17,$G754=$G$19,K$19,$G754=$G$20,K$20,$G754=$G$22,K$22,$G754=$G$23,K$23,$G754=$G$26,K$26,$G754=$G$29,K$29,$G754=$G$31,K$31,$G754=$G$34,K$34,$G754=$G$37,K$37,$G754=$G$107,K$107,$G754=$G$110,K$110,$G754=$G$140,K$140,$G754=$G$142,K$142,$G754=$G$408,K$408)</f>
        <v>BG sentinel + BG lure7</v>
      </c>
      <c r="O754" s="13" t="str">
        <f t="shared" si="75"/>
        <v>A_SP_BCN_23_221122</v>
      </c>
      <c r="P754" s="27">
        <v>44887</v>
      </c>
      <c r="Q754" s="29">
        <v>0.52777777777777779</v>
      </c>
      <c r="R754" s="33"/>
      <c r="S754" s="27">
        <v>44894</v>
      </c>
      <c r="T754" s="29">
        <v>0.5625</v>
      </c>
      <c r="V754" s="13" t="s">
        <v>86</v>
      </c>
      <c r="W754" s="15" t="s">
        <v>157</v>
      </c>
      <c r="X754" s="13">
        <f t="shared" si="70"/>
        <v>7</v>
      </c>
      <c r="AA754" s="13">
        <v>0</v>
      </c>
      <c r="AB754" s="13" t="str">
        <f t="shared" si="71"/>
        <v/>
      </c>
      <c r="AE754" s="13" t="str">
        <f t="shared" si="72"/>
        <v/>
      </c>
      <c r="AF754" s="2">
        <v>4</v>
      </c>
    </row>
    <row r="755" spans="1:32" x14ac:dyDescent="0.25">
      <c r="A755" s="13">
        <v>751</v>
      </c>
      <c r="B755" s="23" t="s">
        <v>56</v>
      </c>
      <c r="C755" s="23" t="s">
        <v>57</v>
      </c>
      <c r="D755" s="23" t="s">
        <v>58</v>
      </c>
      <c r="E755" s="23" t="s">
        <v>58</v>
      </c>
      <c r="F755" s="35" cm="1">
        <f t="array" ref="F755">_xlfn.IFS($G755=$G$5,F$5,$G755=$G$7,F$7,$G755=$G$10,F$10,$G755=$G$13,F$13,$G755=$G$14,F$14,$G755=$G$16,F$16,$G755=$G$17,F$17,$G755=$G$19,F$19,$G755=$G$20,F$20,$G755=$G$22,F$22,$G755=$G$23,F$23,$G755=$G$26,F$26,$G755=$G$29,F$29,$G755=$G$31,F$31,$G755=$G$34,F$34,$G755=$G$37,F$37,$G755=$G$107,F$107,$G755=$G$110,F$110,$G755=$G$140,F$140,$G755=$G$142,F$142,$G755=$G$408,F$408)</f>
        <v>8025</v>
      </c>
      <c r="G755" s="13" t="s">
        <v>122</v>
      </c>
      <c r="H755" s="51" cm="1">
        <f t="array" ref="H755">_xlfn.IFS($G755=$G$5,H$5,$G755=$G$7,H$7,$G755=$G$10,H$10,$G755=$G$13,H$13,$G755=$G$14,H$14,$G755=$G$16,H$16,$G755=$G$17,H$17,$G755=$G$19,H$19,$G755=$G$20,H$20,$G755=$G$22,H$22,$G755=$G$23,H$23,$G755=$G$26,H$26,$G755=$G$29,H$29,$G755=$G$31,H$31,$G755=$G$34,H$34,$G755=$G$37,H$37,$G755=$G$107,H$107,$G755=$G$110,H$110,$G755=$G$140,H$140,$G755=$G$142,H$142,$G755=$G$408,H$408)</f>
        <v>41.407992</v>
      </c>
      <c r="I755" s="51" cm="1">
        <f t="array" ref="I755">_xlfn.IFS($G755=$G$5,I$5,$G755=$G$7,I$7,$G755=$G$10,I$10,$G755=$G$13,I$13,$G755=$G$14,I$14,$G755=$G$16,I$16,$G755=$G$17,I$17,$G755=$G$19,I$19,$G755=$G$20,I$20,$G755=$G$22,I$22,$G755=$G$23,I$23,$G755=$G$26,I$26,$G755=$G$29,I$29,$G755=$G$31,I$31,$G755=$G$34,I$34,$G755=$G$37,I$37,$G755=$G$107,I$107,$G755=$G$110,I$110,$G755=$G$140,I$140,$G755=$G$142,I$142,$G755=$G$408,I$408)</f>
        <v>2.1679379999999999</v>
      </c>
      <c r="J755" s="51" cm="1">
        <f t="array" ref="J755">_xlfn.IFS($G755=$G$5,J$5,$G755=$G$7,J$7,$G755=$G$10,J$10,$G755=$G$13,J$13,$G755=$G$14,J$14,$G755=$G$16,J$16,$G755=$G$17,J$17,$G755=$G$19,J$19,$G755=$G$20,J$20,$G755=$G$22,J$22,$G755=$G$23,J$23,$G755=$G$26,J$26,$G755=$G$29,J$29,$G755=$G$31,J$31,$G755=$G$34,J$34,$G755=$G$37,J$37,$G755=$G$107,J$107,$G755=$G$110,J$110,$G755=$G$140,J$140,$G755=$G$142,J$142,$G755=$G$408,J$408)</f>
        <v>61</v>
      </c>
      <c r="K755" s="13" t="str" cm="1">
        <f t="array" ref="K755">_xlfn.IFS($G755=$G$5,K$5,$G755=$G$7,K$7,$G755=$G$10,K$10,$G755=$G$13,K$13,$G755=$G$14,K$14,$G755=$G$16,K$16,$G755=$G$17,K$17,$G755=$G$19,K$19,$G755=$G$20,K$20,$G755=$G$22,K$22,$G755=$G$23,K$23,$G755=$G$26,K$26,$G755=$G$29,K$29,$G755=$G$31,K$31,$G755=$G$34,K$34,$G755=$G$37,K$37,$G755=$G$107,K$107,$G755=$G$110,K$110,$G755=$G$140,K$140,$G755=$G$142,K$142,$G755=$G$408,K$408)</f>
        <v>BG sentinel</v>
      </c>
      <c r="O755" s="13" t="str">
        <f t="shared" si="75"/>
        <v>A_SP_BCN_25_221102</v>
      </c>
      <c r="P755" s="31">
        <v>44867</v>
      </c>
      <c r="Q755" s="29">
        <v>0.67361111111111116</v>
      </c>
      <c r="R755" s="33"/>
      <c r="S755" s="31">
        <v>44894</v>
      </c>
      <c r="T755" s="29">
        <v>0.625</v>
      </c>
      <c r="V755" s="13" t="s">
        <v>86</v>
      </c>
      <c r="W755" t="s">
        <v>208</v>
      </c>
      <c r="X755" s="13">
        <f t="shared" si="70"/>
        <v>27</v>
      </c>
      <c r="AB755" s="13" t="str">
        <f t="shared" si="71"/>
        <v/>
      </c>
      <c r="AE755" s="13" t="str">
        <f t="shared" si="72"/>
        <v/>
      </c>
      <c r="AF755" s="2">
        <v>1</v>
      </c>
    </row>
    <row r="756" spans="1:32" x14ac:dyDescent="0.25">
      <c r="A756" s="13">
        <v>752</v>
      </c>
      <c r="B756" s="23" t="s">
        <v>56</v>
      </c>
      <c r="C756" s="23" t="s">
        <v>57</v>
      </c>
      <c r="D756" s="23" t="s">
        <v>58</v>
      </c>
      <c r="E756" s="23" t="s">
        <v>58</v>
      </c>
      <c r="F756" s="35" cm="1">
        <f t="array" ref="F756">_xlfn.IFS($G756=$G$5,F$5,$G756=$G$7,F$7,$G756=$G$10,F$10,$G756=$G$13,F$13,$G756=$G$14,F$14,$G756=$G$16,F$16,$G756=$G$17,F$17,$G756=$G$19,F$19,$G756=$G$20,F$20,$G756=$G$22,F$22,$G756=$G$23,F$23,$G756=$G$26,F$26,$G756=$G$29,F$29,$G756=$G$31,F$31,$G756=$G$34,F$34,$G756=$G$37,F$37,$G756=$G$107,F$107,$G756=$G$110,F$110,$G756=$G$140,F$140,$G756=$G$142,F$142,$G756=$G$408,F$408)</f>
        <v>8025</v>
      </c>
      <c r="G756" s="13" t="s">
        <v>104</v>
      </c>
      <c r="H756" s="51" cm="1">
        <f t="array" ref="H756">_xlfn.IFS($G756=$G$5,H$5,$G756=$G$7,H$7,$G756=$G$10,H$10,$G756=$G$13,H$13,$G756=$G$14,H$14,$G756=$G$16,H$16,$G756=$G$17,H$17,$G756=$G$19,H$19,$G756=$G$20,H$20,$G756=$G$22,H$22,$G756=$G$23,H$23,$G756=$G$26,H$26,$G756=$G$29,H$29,$G756=$G$31,H$31,$G756=$G$34,H$34,$G756=$G$37,H$37,$G756=$G$107,H$107,$G756=$G$110,H$110,$G756=$G$140,H$140,$G756=$G$142,H$142,$G756=$G$408,H$408)</f>
        <v>41.408046826557602</v>
      </c>
      <c r="I756" s="51" cm="1">
        <f t="array" ref="I756">_xlfn.IFS($G756=$G$5,I$5,$G756=$G$7,I$7,$G756=$G$10,I$10,$G756=$G$13,I$13,$G756=$G$14,I$14,$G756=$G$16,I$16,$G756=$G$17,I$17,$G756=$G$19,I$19,$G756=$G$20,I$20,$G756=$G$22,I$22,$G756=$G$23,I$23,$G756=$G$26,I$26,$G756=$G$29,I$29,$G756=$G$31,I$31,$G756=$G$34,I$34,$G756=$G$37,I$37,$G756=$G$107,I$107,$G756=$G$110,I$110,$G756=$G$140,I$140,$G756=$G$142,I$142,$G756=$G$408,I$408)</f>
        <v>2.1678084611616502</v>
      </c>
      <c r="J756" s="51" cm="1">
        <f t="array" ref="J756">_xlfn.IFS($G756=$G$5,J$5,$G756=$G$7,J$7,$G756=$G$10,J$10,$G756=$G$13,J$13,$G756=$G$14,J$14,$G756=$G$16,J$16,$G756=$G$17,J$17,$G756=$G$19,J$19,$G756=$G$20,J$20,$G756=$G$22,J$22,$G756=$G$23,J$23,$G756=$G$26,J$26,$G756=$G$29,J$29,$G756=$G$31,J$31,$G756=$G$34,J$34,$G756=$G$37,J$37,$G756=$G$107,J$107,$G756=$G$110,J$110,$G756=$G$140,J$140,$G756=$G$142,J$142,$G756=$G$408,J$408)</f>
        <v>61</v>
      </c>
      <c r="K756" s="13" t="str" cm="1">
        <f t="array" ref="K756">_xlfn.IFS($G756=$G$5,K$5,$G756=$G$7,K$7,$G756=$G$10,K$10,$G756=$G$13,K$13,$G756=$G$14,K$14,$G756=$G$16,K$16,$G756=$G$17,K$17,$G756=$G$19,K$19,$G756=$G$20,K$20,$G756=$G$22,K$22,$G756=$G$23,K$23,$G756=$G$26,K$26,$G756=$G$29,K$29,$G756=$G$31,K$31,$G756=$G$34,K$34,$G756=$G$37,K$37,$G756=$G$107,K$107,$G756=$G$110,K$110,$G756=$G$140,K$140,$G756=$G$142,K$142,$G756=$G$408,K$408)</f>
        <v>BG sentinel</v>
      </c>
      <c r="O756" s="13" t="str">
        <f t="shared" si="75"/>
        <v>A_SP_BCN_26_221122</v>
      </c>
      <c r="P756" s="27">
        <v>44887</v>
      </c>
      <c r="Q756" s="36">
        <v>0.57638888888888895</v>
      </c>
      <c r="R756" s="33"/>
      <c r="S756" s="27">
        <v>44894</v>
      </c>
      <c r="T756" s="29">
        <v>0.625</v>
      </c>
      <c r="V756" s="13" t="s">
        <v>86</v>
      </c>
      <c r="X756" s="13">
        <f t="shared" si="70"/>
        <v>7</v>
      </c>
      <c r="Z756" s="13" t="s">
        <v>60</v>
      </c>
      <c r="AA756" s="13">
        <f>SUM(AC756:AD756)</f>
        <v>1</v>
      </c>
      <c r="AB756" s="13" t="str">
        <f t="shared" si="71"/>
        <v>Adult</v>
      </c>
      <c r="AC756" s="13">
        <v>1</v>
      </c>
      <c r="AD756" s="13">
        <v>0</v>
      </c>
      <c r="AE756" s="13" t="str">
        <f t="shared" si="72"/>
        <v>Morphological</v>
      </c>
      <c r="AF756" s="2">
        <v>1</v>
      </c>
    </row>
    <row r="757" spans="1:32" x14ac:dyDescent="0.25">
      <c r="A757" s="13">
        <v>753</v>
      </c>
      <c r="B757" s="23" t="s">
        <v>56</v>
      </c>
      <c r="C757" s="23" t="s">
        <v>57</v>
      </c>
      <c r="D757" s="23" t="s">
        <v>58</v>
      </c>
      <c r="E757" s="23" t="s">
        <v>58</v>
      </c>
      <c r="F757" s="35" cm="1">
        <f t="array" ref="F757">_xlfn.IFS($G757=$G$5,F$5,$G757=$G$7,F$7,$G757=$G$10,F$10,$G757=$G$13,F$13,$G757=$G$14,F$14,$G757=$G$16,F$16,$G757=$G$17,F$17,$G757=$G$19,F$19,$G757=$G$20,F$20,$G757=$G$22,F$22,$G757=$G$23,F$23,$G757=$G$26,F$26,$G757=$G$29,F$29,$G757=$G$31,F$31,$G757=$G$34,F$34,$G757=$G$37,F$37,$G757=$G$107,F$107,$G757=$G$110,F$110,$G757=$G$140,F$140,$G757=$G$142,F$142,$G757=$G$408,F$408)</f>
        <v>8025</v>
      </c>
      <c r="G757" s="13" t="s">
        <v>104</v>
      </c>
      <c r="H757" s="51" cm="1">
        <f t="array" ref="H757">_xlfn.IFS($G757=$G$5,H$5,$G757=$G$7,H$7,$G757=$G$10,H$10,$G757=$G$13,H$13,$G757=$G$14,H$14,$G757=$G$16,H$16,$G757=$G$17,H$17,$G757=$G$19,H$19,$G757=$G$20,H$20,$G757=$G$22,H$22,$G757=$G$23,H$23,$G757=$G$26,H$26,$G757=$G$29,H$29,$G757=$G$31,H$31,$G757=$G$34,H$34,$G757=$G$37,H$37,$G757=$G$107,H$107,$G757=$G$110,H$110,$G757=$G$140,H$140,$G757=$G$142,H$142,$G757=$G$408,H$408)</f>
        <v>41.408046826557602</v>
      </c>
      <c r="I757" s="51" cm="1">
        <f t="array" ref="I757">_xlfn.IFS($G757=$G$5,I$5,$G757=$G$7,I$7,$G757=$G$10,I$10,$G757=$G$13,I$13,$G757=$G$14,I$14,$G757=$G$16,I$16,$G757=$G$17,I$17,$G757=$G$19,I$19,$G757=$G$20,I$20,$G757=$G$22,I$22,$G757=$G$23,I$23,$G757=$G$26,I$26,$G757=$G$29,I$29,$G757=$G$31,I$31,$G757=$G$34,I$34,$G757=$G$37,I$37,$G757=$G$107,I$107,$G757=$G$110,I$110,$G757=$G$140,I$140,$G757=$G$142,I$142,$G757=$G$408,I$408)</f>
        <v>2.1678084611616502</v>
      </c>
      <c r="J757" s="51" cm="1">
        <f t="array" ref="J757">_xlfn.IFS($G757=$G$5,J$5,$G757=$G$7,J$7,$G757=$G$10,J$10,$G757=$G$13,J$13,$G757=$G$14,J$14,$G757=$G$16,J$16,$G757=$G$17,J$17,$G757=$G$19,J$19,$G757=$G$20,J$20,$G757=$G$22,J$22,$G757=$G$23,J$23,$G757=$G$26,J$26,$G757=$G$29,J$29,$G757=$G$31,J$31,$G757=$G$34,J$34,$G757=$G$37,J$37,$G757=$G$107,J$107,$G757=$G$110,J$110,$G757=$G$140,J$140,$G757=$G$142,J$142,$G757=$G$408,J$408)</f>
        <v>61</v>
      </c>
      <c r="K757" s="13" t="str" cm="1">
        <f t="array" ref="K757">_xlfn.IFS($G757=$G$5,K$5,$G757=$G$7,K$7,$G757=$G$10,K$10,$G757=$G$13,K$13,$G757=$G$14,K$14,$G757=$G$16,K$16,$G757=$G$17,K$17,$G757=$G$19,K$19,$G757=$G$20,K$20,$G757=$G$22,K$22,$G757=$G$23,K$23,$G757=$G$26,K$26,$G757=$G$29,K$29,$G757=$G$31,K$31,$G757=$G$34,K$34,$G757=$G$37,K$37,$G757=$G$107,K$107,$G757=$G$110,K$110,$G757=$G$140,K$140,$G757=$G$142,K$142,$G757=$G$408,K$408)</f>
        <v>BG sentinel</v>
      </c>
      <c r="O757" s="13" t="str">
        <f t="shared" si="75"/>
        <v>A_SP_BCN_26_221122</v>
      </c>
      <c r="P757" s="27">
        <v>44887</v>
      </c>
      <c r="Q757" s="36">
        <v>0.57638888888888895</v>
      </c>
      <c r="R757" s="33"/>
      <c r="S757" s="27">
        <v>44894</v>
      </c>
      <c r="T757" s="29">
        <v>0.625</v>
      </c>
      <c r="V757" s="13" t="s">
        <v>86</v>
      </c>
      <c r="X757" s="13">
        <f t="shared" si="70"/>
        <v>7</v>
      </c>
      <c r="Z757" s="13" t="s">
        <v>164</v>
      </c>
      <c r="AA757" s="13">
        <f>SUM(AC757:AD757)</f>
        <v>1</v>
      </c>
      <c r="AB757" s="13" t="str">
        <f t="shared" si="71"/>
        <v>Adult</v>
      </c>
      <c r="AC757" s="13">
        <v>1</v>
      </c>
      <c r="AD757" s="13">
        <v>0</v>
      </c>
      <c r="AE757" s="13" t="str">
        <f t="shared" si="72"/>
        <v>Morphological</v>
      </c>
      <c r="AF757" s="2">
        <v>1</v>
      </c>
    </row>
    <row r="758" spans="1:32" x14ac:dyDescent="0.25">
      <c r="A758" s="13">
        <v>754</v>
      </c>
      <c r="B758" s="23" t="s">
        <v>56</v>
      </c>
      <c r="C758" s="23" t="s">
        <v>57</v>
      </c>
      <c r="D758" s="23" t="s">
        <v>58</v>
      </c>
      <c r="E758" s="23" t="s">
        <v>58</v>
      </c>
      <c r="F758" s="35" cm="1">
        <f t="array" ref="F758">_xlfn.IFS($G758=$G$5,F$5,$G758=$G$7,F$7,$G758=$G$10,F$10,$G758=$G$13,F$13,$G758=$G$14,F$14,$G758=$G$16,F$16,$G758=$G$17,F$17,$G758=$G$19,F$19,$G758=$G$20,F$20,$G758=$G$22,F$22,$G758=$G$23,F$23,$G758=$G$26,F$26,$G758=$G$29,F$29,$G758=$G$31,F$31,$G758=$G$34,F$34,$G758=$G$37,F$37,$G758=$G$107,F$107,$G758=$G$110,F$110,$G758=$G$140,F$140,$G758=$G$142,F$142,$G758=$G$408,F$408)</f>
        <v>8017</v>
      </c>
      <c r="G758" s="13" t="s">
        <v>97</v>
      </c>
      <c r="H758" s="51" cm="1">
        <f t="array" ref="H758">_xlfn.IFS($G758=$G$5,H$5,$G758=$G$7,H$7,$G758=$G$10,H$10,$G758=$G$13,H$13,$G758=$G$14,H$14,$G758=$G$16,H$16,$G758=$G$17,H$17,$G758=$G$19,H$19,$G758=$G$20,H$20,$G758=$G$22,H$22,$G758=$G$23,H$23,$G758=$G$26,H$26,$G758=$G$29,H$29,$G758=$G$31,H$31,$G758=$G$34,H$34,$G758=$G$37,H$37,$G758=$G$107,H$107,$G758=$G$110,H$110,$G758=$G$140,H$140,$G758=$G$142,H$142,$G758=$G$408,H$408)</f>
        <v>41.430372407595499</v>
      </c>
      <c r="I758" s="51" cm="1">
        <f t="array" ref="I758">_xlfn.IFS($G758=$G$5,I$5,$G758=$G$7,I$7,$G758=$G$10,I$10,$G758=$G$13,I$13,$G758=$G$14,I$14,$G758=$G$16,I$16,$G758=$G$17,I$17,$G758=$G$19,I$19,$G758=$G$20,I$20,$G758=$G$22,I$22,$G758=$G$23,I$23,$G758=$G$26,I$26,$G758=$G$29,I$29,$G758=$G$31,I$31,$G758=$G$34,I$34,$G758=$G$37,I$37,$G758=$G$107,I$107,$G758=$G$110,I$110,$G758=$G$140,I$140,$G758=$G$142,I$142,$G758=$G$408,I$408)</f>
        <v>2.0778358219819002</v>
      </c>
      <c r="J758" s="51" cm="1">
        <f t="array" ref="J758">_xlfn.IFS($G758=$G$5,J$5,$G758=$G$7,J$7,$G758=$G$10,J$10,$G758=$G$13,J$13,$G758=$G$14,J$14,$G758=$G$16,J$16,$G758=$G$17,J$17,$G758=$G$19,J$19,$G758=$G$20,J$20,$G758=$G$22,J$22,$G758=$G$23,J$23,$G758=$G$26,J$26,$G758=$G$29,J$29,$G758=$G$31,J$31,$G758=$G$34,J$34,$G758=$G$37,J$37,$G758=$G$107,J$107,$G758=$G$110,J$110,$G758=$G$140,J$140,$G758=$G$142,J$142,$G758=$G$408,J$408)</f>
        <v>242</v>
      </c>
      <c r="K758" s="13" t="str" cm="1">
        <f t="array" ref="K758">_xlfn.IFS($G758=$G$5,K$5,$G758=$G$7,K$7,$G758=$G$10,K$10,$G758=$G$13,K$13,$G758=$G$14,K$14,$G758=$G$16,K$16,$G758=$G$17,K$17,$G758=$G$19,K$19,$G758=$G$20,K$20,$G758=$G$22,K$22,$G758=$G$23,K$23,$G758=$G$26,K$26,$G758=$G$29,K$29,$G758=$G$31,K$31,$G758=$G$34,K$34,$G758=$G$37,K$37,$G758=$G$107,K$107,$G758=$G$110,K$110,$G758=$G$140,K$140,$G758=$G$142,K$142,$G758=$G$408,K$408)</f>
        <v>Mtego</v>
      </c>
      <c r="O758" s="13" t="str">
        <f t="shared" si="75"/>
        <v>Premal_1_221122</v>
      </c>
      <c r="P758" s="27">
        <v>44887</v>
      </c>
      <c r="Q758" s="29">
        <v>0.70138888888888884</v>
      </c>
      <c r="R758" s="33"/>
      <c r="S758" s="27">
        <v>44894</v>
      </c>
      <c r="T758" s="29">
        <v>0.74305555555555547</v>
      </c>
      <c r="V758" s="13" t="s">
        <v>86</v>
      </c>
      <c r="X758" s="13">
        <f t="shared" si="70"/>
        <v>7</v>
      </c>
      <c r="Z758" s="13" t="s">
        <v>164</v>
      </c>
      <c r="AA758" s="13">
        <f>SUM(AC758:AD758)</f>
        <v>1</v>
      </c>
      <c r="AB758" s="13" t="str">
        <f t="shared" si="71"/>
        <v>Adult</v>
      </c>
      <c r="AC758" s="13">
        <v>1</v>
      </c>
      <c r="AD758" s="13">
        <v>0</v>
      </c>
      <c r="AE758" s="13" t="str">
        <f t="shared" si="72"/>
        <v>Morphological</v>
      </c>
      <c r="AF758" s="2">
        <v>4</v>
      </c>
    </row>
    <row r="759" spans="1:32" x14ac:dyDescent="0.25">
      <c r="A759" s="13">
        <v>755</v>
      </c>
      <c r="B759" s="23" t="s">
        <v>56</v>
      </c>
      <c r="C759" s="23" t="s">
        <v>57</v>
      </c>
      <c r="D759" s="23" t="s">
        <v>58</v>
      </c>
      <c r="E759" s="23" t="s">
        <v>58</v>
      </c>
      <c r="F759" s="35" cm="1">
        <f t="array" ref="F759">_xlfn.IFS($G759=$G$5,F$5,$G759=$G$7,F$7,$G759=$G$10,F$10,$G759=$G$13,F$13,$G759=$G$14,F$14,$G759=$G$16,F$16,$G759=$G$17,F$17,$G759=$G$19,F$19,$G759=$G$20,F$20,$G759=$G$22,F$22,$G759=$G$23,F$23,$G759=$G$26,F$26,$G759=$G$29,F$29,$G759=$G$31,F$31,$G759=$G$34,F$34,$G759=$G$37,F$37,$G759=$G$107,F$107,$G759=$G$110,F$110,$G759=$G$140,F$140,$G759=$G$142,F$142,$G759=$G$408,F$408)</f>
        <v>8017</v>
      </c>
      <c r="G759" s="13" t="s">
        <v>97</v>
      </c>
      <c r="H759" s="51" cm="1">
        <f t="array" ref="H759">_xlfn.IFS($G759=$G$5,H$5,$G759=$G$7,H$7,$G759=$G$10,H$10,$G759=$G$13,H$13,$G759=$G$14,H$14,$G759=$G$16,H$16,$G759=$G$17,H$17,$G759=$G$19,H$19,$G759=$G$20,H$20,$G759=$G$22,H$22,$G759=$G$23,H$23,$G759=$G$26,H$26,$G759=$G$29,H$29,$G759=$G$31,H$31,$G759=$G$34,H$34,$G759=$G$37,H$37,$G759=$G$107,H$107,$G759=$G$110,H$110,$G759=$G$140,H$140,$G759=$G$142,H$142,$G759=$G$408,H$408)</f>
        <v>41.430372407595499</v>
      </c>
      <c r="I759" s="51" cm="1">
        <f t="array" ref="I759">_xlfn.IFS($G759=$G$5,I$5,$G759=$G$7,I$7,$G759=$G$10,I$10,$G759=$G$13,I$13,$G759=$G$14,I$14,$G759=$G$16,I$16,$G759=$G$17,I$17,$G759=$G$19,I$19,$G759=$G$20,I$20,$G759=$G$22,I$22,$G759=$G$23,I$23,$G759=$G$26,I$26,$G759=$G$29,I$29,$G759=$G$31,I$31,$G759=$G$34,I$34,$G759=$G$37,I$37,$G759=$G$107,I$107,$G759=$G$110,I$110,$G759=$G$140,I$140,$G759=$G$142,I$142,$G759=$G$408,I$408)</f>
        <v>2.0778358219819002</v>
      </c>
      <c r="J759" s="51" cm="1">
        <f t="array" ref="J759">_xlfn.IFS($G759=$G$5,J$5,$G759=$G$7,J$7,$G759=$G$10,J$10,$G759=$G$13,J$13,$G759=$G$14,J$14,$G759=$G$16,J$16,$G759=$G$17,J$17,$G759=$G$19,J$19,$G759=$G$20,J$20,$G759=$G$22,J$22,$G759=$G$23,J$23,$G759=$G$26,J$26,$G759=$G$29,J$29,$G759=$G$31,J$31,$G759=$G$34,J$34,$G759=$G$37,J$37,$G759=$G$107,J$107,$G759=$G$110,J$110,$G759=$G$140,J$140,$G759=$G$142,J$142,$G759=$G$408,J$408)</f>
        <v>242</v>
      </c>
      <c r="K759" s="13" t="str" cm="1">
        <f t="array" ref="K759">_xlfn.IFS($G759=$G$5,K$5,$G759=$G$7,K$7,$G759=$G$10,K$10,$G759=$G$13,K$13,$G759=$G$14,K$14,$G759=$G$16,K$16,$G759=$G$17,K$17,$G759=$G$19,K$19,$G759=$G$20,K$20,$G759=$G$22,K$22,$G759=$G$23,K$23,$G759=$G$26,K$26,$G759=$G$29,K$29,$G759=$G$31,K$31,$G759=$G$34,K$34,$G759=$G$37,K$37,$G759=$G$107,K$107,$G759=$G$110,K$110,$G759=$G$140,K$140,$G759=$G$142,K$142,$G759=$G$408,K$408)</f>
        <v>Mtego</v>
      </c>
      <c r="O759" s="13" t="str">
        <f t="shared" si="75"/>
        <v>Premal_1_221122</v>
      </c>
      <c r="P759" s="27">
        <v>44887</v>
      </c>
      <c r="Q759" s="29">
        <v>0.70138888888888884</v>
      </c>
      <c r="R759" s="33"/>
      <c r="S759" s="27">
        <v>44894</v>
      </c>
      <c r="T759" s="29">
        <v>0.74305555555555547</v>
      </c>
      <c r="V759" s="13" t="s">
        <v>86</v>
      </c>
      <c r="X759" s="13">
        <f t="shared" si="70"/>
        <v>7</v>
      </c>
      <c r="Z759" s="32" t="s">
        <v>163</v>
      </c>
      <c r="AA759" s="13">
        <f>SUM(AC759:AD759)</f>
        <v>1</v>
      </c>
      <c r="AB759" s="13" t="str">
        <f t="shared" si="71"/>
        <v>Adult</v>
      </c>
      <c r="AC759" s="13">
        <v>1</v>
      </c>
      <c r="AD759" s="13">
        <v>0</v>
      </c>
      <c r="AE759" s="13" t="str">
        <f t="shared" si="72"/>
        <v>Morphological</v>
      </c>
      <c r="AF759" s="2">
        <v>4</v>
      </c>
    </row>
  </sheetData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BCN_BGs_2022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u183027</dc:creator>
  <cp:lastModifiedBy>Isis</cp:lastModifiedBy>
  <cp:lastPrinted>2023-02-18T10:34:38Z</cp:lastPrinted>
  <dcterms:created xsi:type="dcterms:W3CDTF">2021-06-08T11:51:38Z</dcterms:created>
  <dcterms:modified xsi:type="dcterms:W3CDTF">2023-05-02T16:41:42Z</dcterms:modified>
</cp:coreProperties>
</file>