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sis\Documents\ISIS_BACKUP\Mosquito Alert\Trap Data Collection &amp; Harmonization\BarcelonaCity\"/>
    </mc:Choice>
  </mc:AlternateContent>
  <xr:revisionPtr revIDLastSave="0" documentId="8_{56B16881-CE21-4E33-BD82-DB44F4689742}" xr6:coauthVersionLast="47" xr6:coauthVersionMax="47" xr10:uidLastSave="{00000000-0000-0000-0000-000000000000}"/>
  <bookViews>
    <workbookView xWindow="-120" yWindow="-120" windowWidth="24240" windowHeight="13140" xr2:uid="{FD092446-9547-4897-9719-D8EB704943AF}"/>
  </bookViews>
  <sheets>
    <sheet name="BGs_BCN_data_Volunteer" sheetId="1" r:id="rId1"/>
  </sheets>
  <definedNames>
    <definedName name="_xlnm._FilterDatabase" localSheetId="0" hidden="1">BGs_BCN_data_Volunteer!$A$4:$AF$86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86" i="1" l="1"/>
  <c r="AE86" i="1" s="1"/>
  <c r="X86" i="1"/>
  <c r="O86" i="1"/>
  <c r="AB85" i="1"/>
  <c r="AA85" i="1"/>
  <c r="AE85" i="1" s="1"/>
  <c r="X85" i="1"/>
  <c r="O85" i="1"/>
  <c r="AA84" i="1"/>
  <c r="AE84" i="1" s="1"/>
  <c r="X84" i="1"/>
  <c r="O84" i="1"/>
  <c r="AA83" i="1"/>
  <c r="AB83" i="1" s="1"/>
  <c r="X83" i="1"/>
  <c r="O83" i="1"/>
  <c r="AE82" i="1"/>
  <c r="AB82" i="1"/>
  <c r="AA82" i="1"/>
  <c r="X82" i="1"/>
  <c r="O82" i="1"/>
  <c r="AE81" i="1"/>
  <c r="AA81" i="1"/>
  <c r="AB81" i="1" s="1"/>
  <c r="X81" i="1"/>
  <c r="O81" i="1"/>
  <c r="AA80" i="1"/>
  <c r="AE80" i="1" s="1"/>
  <c r="X80" i="1"/>
  <c r="O80" i="1"/>
  <c r="AA79" i="1"/>
  <c r="AB79" i="1" s="1"/>
  <c r="X79" i="1"/>
  <c r="O79" i="1"/>
  <c r="AE78" i="1"/>
  <c r="AB78" i="1"/>
  <c r="AA78" i="1"/>
  <c r="X78" i="1"/>
  <c r="O78" i="1"/>
  <c r="AE77" i="1"/>
  <c r="AB77" i="1"/>
  <c r="AA77" i="1"/>
  <c r="X77" i="1"/>
  <c r="O77" i="1"/>
  <c r="AA76" i="1"/>
  <c r="AE76" i="1" s="1"/>
  <c r="X76" i="1"/>
  <c r="O76" i="1"/>
  <c r="AA75" i="1"/>
  <c r="AB75" i="1" s="1"/>
  <c r="X75" i="1"/>
  <c r="O75" i="1"/>
  <c r="AE74" i="1"/>
  <c r="AB74" i="1"/>
  <c r="AA74" i="1"/>
  <c r="X74" i="1"/>
  <c r="O74" i="1"/>
  <c r="AE73" i="1"/>
  <c r="AB73" i="1"/>
  <c r="AA73" i="1"/>
  <c r="X73" i="1"/>
  <c r="O73" i="1"/>
  <c r="AA72" i="1"/>
  <c r="AE72" i="1" s="1"/>
  <c r="X72" i="1"/>
  <c r="O72" i="1"/>
  <c r="AB71" i="1"/>
  <c r="AA71" i="1"/>
  <c r="AE71" i="1" s="1"/>
  <c r="X71" i="1"/>
  <c r="O71" i="1"/>
  <c r="AA70" i="1"/>
  <c r="AE70" i="1" s="1"/>
  <c r="X70" i="1"/>
  <c r="O70" i="1"/>
  <c r="AE69" i="1"/>
  <c r="AB69" i="1"/>
  <c r="AA69" i="1"/>
  <c r="X69" i="1"/>
  <c r="O69" i="1"/>
  <c r="AA68" i="1"/>
  <c r="AE68" i="1" s="1"/>
  <c r="X68" i="1"/>
  <c r="O68" i="1"/>
  <c r="AB67" i="1"/>
  <c r="AA67" i="1"/>
  <c r="AE67" i="1" s="1"/>
  <c r="X67" i="1"/>
  <c r="O67" i="1"/>
  <c r="AA66" i="1"/>
  <c r="AE66" i="1" s="1"/>
  <c r="X66" i="1"/>
  <c r="O66" i="1"/>
  <c r="AE65" i="1"/>
  <c r="AB65" i="1"/>
  <c r="AA65" i="1"/>
  <c r="X65" i="1"/>
  <c r="O65" i="1"/>
  <c r="AE64" i="1"/>
  <c r="AA64" i="1"/>
  <c r="AB64" i="1" s="1"/>
  <c r="X64" i="1"/>
  <c r="O64" i="1"/>
  <c r="AB63" i="1"/>
  <c r="AA63" i="1"/>
  <c r="AE63" i="1" s="1"/>
  <c r="X63" i="1"/>
  <c r="O63" i="1"/>
  <c r="AA62" i="1"/>
  <c r="AE62" i="1" s="1"/>
  <c r="X62" i="1"/>
  <c r="O62" i="1"/>
  <c r="AE61" i="1"/>
  <c r="AB61" i="1"/>
  <c r="AA61" i="1"/>
  <c r="X61" i="1"/>
  <c r="O61" i="1"/>
  <c r="AE60" i="1"/>
  <c r="AA60" i="1"/>
  <c r="AB60" i="1" s="1"/>
  <c r="X60" i="1"/>
  <c r="O60" i="1"/>
  <c r="AB59" i="1"/>
  <c r="AA59" i="1"/>
  <c r="AE59" i="1" s="1"/>
  <c r="X59" i="1"/>
  <c r="O59" i="1"/>
  <c r="AA58" i="1"/>
  <c r="AE58" i="1" s="1"/>
  <c r="X58" i="1"/>
  <c r="O58" i="1"/>
  <c r="AE57" i="1"/>
  <c r="AB57" i="1"/>
  <c r="AA57" i="1"/>
  <c r="X57" i="1"/>
  <c r="O57" i="1"/>
  <c r="AE56" i="1"/>
  <c r="AA56" i="1"/>
  <c r="AB56" i="1" s="1"/>
  <c r="X56" i="1"/>
  <c r="O56" i="1"/>
  <c r="AB55" i="1"/>
  <c r="AA55" i="1"/>
  <c r="AE55" i="1" s="1"/>
  <c r="X55" i="1"/>
  <c r="O55" i="1"/>
  <c r="AA54" i="1"/>
  <c r="AE54" i="1" s="1"/>
  <c r="X54" i="1"/>
  <c r="O54" i="1"/>
  <c r="AB53" i="1"/>
  <c r="AA53" i="1"/>
  <c r="AE53" i="1" s="1"/>
  <c r="X53" i="1"/>
  <c r="O53" i="1"/>
  <c r="AE52" i="1"/>
  <c r="AA52" i="1"/>
  <c r="AB52" i="1" s="1"/>
  <c r="X52" i="1"/>
  <c r="O52" i="1"/>
  <c r="AB51" i="1"/>
  <c r="AA51" i="1"/>
  <c r="AE51" i="1" s="1"/>
  <c r="X51" i="1"/>
  <c r="O51" i="1"/>
  <c r="AA50" i="1"/>
  <c r="AE50" i="1" s="1"/>
  <c r="X50" i="1"/>
  <c r="O50" i="1"/>
  <c r="AB49" i="1"/>
  <c r="AA49" i="1"/>
  <c r="AE49" i="1" s="1"/>
  <c r="X49" i="1"/>
  <c r="O49" i="1"/>
  <c r="J49" i="1"/>
  <c r="AB48" i="1"/>
  <c r="AA48" i="1"/>
  <c r="AE48" i="1" s="1"/>
  <c r="X48" i="1"/>
  <c r="O48" i="1"/>
  <c r="J48" i="1"/>
  <c r="AB47" i="1"/>
  <c r="AA47" i="1"/>
  <c r="AE47" i="1" s="1"/>
  <c r="X47" i="1"/>
  <c r="O47" i="1"/>
  <c r="J47" i="1"/>
  <c r="AA46" i="1"/>
  <c r="AB46" i="1" s="1"/>
  <c r="X46" i="1"/>
  <c r="O46" i="1"/>
  <c r="J46" i="1"/>
  <c r="AA45" i="1"/>
  <c r="AE45" i="1" s="1"/>
  <c r="X45" i="1"/>
  <c r="O45" i="1"/>
  <c r="AE44" i="1"/>
  <c r="AB44" i="1"/>
  <c r="AA44" i="1"/>
  <c r="X44" i="1"/>
  <c r="O44" i="1"/>
  <c r="AA43" i="1"/>
  <c r="AB43" i="1" s="1"/>
  <c r="X43" i="1"/>
  <c r="O43" i="1"/>
  <c r="J43" i="1"/>
  <c r="AA42" i="1"/>
  <c r="AE42" i="1" s="1"/>
  <c r="X42" i="1"/>
  <c r="O42" i="1"/>
  <c r="J42" i="1"/>
  <c r="AE41" i="1"/>
  <c r="AA41" i="1"/>
  <c r="AB41" i="1" s="1"/>
  <c r="X41" i="1"/>
  <c r="O41" i="1"/>
  <c r="J41" i="1"/>
  <c r="AA40" i="1"/>
  <c r="AE40" i="1" s="1"/>
  <c r="X40" i="1"/>
  <c r="O40" i="1"/>
  <c r="J40" i="1"/>
  <c r="AE39" i="1"/>
  <c r="AA39" i="1"/>
  <c r="AB39" i="1" s="1"/>
  <c r="X39" i="1"/>
  <c r="O39" i="1"/>
  <c r="J39" i="1"/>
  <c r="AA38" i="1"/>
  <c r="AE38" i="1" s="1"/>
  <c r="X38" i="1"/>
  <c r="O38" i="1"/>
  <c r="AE37" i="1"/>
  <c r="AB37" i="1"/>
  <c r="AA37" i="1"/>
  <c r="X37" i="1"/>
  <c r="O37" i="1"/>
  <c r="AE36" i="1"/>
  <c r="AA36" i="1"/>
  <c r="AB36" i="1" s="1"/>
  <c r="X36" i="1"/>
  <c r="O36" i="1"/>
  <c r="AB35" i="1"/>
  <c r="AA35" i="1"/>
  <c r="AE35" i="1" s="1"/>
  <c r="X35" i="1"/>
  <c r="O35" i="1"/>
  <c r="AA34" i="1"/>
  <c r="AE34" i="1" s="1"/>
  <c r="X34" i="1"/>
  <c r="O34" i="1"/>
  <c r="AE33" i="1"/>
  <c r="AB33" i="1"/>
  <c r="AA33" i="1"/>
  <c r="X33" i="1"/>
  <c r="O33" i="1"/>
  <c r="J33" i="1"/>
  <c r="AB32" i="1"/>
  <c r="AA32" i="1"/>
  <c r="AE32" i="1" s="1"/>
  <c r="X32" i="1"/>
  <c r="O32" i="1"/>
  <c r="J32" i="1"/>
  <c r="AE31" i="1"/>
  <c r="AB31" i="1"/>
  <c r="AA31" i="1"/>
  <c r="X31" i="1"/>
  <c r="O31" i="1"/>
  <c r="AE30" i="1"/>
  <c r="AA30" i="1"/>
  <c r="AB30" i="1" s="1"/>
  <c r="X30" i="1"/>
  <c r="O30" i="1"/>
  <c r="AB29" i="1"/>
  <c r="AA29" i="1"/>
  <c r="AE29" i="1" s="1"/>
  <c r="X29" i="1"/>
  <c r="O29" i="1"/>
  <c r="AA28" i="1"/>
  <c r="AE28" i="1" s="1"/>
  <c r="X28" i="1"/>
  <c r="O28" i="1"/>
  <c r="AE27" i="1"/>
  <c r="AB27" i="1"/>
  <c r="AA27" i="1"/>
  <c r="X27" i="1"/>
  <c r="O27" i="1"/>
  <c r="AE26" i="1"/>
  <c r="AA26" i="1"/>
  <c r="AB26" i="1" s="1"/>
  <c r="X26" i="1"/>
  <c r="O26" i="1"/>
  <c r="AB25" i="1"/>
  <c r="AA25" i="1"/>
  <c r="AE25" i="1" s="1"/>
  <c r="X25" i="1"/>
  <c r="O25" i="1"/>
  <c r="J25" i="1"/>
  <c r="AE24" i="1"/>
  <c r="AB24" i="1"/>
  <c r="AA24" i="1"/>
  <c r="X24" i="1"/>
  <c r="O24" i="1"/>
  <c r="AE23" i="1"/>
  <c r="AA23" i="1"/>
  <c r="AB23" i="1" s="1"/>
  <c r="X23" i="1"/>
  <c r="O23" i="1"/>
  <c r="AA22" i="1"/>
  <c r="AE22" i="1" s="1"/>
  <c r="X22" i="1"/>
  <c r="O22" i="1"/>
  <c r="AA21" i="1"/>
  <c r="AE21" i="1" s="1"/>
  <c r="X21" i="1"/>
  <c r="O21" i="1"/>
  <c r="AE20" i="1"/>
  <c r="AB20" i="1"/>
  <c r="AA20" i="1"/>
  <c r="X20" i="1"/>
  <c r="O20" i="1"/>
  <c r="AE19" i="1"/>
  <c r="AA19" i="1"/>
  <c r="AB19" i="1" s="1"/>
  <c r="X19" i="1"/>
  <c r="O19" i="1"/>
  <c r="J19" i="1"/>
  <c r="AA18" i="1"/>
  <c r="AE18" i="1" s="1"/>
  <c r="X18" i="1"/>
  <c r="O18" i="1"/>
  <c r="AE17" i="1"/>
  <c r="AB17" i="1"/>
  <c r="AA17" i="1"/>
  <c r="X17" i="1"/>
  <c r="O17" i="1"/>
  <c r="J17" i="1"/>
  <c r="AA16" i="1"/>
  <c r="AE16" i="1" s="1"/>
  <c r="X16" i="1"/>
  <c r="O16" i="1"/>
  <c r="J16" i="1"/>
  <c r="AE15" i="1"/>
  <c r="AB15" i="1"/>
  <c r="AA15" i="1"/>
  <c r="X15" i="1"/>
  <c r="O15" i="1"/>
  <c r="AE14" i="1"/>
  <c r="AA14" i="1"/>
  <c r="AB14" i="1" s="1"/>
  <c r="X14" i="1"/>
  <c r="O14" i="1"/>
  <c r="AA13" i="1"/>
  <c r="AE13" i="1" s="1"/>
  <c r="X13" i="1"/>
  <c r="O13" i="1"/>
  <c r="AA12" i="1"/>
  <c r="AE12" i="1" s="1"/>
  <c r="X12" i="1"/>
  <c r="O12" i="1"/>
  <c r="AE11" i="1"/>
  <c r="AB11" i="1"/>
  <c r="AA11" i="1"/>
  <c r="X11" i="1"/>
  <c r="O11" i="1"/>
  <c r="AE10" i="1"/>
  <c r="AA10" i="1"/>
  <c r="AB10" i="1" s="1"/>
  <c r="X10" i="1"/>
  <c r="O10" i="1"/>
  <c r="J10" i="1"/>
  <c r="AA9" i="1"/>
  <c r="AB9" i="1" s="1"/>
  <c r="X9" i="1"/>
  <c r="O9" i="1"/>
  <c r="AE8" i="1"/>
  <c r="AB8" i="1"/>
  <c r="AA8" i="1"/>
  <c r="X8" i="1"/>
  <c r="O8" i="1"/>
  <c r="AE7" i="1"/>
  <c r="AA7" i="1"/>
  <c r="AB7" i="1" s="1"/>
  <c r="X7" i="1"/>
  <c r="O7" i="1"/>
  <c r="AA6" i="1"/>
  <c r="AE6" i="1" s="1"/>
  <c r="X6" i="1"/>
  <c r="O6" i="1"/>
  <c r="AA5" i="1"/>
  <c r="AE5" i="1" s="1"/>
  <c r="X5" i="1"/>
  <c r="O5" i="1"/>
  <c r="AE43" i="1" l="1"/>
  <c r="AE46" i="1"/>
  <c r="AB68" i="1"/>
  <c r="AB72" i="1"/>
  <c r="AE75" i="1"/>
  <c r="AB76" i="1"/>
  <c r="AE79" i="1"/>
  <c r="AB80" i="1"/>
  <c r="AE83" i="1"/>
  <c r="AB84" i="1"/>
  <c r="AB18" i="1"/>
  <c r="AB21" i="1"/>
  <c r="AB28" i="1"/>
  <c r="AB34" i="1"/>
  <c r="AB38" i="1"/>
  <c r="AB40" i="1"/>
  <c r="AB42" i="1"/>
  <c r="AB45" i="1"/>
  <c r="AB12" i="1"/>
  <c r="AE9" i="1"/>
  <c r="AB13" i="1"/>
  <c r="AB16" i="1"/>
  <c r="AB22" i="1"/>
  <c r="AB50" i="1"/>
  <c r="AB54" i="1"/>
  <c r="AB58" i="1"/>
  <c r="AB62" i="1"/>
  <c r="AB66" i="1"/>
  <c r="AB70" i="1"/>
  <c r="AB86" i="1"/>
  <c r="AB5" i="1"/>
  <c r="AB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tc={31854B2D-A8FD-424B-9A2E-6E553FBE792D}</author>
    <author>tc={3C023185-9452-4701-8097-CC02EA0BF55F}</author>
    <author>tc={AB58BD96-71EE-4E8E-B618-C6F7C76F1CCB}</author>
    <author>tc={9C3C281C-C276-4C55-B839-9483565122BB}</author>
    <author>tc={439194C1-77E4-4361-B716-DCD26E689B4D}</author>
    <author>tc={6D3F7B4E-FF84-4148-8DAA-4E4291B9882A}</author>
    <author>tc={3C101111-3B3E-423D-99FB-7FF3C296F3CB}</author>
    <author>tc={D778CE8A-D54F-4B2E-9B9F-505A353F106A}</author>
    <author>tc={A1F85755-6ECB-454D-AC9D-CF2AB8E0B70E}</author>
    <author>tc={29E80B47-A513-4CE0-B7B9-5C8129804286}</author>
    <author>tc={25122C66-8C5D-4B76-AAE3-3D56A28C1324}</author>
    <author>tc={53A03DB5-98C7-494E-8CF2-F71CE0A73D43}</author>
    <author>tc={003F35CD-74A4-41BC-BF4D-A360DCAA9E71}</author>
    <author>tc={5283C886-160E-40EB-9A4A-ABAD3CE4BAE7}</author>
    <author>tc={2B03F275-9506-4FAD-B4EA-D3B3996E9783}</author>
    <author>tc={9E912903-B28B-41FB-AC49-636B52FFBA24}</author>
    <author>tc={41D29F88-FE99-45AC-8733-E138168A428B}</author>
    <author>tc={F8C44855-2CF1-44F0-BFAE-47DED102322E}</author>
    <author>tc={52E64E6C-4CF6-4C63-BB4C-E6947FBF9FE7}</author>
    <author>tc={DD5D5940-2050-4FCC-B1B8-B86CCEF91A47}</author>
    <author>tc={E940F29C-9DC1-434A-9ECE-A8983BDB98CF}</author>
    <author>tc={6E769DBF-CB87-44BA-8BC8-62CF62CD05C4}</author>
    <author>tc={AD81C23B-29A1-4154-A874-7177B4D1F12C}</author>
    <author>tc={30970D07-BF13-4AA2-B4A6-FB98AE72CA4D}</author>
    <author>tc={F531F4EB-E166-4975-A680-9917966B1545}</author>
    <author>tc={AC39A05B-3614-4437-8D89-4DC0863EA6D7}</author>
    <author>tc={FC1097EA-7BD2-4615-AFA3-32AA27EB86BA}</author>
    <author>tc={91795F09-189D-4045-B5ED-2D717D12A50A}</author>
    <author>tc={32A076AB-7024-4D61-9024-0C4DC24C6E0E}</author>
    <author>tc={D9A40F1A-CD8C-42B4-8701-B5277F82C719}</author>
    <author>tc={769DE828-BA9C-4276-A545-C2FDD3AC9071}</author>
    <author>tc={6947C122-F558-4897-BEC1-151B63341F44}</author>
    <author>tc={C12A1DEE-3A2D-49D2-9E26-13476FE39913}</author>
    <author>tc={5D7F1070-904B-4732-BA82-8EA6490029A6}</author>
    <author>tc={A554F3D4-D33F-41F0-8B17-B9D1E1D80F90}</author>
    <author>tc={CC6CDF5F-29B4-41D2-8B8D-D7B61DB70455}</author>
    <author>tc={0E63581D-93FE-4F6A-946E-7F963AD6F744}</author>
    <author>tc={AE780329-CBD9-475C-B521-E95599CE2E6A}</author>
    <author>tc={A27F5647-EA28-4C5C-8C2A-785F41D68BF4}</author>
    <author>tc={77EC96F9-1BF0-4620-B7D2-A412824546A9}</author>
    <author>tc={3D7F8162-08E0-49B6-BA88-BBD07A3CAB9E}</author>
    <author>tc={11B4277A-7EEC-4644-9E91-2FB3FCC5AED7}</author>
    <author>tc={828D0FDB-4D3B-48EA-B103-14E852717AE4}</author>
    <author>tc={D5682057-2FBF-4A04-B7EF-DD0CFBDFF2BD}</author>
    <author>tc={2EEBA863-5A52-4CAD-9672-820B6FA53793}</author>
    <author>tc={5247444C-71DB-4E10-B31C-E331CF0C8998}</author>
    <author>tc={A53EA8D6-F0C7-4BF3-9B96-0616B2835704}</author>
    <author>tc={85ACF10A-A0B1-4764-8BE0-990CD5F19CF8}</author>
    <author>tc={C68BEE4D-51C3-4EAD-A71E-C09233E0926E}</author>
    <author>tc={65ECA5DC-F0A4-4D58-869B-F4CD83D84D70}</author>
    <author>tc={D8190085-4626-45E2-927B-289DCC6101E0}</author>
    <author>tc={73D0E603-600C-42B6-B6F5-2235FBB136EC}</author>
    <author>tc={204F1FD7-CA4E-483F-871C-6A9DE5D60AA7}</author>
    <author>tc={6D01D319-A7BE-4903-AD6D-EC99E94AB82C}</author>
    <author>tc={CD53B517-D06A-4C9C-A661-6702FD6066E4}</author>
  </authors>
  <commentList>
    <comment ref="J5" authorId="0" shapeId="0" xr:uid="{31854B2D-A8FD-424B-9A2E-6E553FBE792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1 pis per sota l'alçada del carrer (137) i 1 pis per sobre el pati (131)</t>
      </text>
    </comment>
    <comment ref="P5" authorId="1" shapeId="0" xr:uid="{3C023185-9452-4701-8097-CC02EA0BF55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Al full de resultats aquesta és la data que hi ha marcada</t>
      </text>
    </comment>
    <comment ref="J6" authorId="2" shapeId="0" xr:uid="{AB58BD96-71EE-4E8E-B618-C6F7C76F1CC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1 pis per sota l'alçada del carrer (137) i 1 pis per sobre el pati (131)</t>
      </text>
    </comment>
    <comment ref="J7" authorId="3" shapeId="0" xr:uid="{9C3C281C-C276-4C55-B839-9483565122B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1 pis per sota l'alçada del carrer (137) i 1 pis per sobre el pati (131)</t>
      </text>
    </comment>
    <comment ref="J10" authorId="4" shapeId="0" xr:uid="{439194C1-77E4-4361-B716-DCD26E689B4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La trampa està en un 1r pis</t>
      </text>
    </comment>
    <comment ref="J11" authorId="5" shapeId="0" xr:uid="{6D3F7B4E-FF84-4148-8DAA-4E4291B9882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1 pis per sota l'alçada del carrer (137) i 1 pis per sobre el pati (131)</t>
      </text>
    </comment>
    <comment ref="P11" authorId="6" shapeId="0" xr:uid="{3C101111-3B3E-423D-99FB-7FF3C296F3C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Al full de resultats aquesta és la data que hi ha marcada</t>
      </text>
    </comment>
    <comment ref="J12" authorId="7" shapeId="0" xr:uid="{D778CE8A-D54F-4B2E-9B9F-505A353F106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1 pis per sota l'alçada del carrer (137) i 1 pis per sobre el pati (131)</t>
      </text>
    </comment>
    <comment ref="S13" authorId="8" shapeId="0" xr:uid="{A1F85755-6ECB-454D-AC9D-CF2AB8E0B70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data marcada al pot on estava la bossa - en el tupper amb la mostra 2 al 9/6/21</t>
      </text>
    </comment>
    <comment ref="S14" authorId="9" shapeId="0" xr:uid="{29E80B47-A513-4CE0-B7B9-5C812980428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data marcada al pot on estava la bossa - en el tupper amb la mostra 2 al 9/6/21</t>
      </text>
    </comment>
    <comment ref="S15" authorId="10" shapeId="0" xr:uid="{25122C66-8C5D-4B76-AAE3-3D56A28C132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data marcada al pot on estava la bossa - en el tupper amb la mostra 2 al 9/6/21</t>
      </text>
    </comment>
    <comment ref="J16" authorId="11" shapeId="0" xr:uid="{53A03DB5-98C7-494E-8CF2-F71CE0A73D4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La trampa està en un 1r pis</t>
      </text>
    </comment>
    <comment ref="J17" authorId="12" shapeId="0" xr:uid="{003F35CD-74A4-41BC-BF4D-A360DCAA9E7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La trampa està en un 1r pis</t>
      </text>
    </comment>
    <comment ref="J18" authorId="13" shapeId="0" xr:uid="{5283C886-160E-40EB-9A4A-ABAD3CE4BAE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1 pis per sota l'alçada del carrer (137) i 1 pis per sobre el pati (131)</t>
      </text>
    </comment>
    <comment ref="J19" authorId="14" shapeId="0" xr:uid="{2B03F275-9506-4FAD-B4EA-D3B3996E978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La trampa està en un 1r pis</t>
      </text>
    </comment>
    <comment ref="J20" authorId="15" shapeId="0" xr:uid="{9E912903-B28B-41FB-AC49-636B52FFBA2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1 pis per sota l'alçada del carrer (137) i 1 pis per sobre el pati (131)</t>
      </text>
    </comment>
    <comment ref="J21" authorId="16" shapeId="0" xr:uid="{41D29F88-FE99-45AC-8733-E138168A428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1 pis per sota l'alçada del carrer (137) i 1 pis per sobre el pati (131)</t>
      </text>
    </comment>
    <comment ref="J25" authorId="17" shapeId="0" xr:uid="{F8C44855-2CF1-44F0-BFAE-47DED102322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La trampa està en un 1r pis</t>
      </text>
    </comment>
    <comment ref="P25" authorId="18" shapeId="0" xr:uid="{52E64E6C-4CF6-4C63-BB4C-E6947FBF9FE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Estava marcat com a 23/07 al 01/07 però deu ser 23/06 al 01/07</t>
      </text>
    </comment>
    <comment ref="J26" authorId="19" shapeId="0" xr:uid="{DD5D5940-2050-4FCC-B1B8-B86CCEF91A4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1 pis per sota l'alçada del carrer (137) i 1 pis per sobre el pati (131)</t>
      </text>
    </comment>
    <comment ref="J27" authorId="20" shapeId="0" xr:uid="{E940F29C-9DC1-434A-9ECE-A8983BDB98C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1 pis per sota l'alçada del carrer (137) i 1 pis per sobre el pati (131)</t>
      </text>
    </comment>
    <comment ref="J28" authorId="21" shapeId="0" xr:uid="{6E769DBF-CB87-44BA-8BC8-62CF62CD05C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1 pis per sota l'alçada del carrer (137) i 1 pis per sobre el pati (131)</t>
      </text>
    </comment>
    <comment ref="J32" authorId="22" shapeId="0" xr:uid="{AD81C23B-29A1-4154-A874-7177B4D1F12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La trampa està en un 1r pis</t>
      </text>
    </comment>
    <comment ref="J33" authorId="23" shapeId="0" xr:uid="{30970D07-BF13-4AA2-B4A6-FB98AE72CA4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La trampa està en un 1r pis</t>
      </text>
    </comment>
    <comment ref="J39" authorId="24" shapeId="0" xr:uid="{F531F4EB-E166-4975-A680-9917966B154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La trampa està en un 1r pis</t>
      </text>
    </comment>
    <comment ref="J40" authorId="25" shapeId="0" xr:uid="{AC39A05B-3614-4437-8D89-4DC0863EA6D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La trampa està en un 1r pis</t>
      </text>
    </comment>
    <comment ref="J41" authorId="26" shapeId="0" xr:uid="{FC1097EA-7BD2-4615-AFA3-32AA27EB86B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La trampa està en un 1r pis</t>
      </text>
    </comment>
    <comment ref="J42" authorId="27" shapeId="0" xr:uid="{91795F09-189D-4045-B5ED-2D717D12A50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La trampa està en un 1r pis</t>
      </text>
    </comment>
    <comment ref="J43" authorId="28" shapeId="0" xr:uid="{32A076AB-7024-4D61-9024-0C4DC24C6E0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La trampa està en un 1r pis</t>
      </text>
    </comment>
    <comment ref="J46" authorId="29" shapeId="0" xr:uid="{D9A40F1A-CD8C-42B4-8701-B5277F82C71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La trampa està en un 1r pis</t>
      </text>
    </comment>
    <comment ref="J47" authorId="30" shapeId="0" xr:uid="{769DE828-BA9C-4276-A545-C2FDD3AC907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La trampa està en un 1r pis</t>
      </text>
    </comment>
    <comment ref="J48" authorId="31" shapeId="0" xr:uid="{6947C122-F558-4897-BEC1-151B63341F4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La trampa està en un 1r pis</t>
      </text>
    </comment>
    <comment ref="J49" authorId="32" shapeId="0" xr:uid="{C12A1DEE-3A2D-49D2-9E26-13476FE3991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La trampa està en un 1r pis</t>
      </text>
    </comment>
    <comment ref="J54" authorId="33" shapeId="0" xr:uid="{5D7F1070-904B-4732-BA82-8EA6490029A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1 pis per sota l'alçada del carrer (137) i 1 pis per sobre el pati (131)</t>
      </text>
    </comment>
    <comment ref="J55" authorId="34" shapeId="0" xr:uid="{A554F3D4-D33F-41F0-8B17-B9D1E1D80F9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1 pis per sota l'alçada del carrer (137) i 1 pis per sobre el pati (131)</t>
      </text>
    </comment>
    <comment ref="J57" authorId="35" shapeId="0" xr:uid="{CC6CDF5F-29B4-41D2-8B8D-D7B61DB7045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1 pis per sota l'alçada del carrer (137) i 1 pis per sobre el pati (131)</t>
      </text>
    </comment>
    <comment ref="J58" authorId="36" shapeId="0" xr:uid="{0E63581D-93FE-4F6A-946E-7F963AD6F74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1 pis per sota l'alçada del carrer (137) i 1 pis per sobre el pati (131)</t>
      </text>
    </comment>
    <comment ref="J59" authorId="37" shapeId="0" xr:uid="{AE780329-CBD9-475C-B521-E95599CE2E6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1 pis per sota l'alçada del carrer (137) i 1 pis per sobre el pati (131)</t>
      </text>
    </comment>
    <comment ref="J61" authorId="38" shapeId="0" xr:uid="{A27F5647-EA28-4C5C-8C2A-785F41D68BF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1 pis per sota l'alçada del carrer (137) i 1 pis per sobre el pati (131)</t>
      </text>
    </comment>
    <comment ref="J62" authorId="39" shapeId="0" xr:uid="{77EC96F9-1BF0-4620-B7D2-A412824546A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1 pis per sota l'alçada del carrer (137) i 1 pis per sobre el pati (131)</t>
      </text>
    </comment>
    <comment ref="J65" authorId="40" shapeId="0" xr:uid="{3D7F8162-08E0-49B6-BA88-BBD07A3CAB9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1 pis per sota l'alçada del carrer (137) i 1 pis per sobre el pati (131)</t>
      </text>
    </comment>
    <comment ref="J66" authorId="41" shapeId="0" xr:uid="{11B4277A-7EEC-4644-9E91-2FB3FCC5AED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1 pis per sota l'alçada del carrer (137) i 1 pis per sobre el pati (131)</t>
      </text>
    </comment>
    <comment ref="J69" authorId="42" shapeId="0" xr:uid="{828D0FDB-4D3B-48EA-B103-14E852717AE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1 pis per sota l'alçada del carrer (137) i 1 pis per sobre el pati (131)</t>
      </text>
    </comment>
    <comment ref="J70" authorId="43" shapeId="0" xr:uid="{D5682057-2FBF-4A04-B7EF-DD0CFBDFF2B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1 pis per sota l'alçada del carrer (137) i 1 pis per sobre el pati (131)</t>
      </text>
    </comment>
    <comment ref="J71" authorId="44" shapeId="0" xr:uid="{2EEBA863-5A52-4CAD-9672-820B6FA5379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1 pis per sota l'alçada del carrer (137) i 1 pis per sobre el pati (131)</t>
      </text>
    </comment>
    <comment ref="J73" authorId="45" shapeId="0" xr:uid="{5247444C-71DB-4E10-B31C-E331CF0C899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1 pis per sota l'alçada del carrer (137) i 1 pis per sobre el pati (131)</t>
      </text>
    </comment>
    <comment ref="J74" authorId="46" shapeId="0" xr:uid="{A53EA8D6-F0C7-4BF3-9B96-0616B283570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1 pis per sota l'alçada del carrer (137) i 1 pis per sobre el pati (131)</t>
      </text>
    </comment>
    <comment ref="J76" authorId="47" shapeId="0" xr:uid="{85ACF10A-A0B1-4764-8BE0-990CD5F19CF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1 pis per sota l'alçada del carrer (137) i 1 pis per sobre el pati (131)</t>
      </text>
    </comment>
    <comment ref="J77" authorId="48" shapeId="0" xr:uid="{C68BEE4D-51C3-4EAD-A71E-C09233E0926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1 pis per sota l'alçada del carrer (137) i 1 pis per sobre el pati (131)</t>
      </text>
    </comment>
    <comment ref="J79" authorId="49" shapeId="0" xr:uid="{65ECA5DC-F0A4-4D58-869B-F4CD83D84D7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1 pis per sota l'alçada del carrer (137) i 1 pis per sobre el pati (131)</t>
      </text>
    </comment>
    <comment ref="J80" authorId="50" shapeId="0" xr:uid="{D8190085-4626-45E2-927B-289DCC6101E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1 pis per sota l'alçada del carrer (137) i 1 pis per sobre el pati (131)</t>
      </text>
    </comment>
    <comment ref="J81" authorId="51" shapeId="0" xr:uid="{73D0E603-600C-42B6-B6F5-2235FBB136E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1 pis per sota l'alçada del carrer (137) i 1 pis per sobre el pati (131)</t>
      </text>
    </comment>
    <comment ref="J83" authorId="52" shapeId="0" xr:uid="{204F1FD7-CA4E-483F-871C-6A9DE5D60AA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1 pis per sota l'alçada del carrer (137) i 1 pis per sobre el pati (131)</t>
      </text>
    </comment>
    <comment ref="J84" authorId="53" shapeId="0" xr:uid="{6D01D319-A7BE-4903-AD6D-EC99E94AB82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1 pis per sota l'alçada del carrer (137) i 1 pis per sobre el pati (131)</t>
      </text>
    </comment>
    <comment ref="J86" authorId="54" shapeId="0" xr:uid="{CD53B517-D06A-4C9C-A661-6702FD6066E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1 pis per sota l'alçada del carrer (137) i 1 pis per sobre el pati (131)</t>
      </text>
    </comment>
  </commentList>
</comments>
</file>

<file path=xl/sharedStrings.xml><?xml version="1.0" encoding="utf-8"?>
<sst xmlns="http://schemas.openxmlformats.org/spreadsheetml/2006/main" count="885" uniqueCount="80">
  <si>
    <t>TO BE COMPLETED BEFORE THE FIELD TRIP - information about the location</t>
  </si>
  <si>
    <t>TO BE COMPLETED IN THE FIELD</t>
  </si>
  <si>
    <t>TO BE COMPLETED IN THE LAB</t>
  </si>
  <si>
    <t>THE FIRST FIELD TRIP - information about the trap</t>
  </si>
  <si>
    <t>EVERY FIELD TRIP - information about the sample</t>
  </si>
  <si>
    <t>#</t>
  </si>
  <si>
    <t>Location Name</t>
  </si>
  <si>
    <t>Country</t>
  </si>
  <si>
    <t>Admin. unit (e.g. District NUTS3)</t>
  </si>
  <si>
    <t>Place (e.g. town, village)</t>
  </si>
  <si>
    <t>postal code</t>
  </si>
  <si>
    <t>trap ID [E (ovitraps) or A (BGS traps) + location name + numbering]</t>
  </si>
  <si>
    <t>Latitude</t>
  </si>
  <si>
    <t>Longitude</t>
  </si>
  <si>
    <t>Altitude</t>
  </si>
  <si>
    <t>Trap type (options= 'Ovitrap', 'BG sentinel + BG lure7' or 'BG sentinel + BG lure7 + CO2')</t>
  </si>
  <si>
    <t>Land use (options= 'Urban habitat', 'Suburban habitat' or 'Other')</t>
  </si>
  <si>
    <t>if Other, specify land use:</t>
  </si>
  <si>
    <t>Comment trap</t>
  </si>
  <si>
    <t>Sample name [trapID + startdatesample (YYMMDD)]</t>
  </si>
  <si>
    <t>Start date</t>
  </si>
  <si>
    <t>Start time</t>
  </si>
  <si>
    <t>Average temperature start date (only for BGS+CO2) [°C]</t>
  </si>
  <si>
    <t>End date</t>
  </si>
  <si>
    <t>End time</t>
  </si>
  <si>
    <t>Average temperature end date (only for BGS+CO2) [°C]</t>
  </si>
  <si>
    <t>trap status (e.g. 'Good', 'Battery out', 'Oviposition support missing', 'Trap broken', 'Trap missing', 'No water in the trap')</t>
  </si>
  <si>
    <t>Comment sample</t>
  </si>
  <si>
    <t>Trapping effort</t>
  </si>
  <si>
    <t>Total number of eggs on tongue depressor</t>
  </si>
  <si>
    <t>Mosquito species</t>
  </si>
  <si>
    <t>Number per species [EGGS: Total no. E x No. specimens hatched-analysed (subsample) / total no. hatched-analysed individuals]</t>
  </si>
  <si>
    <t>Life_Stage identified (options= Adult, Larva or Egg)</t>
  </si>
  <si>
    <t>Number females (optional)</t>
  </si>
  <si>
    <t>number of males (optional)</t>
  </si>
  <si>
    <t>Identification method (options= Morphological, Maldi-TOF or PCR)</t>
  </si>
  <si>
    <t>Data validity (1- Invalidates data; 2 - Reduces data quality; 3 - Add info or interesting observations to interprete results; 4 - no comment)</t>
  </si>
  <si>
    <t>Location name</t>
  </si>
  <si>
    <t>country</t>
  </si>
  <si>
    <t>province</t>
  </si>
  <si>
    <t>city</t>
  </si>
  <si>
    <t>trap name</t>
  </si>
  <si>
    <t>Trap type</t>
  </si>
  <si>
    <t>Land use</t>
  </si>
  <si>
    <t>land use specify</t>
  </si>
  <si>
    <t>comment trap</t>
  </si>
  <si>
    <t>sampling name</t>
  </si>
  <si>
    <t>AvgTstart</t>
  </si>
  <si>
    <t>AvgTend</t>
  </si>
  <si>
    <t>trap status</t>
  </si>
  <si>
    <t>comment sampling</t>
  </si>
  <si>
    <t>trapping effort</t>
  </si>
  <si>
    <t>totaleggs</t>
  </si>
  <si>
    <t>species</t>
  </si>
  <si>
    <t>nrperspecies</t>
  </si>
  <si>
    <t>lifestage</t>
  </si>
  <si>
    <t>Females</t>
  </si>
  <si>
    <t>Males</t>
  </si>
  <si>
    <t>Idmethod</t>
  </si>
  <si>
    <t>Comments classification</t>
  </si>
  <si>
    <t>SP_BCN</t>
  </si>
  <si>
    <t>Spain</t>
  </si>
  <si>
    <t>Barcelona</t>
  </si>
  <si>
    <t>A_SP_BCN_V1</t>
  </si>
  <si>
    <t>BG sentinel + BG lure7</t>
  </si>
  <si>
    <t>Urban habitat</t>
  </si>
  <si>
    <t>Good</t>
  </si>
  <si>
    <t>autosampling</t>
  </si>
  <si>
    <t>Aedes albopictus</t>
  </si>
  <si>
    <t>Culex pipiens</t>
  </si>
  <si>
    <t>Culiseta longiareolata</t>
  </si>
  <si>
    <t>A_SP_BCN_V2</t>
  </si>
  <si>
    <t>Other</t>
  </si>
  <si>
    <t>mountainous area</t>
  </si>
  <si>
    <t>A_SP_BCN_V3</t>
  </si>
  <si>
    <t>some spiders in the sample</t>
  </si>
  <si>
    <t>1 blood fed female</t>
  </si>
  <si>
    <t>autosampling, some ants</t>
  </si>
  <si>
    <t>autosampling - in the morning - it was 24h disconnected - I change the sampling day to the day before, bag not completely closed</t>
  </si>
  <si>
    <t>autosampling - in the morning - it was 24h disconnected, bag not completely closed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</si>
</sst>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0"/>
    <numFmt numFmtId="165" formatCode="0.00000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9"/>
      <color indexed="81"/>
      <name val="Tahoma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0" tint="-0.14999847407452621"/>
        <bgColor indexed="64"/>
      </patternFill>
    </fill>
  </fills>
  <borders count="22">
    <border>
      <left/>
      <right/>
      <top/>
      <bottom/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/>
      <right/>
      <top style="medium">
        <color rgb="FFCCCCCC"/>
      </top>
      <bottom/>
      <diagonal/>
    </border>
    <border>
      <left/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/>
      <top style="medium">
        <color rgb="FFCCCCCC"/>
      </top>
      <bottom/>
      <diagonal/>
    </border>
    <border>
      <left/>
      <right style="medium">
        <color rgb="FF000000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CCCCCC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indexed="64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2" fillId="2" borderId="1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vertical="center" wrapText="1"/>
    </xf>
    <xf numFmtId="0" fontId="2" fillId="2" borderId="3" xfId="0" applyFont="1" applyFill="1" applyBorder="1" applyAlignment="1">
      <alignment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0" fillId="3" borderId="7" xfId="0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0" fontId="2" fillId="2" borderId="11" xfId="0" applyFont="1" applyFill="1" applyBorder="1" applyAlignment="1">
      <alignment vertical="center" wrapText="1"/>
    </xf>
    <xf numFmtId="0" fontId="2" fillId="2" borderId="12" xfId="0" applyFont="1" applyFill="1" applyBorder="1" applyAlignment="1">
      <alignment vertical="center" wrapText="1"/>
    </xf>
    <xf numFmtId="0" fontId="2" fillId="2" borderId="13" xfId="0" applyFont="1" applyFill="1" applyBorder="1" applyAlignment="1">
      <alignment vertical="center" wrapText="1"/>
    </xf>
    <xf numFmtId="0" fontId="2" fillId="3" borderId="4" xfId="0" applyFont="1" applyFill="1" applyBorder="1" applyAlignment="1">
      <alignment vertical="center" wrapText="1"/>
    </xf>
    <xf numFmtId="0" fontId="2" fillId="3" borderId="5" xfId="0" applyFont="1" applyFill="1" applyBorder="1" applyAlignment="1">
      <alignment vertical="center" wrapText="1"/>
    </xf>
    <xf numFmtId="0" fontId="2" fillId="3" borderId="6" xfId="0" applyFont="1" applyFill="1" applyBorder="1" applyAlignment="1">
      <alignment vertical="center" wrapText="1"/>
    </xf>
    <xf numFmtId="0" fontId="2" fillId="3" borderId="14" xfId="0" applyFont="1" applyFill="1" applyBorder="1" applyAlignment="1">
      <alignment horizontal="center" vertical="center" wrapText="1"/>
    </xf>
    <xf numFmtId="0" fontId="0" fillId="3" borderId="15" xfId="0" applyFill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0" fillId="0" borderId="18" xfId="0" applyBorder="1" applyAlignment="1">
      <alignment wrapText="1"/>
    </xf>
    <xf numFmtId="0" fontId="1" fillId="2" borderId="19" xfId="0" applyFont="1" applyFill="1" applyBorder="1" applyAlignment="1">
      <alignment horizontal="center" vertical="center" wrapText="1"/>
    </xf>
    <xf numFmtId="0" fontId="1" fillId="2" borderId="15" xfId="0" applyFont="1" applyFill="1" applyBorder="1" applyAlignment="1">
      <alignment horizontal="center" vertical="center" wrapText="1"/>
    </xf>
    <xf numFmtId="164" fontId="1" fillId="0" borderId="15" xfId="0" applyNumberFormat="1" applyFont="1" applyBorder="1" applyAlignment="1">
      <alignment horizontal="center" vertical="center" wrapText="1"/>
    </xf>
    <xf numFmtId="0" fontId="1" fillId="3" borderId="15" xfId="0" applyFont="1" applyFill="1" applyBorder="1" applyAlignment="1">
      <alignment horizontal="center" vertical="center" wrapText="1"/>
    </xf>
    <xf numFmtId="165" fontId="1" fillId="3" borderId="15" xfId="0" applyNumberFormat="1" applyFont="1" applyFill="1" applyBorder="1" applyAlignment="1">
      <alignment horizontal="right" vertical="center" wrapText="1"/>
    </xf>
    <xf numFmtId="0" fontId="1" fillId="3" borderId="15" xfId="0" applyFont="1" applyFill="1" applyBorder="1" applyAlignment="1">
      <alignment horizontal="right" vertical="center" wrapText="1"/>
    </xf>
    <xf numFmtId="0" fontId="1" fillId="3" borderId="15" xfId="0" applyFont="1" applyFill="1" applyBorder="1" applyAlignment="1">
      <alignment horizontal="center" vertical="center"/>
    </xf>
    <xf numFmtId="0" fontId="1" fillId="3" borderId="15" xfId="0" applyFont="1" applyFill="1" applyBorder="1" applyAlignment="1">
      <alignment vertical="center" wrapText="1"/>
    </xf>
    <xf numFmtId="0" fontId="3" fillId="0" borderId="15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2" borderId="20" xfId="0" applyFont="1" applyFill="1" applyBorder="1" applyAlignment="1">
      <alignment horizontal="center" vertical="center" wrapText="1"/>
    </xf>
    <xf numFmtId="0" fontId="1" fillId="2" borderId="21" xfId="0" applyFont="1" applyFill="1" applyBorder="1" applyAlignment="1">
      <alignment horizontal="center" vertical="center" wrapText="1"/>
    </xf>
    <xf numFmtId="164" fontId="1" fillId="0" borderId="21" xfId="0" applyNumberFormat="1" applyFont="1" applyBorder="1" applyAlignment="1">
      <alignment horizontal="center" vertical="center" wrapText="1"/>
    </xf>
    <xf numFmtId="0" fontId="1" fillId="3" borderId="21" xfId="0" applyFont="1" applyFill="1" applyBorder="1" applyAlignment="1">
      <alignment horizontal="center" vertical="center" wrapText="1"/>
    </xf>
    <xf numFmtId="165" fontId="1" fillId="3" borderId="21" xfId="0" applyNumberFormat="1" applyFont="1" applyFill="1" applyBorder="1" applyAlignment="1">
      <alignment horizontal="right" vertical="center" wrapText="1"/>
    </xf>
    <xf numFmtId="0" fontId="1" fillId="3" borderId="21" xfId="0" applyFont="1" applyFill="1" applyBorder="1" applyAlignment="1">
      <alignment horizontal="right" vertical="center" wrapText="1"/>
    </xf>
    <xf numFmtId="0" fontId="1" fillId="3" borderId="21" xfId="0" applyFont="1" applyFill="1" applyBorder="1" applyAlignment="1">
      <alignment horizontal="center" vertical="center"/>
    </xf>
    <xf numFmtId="0" fontId="3" fillId="0" borderId="21" xfId="0" applyFont="1" applyBorder="1" applyAlignment="1">
      <alignment horizontal="center" vertical="center" wrapText="1"/>
    </xf>
    <xf numFmtId="0" fontId="1" fillId="0" borderId="21" xfId="0" applyFont="1" applyBorder="1" applyAlignment="1">
      <alignment horizontal="center" vertical="center" wrapText="1"/>
    </xf>
    <xf numFmtId="0" fontId="1" fillId="4" borderId="2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2" fontId="0" fillId="0" borderId="0" xfId="0" applyNumberFormat="1"/>
    <xf numFmtId="14" fontId="0" fillId="0" borderId="0" xfId="0" applyNumberFormat="1" applyAlignment="1">
      <alignment horizontal="center" wrapText="1"/>
    </xf>
    <xf numFmtId="20" fontId="0" fillId="0" borderId="0" xfId="0" applyNumberFormat="1" applyAlignment="1">
      <alignment horizontal="center" wrapText="1"/>
    </xf>
    <xf numFmtId="0" fontId="0" fillId="5" borderId="0" xfId="0" applyFill="1" applyAlignment="1">
      <alignment vertical="center" wrapText="1"/>
    </xf>
    <xf numFmtId="14" fontId="0" fillId="0" borderId="0" xfId="0" applyNumberFormat="1" applyAlignment="1">
      <alignment horizontal="center" vertical="center" wrapText="1"/>
    </xf>
    <xf numFmtId="20" fontId="0" fillId="0" borderId="0" xfId="0" applyNumberFormat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right" wrapText="1"/>
    </xf>
    <xf numFmtId="164" fontId="4" fillId="0" borderId="0" xfId="0" applyNumberFormat="1" applyFont="1" applyAlignment="1">
      <alignment horizont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/>
    </xf>
    <xf numFmtId="0" fontId="0" fillId="5" borderId="0" xfId="0" applyFill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Isis Sanpera Calbet" id="{274DB35C-3F80-4A9A-BB57-D72EA86FB4CF}" userId="2dc9aff2a9b6fa99" providerId="Windows Live"/>
</personList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J5" dT="2022-06-06T12:38:09.40" personId="{274DB35C-3F80-4A9A-BB57-D72EA86FB4CF}" id="{31854B2D-A8FD-424B-9A2E-6E553FBE792D}">
    <text>1 pis per sota l'alçada del carrer (137) i 1 pis per sobre el pati (131)</text>
  </threadedComment>
  <threadedComment ref="P5" dT="2022-06-06T10:55:37.74" personId="{274DB35C-3F80-4A9A-BB57-D72EA86FB4CF}" id="{3C023185-9452-4701-8097-CC02EA0BF55F}">
    <text>Al full de resultats aquesta és la data que hi ha marcada</text>
  </threadedComment>
  <threadedComment ref="J6" dT="2022-06-06T12:38:09.40" personId="{274DB35C-3F80-4A9A-BB57-D72EA86FB4CF}" id="{AB58BD96-71EE-4E8E-B618-C6F7C76F1CCB}">
    <text>1 pis per sota l'alçada del carrer (137) i 1 pis per sobre el pati (131)</text>
  </threadedComment>
  <threadedComment ref="J7" dT="2022-06-06T12:38:09.40" personId="{274DB35C-3F80-4A9A-BB57-D72EA86FB4CF}" id="{9C3C281C-C276-4C55-B839-9483565122BB}">
    <text>1 pis per sota l'alçada del carrer (137) i 1 pis per sobre el pati (131)</text>
  </threadedComment>
  <threadedComment ref="J10" dT="2022-06-06T12:41:56.45" personId="{274DB35C-3F80-4A9A-BB57-D72EA86FB4CF}" id="{439194C1-77E4-4361-B716-DCD26E689B4D}">
    <text>La trampa està en un 1r pis</text>
  </threadedComment>
  <threadedComment ref="J11" dT="2022-06-06T12:38:09.40" personId="{274DB35C-3F80-4A9A-BB57-D72EA86FB4CF}" id="{6D3F7B4E-FF84-4148-8DAA-4E4291B9882A}">
    <text>1 pis per sota l'alçada del carrer (137) i 1 pis per sobre el pati (131)</text>
  </threadedComment>
  <threadedComment ref="P11" dT="2022-06-06T10:56:33.17" personId="{274DB35C-3F80-4A9A-BB57-D72EA86FB4CF}" id="{3C101111-3B3E-423D-99FB-7FF3C296F3CB}">
    <text>Al full de resultats aquesta és la data que hi ha marcada</text>
  </threadedComment>
  <threadedComment ref="J12" dT="2022-06-06T12:38:09.40" personId="{274DB35C-3F80-4A9A-BB57-D72EA86FB4CF}" id="{D778CE8A-D54F-4B2E-9B9F-505A353F106A}">
    <text>1 pis per sota l'alçada del carrer (137) i 1 pis per sobre el pati (131)</text>
  </threadedComment>
  <threadedComment ref="S13" dT="2021-07-05T16:57:07.76" personId="{274DB35C-3F80-4A9A-BB57-D72EA86FB4CF}" id="{A1F85755-6ECB-454D-AC9D-CF2AB8E0B70E}">
    <text>data marcada al pot on estava la bossa - en el tupper amb la mostra 2 al 9/6/21</text>
  </threadedComment>
  <threadedComment ref="S14" dT="2021-07-05T16:57:07.76" personId="{274DB35C-3F80-4A9A-BB57-D72EA86FB4CF}" id="{29E80B47-A513-4CE0-B7B9-5C8129804286}">
    <text>data marcada al pot on estava la bossa - en el tupper amb la mostra 2 al 9/6/21</text>
  </threadedComment>
  <threadedComment ref="S15" dT="2021-07-05T16:57:07.76" personId="{274DB35C-3F80-4A9A-BB57-D72EA86FB4CF}" id="{25122C66-8C5D-4B76-AAE3-3D56A28C1324}">
    <text>data marcada al pot on estava la bossa - en el tupper amb la mostra 2 al 9/6/21</text>
  </threadedComment>
  <threadedComment ref="J16" dT="2022-06-06T12:41:56.45" personId="{274DB35C-3F80-4A9A-BB57-D72EA86FB4CF}" id="{53A03DB5-98C7-494E-8CF2-F71CE0A73D43}">
    <text>La trampa està en un 1r pis</text>
  </threadedComment>
  <threadedComment ref="J17" dT="2022-06-06T12:41:56.45" personId="{274DB35C-3F80-4A9A-BB57-D72EA86FB4CF}" id="{003F35CD-74A4-41BC-BF4D-A360DCAA9E71}">
    <text>La trampa està en un 1r pis</text>
  </threadedComment>
  <threadedComment ref="J18" dT="2022-06-06T12:38:09.40" personId="{274DB35C-3F80-4A9A-BB57-D72EA86FB4CF}" id="{5283C886-160E-40EB-9A4A-ABAD3CE4BAE7}">
    <text>1 pis per sota l'alçada del carrer (137) i 1 pis per sobre el pati (131)</text>
  </threadedComment>
  <threadedComment ref="J19" dT="2022-06-06T12:41:56.45" personId="{274DB35C-3F80-4A9A-BB57-D72EA86FB4CF}" id="{2B03F275-9506-4FAD-B4EA-D3B3996E9783}">
    <text>La trampa està en un 1r pis</text>
  </threadedComment>
  <threadedComment ref="J20" dT="2022-06-06T12:38:09.40" personId="{274DB35C-3F80-4A9A-BB57-D72EA86FB4CF}" id="{9E912903-B28B-41FB-AC49-636B52FFBA24}">
    <text>1 pis per sota l'alçada del carrer (137) i 1 pis per sobre el pati (131)</text>
  </threadedComment>
  <threadedComment ref="J21" dT="2022-06-06T12:38:09.40" personId="{274DB35C-3F80-4A9A-BB57-D72EA86FB4CF}" id="{41D29F88-FE99-45AC-8733-E138168A428B}">
    <text>1 pis per sota l'alçada del carrer (137) i 1 pis per sobre el pati (131)</text>
  </threadedComment>
  <threadedComment ref="J25" dT="2022-06-06T12:41:56.45" personId="{274DB35C-3F80-4A9A-BB57-D72EA86FB4CF}" id="{F8C44855-2CF1-44F0-BFAE-47DED102322E}">
    <text>La trampa està en un 1r pis</text>
  </threadedComment>
  <threadedComment ref="P25" dT="2022-06-06T10:13:37.10" personId="{274DB35C-3F80-4A9A-BB57-D72EA86FB4CF}" id="{52E64E6C-4CF6-4C63-BB4C-E6947FBF9FE7}">
    <text>Estava marcat com a 23/07 al 01/07 però deu ser 23/06 al 01/07</text>
  </threadedComment>
  <threadedComment ref="J26" dT="2022-06-06T12:38:09.40" personId="{274DB35C-3F80-4A9A-BB57-D72EA86FB4CF}" id="{DD5D5940-2050-4FCC-B1B8-B86CCEF91A47}">
    <text>1 pis per sota l'alçada del carrer (137) i 1 pis per sobre el pati (131)</text>
  </threadedComment>
  <threadedComment ref="J27" dT="2022-06-06T12:38:09.40" personId="{274DB35C-3F80-4A9A-BB57-D72EA86FB4CF}" id="{E940F29C-9DC1-434A-9ECE-A8983BDB98CF}">
    <text>1 pis per sota l'alçada del carrer (137) i 1 pis per sobre el pati (131)</text>
  </threadedComment>
  <threadedComment ref="J28" dT="2022-06-06T12:38:09.40" personId="{274DB35C-3F80-4A9A-BB57-D72EA86FB4CF}" id="{6E769DBF-CB87-44BA-8BC8-62CF62CD05C4}">
    <text>1 pis per sota l'alçada del carrer (137) i 1 pis per sobre el pati (131)</text>
  </threadedComment>
  <threadedComment ref="J32" dT="2022-06-06T12:41:56.45" personId="{274DB35C-3F80-4A9A-BB57-D72EA86FB4CF}" id="{AD81C23B-29A1-4154-A874-7177B4D1F12C}">
    <text>La trampa està en un 1r pis</text>
  </threadedComment>
  <threadedComment ref="J33" dT="2022-06-06T12:41:56.45" personId="{274DB35C-3F80-4A9A-BB57-D72EA86FB4CF}" id="{30970D07-BF13-4AA2-B4A6-FB98AE72CA4D}">
    <text>La trampa està en un 1r pis</text>
  </threadedComment>
  <threadedComment ref="J39" dT="2022-06-06T12:41:56.45" personId="{274DB35C-3F80-4A9A-BB57-D72EA86FB4CF}" id="{F531F4EB-E166-4975-A680-9917966B1545}">
    <text>La trampa està en un 1r pis</text>
  </threadedComment>
  <threadedComment ref="J40" dT="2022-06-06T12:41:56.45" personId="{274DB35C-3F80-4A9A-BB57-D72EA86FB4CF}" id="{AC39A05B-3614-4437-8D89-4DC0863EA6D7}">
    <text>La trampa està en un 1r pis</text>
  </threadedComment>
  <threadedComment ref="J41" dT="2022-06-06T12:41:56.45" personId="{274DB35C-3F80-4A9A-BB57-D72EA86FB4CF}" id="{FC1097EA-7BD2-4615-AFA3-32AA27EB86BA}">
    <text>La trampa està en un 1r pis</text>
  </threadedComment>
  <threadedComment ref="J42" dT="2022-06-06T12:41:56.45" personId="{274DB35C-3F80-4A9A-BB57-D72EA86FB4CF}" id="{91795F09-189D-4045-B5ED-2D717D12A50A}">
    <text>La trampa està en un 1r pis</text>
  </threadedComment>
  <threadedComment ref="J43" dT="2022-06-06T12:41:56.45" personId="{274DB35C-3F80-4A9A-BB57-D72EA86FB4CF}" id="{32A076AB-7024-4D61-9024-0C4DC24C6E0E}">
    <text>La trampa està en un 1r pis</text>
  </threadedComment>
  <threadedComment ref="J46" dT="2022-06-06T12:41:56.45" personId="{274DB35C-3F80-4A9A-BB57-D72EA86FB4CF}" id="{D9A40F1A-CD8C-42B4-8701-B5277F82C719}">
    <text>La trampa està en un 1r pis</text>
  </threadedComment>
  <threadedComment ref="J47" dT="2022-06-06T12:41:56.45" personId="{274DB35C-3F80-4A9A-BB57-D72EA86FB4CF}" id="{769DE828-BA9C-4276-A545-C2FDD3AC9071}">
    <text>La trampa està en un 1r pis</text>
  </threadedComment>
  <threadedComment ref="J48" dT="2022-06-06T12:41:56.45" personId="{274DB35C-3F80-4A9A-BB57-D72EA86FB4CF}" id="{6947C122-F558-4897-BEC1-151B63341F44}">
    <text>La trampa està en un 1r pis</text>
  </threadedComment>
  <threadedComment ref="J49" dT="2022-06-06T12:41:56.45" personId="{274DB35C-3F80-4A9A-BB57-D72EA86FB4CF}" id="{C12A1DEE-3A2D-49D2-9E26-13476FE39913}">
    <text>La trampa està en un 1r pis</text>
  </threadedComment>
  <threadedComment ref="J54" dT="2022-06-06T12:38:09.40" personId="{274DB35C-3F80-4A9A-BB57-D72EA86FB4CF}" id="{5D7F1070-904B-4732-BA82-8EA6490029A6}">
    <text>1 pis per sota l'alçada del carrer (137) i 1 pis per sobre el pati (131)</text>
  </threadedComment>
  <threadedComment ref="J55" dT="2022-06-06T12:38:09.40" personId="{274DB35C-3F80-4A9A-BB57-D72EA86FB4CF}" id="{A554F3D4-D33F-41F0-8B17-B9D1E1D80F90}">
    <text>1 pis per sota l'alçada del carrer (137) i 1 pis per sobre el pati (131)</text>
  </threadedComment>
  <threadedComment ref="J57" dT="2022-06-06T12:38:09.40" personId="{274DB35C-3F80-4A9A-BB57-D72EA86FB4CF}" id="{CC6CDF5F-29B4-41D2-8B8D-D7B61DB70455}">
    <text>1 pis per sota l'alçada del carrer (137) i 1 pis per sobre el pati (131)</text>
  </threadedComment>
  <threadedComment ref="J58" dT="2022-06-06T12:38:09.40" personId="{274DB35C-3F80-4A9A-BB57-D72EA86FB4CF}" id="{0E63581D-93FE-4F6A-946E-7F963AD6F744}">
    <text>1 pis per sota l'alçada del carrer (137) i 1 pis per sobre el pati (131)</text>
  </threadedComment>
  <threadedComment ref="J59" dT="2022-06-06T12:38:09.40" personId="{274DB35C-3F80-4A9A-BB57-D72EA86FB4CF}" id="{AE780329-CBD9-475C-B521-E95599CE2E6A}">
    <text>1 pis per sota l'alçada del carrer (137) i 1 pis per sobre el pati (131)</text>
  </threadedComment>
  <threadedComment ref="J61" dT="2022-06-06T12:38:09.40" personId="{274DB35C-3F80-4A9A-BB57-D72EA86FB4CF}" id="{A27F5647-EA28-4C5C-8C2A-785F41D68BF4}">
    <text>1 pis per sota l'alçada del carrer (137) i 1 pis per sobre el pati (131)</text>
  </threadedComment>
  <threadedComment ref="J62" dT="2022-06-06T12:38:09.40" personId="{274DB35C-3F80-4A9A-BB57-D72EA86FB4CF}" id="{77EC96F9-1BF0-4620-B7D2-A412824546A9}">
    <text>1 pis per sota l'alçada del carrer (137) i 1 pis per sobre el pati (131)</text>
  </threadedComment>
  <threadedComment ref="J65" dT="2022-06-06T12:38:09.40" personId="{274DB35C-3F80-4A9A-BB57-D72EA86FB4CF}" id="{3D7F8162-08E0-49B6-BA88-BBD07A3CAB9E}">
    <text>1 pis per sota l'alçada del carrer (137) i 1 pis per sobre el pati (131)</text>
  </threadedComment>
  <threadedComment ref="J66" dT="2022-06-06T12:38:09.40" personId="{274DB35C-3F80-4A9A-BB57-D72EA86FB4CF}" id="{11B4277A-7EEC-4644-9E91-2FB3FCC5AED7}">
    <text>1 pis per sota l'alçada del carrer (137) i 1 pis per sobre el pati (131)</text>
  </threadedComment>
  <threadedComment ref="J69" dT="2022-06-06T12:38:09.40" personId="{274DB35C-3F80-4A9A-BB57-D72EA86FB4CF}" id="{828D0FDB-4D3B-48EA-B103-14E852717AE4}">
    <text>1 pis per sota l'alçada del carrer (137) i 1 pis per sobre el pati (131)</text>
  </threadedComment>
  <threadedComment ref="J70" dT="2022-06-06T12:38:09.40" personId="{274DB35C-3F80-4A9A-BB57-D72EA86FB4CF}" id="{D5682057-2FBF-4A04-B7EF-DD0CFBDFF2BD}">
    <text>1 pis per sota l'alçada del carrer (137) i 1 pis per sobre el pati (131)</text>
  </threadedComment>
  <threadedComment ref="J71" dT="2022-06-06T12:38:09.40" personId="{274DB35C-3F80-4A9A-BB57-D72EA86FB4CF}" id="{2EEBA863-5A52-4CAD-9672-820B6FA53793}">
    <text>1 pis per sota l'alçada del carrer (137) i 1 pis per sobre el pati (131)</text>
  </threadedComment>
  <threadedComment ref="J73" dT="2022-06-06T12:38:09.40" personId="{274DB35C-3F80-4A9A-BB57-D72EA86FB4CF}" id="{5247444C-71DB-4E10-B31C-E331CF0C8998}">
    <text>1 pis per sota l'alçada del carrer (137) i 1 pis per sobre el pati (131)</text>
  </threadedComment>
  <threadedComment ref="J74" dT="2022-06-06T12:38:09.40" personId="{274DB35C-3F80-4A9A-BB57-D72EA86FB4CF}" id="{A53EA8D6-F0C7-4BF3-9B96-0616B2835704}">
    <text>1 pis per sota l'alçada del carrer (137) i 1 pis per sobre el pati (131)</text>
  </threadedComment>
  <threadedComment ref="J76" dT="2022-06-06T12:38:09.40" personId="{274DB35C-3F80-4A9A-BB57-D72EA86FB4CF}" id="{85ACF10A-A0B1-4764-8BE0-990CD5F19CF8}">
    <text>1 pis per sota l'alçada del carrer (137) i 1 pis per sobre el pati (131)</text>
  </threadedComment>
  <threadedComment ref="J77" dT="2022-06-06T12:38:09.40" personId="{274DB35C-3F80-4A9A-BB57-D72EA86FB4CF}" id="{C68BEE4D-51C3-4EAD-A71E-C09233E0926E}">
    <text>1 pis per sota l'alçada del carrer (137) i 1 pis per sobre el pati (131)</text>
  </threadedComment>
  <threadedComment ref="J79" dT="2022-06-06T12:38:09.40" personId="{274DB35C-3F80-4A9A-BB57-D72EA86FB4CF}" id="{65ECA5DC-F0A4-4D58-869B-F4CD83D84D70}">
    <text>1 pis per sota l'alçada del carrer (137) i 1 pis per sobre el pati (131)</text>
  </threadedComment>
  <threadedComment ref="J80" dT="2022-06-06T12:38:09.40" personId="{274DB35C-3F80-4A9A-BB57-D72EA86FB4CF}" id="{D8190085-4626-45E2-927B-289DCC6101E0}">
    <text>1 pis per sota l'alçada del carrer (137) i 1 pis per sobre el pati (131)</text>
  </threadedComment>
  <threadedComment ref="J81" dT="2022-06-06T12:38:09.40" personId="{274DB35C-3F80-4A9A-BB57-D72EA86FB4CF}" id="{73D0E603-600C-42B6-B6F5-2235FBB136EC}">
    <text>1 pis per sota l'alçada del carrer (137) i 1 pis per sobre el pati (131)</text>
  </threadedComment>
  <threadedComment ref="J83" dT="2022-06-06T12:38:09.40" personId="{274DB35C-3F80-4A9A-BB57-D72EA86FB4CF}" id="{204F1FD7-CA4E-483F-871C-6A9DE5D60AA7}">
    <text>1 pis per sota l'alçada del carrer (137) i 1 pis per sobre el pati (131)</text>
  </threadedComment>
  <threadedComment ref="J84" dT="2022-06-06T12:38:09.40" personId="{274DB35C-3F80-4A9A-BB57-D72EA86FB4CF}" id="{6D01D319-A7BE-4903-AD6D-EC99E94AB82C}">
    <text>1 pis per sota l'alçada del carrer (137) i 1 pis per sobre el pati (131)</text>
  </threadedComment>
  <threadedComment ref="J86" dT="2022-06-06T12:38:09.40" personId="{274DB35C-3F80-4A9A-BB57-D72EA86FB4CF}" id="{CD53B517-D06A-4C9C-A661-6702FD6066E4}">
    <text>1 pis per sota l'alçada del carrer (137) i 1 pis per sobre el pati (131)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3C30D4-E4E8-49BC-9FF5-A830C37973AD}">
  <dimension ref="A1:AF86"/>
  <sheetViews>
    <sheetView tabSelected="1" topLeftCell="P1" workbookViewId="0">
      <selection activeCell="W73" sqref="W73"/>
    </sheetView>
  </sheetViews>
  <sheetFormatPr baseColWidth="10" defaultRowHeight="15" x14ac:dyDescent="0.25"/>
  <cols>
    <col min="7" max="7" width="17" customWidth="1"/>
    <col min="11" max="11" width="22.28515625" customWidth="1"/>
    <col min="12" max="12" width="13.85546875" customWidth="1"/>
    <col min="13" max="13" width="17.140625" bestFit="1" customWidth="1"/>
    <col min="15" max="15" width="20.5703125" bestFit="1" customWidth="1"/>
    <col min="16" max="16" width="11.42578125" style="54"/>
    <col min="19" max="19" width="11.42578125" style="54"/>
    <col min="23" max="23" width="20.28515625" customWidth="1"/>
    <col min="26" max="26" width="20.42578125" style="54" bestFit="1" customWidth="1"/>
    <col min="29" max="30" width="11.42578125" style="54"/>
    <col min="31" max="31" width="14.28515625" customWidth="1"/>
  </cols>
  <sheetData>
    <row r="1" spans="1:32" ht="19.5" thickBot="1" x14ac:dyDescent="0.3">
      <c r="A1" s="1" t="s">
        <v>0</v>
      </c>
      <c r="B1" s="2"/>
      <c r="C1" s="2"/>
      <c r="D1" s="2"/>
      <c r="E1" s="2"/>
      <c r="F1" s="3"/>
      <c r="G1" s="4" t="s">
        <v>1</v>
      </c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6"/>
      <c r="X1" s="7"/>
      <c r="Y1" s="8" t="s">
        <v>2</v>
      </c>
      <c r="Z1" s="9"/>
      <c r="AA1" s="9"/>
      <c r="AB1" s="9"/>
      <c r="AC1" s="9"/>
      <c r="AD1" s="9"/>
      <c r="AE1" s="10"/>
      <c r="AF1" s="11"/>
    </row>
    <row r="2" spans="1:32" ht="19.5" thickBot="1" x14ac:dyDescent="0.3">
      <c r="A2" s="12"/>
      <c r="B2" s="13"/>
      <c r="C2" s="13"/>
      <c r="D2" s="13"/>
      <c r="E2" s="13"/>
      <c r="F2" s="14"/>
      <c r="G2" s="15" t="s">
        <v>3</v>
      </c>
      <c r="H2" s="16"/>
      <c r="I2" s="16"/>
      <c r="J2" s="16"/>
      <c r="K2" s="16"/>
      <c r="L2" s="16"/>
      <c r="M2" s="16"/>
      <c r="N2" s="17"/>
      <c r="O2" s="18" t="s">
        <v>4</v>
      </c>
      <c r="P2" s="5"/>
      <c r="Q2" s="5"/>
      <c r="R2" s="5"/>
      <c r="S2" s="5"/>
      <c r="T2" s="5"/>
      <c r="U2" s="5"/>
      <c r="V2" s="5"/>
      <c r="W2" s="6"/>
      <c r="X2" s="19"/>
      <c r="Y2" s="20"/>
      <c r="Z2" s="21"/>
      <c r="AA2" s="21"/>
      <c r="AB2" s="21"/>
      <c r="AC2" s="21"/>
      <c r="AD2" s="21"/>
      <c r="AE2" s="22"/>
      <c r="AF2" s="23"/>
    </row>
    <row r="3" spans="1:32" ht="225.75" thickBot="1" x14ac:dyDescent="0.3">
      <c r="A3" s="24" t="s">
        <v>5</v>
      </c>
      <c r="B3" s="25" t="s">
        <v>6</v>
      </c>
      <c r="C3" s="25" t="s">
        <v>7</v>
      </c>
      <c r="D3" s="25" t="s">
        <v>8</v>
      </c>
      <c r="E3" s="25" t="s">
        <v>9</v>
      </c>
      <c r="F3" s="26" t="s">
        <v>10</v>
      </c>
      <c r="G3" s="27" t="s">
        <v>11</v>
      </c>
      <c r="H3" s="28" t="s">
        <v>12</v>
      </c>
      <c r="I3" s="28" t="s">
        <v>13</v>
      </c>
      <c r="J3" s="29" t="s">
        <v>14</v>
      </c>
      <c r="K3" s="27" t="s">
        <v>15</v>
      </c>
      <c r="L3" s="27" t="s">
        <v>16</v>
      </c>
      <c r="M3" s="27" t="s">
        <v>17</v>
      </c>
      <c r="N3" s="27" t="s">
        <v>18</v>
      </c>
      <c r="O3" s="27" t="s">
        <v>19</v>
      </c>
      <c r="P3" s="27" t="s">
        <v>20</v>
      </c>
      <c r="Q3" s="27" t="s">
        <v>21</v>
      </c>
      <c r="R3" s="27" t="s">
        <v>22</v>
      </c>
      <c r="S3" s="27" t="s">
        <v>23</v>
      </c>
      <c r="T3" s="27" t="s">
        <v>24</v>
      </c>
      <c r="U3" s="27" t="s">
        <v>25</v>
      </c>
      <c r="V3" s="30" t="s">
        <v>26</v>
      </c>
      <c r="W3" s="31" t="s">
        <v>27</v>
      </c>
      <c r="X3" s="27" t="s">
        <v>28</v>
      </c>
      <c r="Y3" s="32" t="s">
        <v>29</v>
      </c>
      <c r="Z3" s="33" t="s">
        <v>30</v>
      </c>
      <c r="AA3" s="32" t="s">
        <v>31</v>
      </c>
      <c r="AB3" s="32" t="s">
        <v>32</v>
      </c>
      <c r="AC3" s="32" t="s">
        <v>33</v>
      </c>
      <c r="AD3" s="32" t="s">
        <v>34</v>
      </c>
      <c r="AE3" s="32" t="s">
        <v>35</v>
      </c>
      <c r="AF3" s="32" t="s">
        <v>36</v>
      </c>
    </row>
    <row r="4" spans="1:32" ht="45.75" thickBot="1" x14ac:dyDescent="0.3">
      <c r="A4" s="34"/>
      <c r="B4" s="35" t="s">
        <v>37</v>
      </c>
      <c r="C4" s="35" t="s">
        <v>38</v>
      </c>
      <c r="D4" s="35" t="s">
        <v>39</v>
      </c>
      <c r="E4" s="35" t="s">
        <v>40</v>
      </c>
      <c r="F4" s="36" t="s">
        <v>10</v>
      </c>
      <c r="G4" s="37" t="s">
        <v>41</v>
      </c>
      <c r="H4" s="38" t="s">
        <v>12</v>
      </c>
      <c r="I4" s="38" t="s">
        <v>13</v>
      </c>
      <c r="J4" s="39" t="s">
        <v>14</v>
      </c>
      <c r="K4" s="37" t="s">
        <v>42</v>
      </c>
      <c r="L4" s="37" t="s">
        <v>43</v>
      </c>
      <c r="M4" s="37" t="s">
        <v>44</v>
      </c>
      <c r="N4" s="37" t="s">
        <v>45</v>
      </c>
      <c r="O4" s="37" t="s">
        <v>46</v>
      </c>
      <c r="P4" s="37" t="s">
        <v>20</v>
      </c>
      <c r="Q4" s="37" t="s">
        <v>21</v>
      </c>
      <c r="R4" s="37" t="s">
        <v>47</v>
      </c>
      <c r="S4" s="37" t="s">
        <v>23</v>
      </c>
      <c r="T4" s="37" t="s">
        <v>24</v>
      </c>
      <c r="U4" s="37" t="s">
        <v>48</v>
      </c>
      <c r="V4" s="40" t="s">
        <v>49</v>
      </c>
      <c r="W4" s="37" t="s">
        <v>50</v>
      </c>
      <c r="X4" s="37" t="s">
        <v>51</v>
      </c>
      <c r="Y4" s="41" t="s">
        <v>52</v>
      </c>
      <c r="Z4" s="42" t="s">
        <v>53</v>
      </c>
      <c r="AA4" s="41" t="s">
        <v>54</v>
      </c>
      <c r="AB4" s="41" t="s">
        <v>55</v>
      </c>
      <c r="AC4" s="41" t="s">
        <v>56</v>
      </c>
      <c r="AD4" s="41" t="s">
        <v>57</v>
      </c>
      <c r="AE4" s="41" t="s">
        <v>58</v>
      </c>
      <c r="AF4" s="43" t="s">
        <v>59</v>
      </c>
    </row>
    <row r="5" spans="1:32" ht="18" customHeight="1" x14ac:dyDescent="0.25">
      <c r="A5" s="44">
        <v>1</v>
      </c>
      <c r="B5" s="44" t="s">
        <v>60</v>
      </c>
      <c r="C5" s="44" t="s">
        <v>61</v>
      </c>
      <c r="D5" s="44" t="s">
        <v>62</v>
      </c>
      <c r="E5" s="44" t="s">
        <v>62</v>
      </c>
      <c r="F5" s="45">
        <v>8024</v>
      </c>
      <c r="G5" t="s">
        <v>63</v>
      </c>
      <c r="H5" s="46">
        <v>41.41</v>
      </c>
      <c r="I5" s="46">
        <v>2.15</v>
      </c>
      <c r="J5">
        <v>134</v>
      </c>
      <c r="K5" s="44" t="s">
        <v>64</v>
      </c>
      <c r="L5" s="44" t="s">
        <v>65</v>
      </c>
      <c r="M5" s="44"/>
      <c r="N5" s="44"/>
      <c r="O5" s="44" t="str">
        <f t="shared" ref="O5:O76" si="0">G5&amp;"_"&amp;TEXT(P5, "AAMMDD")</f>
        <v>A_SP_BCN_V1_210602</v>
      </c>
      <c r="P5" s="47">
        <v>44349</v>
      </c>
      <c r="Q5" s="48"/>
      <c r="R5" s="49"/>
      <c r="S5" s="50">
        <v>44356</v>
      </c>
      <c r="T5" s="51"/>
      <c r="U5" s="49"/>
      <c r="V5" t="s">
        <v>66</v>
      </c>
      <c r="W5" s="52" t="s">
        <v>67</v>
      </c>
      <c r="X5" s="44">
        <f t="shared" ref="X5:X76" si="1">S5-P5</f>
        <v>7</v>
      </c>
      <c r="Y5" s="53"/>
      <c r="Z5" s="54" t="s">
        <v>68</v>
      </c>
      <c r="AA5" s="44">
        <f t="shared" ref="AA5:AA76" si="2">SUM(AC5:AD5)</f>
        <v>1</v>
      </c>
      <c r="AB5" t="str">
        <f t="shared" ref="AB5:AB76" si="3">IF(AA5=0,"",IF(AA5="","",IF(AA5&gt;0,"Adult")))</f>
        <v>Adult</v>
      </c>
      <c r="AC5" s="44">
        <v>1</v>
      </c>
      <c r="AD5" s="44">
        <v>0</v>
      </c>
      <c r="AE5" s="44" t="str">
        <f t="shared" ref="AE5:AE76" si="4">IF(AA5=0,"",IF(AA5="","",IF(AA5&gt;0,"Morphological")))</f>
        <v>Morphological</v>
      </c>
      <c r="AF5" s="55">
        <v>4</v>
      </c>
    </row>
    <row r="6" spans="1:32" ht="18" customHeight="1" x14ac:dyDescent="0.25">
      <c r="A6" s="44">
        <v>2</v>
      </c>
      <c r="B6" s="44" t="s">
        <v>60</v>
      </c>
      <c r="C6" s="44" t="s">
        <v>61</v>
      </c>
      <c r="D6" s="44" t="s">
        <v>62</v>
      </c>
      <c r="E6" s="44" t="s">
        <v>62</v>
      </c>
      <c r="F6" s="45">
        <v>8024</v>
      </c>
      <c r="G6" t="s">
        <v>63</v>
      </c>
      <c r="H6" s="46">
        <v>41.41</v>
      </c>
      <c r="I6" s="46">
        <v>2.15</v>
      </c>
      <c r="J6">
        <v>134</v>
      </c>
      <c r="K6" s="44" t="s">
        <v>64</v>
      </c>
      <c r="L6" s="44" t="s">
        <v>65</v>
      </c>
      <c r="M6" s="44"/>
      <c r="N6" s="44"/>
      <c r="O6" s="44" t="str">
        <f t="shared" si="0"/>
        <v>A_SP_BCN_V1_210602</v>
      </c>
      <c r="P6" s="47">
        <v>44349</v>
      </c>
      <c r="Q6" s="48"/>
      <c r="R6" s="49"/>
      <c r="S6" s="50">
        <v>44356</v>
      </c>
      <c r="T6" s="51"/>
      <c r="U6" s="49"/>
      <c r="V6" t="s">
        <v>66</v>
      </c>
      <c r="W6" s="52" t="s">
        <v>67</v>
      </c>
      <c r="X6" s="44">
        <f t="shared" si="1"/>
        <v>7</v>
      </c>
      <c r="Y6" s="53"/>
      <c r="Z6" s="54" t="s">
        <v>69</v>
      </c>
      <c r="AA6" s="44">
        <f t="shared" si="2"/>
        <v>1</v>
      </c>
      <c r="AB6" t="str">
        <f t="shared" si="3"/>
        <v>Adult</v>
      </c>
      <c r="AC6" s="44">
        <v>1</v>
      </c>
      <c r="AD6" s="44">
        <v>0</v>
      </c>
      <c r="AE6" s="44" t="str">
        <f t="shared" si="4"/>
        <v>Morphological</v>
      </c>
      <c r="AF6" s="55">
        <v>4</v>
      </c>
    </row>
    <row r="7" spans="1:32" ht="18" customHeight="1" x14ac:dyDescent="0.25">
      <c r="A7" s="44">
        <v>3</v>
      </c>
      <c r="B7" s="44" t="s">
        <v>60</v>
      </c>
      <c r="C7" s="44" t="s">
        <v>61</v>
      </c>
      <c r="D7" s="44" t="s">
        <v>62</v>
      </c>
      <c r="E7" s="44" t="s">
        <v>62</v>
      </c>
      <c r="F7" s="45">
        <v>8024</v>
      </c>
      <c r="G7" t="s">
        <v>63</v>
      </c>
      <c r="H7" s="46">
        <v>41.41</v>
      </c>
      <c r="I7" s="46">
        <v>2.15</v>
      </c>
      <c r="J7">
        <v>134</v>
      </c>
      <c r="K7" s="44" t="s">
        <v>64</v>
      </c>
      <c r="L7" s="44" t="s">
        <v>65</v>
      </c>
      <c r="M7" s="44"/>
      <c r="N7" s="44"/>
      <c r="O7" s="44" t="str">
        <f t="shared" si="0"/>
        <v>A_SP_BCN_V1_210602</v>
      </c>
      <c r="P7" s="47">
        <v>44349</v>
      </c>
      <c r="Q7" s="48"/>
      <c r="R7" s="49"/>
      <c r="S7" s="50">
        <v>44356</v>
      </c>
      <c r="T7" s="51"/>
      <c r="U7" s="49"/>
      <c r="V7" t="s">
        <v>66</v>
      </c>
      <c r="W7" s="52" t="s">
        <v>67</v>
      </c>
      <c r="X7" s="44">
        <f t="shared" si="1"/>
        <v>7</v>
      </c>
      <c r="Y7" s="53"/>
      <c r="Z7" s="54" t="s">
        <v>70</v>
      </c>
      <c r="AA7" s="44">
        <f t="shared" si="2"/>
        <v>2</v>
      </c>
      <c r="AB7" t="str">
        <f t="shared" si="3"/>
        <v>Adult</v>
      </c>
      <c r="AC7" s="44">
        <v>1</v>
      </c>
      <c r="AD7" s="44">
        <v>1</v>
      </c>
      <c r="AE7" s="44" t="str">
        <f t="shared" si="4"/>
        <v>Morphological</v>
      </c>
      <c r="AF7" s="55">
        <v>4</v>
      </c>
    </row>
    <row r="8" spans="1:32" ht="18" customHeight="1" x14ac:dyDescent="0.25">
      <c r="A8" s="44">
        <v>4</v>
      </c>
      <c r="B8" s="44" t="s">
        <v>60</v>
      </c>
      <c r="C8" s="44" t="s">
        <v>61</v>
      </c>
      <c r="D8" s="44" t="s">
        <v>62</v>
      </c>
      <c r="E8" s="44" t="s">
        <v>62</v>
      </c>
      <c r="F8" s="56">
        <v>8017</v>
      </c>
      <c r="G8" t="s">
        <v>71</v>
      </c>
      <c r="H8" s="46">
        <v>41.42</v>
      </c>
      <c r="I8" s="46">
        <v>2.1</v>
      </c>
      <c r="J8">
        <v>305</v>
      </c>
      <c r="K8" s="44" t="s">
        <v>64</v>
      </c>
      <c r="L8" s="44" t="s">
        <v>72</v>
      </c>
      <c r="M8" s="57" t="s">
        <v>73</v>
      </c>
      <c r="N8" s="44"/>
      <c r="O8" s="44" t="str">
        <f t="shared" si="0"/>
        <v>A_SP_BCN_V2_210602</v>
      </c>
      <c r="P8" s="58">
        <v>44349</v>
      </c>
      <c r="R8" s="59"/>
      <c r="S8" s="58">
        <v>44356</v>
      </c>
      <c r="T8" s="51"/>
      <c r="U8" s="49"/>
      <c r="V8" t="s">
        <v>66</v>
      </c>
      <c r="W8" s="52" t="s">
        <v>67</v>
      </c>
      <c r="X8" s="44">
        <f t="shared" si="1"/>
        <v>7</v>
      </c>
      <c r="Y8" s="53"/>
      <c r="Z8" s="54" t="s">
        <v>68</v>
      </c>
      <c r="AA8" s="44">
        <f t="shared" si="2"/>
        <v>2</v>
      </c>
      <c r="AB8" t="str">
        <f t="shared" si="3"/>
        <v>Adult</v>
      </c>
      <c r="AC8" s="54">
        <v>2</v>
      </c>
      <c r="AD8" s="54">
        <v>0</v>
      </c>
      <c r="AE8" s="44" t="str">
        <f t="shared" si="4"/>
        <v>Morphological</v>
      </c>
      <c r="AF8" s="55">
        <v>4</v>
      </c>
    </row>
    <row r="9" spans="1:32" ht="18" customHeight="1" x14ac:dyDescent="0.25">
      <c r="A9" s="44">
        <v>5</v>
      </c>
      <c r="B9" s="44" t="s">
        <v>60</v>
      </c>
      <c r="C9" s="44" t="s">
        <v>61</v>
      </c>
      <c r="D9" s="44" t="s">
        <v>62</v>
      </c>
      <c r="E9" s="44" t="s">
        <v>62</v>
      </c>
      <c r="F9" s="56">
        <v>8017</v>
      </c>
      <c r="G9" t="s">
        <v>71</v>
      </c>
      <c r="H9" s="46">
        <v>41.42</v>
      </c>
      <c r="I9" s="46">
        <v>2.1</v>
      </c>
      <c r="J9">
        <v>305</v>
      </c>
      <c r="K9" s="44" t="s">
        <v>64</v>
      </c>
      <c r="L9" s="44" t="s">
        <v>72</v>
      </c>
      <c r="M9" s="57" t="s">
        <v>73</v>
      </c>
      <c r="N9" s="44"/>
      <c r="O9" s="44" t="str">
        <f t="shared" si="0"/>
        <v>A_SP_BCN_V2_210602</v>
      </c>
      <c r="P9" s="58">
        <v>44349</v>
      </c>
      <c r="R9" s="59"/>
      <c r="S9" s="58">
        <v>44356</v>
      </c>
      <c r="T9" s="51"/>
      <c r="U9" s="49"/>
      <c r="V9" t="s">
        <v>66</v>
      </c>
      <c r="W9" s="52" t="s">
        <v>67</v>
      </c>
      <c r="X9" s="44">
        <f t="shared" si="1"/>
        <v>7</v>
      </c>
      <c r="Y9" s="53"/>
      <c r="Z9" s="54" t="s">
        <v>69</v>
      </c>
      <c r="AA9" s="44">
        <f t="shared" si="2"/>
        <v>8</v>
      </c>
      <c r="AB9" t="str">
        <f t="shared" si="3"/>
        <v>Adult</v>
      </c>
      <c r="AC9" s="54">
        <v>8</v>
      </c>
      <c r="AD9" s="54">
        <v>0</v>
      </c>
      <c r="AE9" s="44" t="str">
        <f t="shared" si="4"/>
        <v>Morphological</v>
      </c>
      <c r="AF9" s="55">
        <v>4</v>
      </c>
    </row>
    <row r="10" spans="1:32" ht="18" customHeight="1" x14ac:dyDescent="0.25">
      <c r="A10" s="44">
        <v>6</v>
      </c>
      <c r="B10" s="44" t="s">
        <v>60</v>
      </c>
      <c r="C10" s="44" t="s">
        <v>61</v>
      </c>
      <c r="D10" s="44" t="s">
        <v>62</v>
      </c>
      <c r="E10" s="44" t="s">
        <v>62</v>
      </c>
      <c r="F10" s="45">
        <v>8037</v>
      </c>
      <c r="G10" t="s">
        <v>74</v>
      </c>
      <c r="H10" s="46">
        <v>41.4</v>
      </c>
      <c r="I10" s="46">
        <v>2.17</v>
      </c>
      <c r="J10">
        <f>40+3</f>
        <v>43</v>
      </c>
      <c r="K10" s="44" t="s">
        <v>64</v>
      </c>
      <c r="L10" s="44" t="s">
        <v>65</v>
      </c>
      <c r="M10" s="44"/>
      <c r="N10" s="44"/>
      <c r="O10" s="44" t="str">
        <f t="shared" si="0"/>
        <v>A_SP_BCN_V3_210603</v>
      </c>
      <c r="P10" s="47">
        <v>44350</v>
      </c>
      <c r="Q10" s="48"/>
      <c r="R10" s="49"/>
      <c r="S10" s="50">
        <v>44357</v>
      </c>
      <c r="T10" s="51"/>
      <c r="U10" s="49"/>
      <c r="V10" t="s">
        <v>66</v>
      </c>
      <c r="W10" s="52" t="s">
        <v>75</v>
      </c>
      <c r="X10" s="44">
        <f t="shared" si="1"/>
        <v>7</v>
      </c>
      <c r="Y10" s="53"/>
      <c r="Z10" s="54" t="s">
        <v>69</v>
      </c>
      <c r="AA10" s="44">
        <f t="shared" si="2"/>
        <v>3</v>
      </c>
      <c r="AB10" t="str">
        <f t="shared" si="3"/>
        <v>Adult</v>
      </c>
      <c r="AC10" s="44">
        <v>2</v>
      </c>
      <c r="AD10" s="44">
        <v>1</v>
      </c>
      <c r="AE10" s="44" t="str">
        <f t="shared" si="4"/>
        <v>Morphological</v>
      </c>
      <c r="AF10" s="55">
        <v>4</v>
      </c>
    </row>
    <row r="11" spans="1:32" ht="18" customHeight="1" x14ac:dyDescent="0.25">
      <c r="A11" s="44">
        <v>7</v>
      </c>
      <c r="B11" s="44" t="s">
        <v>60</v>
      </c>
      <c r="C11" s="44" t="s">
        <v>61</v>
      </c>
      <c r="D11" s="44" t="s">
        <v>62</v>
      </c>
      <c r="E11" s="44" t="s">
        <v>62</v>
      </c>
      <c r="F11" s="45">
        <v>8024</v>
      </c>
      <c r="G11" t="s">
        <v>63</v>
      </c>
      <c r="H11" s="46">
        <v>41.41</v>
      </c>
      <c r="I11" s="46">
        <v>2.15</v>
      </c>
      <c r="J11">
        <v>134</v>
      </c>
      <c r="K11" s="44" t="s">
        <v>64</v>
      </c>
      <c r="L11" s="44" t="s">
        <v>65</v>
      </c>
      <c r="M11" s="44"/>
      <c r="N11" s="44"/>
      <c r="O11" s="44" t="str">
        <f t="shared" si="0"/>
        <v>A_SP_BCN_V1_210609</v>
      </c>
      <c r="P11" s="47">
        <v>44356</v>
      </c>
      <c r="Q11" s="48"/>
      <c r="R11" s="49"/>
      <c r="S11" s="50">
        <v>44363</v>
      </c>
      <c r="T11" s="51"/>
      <c r="U11" s="49"/>
      <c r="V11" t="s">
        <v>66</v>
      </c>
      <c r="W11" s="52"/>
      <c r="X11" s="44">
        <f t="shared" si="1"/>
        <v>7</v>
      </c>
      <c r="Y11" s="53"/>
      <c r="Z11" s="54" t="s">
        <v>69</v>
      </c>
      <c r="AA11" s="44">
        <f t="shared" si="2"/>
        <v>2</v>
      </c>
      <c r="AB11" t="str">
        <f t="shared" si="3"/>
        <v>Adult</v>
      </c>
      <c r="AC11" s="44">
        <v>2</v>
      </c>
      <c r="AD11" s="44">
        <v>0</v>
      </c>
      <c r="AE11" s="44" t="str">
        <f t="shared" si="4"/>
        <v>Morphological</v>
      </c>
      <c r="AF11" s="55">
        <v>4</v>
      </c>
    </row>
    <row r="12" spans="1:32" ht="18" customHeight="1" x14ac:dyDescent="0.25">
      <c r="A12" s="44">
        <v>8</v>
      </c>
      <c r="B12" s="44" t="s">
        <v>60</v>
      </c>
      <c r="C12" s="44" t="s">
        <v>61</v>
      </c>
      <c r="D12" s="44" t="s">
        <v>62</v>
      </c>
      <c r="E12" s="44" t="s">
        <v>62</v>
      </c>
      <c r="F12" s="45">
        <v>8024</v>
      </c>
      <c r="G12" t="s">
        <v>63</v>
      </c>
      <c r="H12" s="46">
        <v>41.41</v>
      </c>
      <c r="I12" s="46">
        <v>2.15</v>
      </c>
      <c r="J12">
        <v>134</v>
      </c>
      <c r="K12" s="44" t="s">
        <v>64</v>
      </c>
      <c r="L12" s="44" t="s">
        <v>65</v>
      </c>
      <c r="M12" s="44"/>
      <c r="N12" s="44"/>
      <c r="O12" s="44" t="str">
        <f t="shared" si="0"/>
        <v>A_SP_BCN_V1_210609</v>
      </c>
      <c r="P12" s="47">
        <v>44356</v>
      </c>
      <c r="Q12" s="48"/>
      <c r="R12" s="49"/>
      <c r="S12" s="50">
        <v>44363</v>
      </c>
      <c r="T12" s="51"/>
      <c r="U12" s="49"/>
      <c r="V12" t="s">
        <v>66</v>
      </c>
      <c r="W12" s="52"/>
      <c r="X12" s="44">
        <f t="shared" si="1"/>
        <v>7</v>
      </c>
      <c r="Y12" s="53"/>
      <c r="Z12" s="54" t="s">
        <v>70</v>
      </c>
      <c r="AA12" s="44">
        <f t="shared" si="2"/>
        <v>1</v>
      </c>
      <c r="AB12" t="str">
        <f t="shared" si="3"/>
        <v>Adult</v>
      </c>
      <c r="AC12" s="44">
        <v>0</v>
      </c>
      <c r="AD12" s="44">
        <v>1</v>
      </c>
      <c r="AE12" s="44" t="str">
        <f t="shared" si="4"/>
        <v>Morphological</v>
      </c>
      <c r="AF12" s="55">
        <v>4</v>
      </c>
    </row>
    <row r="13" spans="1:32" ht="18" customHeight="1" x14ac:dyDescent="0.25">
      <c r="A13" s="44">
        <v>9</v>
      </c>
      <c r="B13" s="44" t="s">
        <v>60</v>
      </c>
      <c r="C13" s="44" t="s">
        <v>61</v>
      </c>
      <c r="D13" s="44" t="s">
        <v>62</v>
      </c>
      <c r="E13" s="44" t="s">
        <v>62</v>
      </c>
      <c r="F13" s="56">
        <v>8017</v>
      </c>
      <c r="G13" t="s">
        <v>71</v>
      </c>
      <c r="H13" s="46">
        <v>41.42</v>
      </c>
      <c r="I13" s="46">
        <v>2.1</v>
      </c>
      <c r="J13">
        <v>305</v>
      </c>
      <c r="K13" s="44" t="s">
        <v>64</v>
      </c>
      <c r="L13" s="44" t="s">
        <v>72</v>
      </c>
      <c r="M13" s="57" t="s">
        <v>73</v>
      </c>
      <c r="N13" s="44"/>
      <c r="O13" s="44" t="str">
        <f t="shared" si="0"/>
        <v>A_SP_BCN_V2_210609</v>
      </c>
      <c r="P13" s="58">
        <v>44356</v>
      </c>
      <c r="R13" s="59"/>
      <c r="S13" s="58">
        <v>44363</v>
      </c>
      <c r="T13" s="51"/>
      <c r="U13" s="49"/>
      <c r="V13" t="s">
        <v>66</v>
      </c>
      <c r="W13" s="52" t="s">
        <v>67</v>
      </c>
      <c r="X13" s="44">
        <f t="shared" si="1"/>
        <v>7</v>
      </c>
      <c r="Y13" s="53"/>
      <c r="Z13" s="54" t="s">
        <v>68</v>
      </c>
      <c r="AA13" s="44">
        <f t="shared" si="2"/>
        <v>9</v>
      </c>
      <c r="AB13" t="str">
        <f t="shared" si="3"/>
        <v>Adult</v>
      </c>
      <c r="AC13" s="54">
        <v>8</v>
      </c>
      <c r="AD13" s="54">
        <v>1</v>
      </c>
      <c r="AE13" s="44" t="str">
        <f t="shared" si="4"/>
        <v>Morphological</v>
      </c>
      <c r="AF13" s="55">
        <v>4</v>
      </c>
    </row>
    <row r="14" spans="1:32" ht="18" customHeight="1" x14ac:dyDescent="0.25">
      <c r="A14" s="44">
        <v>10</v>
      </c>
      <c r="B14" s="44" t="s">
        <v>60</v>
      </c>
      <c r="C14" s="44" t="s">
        <v>61</v>
      </c>
      <c r="D14" s="44" t="s">
        <v>62</v>
      </c>
      <c r="E14" s="44" t="s">
        <v>62</v>
      </c>
      <c r="F14" s="56">
        <v>8017</v>
      </c>
      <c r="G14" t="s">
        <v>71</v>
      </c>
      <c r="H14" s="46">
        <v>41.42</v>
      </c>
      <c r="I14" s="46">
        <v>2.1</v>
      </c>
      <c r="J14">
        <v>305</v>
      </c>
      <c r="K14" s="44" t="s">
        <v>64</v>
      </c>
      <c r="L14" s="44" t="s">
        <v>72</v>
      </c>
      <c r="M14" s="57" t="s">
        <v>73</v>
      </c>
      <c r="N14" s="44"/>
      <c r="O14" s="44" t="str">
        <f t="shared" si="0"/>
        <v>A_SP_BCN_V2_210609</v>
      </c>
      <c r="P14" s="58">
        <v>44356</v>
      </c>
      <c r="R14" s="59"/>
      <c r="S14" s="58">
        <v>44363</v>
      </c>
      <c r="T14" s="51"/>
      <c r="U14" s="49"/>
      <c r="V14" t="s">
        <v>66</v>
      </c>
      <c r="W14" s="52" t="s">
        <v>67</v>
      </c>
      <c r="X14" s="44">
        <f t="shared" si="1"/>
        <v>7</v>
      </c>
      <c r="Y14" s="53"/>
      <c r="Z14" s="54" t="s">
        <v>69</v>
      </c>
      <c r="AA14" s="44">
        <f t="shared" si="2"/>
        <v>2</v>
      </c>
      <c r="AB14" t="str">
        <f t="shared" si="3"/>
        <v>Adult</v>
      </c>
      <c r="AC14" s="54">
        <v>2</v>
      </c>
      <c r="AD14" s="54">
        <v>0</v>
      </c>
      <c r="AE14" s="44" t="str">
        <f t="shared" si="4"/>
        <v>Morphological</v>
      </c>
      <c r="AF14" s="55">
        <v>4</v>
      </c>
    </row>
    <row r="15" spans="1:32" ht="18" customHeight="1" x14ac:dyDescent="0.25">
      <c r="A15" s="44">
        <v>11</v>
      </c>
      <c r="B15" s="44" t="s">
        <v>60</v>
      </c>
      <c r="C15" s="44" t="s">
        <v>61</v>
      </c>
      <c r="D15" s="44" t="s">
        <v>62</v>
      </c>
      <c r="E15" s="44" t="s">
        <v>62</v>
      </c>
      <c r="F15" s="56">
        <v>8017</v>
      </c>
      <c r="G15" t="s">
        <v>71</v>
      </c>
      <c r="H15" s="46">
        <v>41.42</v>
      </c>
      <c r="I15" s="46">
        <v>2.1</v>
      </c>
      <c r="J15">
        <v>305</v>
      </c>
      <c r="K15" s="44" t="s">
        <v>64</v>
      </c>
      <c r="L15" s="44" t="s">
        <v>72</v>
      </c>
      <c r="M15" s="57" t="s">
        <v>73</v>
      </c>
      <c r="N15" s="44"/>
      <c r="O15" s="44" t="str">
        <f t="shared" si="0"/>
        <v>A_SP_BCN_V2_210609</v>
      </c>
      <c r="P15" s="58">
        <v>44356</v>
      </c>
      <c r="R15" s="59"/>
      <c r="S15" s="58">
        <v>44363</v>
      </c>
      <c r="T15" s="51"/>
      <c r="U15" s="49"/>
      <c r="V15" t="s">
        <v>66</v>
      </c>
      <c r="W15" s="52" t="s">
        <v>67</v>
      </c>
      <c r="X15" s="44">
        <f t="shared" si="1"/>
        <v>7</v>
      </c>
      <c r="Y15" s="53"/>
      <c r="Z15" s="54" t="s">
        <v>70</v>
      </c>
      <c r="AA15" s="44">
        <f t="shared" si="2"/>
        <v>7</v>
      </c>
      <c r="AB15" t="str">
        <f t="shared" si="3"/>
        <v>Adult</v>
      </c>
      <c r="AC15" s="54">
        <v>6</v>
      </c>
      <c r="AD15" s="54">
        <v>1</v>
      </c>
      <c r="AE15" s="44" t="str">
        <f t="shared" si="4"/>
        <v>Morphological</v>
      </c>
      <c r="AF15" s="55">
        <v>4</v>
      </c>
    </row>
    <row r="16" spans="1:32" ht="18" customHeight="1" x14ac:dyDescent="0.25">
      <c r="A16" s="44">
        <v>12</v>
      </c>
      <c r="B16" s="44" t="s">
        <v>60</v>
      </c>
      <c r="C16" s="44" t="s">
        <v>61</v>
      </c>
      <c r="D16" s="44" t="s">
        <v>62</v>
      </c>
      <c r="E16" s="44" t="s">
        <v>62</v>
      </c>
      <c r="F16" s="45">
        <v>8037</v>
      </c>
      <c r="G16" t="s">
        <v>74</v>
      </c>
      <c r="H16" s="46">
        <v>41.4</v>
      </c>
      <c r="I16" s="46">
        <v>2.17</v>
      </c>
      <c r="J16">
        <f t="shared" ref="J16:J17" si="5">40+3</f>
        <v>43</v>
      </c>
      <c r="K16" s="44" t="s">
        <v>64</v>
      </c>
      <c r="L16" s="44" t="s">
        <v>65</v>
      </c>
      <c r="M16" s="44"/>
      <c r="N16" s="44"/>
      <c r="O16" s="44" t="str">
        <f t="shared" si="0"/>
        <v>A_SP_BCN_V3_210610</v>
      </c>
      <c r="P16" s="58">
        <v>44357</v>
      </c>
      <c r="R16" s="59"/>
      <c r="S16" s="58">
        <v>44364</v>
      </c>
      <c r="T16" s="51"/>
      <c r="U16" s="49"/>
      <c r="V16" t="s">
        <v>66</v>
      </c>
      <c r="W16" s="52" t="s">
        <v>67</v>
      </c>
      <c r="X16" s="44">
        <f t="shared" si="1"/>
        <v>7</v>
      </c>
      <c r="Y16" s="53"/>
      <c r="Z16" s="54" t="s">
        <v>69</v>
      </c>
      <c r="AA16" s="44">
        <f t="shared" si="2"/>
        <v>7</v>
      </c>
      <c r="AB16" t="str">
        <f t="shared" si="3"/>
        <v>Adult</v>
      </c>
      <c r="AC16" s="54">
        <v>2</v>
      </c>
      <c r="AD16" s="54">
        <v>5</v>
      </c>
      <c r="AE16" s="44" t="str">
        <f t="shared" si="4"/>
        <v>Morphological</v>
      </c>
      <c r="AF16" s="55">
        <v>4</v>
      </c>
    </row>
    <row r="17" spans="1:32" ht="18" customHeight="1" x14ac:dyDescent="0.25">
      <c r="A17" s="44">
        <v>13</v>
      </c>
      <c r="B17" s="44" t="s">
        <v>60</v>
      </c>
      <c r="C17" s="44" t="s">
        <v>61</v>
      </c>
      <c r="D17" s="44" t="s">
        <v>62</v>
      </c>
      <c r="E17" s="44" t="s">
        <v>62</v>
      </c>
      <c r="F17" s="45">
        <v>8037</v>
      </c>
      <c r="G17" t="s">
        <v>74</v>
      </c>
      <c r="H17" s="46">
        <v>41.4</v>
      </c>
      <c r="I17" s="46">
        <v>2.17</v>
      </c>
      <c r="J17">
        <f t="shared" si="5"/>
        <v>43</v>
      </c>
      <c r="K17" s="44" t="s">
        <v>64</v>
      </c>
      <c r="L17" s="44" t="s">
        <v>65</v>
      </c>
      <c r="M17" s="44"/>
      <c r="N17" s="44"/>
      <c r="O17" s="44" t="str">
        <f t="shared" si="0"/>
        <v>A_SP_BCN_V3_210610</v>
      </c>
      <c r="P17" s="58">
        <v>44357</v>
      </c>
      <c r="R17" s="59"/>
      <c r="S17" s="58">
        <v>44364</v>
      </c>
      <c r="T17" s="51"/>
      <c r="U17" s="49"/>
      <c r="V17" t="s">
        <v>66</v>
      </c>
      <c r="W17" s="52" t="s">
        <v>67</v>
      </c>
      <c r="X17" s="44">
        <f t="shared" si="1"/>
        <v>7</v>
      </c>
      <c r="Y17" s="53"/>
      <c r="Z17" s="54" t="s">
        <v>70</v>
      </c>
      <c r="AA17" s="44">
        <f t="shared" si="2"/>
        <v>1</v>
      </c>
      <c r="AB17" t="str">
        <f t="shared" si="3"/>
        <v>Adult</v>
      </c>
      <c r="AC17" s="54">
        <v>1</v>
      </c>
      <c r="AD17" s="54">
        <v>0</v>
      </c>
      <c r="AE17" s="44" t="str">
        <f t="shared" si="4"/>
        <v>Morphological</v>
      </c>
      <c r="AF17" s="55">
        <v>4</v>
      </c>
    </row>
    <row r="18" spans="1:32" ht="18" customHeight="1" x14ac:dyDescent="0.25">
      <c r="A18" s="44">
        <v>14</v>
      </c>
      <c r="B18" s="44" t="s">
        <v>60</v>
      </c>
      <c r="C18" s="44" t="s">
        <v>61</v>
      </c>
      <c r="D18" s="44" t="s">
        <v>62</v>
      </c>
      <c r="E18" s="44" t="s">
        <v>62</v>
      </c>
      <c r="F18" s="45">
        <v>8024</v>
      </c>
      <c r="G18" t="s">
        <v>63</v>
      </c>
      <c r="H18" s="46">
        <v>41.41</v>
      </c>
      <c r="I18" s="46">
        <v>2.15</v>
      </c>
      <c r="J18">
        <v>134</v>
      </c>
      <c r="K18" s="44" t="s">
        <v>64</v>
      </c>
      <c r="L18" s="44" t="s">
        <v>65</v>
      </c>
      <c r="M18" s="44"/>
      <c r="N18" s="44"/>
      <c r="O18" s="44" t="str">
        <f t="shared" si="0"/>
        <v>A_SP_BCN_V1_210616</v>
      </c>
      <c r="P18" s="58">
        <v>44363</v>
      </c>
      <c r="R18" s="59"/>
      <c r="S18" s="58">
        <v>44369</v>
      </c>
      <c r="T18" s="51"/>
      <c r="U18" s="49"/>
      <c r="V18" t="s">
        <v>66</v>
      </c>
      <c r="W18" s="52" t="s">
        <v>67</v>
      </c>
      <c r="X18" s="44">
        <f t="shared" si="1"/>
        <v>6</v>
      </c>
      <c r="Y18" s="53"/>
      <c r="Z18" s="54" t="s">
        <v>68</v>
      </c>
      <c r="AA18" s="44">
        <f t="shared" si="2"/>
        <v>1</v>
      </c>
      <c r="AB18" t="str">
        <f t="shared" si="3"/>
        <v>Adult</v>
      </c>
      <c r="AC18" s="54">
        <v>1</v>
      </c>
      <c r="AD18" s="54">
        <v>0</v>
      </c>
      <c r="AE18" s="44" t="str">
        <f t="shared" si="4"/>
        <v>Morphological</v>
      </c>
      <c r="AF18" s="55">
        <v>4</v>
      </c>
    </row>
    <row r="19" spans="1:32" ht="18" customHeight="1" x14ac:dyDescent="0.25">
      <c r="A19" s="44">
        <v>15</v>
      </c>
      <c r="B19" s="44" t="s">
        <v>60</v>
      </c>
      <c r="C19" s="44" t="s">
        <v>61</v>
      </c>
      <c r="D19" s="44" t="s">
        <v>62</v>
      </c>
      <c r="E19" s="44" t="s">
        <v>62</v>
      </c>
      <c r="F19" s="45">
        <v>8037</v>
      </c>
      <c r="G19" t="s">
        <v>74</v>
      </c>
      <c r="H19" s="46">
        <v>41.4</v>
      </c>
      <c r="I19" s="46">
        <v>2.17</v>
      </c>
      <c r="J19">
        <f>40+3</f>
        <v>43</v>
      </c>
      <c r="K19" s="44" t="s">
        <v>64</v>
      </c>
      <c r="L19" s="44" t="s">
        <v>65</v>
      </c>
      <c r="M19" s="44"/>
      <c r="N19" s="44"/>
      <c r="O19" s="44" t="str">
        <f t="shared" si="0"/>
        <v>A_SP_BCN_V3_210617</v>
      </c>
      <c r="P19" s="58">
        <v>44364</v>
      </c>
      <c r="R19" s="59"/>
      <c r="S19" s="58">
        <v>44370</v>
      </c>
      <c r="T19" s="51"/>
      <c r="U19" s="49"/>
      <c r="V19" t="s">
        <v>66</v>
      </c>
      <c r="W19" t="s">
        <v>76</v>
      </c>
      <c r="X19" s="44">
        <f t="shared" si="1"/>
        <v>6</v>
      </c>
      <c r="Y19" s="53"/>
      <c r="Z19" s="54" t="s">
        <v>69</v>
      </c>
      <c r="AA19" s="44">
        <f t="shared" si="2"/>
        <v>6</v>
      </c>
      <c r="AB19" t="str">
        <f t="shared" si="3"/>
        <v>Adult</v>
      </c>
      <c r="AC19" s="54">
        <v>1</v>
      </c>
      <c r="AD19" s="54">
        <v>5</v>
      </c>
      <c r="AE19" s="44" t="str">
        <f t="shared" si="4"/>
        <v>Morphological</v>
      </c>
      <c r="AF19" s="55">
        <v>4</v>
      </c>
    </row>
    <row r="20" spans="1:32" ht="18" customHeight="1" x14ac:dyDescent="0.25">
      <c r="A20" s="44">
        <v>16</v>
      </c>
      <c r="B20" s="44" t="s">
        <v>60</v>
      </c>
      <c r="C20" s="44" t="s">
        <v>61</v>
      </c>
      <c r="D20" s="44" t="s">
        <v>62</v>
      </c>
      <c r="E20" s="44" t="s">
        <v>62</v>
      </c>
      <c r="F20" s="45">
        <v>8024</v>
      </c>
      <c r="G20" t="s">
        <v>63</v>
      </c>
      <c r="H20" s="46">
        <v>41.41</v>
      </c>
      <c r="I20" s="46">
        <v>2.15</v>
      </c>
      <c r="J20">
        <v>134</v>
      </c>
      <c r="K20" s="44" t="s">
        <v>64</v>
      </c>
      <c r="L20" s="44" t="s">
        <v>65</v>
      </c>
      <c r="M20" s="44"/>
      <c r="N20" s="44"/>
      <c r="O20" s="44" t="str">
        <f t="shared" si="0"/>
        <v>A_SP_BCN_V1_210622</v>
      </c>
      <c r="P20" s="58">
        <v>44369</v>
      </c>
      <c r="R20" s="59"/>
      <c r="S20" s="58">
        <v>44377</v>
      </c>
      <c r="T20" s="51"/>
      <c r="U20" s="49"/>
      <c r="V20" t="s">
        <v>66</v>
      </c>
      <c r="X20" s="44">
        <f t="shared" si="1"/>
        <v>8</v>
      </c>
      <c r="Y20" s="53"/>
      <c r="Z20" s="54" t="s">
        <v>69</v>
      </c>
      <c r="AA20" s="44">
        <f t="shared" si="2"/>
        <v>2</v>
      </c>
      <c r="AB20" t="str">
        <f t="shared" si="3"/>
        <v>Adult</v>
      </c>
      <c r="AC20" s="54">
        <v>2</v>
      </c>
      <c r="AD20" s="54">
        <v>0</v>
      </c>
      <c r="AE20" s="44" t="str">
        <f t="shared" si="4"/>
        <v>Morphological</v>
      </c>
      <c r="AF20" s="55">
        <v>4</v>
      </c>
    </row>
    <row r="21" spans="1:32" ht="18" customHeight="1" x14ac:dyDescent="0.25">
      <c r="A21" s="44">
        <v>17</v>
      </c>
      <c r="B21" s="44" t="s">
        <v>60</v>
      </c>
      <c r="C21" s="44" t="s">
        <v>61</v>
      </c>
      <c r="D21" s="44" t="s">
        <v>62</v>
      </c>
      <c r="E21" s="44" t="s">
        <v>62</v>
      </c>
      <c r="F21" s="45">
        <v>8024</v>
      </c>
      <c r="G21" t="s">
        <v>63</v>
      </c>
      <c r="H21" s="46">
        <v>41.41</v>
      </c>
      <c r="I21" s="46">
        <v>2.15</v>
      </c>
      <c r="J21">
        <v>134</v>
      </c>
      <c r="K21" s="44" t="s">
        <v>64</v>
      </c>
      <c r="L21" s="44" t="s">
        <v>65</v>
      </c>
      <c r="M21" s="44"/>
      <c r="N21" s="44"/>
      <c r="O21" s="44" t="str">
        <f t="shared" si="0"/>
        <v>A_SP_BCN_V1_210622</v>
      </c>
      <c r="P21" s="58">
        <v>44369</v>
      </c>
      <c r="R21" s="59"/>
      <c r="S21" s="58">
        <v>44377</v>
      </c>
      <c r="T21" s="51"/>
      <c r="U21" s="49"/>
      <c r="V21" t="s">
        <v>66</v>
      </c>
      <c r="W21" s="52"/>
      <c r="X21" s="44">
        <f t="shared" si="1"/>
        <v>8</v>
      </c>
      <c r="Y21" s="53"/>
      <c r="Z21" s="54" t="s">
        <v>70</v>
      </c>
      <c r="AA21" s="44">
        <f t="shared" si="2"/>
        <v>1</v>
      </c>
      <c r="AB21" t="str">
        <f t="shared" si="3"/>
        <v>Adult</v>
      </c>
      <c r="AC21" s="54">
        <v>1</v>
      </c>
      <c r="AD21" s="54">
        <v>0</v>
      </c>
      <c r="AE21" s="44" t="str">
        <f t="shared" si="4"/>
        <v>Morphological</v>
      </c>
      <c r="AF21" s="55">
        <v>4</v>
      </c>
    </row>
    <row r="22" spans="1:32" ht="18" customHeight="1" x14ac:dyDescent="0.25">
      <c r="A22" s="44"/>
      <c r="B22" s="44" t="s">
        <v>60</v>
      </c>
      <c r="C22" s="44" t="s">
        <v>61</v>
      </c>
      <c r="D22" s="44" t="s">
        <v>62</v>
      </c>
      <c r="E22" s="44" t="s">
        <v>62</v>
      </c>
      <c r="F22" s="56">
        <v>8017</v>
      </c>
      <c r="G22" t="s">
        <v>71</v>
      </c>
      <c r="H22" s="46">
        <v>41.42</v>
      </c>
      <c r="I22" s="46">
        <v>2.1</v>
      </c>
      <c r="J22">
        <v>305</v>
      </c>
      <c r="K22" s="44" t="s">
        <v>64</v>
      </c>
      <c r="L22" s="44" t="s">
        <v>72</v>
      </c>
      <c r="M22" s="57" t="s">
        <v>73</v>
      </c>
      <c r="N22" s="44"/>
      <c r="O22" s="44" t="str">
        <f t="shared" si="0"/>
        <v>A_SP_BCN_V2_210623</v>
      </c>
      <c r="P22" s="58">
        <v>44370</v>
      </c>
      <c r="R22" s="59"/>
      <c r="S22" s="58">
        <v>44377</v>
      </c>
      <c r="T22" s="51"/>
      <c r="U22" s="49"/>
      <c r="V22" t="s">
        <v>66</v>
      </c>
      <c r="W22" s="52" t="s">
        <v>67</v>
      </c>
      <c r="X22" s="44">
        <f t="shared" si="1"/>
        <v>7</v>
      </c>
      <c r="Y22" s="53"/>
      <c r="Z22" s="54" t="s">
        <v>68</v>
      </c>
      <c r="AA22" s="44">
        <f t="shared" si="2"/>
        <v>7</v>
      </c>
      <c r="AB22" t="str">
        <f t="shared" si="3"/>
        <v>Adult</v>
      </c>
      <c r="AC22" s="54">
        <v>7</v>
      </c>
      <c r="AD22" s="54">
        <v>0</v>
      </c>
      <c r="AE22" s="44" t="str">
        <f t="shared" si="4"/>
        <v>Morphological</v>
      </c>
      <c r="AF22" s="55">
        <v>4</v>
      </c>
    </row>
    <row r="23" spans="1:32" ht="18" customHeight="1" x14ac:dyDescent="0.25">
      <c r="A23" s="44"/>
      <c r="B23" s="44" t="s">
        <v>60</v>
      </c>
      <c r="C23" s="44" t="s">
        <v>61</v>
      </c>
      <c r="D23" s="44" t="s">
        <v>62</v>
      </c>
      <c r="E23" s="44" t="s">
        <v>62</v>
      </c>
      <c r="F23" s="56">
        <v>8017</v>
      </c>
      <c r="G23" t="s">
        <v>71</v>
      </c>
      <c r="H23" s="46">
        <v>41.42</v>
      </c>
      <c r="I23" s="46">
        <v>2.1</v>
      </c>
      <c r="J23">
        <v>305</v>
      </c>
      <c r="K23" s="44" t="s">
        <v>64</v>
      </c>
      <c r="L23" s="44" t="s">
        <v>72</v>
      </c>
      <c r="M23" s="57" t="s">
        <v>73</v>
      </c>
      <c r="N23" s="44"/>
      <c r="O23" s="44" t="str">
        <f t="shared" si="0"/>
        <v>A_SP_BCN_V2_210623</v>
      </c>
      <c r="P23" s="58">
        <v>44370</v>
      </c>
      <c r="R23" s="59"/>
      <c r="S23" s="58">
        <v>44377</v>
      </c>
      <c r="T23" s="51"/>
      <c r="U23" s="49"/>
      <c r="V23" t="s">
        <v>66</v>
      </c>
      <c r="W23" s="52" t="s">
        <v>67</v>
      </c>
      <c r="X23" s="44">
        <f t="shared" si="1"/>
        <v>7</v>
      </c>
      <c r="Y23" s="53"/>
      <c r="Z23" s="54" t="s">
        <v>69</v>
      </c>
      <c r="AA23" s="44">
        <f t="shared" si="2"/>
        <v>4</v>
      </c>
      <c r="AB23" t="str">
        <f t="shared" si="3"/>
        <v>Adult</v>
      </c>
      <c r="AC23" s="54">
        <v>4</v>
      </c>
      <c r="AD23" s="54">
        <v>0</v>
      </c>
      <c r="AE23" s="44" t="str">
        <f t="shared" si="4"/>
        <v>Morphological</v>
      </c>
      <c r="AF23" s="55">
        <v>4</v>
      </c>
    </row>
    <row r="24" spans="1:32" ht="18" customHeight="1" x14ac:dyDescent="0.25">
      <c r="A24" s="44"/>
      <c r="B24" s="44" t="s">
        <v>60</v>
      </c>
      <c r="C24" s="44" t="s">
        <v>61</v>
      </c>
      <c r="D24" s="44" t="s">
        <v>62</v>
      </c>
      <c r="E24" s="44" t="s">
        <v>62</v>
      </c>
      <c r="F24" s="56">
        <v>8017</v>
      </c>
      <c r="G24" t="s">
        <v>71</v>
      </c>
      <c r="H24" s="46">
        <v>41.42</v>
      </c>
      <c r="I24" s="46">
        <v>2.1</v>
      </c>
      <c r="J24">
        <v>305</v>
      </c>
      <c r="K24" s="44" t="s">
        <v>64</v>
      </c>
      <c r="L24" s="44" t="s">
        <v>72</v>
      </c>
      <c r="M24" s="57" t="s">
        <v>73</v>
      </c>
      <c r="N24" s="44"/>
      <c r="O24" s="44" t="str">
        <f t="shared" si="0"/>
        <v>A_SP_BCN_V2_210623</v>
      </c>
      <c r="P24" s="58">
        <v>44370</v>
      </c>
      <c r="R24" s="59"/>
      <c r="S24" s="58">
        <v>44377</v>
      </c>
      <c r="T24" s="51"/>
      <c r="U24" s="49"/>
      <c r="V24" t="s">
        <v>66</v>
      </c>
      <c r="W24" s="52" t="s">
        <v>67</v>
      </c>
      <c r="X24" s="44">
        <f t="shared" si="1"/>
        <v>7</v>
      </c>
      <c r="Y24" s="53"/>
      <c r="Z24" s="54" t="s">
        <v>70</v>
      </c>
      <c r="AA24" s="44">
        <f t="shared" si="2"/>
        <v>1</v>
      </c>
      <c r="AB24" t="str">
        <f t="shared" si="3"/>
        <v>Adult</v>
      </c>
      <c r="AC24" s="54">
        <v>0</v>
      </c>
      <c r="AD24" s="54">
        <v>1</v>
      </c>
      <c r="AE24" s="44" t="str">
        <f t="shared" si="4"/>
        <v>Morphological</v>
      </c>
      <c r="AF24" s="55">
        <v>4</v>
      </c>
    </row>
    <row r="25" spans="1:32" ht="18" customHeight="1" x14ac:dyDescent="0.25">
      <c r="A25" s="44">
        <v>18</v>
      </c>
      <c r="B25" s="44" t="s">
        <v>60</v>
      </c>
      <c r="C25" s="44" t="s">
        <v>61</v>
      </c>
      <c r="D25" s="44" t="s">
        <v>62</v>
      </c>
      <c r="E25" s="44" t="s">
        <v>62</v>
      </c>
      <c r="F25" s="45">
        <v>8037</v>
      </c>
      <c r="G25" t="s">
        <v>74</v>
      </c>
      <c r="H25" s="46">
        <v>41.4</v>
      </c>
      <c r="I25" s="46">
        <v>2.17</v>
      </c>
      <c r="J25">
        <f>40+3</f>
        <v>43</v>
      </c>
      <c r="K25" s="44" t="s">
        <v>64</v>
      </c>
      <c r="L25" s="44" t="s">
        <v>65</v>
      </c>
      <c r="M25" s="44"/>
      <c r="N25" s="44"/>
      <c r="O25" s="44" t="str">
        <f t="shared" si="0"/>
        <v>A_SP_BCN_V3_210623</v>
      </c>
      <c r="P25" s="58">
        <v>44370</v>
      </c>
      <c r="R25" s="59"/>
      <c r="S25" s="58">
        <v>44378</v>
      </c>
      <c r="T25" s="51"/>
      <c r="U25" s="49"/>
      <c r="V25" t="s">
        <v>66</v>
      </c>
      <c r="W25" s="52"/>
      <c r="X25" s="44">
        <f t="shared" si="1"/>
        <v>8</v>
      </c>
      <c r="Y25" s="53"/>
      <c r="Z25" s="54" t="s">
        <v>69</v>
      </c>
      <c r="AA25" s="44">
        <f t="shared" si="2"/>
        <v>18</v>
      </c>
      <c r="AB25" t="str">
        <f t="shared" si="3"/>
        <v>Adult</v>
      </c>
      <c r="AC25" s="54">
        <v>2</v>
      </c>
      <c r="AD25" s="54">
        <v>16</v>
      </c>
      <c r="AE25" s="44" t="str">
        <f t="shared" si="4"/>
        <v>Morphological</v>
      </c>
      <c r="AF25" s="55">
        <v>4</v>
      </c>
    </row>
    <row r="26" spans="1:32" ht="18" customHeight="1" x14ac:dyDescent="0.25">
      <c r="A26" s="44">
        <v>19</v>
      </c>
      <c r="B26" s="44" t="s">
        <v>60</v>
      </c>
      <c r="C26" s="44" t="s">
        <v>61</v>
      </c>
      <c r="D26" s="44" t="s">
        <v>62</v>
      </c>
      <c r="E26" s="44" t="s">
        <v>62</v>
      </c>
      <c r="F26" s="45">
        <v>8024</v>
      </c>
      <c r="G26" t="s">
        <v>63</v>
      </c>
      <c r="H26" s="46">
        <v>41.41</v>
      </c>
      <c r="I26" s="46">
        <v>2.15</v>
      </c>
      <c r="J26">
        <v>134</v>
      </c>
      <c r="K26" s="44" t="s">
        <v>64</v>
      </c>
      <c r="L26" s="44" t="s">
        <v>65</v>
      </c>
      <c r="M26" s="44"/>
      <c r="N26" s="44"/>
      <c r="O26" s="44" t="str">
        <f t="shared" si="0"/>
        <v>A_SP_BCN_V1_210630</v>
      </c>
      <c r="P26" s="58">
        <v>44377</v>
      </c>
      <c r="R26" s="59"/>
      <c r="S26" s="58">
        <v>44384</v>
      </c>
      <c r="T26" s="51"/>
      <c r="U26" s="49"/>
      <c r="V26" t="s">
        <v>66</v>
      </c>
      <c r="W26" s="52"/>
      <c r="X26" s="44">
        <f t="shared" si="1"/>
        <v>7</v>
      </c>
      <c r="Y26" s="53"/>
      <c r="Z26" s="54" t="s">
        <v>68</v>
      </c>
      <c r="AA26" s="44">
        <f t="shared" si="2"/>
        <v>3</v>
      </c>
      <c r="AB26" t="str">
        <f t="shared" si="3"/>
        <v>Adult</v>
      </c>
      <c r="AC26" s="54">
        <v>2</v>
      </c>
      <c r="AD26" s="54">
        <v>1</v>
      </c>
      <c r="AE26" s="44" t="str">
        <f t="shared" si="4"/>
        <v>Morphological</v>
      </c>
      <c r="AF26" s="55">
        <v>4</v>
      </c>
    </row>
    <row r="27" spans="1:32" ht="18" customHeight="1" x14ac:dyDescent="0.25">
      <c r="A27" s="44">
        <v>20</v>
      </c>
      <c r="B27" s="44" t="s">
        <v>60</v>
      </c>
      <c r="C27" s="44" t="s">
        <v>61</v>
      </c>
      <c r="D27" s="44" t="s">
        <v>62</v>
      </c>
      <c r="E27" s="44" t="s">
        <v>62</v>
      </c>
      <c r="F27" s="45">
        <v>8024</v>
      </c>
      <c r="G27" t="s">
        <v>63</v>
      </c>
      <c r="H27" s="46">
        <v>41.41</v>
      </c>
      <c r="I27" s="46">
        <v>2.15</v>
      </c>
      <c r="J27">
        <v>134</v>
      </c>
      <c r="K27" s="44" t="s">
        <v>64</v>
      </c>
      <c r="L27" s="44" t="s">
        <v>65</v>
      </c>
      <c r="M27" s="44"/>
      <c r="N27" s="44"/>
      <c r="O27" s="44" t="str">
        <f t="shared" si="0"/>
        <v>A_SP_BCN_V1_210630</v>
      </c>
      <c r="P27" s="58">
        <v>44377</v>
      </c>
      <c r="R27" s="59"/>
      <c r="S27" s="58">
        <v>44384</v>
      </c>
      <c r="T27" s="51"/>
      <c r="U27" s="49"/>
      <c r="V27" t="s">
        <v>66</v>
      </c>
      <c r="W27" s="52"/>
      <c r="X27" s="44">
        <f t="shared" si="1"/>
        <v>7</v>
      </c>
      <c r="Y27" s="53"/>
      <c r="Z27" s="54" t="s">
        <v>69</v>
      </c>
      <c r="AA27" s="44">
        <f t="shared" si="2"/>
        <v>3</v>
      </c>
      <c r="AB27" t="str">
        <f t="shared" si="3"/>
        <v>Adult</v>
      </c>
      <c r="AC27" s="54">
        <v>3</v>
      </c>
      <c r="AD27" s="54">
        <v>0</v>
      </c>
      <c r="AE27" s="44" t="str">
        <f t="shared" si="4"/>
        <v>Morphological</v>
      </c>
      <c r="AF27" s="55">
        <v>4</v>
      </c>
    </row>
    <row r="28" spans="1:32" ht="18" customHeight="1" x14ac:dyDescent="0.25">
      <c r="A28" s="44">
        <v>21</v>
      </c>
      <c r="B28" s="44" t="s">
        <v>60</v>
      </c>
      <c r="C28" s="44" t="s">
        <v>61</v>
      </c>
      <c r="D28" s="44" t="s">
        <v>62</v>
      </c>
      <c r="E28" s="44" t="s">
        <v>62</v>
      </c>
      <c r="F28" s="45">
        <v>8024</v>
      </c>
      <c r="G28" t="s">
        <v>63</v>
      </c>
      <c r="H28" s="46">
        <v>41.41</v>
      </c>
      <c r="I28" s="46">
        <v>2.15</v>
      </c>
      <c r="J28">
        <v>134</v>
      </c>
      <c r="K28" s="44" t="s">
        <v>64</v>
      </c>
      <c r="L28" s="44" t="s">
        <v>65</v>
      </c>
      <c r="M28" s="44"/>
      <c r="N28" s="44"/>
      <c r="O28" s="44" t="str">
        <f t="shared" si="0"/>
        <v>A_SP_BCN_V1_210630</v>
      </c>
      <c r="P28" s="58">
        <v>44377</v>
      </c>
      <c r="R28" s="59"/>
      <c r="S28" s="58">
        <v>44384</v>
      </c>
      <c r="T28" s="51"/>
      <c r="U28" s="49"/>
      <c r="V28" t="s">
        <v>66</v>
      </c>
      <c r="W28" s="52"/>
      <c r="X28" s="44">
        <f t="shared" si="1"/>
        <v>7</v>
      </c>
      <c r="Y28" s="53"/>
      <c r="Z28" s="54" t="s">
        <v>70</v>
      </c>
      <c r="AA28" s="44">
        <f t="shared" si="2"/>
        <v>1</v>
      </c>
      <c r="AB28" t="str">
        <f t="shared" si="3"/>
        <v>Adult</v>
      </c>
      <c r="AC28" s="54">
        <v>1</v>
      </c>
      <c r="AD28" s="54">
        <v>0</v>
      </c>
      <c r="AE28" s="44" t="str">
        <f t="shared" si="4"/>
        <v>Morphological</v>
      </c>
      <c r="AF28" s="55">
        <v>4</v>
      </c>
    </row>
    <row r="29" spans="1:32" ht="18" customHeight="1" x14ac:dyDescent="0.25">
      <c r="A29" s="44"/>
      <c r="B29" s="44" t="s">
        <v>60</v>
      </c>
      <c r="C29" s="44" t="s">
        <v>61</v>
      </c>
      <c r="D29" s="44" t="s">
        <v>62</v>
      </c>
      <c r="E29" s="44" t="s">
        <v>62</v>
      </c>
      <c r="F29" s="56">
        <v>8017</v>
      </c>
      <c r="G29" t="s">
        <v>71</v>
      </c>
      <c r="H29" s="46">
        <v>41.42</v>
      </c>
      <c r="I29" s="46">
        <v>2.1</v>
      </c>
      <c r="J29">
        <v>305</v>
      </c>
      <c r="K29" s="44" t="s">
        <v>64</v>
      </c>
      <c r="L29" s="44" t="s">
        <v>72</v>
      </c>
      <c r="M29" s="57" t="s">
        <v>73</v>
      </c>
      <c r="N29" s="44"/>
      <c r="O29" s="44" t="str">
        <f t="shared" si="0"/>
        <v>A_SP_BCN_V2_210630</v>
      </c>
      <c r="P29" s="58">
        <v>44377</v>
      </c>
      <c r="R29" s="59"/>
      <c r="S29" s="58">
        <v>44384</v>
      </c>
      <c r="T29" s="51"/>
      <c r="U29" s="49"/>
      <c r="V29" t="s">
        <v>66</v>
      </c>
      <c r="W29" s="52" t="s">
        <v>77</v>
      </c>
      <c r="X29" s="44">
        <f t="shared" si="1"/>
        <v>7</v>
      </c>
      <c r="Y29" s="53"/>
      <c r="Z29" s="54" t="s">
        <v>68</v>
      </c>
      <c r="AA29" s="44">
        <f t="shared" si="2"/>
        <v>29</v>
      </c>
      <c r="AB29" t="str">
        <f t="shared" si="3"/>
        <v>Adult</v>
      </c>
      <c r="AC29" s="54">
        <v>27</v>
      </c>
      <c r="AD29" s="54">
        <v>2</v>
      </c>
      <c r="AE29" s="44" t="str">
        <f t="shared" si="4"/>
        <v>Morphological</v>
      </c>
      <c r="AF29" s="55">
        <v>3</v>
      </c>
    </row>
    <row r="30" spans="1:32" ht="18" customHeight="1" x14ac:dyDescent="0.25">
      <c r="A30" s="44"/>
      <c r="B30" s="44" t="s">
        <v>60</v>
      </c>
      <c r="C30" s="44" t="s">
        <v>61</v>
      </c>
      <c r="D30" s="44" t="s">
        <v>62</v>
      </c>
      <c r="E30" s="44" t="s">
        <v>62</v>
      </c>
      <c r="F30" s="56">
        <v>8017</v>
      </c>
      <c r="G30" t="s">
        <v>71</v>
      </c>
      <c r="H30" s="46">
        <v>41.42</v>
      </c>
      <c r="I30" s="46">
        <v>2.1</v>
      </c>
      <c r="J30">
        <v>305</v>
      </c>
      <c r="K30" s="44" t="s">
        <v>64</v>
      </c>
      <c r="L30" s="44" t="s">
        <v>72</v>
      </c>
      <c r="M30" s="57" t="s">
        <v>73</v>
      </c>
      <c r="N30" s="44"/>
      <c r="O30" s="44" t="str">
        <f t="shared" si="0"/>
        <v>A_SP_BCN_V2_210630</v>
      </c>
      <c r="P30" s="58">
        <v>44377</v>
      </c>
      <c r="R30" s="59"/>
      <c r="S30" s="58">
        <v>44384</v>
      </c>
      <c r="T30" s="51"/>
      <c r="U30" s="49"/>
      <c r="V30" t="s">
        <v>66</v>
      </c>
      <c r="W30" s="52" t="s">
        <v>77</v>
      </c>
      <c r="X30" s="44">
        <f t="shared" si="1"/>
        <v>7</v>
      </c>
      <c r="Y30" s="53"/>
      <c r="Z30" s="54" t="s">
        <v>69</v>
      </c>
      <c r="AA30" s="44">
        <f t="shared" si="2"/>
        <v>3</v>
      </c>
      <c r="AB30" t="str">
        <f t="shared" si="3"/>
        <v>Adult</v>
      </c>
      <c r="AC30" s="54">
        <v>3</v>
      </c>
      <c r="AD30" s="54">
        <v>0</v>
      </c>
      <c r="AE30" s="44" t="str">
        <f t="shared" si="4"/>
        <v>Morphological</v>
      </c>
      <c r="AF30" s="55">
        <v>3</v>
      </c>
    </row>
    <row r="31" spans="1:32" ht="18" customHeight="1" x14ac:dyDescent="0.25">
      <c r="A31" s="44"/>
      <c r="B31" s="44" t="s">
        <v>60</v>
      </c>
      <c r="C31" s="44" t="s">
        <v>61</v>
      </c>
      <c r="D31" s="44" t="s">
        <v>62</v>
      </c>
      <c r="E31" s="44" t="s">
        <v>62</v>
      </c>
      <c r="F31" s="56">
        <v>8017</v>
      </c>
      <c r="G31" t="s">
        <v>71</v>
      </c>
      <c r="H31" s="46">
        <v>41.42</v>
      </c>
      <c r="I31" s="46">
        <v>2.1</v>
      </c>
      <c r="J31">
        <v>305</v>
      </c>
      <c r="K31" s="44" t="s">
        <v>64</v>
      </c>
      <c r="L31" s="44" t="s">
        <v>72</v>
      </c>
      <c r="M31" s="57" t="s">
        <v>73</v>
      </c>
      <c r="N31" s="44"/>
      <c r="O31" s="44" t="str">
        <f t="shared" si="0"/>
        <v>A_SP_BCN_V2_210630</v>
      </c>
      <c r="P31" s="58">
        <v>44377</v>
      </c>
      <c r="R31" s="59"/>
      <c r="S31" s="58">
        <v>44384</v>
      </c>
      <c r="T31" s="51"/>
      <c r="U31" s="49"/>
      <c r="V31" t="s">
        <v>66</v>
      </c>
      <c r="W31" s="52" t="s">
        <v>77</v>
      </c>
      <c r="X31" s="44">
        <f t="shared" si="1"/>
        <v>7</v>
      </c>
      <c r="Y31" s="53"/>
      <c r="Z31" s="54" t="s">
        <v>70</v>
      </c>
      <c r="AA31" s="44">
        <f t="shared" si="2"/>
        <v>3</v>
      </c>
      <c r="AB31" t="str">
        <f t="shared" si="3"/>
        <v>Adult</v>
      </c>
      <c r="AC31" s="54">
        <v>2</v>
      </c>
      <c r="AD31" s="54">
        <v>1</v>
      </c>
      <c r="AE31" s="44" t="str">
        <f t="shared" si="4"/>
        <v>Morphological</v>
      </c>
      <c r="AF31" s="55">
        <v>3</v>
      </c>
    </row>
    <row r="32" spans="1:32" ht="18" customHeight="1" x14ac:dyDescent="0.25">
      <c r="A32" s="44">
        <v>22</v>
      </c>
      <c r="B32" s="44" t="s">
        <v>60</v>
      </c>
      <c r="C32" s="44" t="s">
        <v>61</v>
      </c>
      <c r="D32" s="44" t="s">
        <v>62</v>
      </c>
      <c r="E32" s="44" t="s">
        <v>62</v>
      </c>
      <c r="F32" s="45">
        <v>8037</v>
      </c>
      <c r="G32" t="s">
        <v>74</v>
      </c>
      <c r="H32" s="46">
        <v>41.4</v>
      </c>
      <c r="I32" s="46">
        <v>2.17</v>
      </c>
      <c r="J32">
        <f t="shared" ref="J32:J33" si="6">40+3</f>
        <v>43</v>
      </c>
      <c r="K32" s="44" t="s">
        <v>64</v>
      </c>
      <c r="L32" s="44" t="s">
        <v>65</v>
      </c>
      <c r="M32" s="44"/>
      <c r="N32" s="44"/>
      <c r="O32" s="44" t="str">
        <f t="shared" si="0"/>
        <v>A_SP_BCN_V3_210701</v>
      </c>
      <c r="P32" s="58">
        <v>44378</v>
      </c>
      <c r="R32" s="59"/>
      <c r="S32" s="58">
        <v>44385</v>
      </c>
      <c r="T32" s="51"/>
      <c r="U32" s="49"/>
      <c r="V32" t="s">
        <v>66</v>
      </c>
      <c r="W32" s="52" t="s">
        <v>67</v>
      </c>
      <c r="X32" s="44">
        <f t="shared" si="1"/>
        <v>7</v>
      </c>
      <c r="Y32" s="53"/>
      <c r="Z32" s="54" t="s">
        <v>68</v>
      </c>
      <c r="AA32" s="44">
        <f t="shared" si="2"/>
        <v>2</v>
      </c>
      <c r="AB32" t="str">
        <f t="shared" si="3"/>
        <v>Adult</v>
      </c>
      <c r="AC32" s="54">
        <v>2</v>
      </c>
      <c r="AD32" s="54">
        <v>0</v>
      </c>
      <c r="AE32" s="44" t="str">
        <f t="shared" si="4"/>
        <v>Morphological</v>
      </c>
      <c r="AF32" s="55">
        <v>4</v>
      </c>
    </row>
    <row r="33" spans="1:32" ht="18" customHeight="1" x14ac:dyDescent="0.25">
      <c r="A33" s="44">
        <v>23</v>
      </c>
      <c r="B33" s="44" t="s">
        <v>60</v>
      </c>
      <c r="C33" s="44" t="s">
        <v>61</v>
      </c>
      <c r="D33" s="44" t="s">
        <v>62</v>
      </c>
      <c r="E33" s="44" t="s">
        <v>62</v>
      </c>
      <c r="F33" s="45">
        <v>8037</v>
      </c>
      <c r="G33" t="s">
        <v>74</v>
      </c>
      <c r="H33" s="46">
        <v>41.4</v>
      </c>
      <c r="I33" s="46">
        <v>2.17</v>
      </c>
      <c r="J33">
        <f t="shared" si="6"/>
        <v>43</v>
      </c>
      <c r="K33" s="44" t="s">
        <v>64</v>
      </c>
      <c r="L33" s="44" t="s">
        <v>65</v>
      </c>
      <c r="M33" s="44"/>
      <c r="N33" s="44"/>
      <c r="O33" s="44" t="str">
        <f t="shared" si="0"/>
        <v>A_SP_BCN_V3_210701</v>
      </c>
      <c r="P33" s="58">
        <v>44378</v>
      </c>
      <c r="R33" s="59"/>
      <c r="S33" s="58">
        <v>44385</v>
      </c>
      <c r="T33" s="51"/>
      <c r="U33" s="49"/>
      <c r="V33" t="s">
        <v>66</v>
      </c>
      <c r="W33" s="52" t="s">
        <v>67</v>
      </c>
      <c r="X33" s="44">
        <f t="shared" si="1"/>
        <v>7</v>
      </c>
      <c r="Y33" s="53"/>
      <c r="Z33" s="54" t="s">
        <v>69</v>
      </c>
      <c r="AA33" s="44">
        <f t="shared" si="2"/>
        <v>8</v>
      </c>
      <c r="AB33" t="str">
        <f t="shared" si="3"/>
        <v>Adult</v>
      </c>
      <c r="AC33" s="54">
        <v>0</v>
      </c>
      <c r="AD33" s="54">
        <v>8</v>
      </c>
      <c r="AE33" s="44" t="str">
        <f t="shared" si="4"/>
        <v>Morphological</v>
      </c>
      <c r="AF33" s="55">
        <v>4</v>
      </c>
    </row>
    <row r="34" spans="1:32" ht="18" customHeight="1" x14ac:dyDescent="0.25">
      <c r="A34" s="44"/>
      <c r="B34" s="44" t="s">
        <v>60</v>
      </c>
      <c r="C34" s="44" t="s">
        <v>61</v>
      </c>
      <c r="D34" s="44" t="s">
        <v>62</v>
      </c>
      <c r="E34" s="44" t="s">
        <v>62</v>
      </c>
      <c r="F34" s="56">
        <v>8017</v>
      </c>
      <c r="G34" t="s">
        <v>71</v>
      </c>
      <c r="H34" s="46">
        <v>41.42</v>
      </c>
      <c r="I34" s="46">
        <v>2.1</v>
      </c>
      <c r="J34">
        <v>305</v>
      </c>
      <c r="K34" s="44" t="s">
        <v>64</v>
      </c>
      <c r="L34" s="44" t="s">
        <v>72</v>
      </c>
      <c r="M34" s="57" t="s">
        <v>73</v>
      </c>
      <c r="N34" s="44"/>
      <c r="O34" s="44" t="str">
        <f t="shared" si="0"/>
        <v>A_SP_BCN_V2_210707</v>
      </c>
      <c r="P34" s="58">
        <v>44384</v>
      </c>
      <c r="R34" s="59"/>
      <c r="S34" s="58">
        <v>44391</v>
      </c>
      <c r="T34" s="51"/>
      <c r="U34" s="49"/>
      <c r="V34" t="s">
        <v>66</v>
      </c>
      <c r="W34" s="52" t="s">
        <v>77</v>
      </c>
      <c r="X34" s="44">
        <f t="shared" si="1"/>
        <v>7</v>
      </c>
      <c r="Y34" s="53"/>
      <c r="Z34" s="54" t="s">
        <v>68</v>
      </c>
      <c r="AA34" s="44">
        <f t="shared" si="2"/>
        <v>12</v>
      </c>
      <c r="AB34" t="str">
        <f t="shared" si="3"/>
        <v>Adult</v>
      </c>
      <c r="AC34" s="54">
        <v>12</v>
      </c>
      <c r="AD34" s="54">
        <v>0</v>
      </c>
      <c r="AE34" s="44" t="str">
        <f t="shared" si="4"/>
        <v>Morphological</v>
      </c>
      <c r="AF34" s="55">
        <v>3</v>
      </c>
    </row>
    <row r="35" spans="1:32" ht="18" customHeight="1" x14ac:dyDescent="0.25">
      <c r="A35" s="44"/>
      <c r="B35" s="44" t="s">
        <v>60</v>
      </c>
      <c r="C35" s="44" t="s">
        <v>61</v>
      </c>
      <c r="D35" s="44" t="s">
        <v>62</v>
      </c>
      <c r="E35" s="44" t="s">
        <v>62</v>
      </c>
      <c r="F35" s="56">
        <v>8017</v>
      </c>
      <c r="G35" t="s">
        <v>71</v>
      </c>
      <c r="H35" s="46">
        <v>41.42</v>
      </c>
      <c r="I35" s="46">
        <v>2.1</v>
      </c>
      <c r="J35">
        <v>305</v>
      </c>
      <c r="K35" s="44" t="s">
        <v>64</v>
      </c>
      <c r="L35" s="44" t="s">
        <v>72</v>
      </c>
      <c r="M35" s="57" t="s">
        <v>73</v>
      </c>
      <c r="N35" s="44"/>
      <c r="O35" s="44" t="str">
        <f t="shared" si="0"/>
        <v>A_SP_BCN_V2_210707</v>
      </c>
      <c r="P35" s="58">
        <v>44384</v>
      </c>
      <c r="R35" s="59"/>
      <c r="S35" s="58">
        <v>44391</v>
      </c>
      <c r="T35" s="51"/>
      <c r="U35" s="49"/>
      <c r="V35" t="s">
        <v>66</v>
      </c>
      <c r="W35" s="52" t="s">
        <v>77</v>
      </c>
      <c r="X35" s="44">
        <f t="shared" si="1"/>
        <v>7</v>
      </c>
      <c r="Y35" s="53"/>
      <c r="Z35" s="54" t="s">
        <v>70</v>
      </c>
      <c r="AA35" s="44">
        <f t="shared" si="2"/>
        <v>1</v>
      </c>
      <c r="AB35" t="str">
        <f t="shared" si="3"/>
        <v>Adult</v>
      </c>
      <c r="AC35" s="54">
        <v>1</v>
      </c>
      <c r="AD35" s="54">
        <v>0</v>
      </c>
      <c r="AE35" s="44" t="str">
        <f t="shared" si="4"/>
        <v>Morphological</v>
      </c>
      <c r="AF35" s="55">
        <v>3</v>
      </c>
    </row>
    <row r="36" spans="1:32" ht="18" customHeight="1" x14ac:dyDescent="0.25">
      <c r="A36" s="44">
        <v>24</v>
      </c>
      <c r="B36" s="44" t="s">
        <v>60</v>
      </c>
      <c r="C36" s="44" t="s">
        <v>61</v>
      </c>
      <c r="D36" s="44" t="s">
        <v>62</v>
      </c>
      <c r="E36" s="44" t="s">
        <v>62</v>
      </c>
      <c r="F36" s="56">
        <v>8017</v>
      </c>
      <c r="G36" t="s">
        <v>71</v>
      </c>
      <c r="H36" s="46">
        <v>41.42</v>
      </c>
      <c r="I36" s="46">
        <v>2.1</v>
      </c>
      <c r="J36">
        <v>305</v>
      </c>
      <c r="K36" s="44" t="s">
        <v>64</v>
      </c>
      <c r="L36" s="44" t="s">
        <v>72</v>
      </c>
      <c r="M36" s="57" t="s">
        <v>73</v>
      </c>
      <c r="N36" s="44"/>
      <c r="O36" s="44" t="str">
        <f t="shared" si="0"/>
        <v>A_SP_BCN_V2_210714</v>
      </c>
      <c r="P36" s="58">
        <v>44391</v>
      </c>
      <c r="R36" s="59"/>
      <c r="S36" s="58">
        <v>44398</v>
      </c>
      <c r="T36" s="51"/>
      <c r="U36" s="49"/>
      <c r="V36" t="s">
        <v>66</v>
      </c>
      <c r="W36" s="52" t="s">
        <v>67</v>
      </c>
      <c r="X36" s="44">
        <f t="shared" si="1"/>
        <v>7</v>
      </c>
      <c r="Y36" s="53"/>
      <c r="Z36" s="54" t="s">
        <v>68</v>
      </c>
      <c r="AA36" s="44">
        <f t="shared" si="2"/>
        <v>18</v>
      </c>
      <c r="AB36" t="str">
        <f t="shared" si="3"/>
        <v>Adult</v>
      </c>
      <c r="AC36" s="54">
        <v>16</v>
      </c>
      <c r="AD36" s="54">
        <v>2</v>
      </c>
      <c r="AE36" s="44" t="str">
        <f t="shared" si="4"/>
        <v>Morphological</v>
      </c>
      <c r="AF36" s="55">
        <v>4</v>
      </c>
    </row>
    <row r="37" spans="1:32" ht="18" customHeight="1" x14ac:dyDescent="0.25">
      <c r="A37" s="44">
        <v>25</v>
      </c>
      <c r="B37" s="44" t="s">
        <v>60</v>
      </c>
      <c r="C37" s="44" t="s">
        <v>61</v>
      </c>
      <c r="D37" s="44" t="s">
        <v>62</v>
      </c>
      <c r="E37" s="44" t="s">
        <v>62</v>
      </c>
      <c r="F37" s="56">
        <v>8017</v>
      </c>
      <c r="G37" t="s">
        <v>71</v>
      </c>
      <c r="H37" s="46">
        <v>41.42</v>
      </c>
      <c r="I37" s="46">
        <v>2.1</v>
      </c>
      <c r="J37">
        <v>305</v>
      </c>
      <c r="K37" s="44" t="s">
        <v>64</v>
      </c>
      <c r="L37" s="44" t="s">
        <v>72</v>
      </c>
      <c r="M37" s="57" t="s">
        <v>73</v>
      </c>
      <c r="N37" s="44"/>
      <c r="O37" s="44" t="str">
        <f t="shared" si="0"/>
        <v>A_SP_BCN_V2_210714</v>
      </c>
      <c r="P37" s="58">
        <v>44391</v>
      </c>
      <c r="R37" s="59"/>
      <c r="S37" s="58">
        <v>44398</v>
      </c>
      <c r="T37" s="51"/>
      <c r="U37" s="49"/>
      <c r="V37" t="s">
        <v>66</v>
      </c>
      <c r="W37" s="52" t="s">
        <v>67</v>
      </c>
      <c r="X37" s="44">
        <f t="shared" si="1"/>
        <v>7</v>
      </c>
      <c r="Y37" s="53"/>
      <c r="Z37" s="54" t="s">
        <v>69</v>
      </c>
      <c r="AA37" s="44">
        <f t="shared" si="2"/>
        <v>1</v>
      </c>
      <c r="AB37" t="str">
        <f t="shared" si="3"/>
        <v>Adult</v>
      </c>
      <c r="AC37" s="54">
        <v>1</v>
      </c>
      <c r="AD37" s="54">
        <v>0</v>
      </c>
      <c r="AE37" s="44" t="str">
        <f t="shared" si="4"/>
        <v>Morphological</v>
      </c>
      <c r="AF37" s="55">
        <v>4</v>
      </c>
    </row>
    <row r="38" spans="1:32" ht="18" customHeight="1" x14ac:dyDescent="0.25">
      <c r="A38" s="44">
        <v>26</v>
      </c>
      <c r="B38" s="44" t="s">
        <v>60</v>
      </c>
      <c r="C38" s="44" t="s">
        <v>61</v>
      </c>
      <c r="D38" s="44" t="s">
        <v>62</v>
      </c>
      <c r="E38" s="44" t="s">
        <v>62</v>
      </c>
      <c r="F38" s="56">
        <v>8017</v>
      </c>
      <c r="G38" t="s">
        <v>71</v>
      </c>
      <c r="H38" s="46">
        <v>41.42</v>
      </c>
      <c r="I38" s="46">
        <v>2.1</v>
      </c>
      <c r="J38">
        <v>305</v>
      </c>
      <c r="K38" s="44" t="s">
        <v>64</v>
      </c>
      <c r="L38" s="44" t="s">
        <v>72</v>
      </c>
      <c r="M38" s="57" t="s">
        <v>73</v>
      </c>
      <c r="N38" s="44"/>
      <c r="O38" s="44" t="str">
        <f t="shared" si="0"/>
        <v>A_SP_BCN_V2_210714</v>
      </c>
      <c r="P38" s="58">
        <v>44391</v>
      </c>
      <c r="R38" s="59"/>
      <c r="S38" s="58">
        <v>44398</v>
      </c>
      <c r="T38" s="51"/>
      <c r="U38" s="49"/>
      <c r="V38" t="s">
        <v>66</v>
      </c>
      <c r="W38" s="52" t="s">
        <v>67</v>
      </c>
      <c r="X38" s="44">
        <f t="shared" si="1"/>
        <v>7</v>
      </c>
      <c r="Y38" s="53"/>
      <c r="Z38" s="54" t="s">
        <v>70</v>
      </c>
      <c r="AA38" s="44">
        <f t="shared" si="2"/>
        <v>2</v>
      </c>
      <c r="AB38" t="str">
        <f t="shared" si="3"/>
        <v>Adult</v>
      </c>
      <c r="AC38" s="54">
        <v>1</v>
      </c>
      <c r="AD38" s="54">
        <v>1</v>
      </c>
      <c r="AE38" s="44" t="str">
        <f t="shared" si="4"/>
        <v>Morphological</v>
      </c>
      <c r="AF38" s="55">
        <v>4</v>
      </c>
    </row>
    <row r="39" spans="1:32" ht="18" customHeight="1" x14ac:dyDescent="0.25">
      <c r="A39" s="44">
        <v>27</v>
      </c>
      <c r="B39" s="44" t="s">
        <v>60</v>
      </c>
      <c r="C39" s="44" t="s">
        <v>61</v>
      </c>
      <c r="D39" s="44" t="s">
        <v>62</v>
      </c>
      <c r="E39" s="44" t="s">
        <v>62</v>
      </c>
      <c r="F39" s="45">
        <v>8037</v>
      </c>
      <c r="G39" t="s">
        <v>74</v>
      </c>
      <c r="H39" s="46">
        <v>41.4</v>
      </c>
      <c r="I39" s="46">
        <v>2.17</v>
      </c>
      <c r="J39">
        <f t="shared" ref="J39:J43" si="7">40+3</f>
        <v>43</v>
      </c>
      <c r="K39" s="44" t="s">
        <v>64</v>
      </c>
      <c r="L39" s="44" t="s">
        <v>65</v>
      </c>
      <c r="M39" s="44"/>
      <c r="N39" s="44"/>
      <c r="O39" s="44" t="str">
        <f t="shared" si="0"/>
        <v>A_SP_BCN_V3_210715</v>
      </c>
      <c r="P39" s="58">
        <v>44392</v>
      </c>
      <c r="R39" s="59"/>
      <c r="S39" s="58">
        <v>44406</v>
      </c>
      <c r="T39" s="51"/>
      <c r="U39" s="49"/>
      <c r="V39" t="s">
        <v>66</v>
      </c>
      <c r="W39" s="52"/>
      <c r="X39" s="44">
        <f t="shared" si="1"/>
        <v>14</v>
      </c>
      <c r="Y39" s="53"/>
      <c r="Z39" s="54" t="s">
        <v>68</v>
      </c>
      <c r="AA39" s="44">
        <f t="shared" si="2"/>
        <v>4</v>
      </c>
      <c r="AB39" t="str">
        <f t="shared" si="3"/>
        <v>Adult</v>
      </c>
      <c r="AC39" s="54">
        <v>4</v>
      </c>
      <c r="AD39" s="54">
        <v>0</v>
      </c>
      <c r="AE39" s="44" t="str">
        <f t="shared" si="4"/>
        <v>Morphological</v>
      </c>
      <c r="AF39" s="55">
        <v>4</v>
      </c>
    </row>
    <row r="40" spans="1:32" ht="18" customHeight="1" x14ac:dyDescent="0.25">
      <c r="A40" s="44">
        <v>28</v>
      </c>
      <c r="B40" s="44" t="s">
        <v>60</v>
      </c>
      <c r="C40" s="44" t="s">
        <v>61</v>
      </c>
      <c r="D40" s="44" t="s">
        <v>62</v>
      </c>
      <c r="E40" s="44" t="s">
        <v>62</v>
      </c>
      <c r="F40" s="45">
        <v>8037</v>
      </c>
      <c r="G40" t="s">
        <v>74</v>
      </c>
      <c r="H40" s="46">
        <v>41.4</v>
      </c>
      <c r="I40" s="46">
        <v>2.17</v>
      </c>
      <c r="J40">
        <f t="shared" si="7"/>
        <v>43</v>
      </c>
      <c r="K40" s="44" t="s">
        <v>64</v>
      </c>
      <c r="L40" s="44" t="s">
        <v>65</v>
      </c>
      <c r="M40" s="44"/>
      <c r="N40" s="44"/>
      <c r="O40" s="44" t="str">
        <f t="shared" si="0"/>
        <v>A_SP_BCN_V3_210715</v>
      </c>
      <c r="P40" s="58">
        <v>44392</v>
      </c>
      <c r="R40" s="59"/>
      <c r="S40" s="58">
        <v>44406</v>
      </c>
      <c r="T40" s="51"/>
      <c r="U40" s="49"/>
      <c r="V40" t="s">
        <v>66</v>
      </c>
      <c r="W40" s="52"/>
      <c r="X40" s="44">
        <f t="shared" si="1"/>
        <v>14</v>
      </c>
      <c r="Y40" s="53"/>
      <c r="Z40" s="54" t="s">
        <v>69</v>
      </c>
      <c r="AA40" s="44">
        <f t="shared" si="2"/>
        <v>18</v>
      </c>
      <c r="AB40" t="str">
        <f t="shared" si="3"/>
        <v>Adult</v>
      </c>
      <c r="AC40" s="54">
        <v>10</v>
      </c>
      <c r="AD40" s="54">
        <v>8</v>
      </c>
      <c r="AE40" s="44" t="str">
        <f t="shared" si="4"/>
        <v>Morphological</v>
      </c>
      <c r="AF40" s="55">
        <v>4</v>
      </c>
    </row>
    <row r="41" spans="1:32" ht="18" customHeight="1" x14ac:dyDescent="0.25">
      <c r="A41" s="44">
        <v>29</v>
      </c>
      <c r="B41" s="44" t="s">
        <v>60</v>
      </c>
      <c r="C41" s="44" t="s">
        <v>61</v>
      </c>
      <c r="D41" s="44" t="s">
        <v>62</v>
      </c>
      <c r="E41" s="44" t="s">
        <v>62</v>
      </c>
      <c r="F41" s="45">
        <v>8037</v>
      </c>
      <c r="G41" t="s">
        <v>74</v>
      </c>
      <c r="H41" s="46">
        <v>41.4</v>
      </c>
      <c r="I41" s="46">
        <v>2.17</v>
      </c>
      <c r="J41">
        <f t="shared" si="7"/>
        <v>43</v>
      </c>
      <c r="K41" s="44" t="s">
        <v>64</v>
      </c>
      <c r="L41" s="44" t="s">
        <v>65</v>
      </c>
      <c r="M41" s="44"/>
      <c r="N41" s="44"/>
      <c r="O41" s="44" t="str">
        <f t="shared" si="0"/>
        <v>A_SP_BCN_V3_210715</v>
      </c>
      <c r="P41" s="58">
        <v>44392</v>
      </c>
      <c r="R41" s="59"/>
      <c r="S41" s="58">
        <v>44406</v>
      </c>
      <c r="T41" s="51"/>
      <c r="U41" s="49"/>
      <c r="V41" t="s">
        <v>66</v>
      </c>
      <c r="W41" s="52"/>
      <c r="X41" s="44">
        <f t="shared" si="1"/>
        <v>14</v>
      </c>
      <c r="Y41" s="53"/>
      <c r="Z41" s="54" t="s">
        <v>70</v>
      </c>
      <c r="AA41" s="44">
        <f t="shared" si="2"/>
        <v>2</v>
      </c>
      <c r="AB41" t="str">
        <f t="shared" si="3"/>
        <v>Adult</v>
      </c>
      <c r="AC41" s="54">
        <v>1</v>
      </c>
      <c r="AD41" s="54">
        <v>1</v>
      </c>
      <c r="AE41" s="44" t="str">
        <f t="shared" si="4"/>
        <v>Morphological</v>
      </c>
      <c r="AF41" s="55">
        <v>4</v>
      </c>
    </row>
    <row r="42" spans="1:32" ht="18" customHeight="1" x14ac:dyDescent="0.25">
      <c r="A42" s="44">
        <v>30</v>
      </c>
      <c r="B42" s="44" t="s">
        <v>60</v>
      </c>
      <c r="C42" s="44" t="s">
        <v>61</v>
      </c>
      <c r="D42" s="44" t="s">
        <v>62</v>
      </c>
      <c r="E42" s="44" t="s">
        <v>62</v>
      </c>
      <c r="F42" s="45">
        <v>8037</v>
      </c>
      <c r="G42" t="s">
        <v>74</v>
      </c>
      <c r="H42" s="46">
        <v>41.4</v>
      </c>
      <c r="I42" s="46">
        <v>2.17</v>
      </c>
      <c r="J42">
        <f t="shared" si="7"/>
        <v>43</v>
      </c>
      <c r="K42" s="44" t="s">
        <v>64</v>
      </c>
      <c r="L42" s="44" t="s">
        <v>65</v>
      </c>
      <c r="M42" s="44"/>
      <c r="N42" s="44"/>
      <c r="O42" s="44" t="str">
        <f t="shared" si="0"/>
        <v>A_SP_BCN_V3_210729</v>
      </c>
      <c r="P42" s="58">
        <v>44406</v>
      </c>
      <c r="R42" s="59"/>
      <c r="S42" s="58">
        <v>44413</v>
      </c>
      <c r="T42" s="51"/>
      <c r="U42" s="49"/>
      <c r="V42" t="s">
        <v>66</v>
      </c>
      <c r="W42" s="52"/>
      <c r="X42" s="44">
        <f t="shared" si="1"/>
        <v>7</v>
      </c>
      <c r="Y42" s="53"/>
      <c r="Z42" s="54" t="s">
        <v>68</v>
      </c>
      <c r="AA42" s="44">
        <f t="shared" si="2"/>
        <v>10</v>
      </c>
      <c r="AB42" t="str">
        <f t="shared" si="3"/>
        <v>Adult</v>
      </c>
      <c r="AC42" s="54">
        <v>9</v>
      </c>
      <c r="AD42" s="54">
        <v>1</v>
      </c>
      <c r="AE42" s="44" t="str">
        <f t="shared" si="4"/>
        <v>Morphological</v>
      </c>
      <c r="AF42" s="55">
        <v>4</v>
      </c>
    </row>
    <row r="43" spans="1:32" ht="18" customHeight="1" x14ac:dyDescent="0.25">
      <c r="A43" s="44">
        <v>31</v>
      </c>
      <c r="B43" s="44" t="s">
        <v>60</v>
      </c>
      <c r="C43" s="44" t="s">
        <v>61</v>
      </c>
      <c r="D43" s="44" t="s">
        <v>62</v>
      </c>
      <c r="E43" s="44" t="s">
        <v>62</v>
      </c>
      <c r="F43" s="45">
        <v>8037</v>
      </c>
      <c r="G43" t="s">
        <v>74</v>
      </c>
      <c r="H43" s="46">
        <v>41.4</v>
      </c>
      <c r="I43" s="46">
        <v>2.17</v>
      </c>
      <c r="J43">
        <f t="shared" si="7"/>
        <v>43</v>
      </c>
      <c r="K43" s="44" t="s">
        <v>64</v>
      </c>
      <c r="L43" s="44" t="s">
        <v>65</v>
      </c>
      <c r="M43" s="44"/>
      <c r="N43" s="44"/>
      <c r="O43" s="44" t="str">
        <f t="shared" si="0"/>
        <v>A_SP_BCN_V3_210729</v>
      </c>
      <c r="P43" s="58">
        <v>44406</v>
      </c>
      <c r="R43" s="59"/>
      <c r="S43" s="58">
        <v>44413</v>
      </c>
      <c r="T43" s="51"/>
      <c r="U43" s="49"/>
      <c r="V43" t="s">
        <v>66</v>
      </c>
      <c r="W43" s="52"/>
      <c r="X43" s="44">
        <f t="shared" si="1"/>
        <v>7</v>
      </c>
      <c r="Y43" s="53"/>
      <c r="Z43" s="54" t="s">
        <v>69</v>
      </c>
      <c r="AA43" s="44">
        <f t="shared" si="2"/>
        <v>20</v>
      </c>
      <c r="AB43" t="str">
        <f t="shared" si="3"/>
        <v>Adult</v>
      </c>
      <c r="AC43" s="54">
        <v>4</v>
      </c>
      <c r="AD43" s="54">
        <v>16</v>
      </c>
      <c r="AE43" s="44" t="str">
        <f t="shared" si="4"/>
        <v>Morphological</v>
      </c>
      <c r="AF43" s="55">
        <v>4</v>
      </c>
    </row>
    <row r="44" spans="1:32" ht="18" customHeight="1" x14ac:dyDescent="0.25">
      <c r="A44" s="44">
        <v>32</v>
      </c>
      <c r="B44" s="44" t="s">
        <v>60</v>
      </c>
      <c r="C44" s="44" t="s">
        <v>61</v>
      </c>
      <c r="D44" s="44" t="s">
        <v>62</v>
      </c>
      <c r="E44" s="44" t="s">
        <v>62</v>
      </c>
      <c r="F44" s="56">
        <v>8017</v>
      </c>
      <c r="G44" t="s">
        <v>71</v>
      </c>
      <c r="H44" s="46">
        <v>41.42</v>
      </c>
      <c r="I44" s="46">
        <v>2.1</v>
      </c>
      <c r="J44">
        <v>305</v>
      </c>
      <c r="K44" s="44" t="s">
        <v>64</v>
      </c>
      <c r="L44" s="44" t="s">
        <v>72</v>
      </c>
      <c r="M44" s="57" t="s">
        <v>73</v>
      </c>
      <c r="N44" s="44"/>
      <c r="O44" s="44" t="str">
        <f t="shared" si="0"/>
        <v>A_SP_BCN_V2_210729</v>
      </c>
      <c r="P44" s="58">
        <v>44406</v>
      </c>
      <c r="R44" s="59"/>
      <c r="S44" s="58">
        <v>44413</v>
      </c>
      <c r="T44" s="51"/>
      <c r="U44" s="49"/>
      <c r="V44" t="s">
        <v>66</v>
      </c>
      <c r="W44" s="52" t="s">
        <v>67</v>
      </c>
      <c r="X44" s="44">
        <f t="shared" si="1"/>
        <v>7</v>
      </c>
      <c r="Y44" s="53"/>
      <c r="Z44" s="54" t="s">
        <v>68</v>
      </c>
      <c r="AA44" s="44">
        <f t="shared" si="2"/>
        <v>18</v>
      </c>
      <c r="AB44" t="str">
        <f t="shared" si="3"/>
        <v>Adult</v>
      </c>
      <c r="AC44" s="54">
        <v>14</v>
      </c>
      <c r="AD44" s="54">
        <v>4</v>
      </c>
      <c r="AE44" s="44" t="str">
        <f t="shared" si="4"/>
        <v>Morphological</v>
      </c>
      <c r="AF44" s="55">
        <v>4</v>
      </c>
    </row>
    <row r="45" spans="1:32" ht="18" customHeight="1" x14ac:dyDescent="0.25">
      <c r="A45" s="44">
        <v>33</v>
      </c>
      <c r="B45" s="44" t="s">
        <v>60</v>
      </c>
      <c r="C45" s="44" t="s">
        <v>61</v>
      </c>
      <c r="D45" s="44" t="s">
        <v>62</v>
      </c>
      <c r="E45" s="44" t="s">
        <v>62</v>
      </c>
      <c r="F45" s="56">
        <v>8017</v>
      </c>
      <c r="G45" t="s">
        <v>71</v>
      </c>
      <c r="H45" s="46">
        <v>41.42</v>
      </c>
      <c r="I45" s="46">
        <v>2.1</v>
      </c>
      <c r="J45">
        <v>305</v>
      </c>
      <c r="K45" s="44" t="s">
        <v>64</v>
      </c>
      <c r="L45" s="44" t="s">
        <v>72</v>
      </c>
      <c r="M45" s="57" t="s">
        <v>73</v>
      </c>
      <c r="N45" s="44"/>
      <c r="O45" s="44" t="str">
        <f t="shared" si="0"/>
        <v>A_SP_BCN_V2_210805</v>
      </c>
      <c r="P45" s="58">
        <v>44413</v>
      </c>
      <c r="R45" s="59"/>
      <c r="S45" s="58">
        <v>44420</v>
      </c>
      <c r="T45" s="51"/>
      <c r="U45" s="49"/>
      <c r="V45" t="s">
        <v>66</v>
      </c>
      <c r="W45" s="52" t="s">
        <v>67</v>
      </c>
      <c r="X45" s="44">
        <f t="shared" si="1"/>
        <v>7</v>
      </c>
      <c r="Y45" s="53"/>
      <c r="Z45" s="54" t="s">
        <v>68</v>
      </c>
      <c r="AA45" s="44">
        <f t="shared" si="2"/>
        <v>10</v>
      </c>
      <c r="AB45" t="str">
        <f t="shared" si="3"/>
        <v>Adult</v>
      </c>
      <c r="AC45" s="54">
        <v>7</v>
      </c>
      <c r="AD45" s="54">
        <v>3</v>
      </c>
      <c r="AE45" s="44" t="str">
        <f t="shared" si="4"/>
        <v>Morphological</v>
      </c>
      <c r="AF45" s="55">
        <v>4</v>
      </c>
    </row>
    <row r="46" spans="1:32" ht="18" customHeight="1" x14ac:dyDescent="0.25">
      <c r="A46" s="44">
        <v>34</v>
      </c>
      <c r="B46" s="44" t="s">
        <v>60</v>
      </c>
      <c r="C46" s="44" t="s">
        <v>61</v>
      </c>
      <c r="D46" s="44" t="s">
        <v>62</v>
      </c>
      <c r="E46" s="44" t="s">
        <v>62</v>
      </c>
      <c r="F46" s="45">
        <v>8037</v>
      </c>
      <c r="G46" t="s">
        <v>74</v>
      </c>
      <c r="H46" s="46">
        <v>41.4</v>
      </c>
      <c r="I46" s="46">
        <v>2.17</v>
      </c>
      <c r="J46">
        <f t="shared" ref="J46:J49" si="8">40+3</f>
        <v>43</v>
      </c>
      <c r="K46" s="44" t="s">
        <v>64</v>
      </c>
      <c r="L46" s="44" t="s">
        <v>65</v>
      </c>
      <c r="M46" s="44"/>
      <c r="N46" s="44"/>
      <c r="O46" s="44" t="str">
        <f t="shared" si="0"/>
        <v>A_SP_BCN_V3_210805</v>
      </c>
      <c r="P46" s="58">
        <v>44413</v>
      </c>
      <c r="R46" s="59"/>
      <c r="S46" s="58">
        <v>44420</v>
      </c>
      <c r="T46" s="51"/>
      <c r="U46" s="49"/>
      <c r="V46" t="s">
        <v>66</v>
      </c>
      <c r="W46" s="52"/>
      <c r="X46" s="44">
        <f t="shared" si="1"/>
        <v>7</v>
      </c>
      <c r="Y46" s="53"/>
      <c r="Z46" s="54" t="s">
        <v>68</v>
      </c>
      <c r="AA46" s="44">
        <f t="shared" si="2"/>
        <v>4</v>
      </c>
      <c r="AB46" t="str">
        <f t="shared" si="3"/>
        <v>Adult</v>
      </c>
      <c r="AC46" s="54">
        <v>4</v>
      </c>
      <c r="AD46" s="54">
        <v>0</v>
      </c>
      <c r="AE46" s="44" t="str">
        <f t="shared" si="4"/>
        <v>Morphological</v>
      </c>
      <c r="AF46" s="55">
        <v>4</v>
      </c>
    </row>
    <row r="47" spans="1:32" ht="18" customHeight="1" x14ac:dyDescent="0.25">
      <c r="A47" s="44">
        <v>35</v>
      </c>
      <c r="B47" s="44" t="s">
        <v>60</v>
      </c>
      <c r="C47" s="44" t="s">
        <v>61</v>
      </c>
      <c r="D47" s="44" t="s">
        <v>62</v>
      </c>
      <c r="E47" s="44" t="s">
        <v>62</v>
      </c>
      <c r="F47" s="45">
        <v>8037</v>
      </c>
      <c r="G47" t="s">
        <v>74</v>
      </c>
      <c r="H47" s="46">
        <v>41.4</v>
      </c>
      <c r="I47" s="46">
        <v>2.17</v>
      </c>
      <c r="J47">
        <f t="shared" si="8"/>
        <v>43</v>
      </c>
      <c r="K47" s="44" t="s">
        <v>64</v>
      </c>
      <c r="L47" s="44" t="s">
        <v>65</v>
      </c>
      <c r="M47" s="44"/>
      <c r="N47" s="44"/>
      <c r="O47" s="44" t="str">
        <f t="shared" si="0"/>
        <v>A_SP_BCN_V3_210805</v>
      </c>
      <c r="P47" s="58">
        <v>44413</v>
      </c>
      <c r="R47" s="59"/>
      <c r="S47" s="58">
        <v>44420</v>
      </c>
      <c r="T47" s="51"/>
      <c r="U47" s="49"/>
      <c r="V47" t="s">
        <v>66</v>
      </c>
      <c r="W47" s="52"/>
      <c r="X47" s="44">
        <f t="shared" si="1"/>
        <v>7</v>
      </c>
      <c r="Y47" s="53"/>
      <c r="Z47" s="54" t="s">
        <v>69</v>
      </c>
      <c r="AA47" s="44">
        <f t="shared" si="2"/>
        <v>16</v>
      </c>
      <c r="AB47" t="str">
        <f t="shared" si="3"/>
        <v>Adult</v>
      </c>
      <c r="AC47" s="54">
        <v>3</v>
      </c>
      <c r="AD47" s="54">
        <v>13</v>
      </c>
      <c r="AE47" s="44" t="str">
        <f t="shared" si="4"/>
        <v>Morphological</v>
      </c>
      <c r="AF47" s="55">
        <v>4</v>
      </c>
    </row>
    <row r="48" spans="1:32" ht="18" customHeight="1" x14ac:dyDescent="0.25">
      <c r="A48" s="44">
        <v>36</v>
      </c>
      <c r="B48" s="44" t="s">
        <v>60</v>
      </c>
      <c r="C48" s="44" t="s">
        <v>61</v>
      </c>
      <c r="D48" s="44" t="s">
        <v>62</v>
      </c>
      <c r="E48" s="44" t="s">
        <v>62</v>
      </c>
      <c r="F48" s="45">
        <v>8037</v>
      </c>
      <c r="G48" t="s">
        <v>74</v>
      </c>
      <c r="H48" s="46">
        <v>41.4</v>
      </c>
      <c r="I48" s="46">
        <v>2.17</v>
      </c>
      <c r="J48">
        <f t="shared" si="8"/>
        <v>43</v>
      </c>
      <c r="K48" s="44" t="s">
        <v>64</v>
      </c>
      <c r="L48" s="44" t="s">
        <v>65</v>
      </c>
      <c r="M48" s="44"/>
      <c r="N48" s="44"/>
      <c r="O48" s="44" t="str">
        <f t="shared" si="0"/>
        <v>A_SP_BCN_V3_210812</v>
      </c>
      <c r="P48" s="58">
        <v>44420</v>
      </c>
      <c r="R48" s="59"/>
      <c r="S48" s="58">
        <v>44427</v>
      </c>
      <c r="T48" s="51"/>
      <c r="U48" s="49"/>
      <c r="V48" t="s">
        <v>66</v>
      </c>
      <c r="W48" s="52"/>
      <c r="X48" s="44">
        <f t="shared" si="1"/>
        <v>7</v>
      </c>
      <c r="Y48" s="53"/>
      <c r="Z48" s="54" t="s">
        <v>68</v>
      </c>
      <c r="AA48" s="44">
        <f t="shared" si="2"/>
        <v>4</v>
      </c>
      <c r="AB48" t="str">
        <f t="shared" si="3"/>
        <v>Adult</v>
      </c>
      <c r="AC48" s="54">
        <v>4</v>
      </c>
      <c r="AD48" s="54">
        <v>0</v>
      </c>
      <c r="AE48" s="44" t="str">
        <f t="shared" si="4"/>
        <v>Morphological</v>
      </c>
      <c r="AF48" s="55">
        <v>4</v>
      </c>
    </row>
    <row r="49" spans="1:32" ht="18" customHeight="1" x14ac:dyDescent="0.25">
      <c r="A49" s="44">
        <v>37</v>
      </c>
      <c r="B49" s="44" t="s">
        <v>60</v>
      </c>
      <c r="C49" s="44" t="s">
        <v>61</v>
      </c>
      <c r="D49" s="44" t="s">
        <v>62</v>
      </c>
      <c r="E49" s="44" t="s">
        <v>62</v>
      </c>
      <c r="F49" s="45">
        <v>8037</v>
      </c>
      <c r="G49" t="s">
        <v>74</v>
      </c>
      <c r="H49" s="46">
        <v>41.4</v>
      </c>
      <c r="I49" s="46">
        <v>2.17</v>
      </c>
      <c r="J49">
        <f t="shared" si="8"/>
        <v>43</v>
      </c>
      <c r="K49" s="44" t="s">
        <v>64</v>
      </c>
      <c r="L49" s="44" t="s">
        <v>65</v>
      </c>
      <c r="M49" s="44"/>
      <c r="N49" s="44"/>
      <c r="O49" s="44" t="str">
        <f t="shared" si="0"/>
        <v>A_SP_BCN_V3_210812</v>
      </c>
      <c r="P49" s="58">
        <v>44420</v>
      </c>
      <c r="R49" s="59"/>
      <c r="S49" s="58">
        <v>44427</v>
      </c>
      <c r="T49" s="51"/>
      <c r="U49" s="49"/>
      <c r="V49" t="s">
        <v>66</v>
      </c>
      <c r="W49" s="52"/>
      <c r="X49" s="44">
        <f t="shared" si="1"/>
        <v>7</v>
      </c>
      <c r="Y49" s="53"/>
      <c r="Z49" s="54" t="s">
        <v>69</v>
      </c>
      <c r="AA49" s="44">
        <f t="shared" si="2"/>
        <v>12</v>
      </c>
      <c r="AB49" t="str">
        <f t="shared" si="3"/>
        <v>Adult</v>
      </c>
      <c r="AC49" s="54">
        <v>3</v>
      </c>
      <c r="AD49" s="54">
        <v>9</v>
      </c>
      <c r="AE49" s="44" t="str">
        <f t="shared" si="4"/>
        <v>Morphological</v>
      </c>
      <c r="AF49" s="55">
        <v>4</v>
      </c>
    </row>
    <row r="50" spans="1:32" ht="18" customHeight="1" x14ac:dyDescent="0.25">
      <c r="A50" s="44">
        <v>38</v>
      </c>
      <c r="B50" s="44" t="s">
        <v>60</v>
      </c>
      <c r="C50" s="44" t="s">
        <v>61</v>
      </c>
      <c r="D50" s="44" t="s">
        <v>62</v>
      </c>
      <c r="E50" s="44" t="s">
        <v>62</v>
      </c>
      <c r="F50" s="56">
        <v>8017</v>
      </c>
      <c r="G50" t="s">
        <v>71</v>
      </c>
      <c r="H50" s="46">
        <v>41.42</v>
      </c>
      <c r="I50" s="46">
        <v>2.1</v>
      </c>
      <c r="J50">
        <v>305</v>
      </c>
      <c r="K50" s="44" t="s">
        <v>64</v>
      </c>
      <c r="L50" s="44" t="s">
        <v>72</v>
      </c>
      <c r="M50" s="57" t="s">
        <v>73</v>
      </c>
      <c r="O50" s="44" t="str">
        <f t="shared" si="0"/>
        <v>A_SP_BCN_V2_210909</v>
      </c>
      <c r="P50" s="58">
        <v>44448</v>
      </c>
      <c r="R50" s="59"/>
      <c r="S50" s="58">
        <v>44455</v>
      </c>
      <c r="U50" s="59"/>
      <c r="V50" t="s">
        <v>66</v>
      </c>
      <c r="W50" s="52" t="s">
        <v>67</v>
      </c>
      <c r="X50" s="44">
        <f t="shared" si="1"/>
        <v>7</v>
      </c>
      <c r="Z50" s="54" t="s">
        <v>68</v>
      </c>
      <c r="AA50" s="44">
        <f>SUM(AC50:AD50)</f>
        <v>111</v>
      </c>
      <c r="AB50" t="str">
        <f t="shared" si="3"/>
        <v>Adult</v>
      </c>
      <c r="AC50" s="54">
        <v>97</v>
      </c>
      <c r="AD50" s="54">
        <v>14</v>
      </c>
      <c r="AE50" s="44" t="str">
        <f t="shared" si="4"/>
        <v>Morphological</v>
      </c>
      <c r="AF50" s="55">
        <v>4</v>
      </c>
    </row>
    <row r="51" spans="1:32" ht="18" customHeight="1" x14ac:dyDescent="0.25">
      <c r="A51" s="44">
        <v>39</v>
      </c>
      <c r="B51" s="44" t="s">
        <v>60</v>
      </c>
      <c r="C51" s="44" t="s">
        <v>61</v>
      </c>
      <c r="D51" s="44" t="s">
        <v>62</v>
      </c>
      <c r="E51" s="44" t="s">
        <v>62</v>
      </c>
      <c r="F51" s="56">
        <v>8017</v>
      </c>
      <c r="G51" t="s">
        <v>71</v>
      </c>
      <c r="H51" s="46">
        <v>41.42</v>
      </c>
      <c r="I51" s="46">
        <v>2.1</v>
      </c>
      <c r="J51">
        <v>305</v>
      </c>
      <c r="K51" s="44" t="s">
        <v>64</v>
      </c>
      <c r="L51" s="44" t="s">
        <v>72</v>
      </c>
      <c r="M51" s="57" t="s">
        <v>73</v>
      </c>
      <c r="O51" s="44" t="str">
        <f t="shared" si="0"/>
        <v>A_SP_BCN_V2_210909</v>
      </c>
      <c r="P51" s="58">
        <v>44448</v>
      </c>
      <c r="R51" s="59"/>
      <c r="S51" s="58">
        <v>44455</v>
      </c>
      <c r="U51" s="59"/>
      <c r="V51" t="s">
        <v>66</v>
      </c>
      <c r="W51" s="52" t="s">
        <v>67</v>
      </c>
      <c r="X51" s="44">
        <f t="shared" si="1"/>
        <v>7</v>
      </c>
      <c r="Z51" s="54" t="s">
        <v>69</v>
      </c>
      <c r="AA51" s="44">
        <f t="shared" si="2"/>
        <v>1</v>
      </c>
      <c r="AB51" t="str">
        <f t="shared" si="3"/>
        <v>Adult</v>
      </c>
      <c r="AC51" s="54">
        <v>0</v>
      </c>
      <c r="AD51" s="54">
        <v>1</v>
      </c>
      <c r="AE51" s="44" t="str">
        <f t="shared" si="4"/>
        <v>Morphological</v>
      </c>
      <c r="AF51" s="55">
        <v>4</v>
      </c>
    </row>
    <row r="52" spans="1:32" ht="18" customHeight="1" x14ac:dyDescent="0.25">
      <c r="A52" s="44">
        <v>40</v>
      </c>
      <c r="B52" s="44" t="s">
        <v>60</v>
      </c>
      <c r="C52" s="44" t="s">
        <v>61</v>
      </c>
      <c r="D52" s="44" t="s">
        <v>62</v>
      </c>
      <c r="E52" s="44" t="s">
        <v>62</v>
      </c>
      <c r="F52" s="56">
        <v>8017</v>
      </c>
      <c r="G52" t="s">
        <v>71</v>
      </c>
      <c r="H52" s="46">
        <v>41.42</v>
      </c>
      <c r="I52" s="46">
        <v>2.1</v>
      </c>
      <c r="J52">
        <v>305</v>
      </c>
      <c r="K52" s="44" t="s">
        <v>64</v>
      </c>
      <c r="L52" s="44" t="s">
        <v>72</v>
      </c>
      <c r="M52" s="57" t="s">
        <v>73</v>
      </c>
      <c r="O52" s="44" t="str">
        <f t="shared" si="0"/>
        <v>A_SP_BCN_V2_210909</v>
      </c>
      <c r="P52" s="58">
        <v>44448</v>
      </c>
      <c r="R52" s="59"/>
      <c r="S52" s="58">
        <v>44455</v>
      </c>
      <c r="U52" s="59"/>
      <c r="V52" t="s">
        <v>66</v>
      </c>
      <c r="W52" s="52" t="s">
        <v>67</v>
      </c>
      <c r="X52" s="44">
        <f t="shared" si="1"/>
        <v>7</v>
      </c>
      <c r="Z52" s="54" t="s">
        <v>70</v>
      </c>
      <c r="AA52" s="44">
        <f t="shared" si="2"/>
        <v>1</v>
      </c>
      <c r="AB52" t="str">
        <f t="shared" si="3"/>
        <v>Adult</v>
      </c>
      <c r="AC52" s="54">
        <v>1</v>
      </c>
      <c r="AD52" s="54">
        <v>0</v>
      </c>
      <c r="AE52" s="44" t="str">
        <f t="shared" si="4"/>
        <v>Morphological</v>
      </c>
      <c r="AF52" s="55">
        <v>4</v>
      </c>
    </row>
    <row r="53" spans="1:32" ht="18" customHeight="1" x14ac:dyDescent="0.25">
      <c r="A53" s="44">
        <v>41</v>
      </c>
      <c r="B53" s="44" t="s">
        <v>60</v>
      </c>
      <c r="C53" s="44" t="s">
        <v>61</v>
      </c>
      <c r="D53" s="44" t="s">
        <v>62</v>
      </c>
      <c r="E53" s="44" t="s">
        <v>62</v>
      </c>
      <c r="F53" s="56">
        <v>8017</v>
      </c>
      <c r="G53" t="s">
        <v>71</v>
      </c>
      <c r="H53" s="46">
        <v>41.42</v>
      </c>
      <c r="I53" s="46">
        <v>2.1</v>
      </c>
      <c r="J53">
        <v>305</v>
      </c>
      <c r="K53" s="44" t="s">
        <v>64</v>
      </c>
      <c r="L53" s="44" t="s">
        <v>72</v>
      </c>
      <c r="M53" s="57" t="s">
        <v>73</v>
      </c>
      <c r="O53" s="44" t="str">
        <f t="shared" si="0"/>
        <v>A_SP_BCN_V2_210916</v>
      </c>
      <c r="P53" s="58">
        <v>44455</v>
      </c>
      <c r="R53" s="59"/>
      <c r="S53" s="58">
        <v>44462</v>
      </c>
      <c r="U53" s="59"/>
      <c r="V53" t="s">
        <v>66</v>
      </c>
      <c r="W53" s="52" t="s">
        <v>67</v>
      </c>
      <c r="X53" s="44">
        <f t="shared" si="1"/>
        <v>7</v>
      </c>
      <c r="Z53" s="54" t="s">
        <v>68</v>
      </c>
      <c r="AA53" s="44">
        <f t="shared" si="2"/>
        <v>74</v>
      </c>
      <c r="AB53" t="str">
        <f t="shared" si="3"/>
        <v>Adult</v>
      </c>
      <c r="AC53" s="54">
        <v>74</v>
      </c>
      <c r="AD53" s="54">
        <v>0</v>
      </c>
      <c r="AE53" s="44" t="str">
        <f t="shared" si="4"/>
        <v>Morphological</v>
      </c>
      <c r="AF53" s="55">
        <v>4</v>
      </c>
    </row>
    <row r="54" spans="1:32" ht="18" customHeight="1" x14ac:dyDescent="0.25">
      <c r="A54" s="44">
        <v>42</v>
      </c>
      <c r="B54" s="44" t="s">
        <v>60</v>
      </c>
      <c r="C54" s="44" t="s">
        <v>61</v>
      </c>
      <c r="D54" s="44" t="s">
        <v>62</v>
      </c>
      <c r="E54" s="44" t="s">
        <v>62</v>
      </c>
      <c r="F54" s="45">
        <v>8024</v>
      </c>
      <c r="G54" t="s">
        <v>63</v>
      </c>
      <c r="H54" s="46">
        <v>41.41</v>
      </c>
      <c r="I54" s="46">
        <v>2.15</v>
      </c>
      <c r="J54">
        <v>134</v>
      </c>
      <c r="K54" s="44" t="s">
        <v>64</v>
      </c>
      <c r="L54" s="44" t="s">
        <v>65</v>
      </c>
      <c r="O54" s="44" t="str">
        <f t="shared" si="0"/>
        <v>A_SP_BCN_V1_210922</v>
      </c>
      <c r="P54" s="58">
        <v>44461</v>
      </c>
      <c r="R54" s="59"/>
      <c r="S54" s="58">
        <v>44468</v>
      </c>
      <c r="U54" s="59"/>
      <c r="V54" t="s">
        <v>66</v>
      </c>
      <c r="W54" s="52" t="s">
        <v>67</v>
      </c>
      <c r="X54" s="44">
        <f t="shared" si="1"/>
        <v>7</v>
      </c>
      <c r="Z54" s="54" t="s">
        <v>68</v>
      </c>
      <c r="AA54" s="44">
        <f t="shared" si="2"/>
        <v>8</v>
      </c>
      <c r="AB54" t="str">
        <f t="shared" si="3"/>
        <v>Adult</v>
      </c>
      <c r="AC54" s="54">
        <v>6</v>
      </c>
      <c r="AD54" s="54">
        <v>2</v>
      </c>
      <c r="AE54" s="44" t="str">
        <f t="shared" si="4"/>
        <v>Morphological</v>
      </c>
      <c r="AF54" s="55">
        <v>4</v>
      </c>
    </row>
    <row r="55" spans="1:32" ht="18" customHeight="1" x14ac:dyDescent="0.25">
      <c r="A55" s="44">
        <v>43</v>
      </c>
      <c r="B55" s="44" t="s">
        <v>60</v>
      </c>
      <c r="C55" s="44" t="s">
        <v>61</v>
      </c>
      <c r="D55" s="44" t="s">
        <v>62</v>
      </c>
      <c r="E55" s="44" t="s">
        <v>62</v>
      </c>
      <c r="F55" s="45">
        <v>8024</v>
      </c>
      <c r="G55" t="s">
        <v>63</v>
      </c>
      <c r="H55" s="46">
        <v>41.41</v>
      </c>
      <c r="I55" s="46">
        <v>2.15</v>
      </c>
      <c r="J55">
        <v>134</v>
      </c>
      <c r="K55" s="44" t="s">
        <v>64</v>
      </c>
      <c r="L55" s="44" t="s">
        <v>65</v>
      </c>
      <c r="O55" s="44" t="str">
        <f t="shared" si="0"/>
        <v>A_SP_BCN_V1_210922</v>
      </c>
      <c r="P55" s="58">
        <v>44461</v>
      </c>
      <c r="R55" s="59"/>
      <c r="S55" s="58">
        <v>44468</v>
      </c>
      <c r="U55" s="59"/>
      <c r="V55" t="s">
        <v>66</v>
      </c>
      <c r="W55" s="52" t="s">
        <v>67</v>
      </c>
      <c r="X55" s="44">
        <f t="shared" si="1"/>
        <v>7</v>
      </c>
      <c r="Z55" s="54" t="s">
        <v>69</v>
      </c>
      <c r="AA55" s="44">
        <f t="shared" si="2"/>
        <v>3</v>
      </c>
      <c r="AB55" t="str">
        <f t="shared" si="3"/>
        <v>Adult</v>
      </c>
      <c r="AC55" s="54">
        <v>2</v>
      </c>
      <c r="AD55" s="54">
        <v>1</v>
      </c>
      <c r="AE55" s="44" t="str">
        <f t="shared" si="4"/>
        <v>Morphological</v>
      </c>
      <c r="AF55" s="55">
        <v>4</v>
      </c>
    </row>
    <row r="56" spans="1:32" ht="18" customHeight="1" x14ac:dyDescent="0.25">
      <c r="A56" s="44">
        <v>44</v>
      </c>
      <c r="B56" s="44" t="s">
        <v>60</v>
      </c>
      <c r="C56" s="44" t="s">
        <v>61</v>
      </c>
      <c r="D56" s="44" t="s">
        <v>62</v>
      </c>
      <c r="E56" s="44" t="s">
        <v>62</v>
      </c>
      <c r="F56" s="56">
        <v>8017</v>
      </c>
      <c r="G56" t="s">
        <v>71</v>
      </c>
      <c r="H56" s="46">
        <v>41.42</v>
      </c>
      <c r="I56" s="46">
        <v>2.1</v>
      </c>
      <c r="J56">
        <v>305</v>
      </c>
      <c r="K56" s="44" t="s">
        <v>64</v>
      </c>
      <c r="L56" s="44" t="s">
        <v>72</v>
      </c>
      <c r="M56" s="57" t="s">
        <v>73</v>
      </c>
      <c r="O56" s="44" t="str">
        <f t="shared" si="0"/>
        <v>A_SP_BCN_V2_210923</v>
      </c>
      <c r="P56" s="58">
        <v>44462</v>
      </c>
      <c r="R56" s="59"/>
      <c r="S56" s="58">
        <v>44469</v>
      </c>
      <c r="U56" s="59"/>
      <c r="V56" t="s">
        <v>66</v>
      </c>
      <c r="W56" s="52" t="s">
        <v>67</v>
      </c>
      <c r="X56" s="44">
        <f t="shared" si="1"/>
        <v>7</v>
      </c>
      <c r="Z56" s="54" t="s">
        <v>68</v>
      </c>
      <c r="AA56" s="44">
        <f t="shared" si="2"/>
        <v>23</v>
      </c>
      <c r="AB56" t="str">
        <f t="shared" si="3"/>
        <v>Adult</v>
      </c>
      <c r="AC56" s="54">
        <v>23</v>
      </c>
      <c r="AD56" s="54">
        <v>0</v>
      </c>
      <c r="AE56" s="44" t="str">
        <f t="shared" si="4"/>
        <v>Morphological</v>
      </c>
      <c r="AF56" s="55">
        <v>4</v>
      </c>
    </row>
    <row r="57" spans="1:32" ht="18" customHeight="1" x14ac:dyDescent="0.25">
      <c r="A57" s="44">
        <v>45</v>
      </c>
      <c r="B57" s="44" t="s">
        <v>60</v>
      </c>
      <c r="C57" s="44" t="s">
        <v>61</v>
      </c>
      <c r="D57" s="44" t="s">
        <v>62</v>
      </c>
      <c r="E57" s="44" t="s">
        <v>62</v>
      </c>
      <c r="F57" s="45">
        <v>8024</v>
      </c>
      <c r="G57" t="s">
        <v>63</v>
      </c>
      <c r="H57" s="46">
        <v>41.41</v>
      </c>
      <c r="I57" s="46">
        <v>2.15</v>
      </c>
      <c r="J57">
        <v>134</v>
      </c>
      <c r="K57" s="44" t="s">
        <v>64</v>
      </c>
      <c r="L57" s="44" t="s">
        <v>65</v>
      </c>
      <c r="O57" s="44" t="str">
        <f t="shared" si="0"/>
        <v>A_SP_BCN_V1_210929</v>
      </c>
      <c r="P57" s="58">
        <v>44468</v>
      </c>
      <c r="R57" s="59"/>
      <c r="S57" s="58">
        <v>44475</v>
      </c>
      <c r="U57" s="59"/>
      <c r="V57" t="s">
        <v>66</v>
      </c>
      <c r="X57" s="44">
        <f t="shared" si="1"/>
        <v>7</v>
      </c>
      <c r="Z57" s="54" t="s">
        <v>68</v>
      </c>
      <c r="AA57" s="44">
        <f t="shared" si="2"/>
        <v>3</v>
      </c>
      <c r="AB57" t="str">
        <f t="shared" si="3"/>
        <v>Adult</v>
      </c>
      <c r="AC57" s="54">
        <v>2</v>
      </c>
      <c r="AD57" s="54">
        <v>1</v>
      </c>
      <c r="AE57" s="44" t="str">
        <f t="shared" si="4"/>
        <v>Morphological</v>
      </c>
      <c r="AF57" s="55">
        <v>4</v>
      </c>
    </row>
    <row r="58" spans="1:32" ht="18" customHeight="1" x14ac:dyDescent="0.25">
      <c r="A58" s="44">
        <v>46</v>
      </c>
      <c r="B58" s="44" t="s">
        <v>60</v>
      </c>
      <c r="C58" s="44" t="s">
        <v>61</v>
      </c>
      <c r="D58" s="44" t="s">
        <v>62</v>
      </c>
      <c r="E58" s="44" t="s">
        <v>62</v>
      </c>
      <c r="F58" s="45">
        <v>8024</v>
      </c>
      <c r="G58" t="s">
        <v>63</v>
      </c>
      <c r="H58" s="46">
        <v>41.41</v>
      </c>
      <c r="I58" s="46">
        <v>2.15</v>
      </c>
      <c r="J58">
        <v>134</v>
      </c>
      <c r="K58" s="44" t="s">
        <v>64</v>
      </c>
      <c r="L58" s="44" t="s">
        <v>65</v>
      </c>
      <c r="O58" s="44" t="str">
        <f t="shared" si="0"/>
        <v>A_SP_BCN_V1_210929</v>
      </c>
      <c r="P58" s="58">
        <v>44468</v>
      </c>
      <c r="R58" s="59"/>
      <c r="S58" s="58">
        <v>44475</v>
      </c>
      <c r="U58" s="59"/>
      <c r="V58" t="s">
        <v>66</v>
      </c>
      <c r="X58" s="44">
        <f t="shared" si="1"/>
        <v>7</v>
      </c>
      <c r="Z58" s="54" t="s">
        <v>69</v>
      </c>
      <c r="AA58" s="44">
        <f t="shared" si="2"/>
        <v>2</v>
      </c>
      <c r="AB58" t="str">
        <f t="shared" si="3"/>
        <v>Adult</v>
      </c>
      <c r="AC58" s="54">
        <v>2</v>
      </c>
      <c r="AD58" s="54">
        <v>0</v>
      </c>
      <c r="AE58" s="44" t="str">
        <f t="shared" si="4"/>
        <v>Morphological</v>
      </c>
      <c r="AF58" s="55">
        <v>4</v>
      </c>
    </row>
    <row r="59" spans="1:32" ht="18" customHeight="1" x14ac:dyDescent="0.25">
      <c r="A59" s="44">
        <v>47</v>
      </c>
      <c r="B59" s="44" t="s">
        <v>60</v>
      </c>
      <c r="C59" s="44" t="s">
        <v>61</v>
      </c>
      <c r="D59" s="44" t="s">
        <v>62</v>
      </c>
      <c r="E59" s="44" t="s">
        <v>62</v>
      </c>
      <c r="F59" s="45">
        <v>8024</v>
      </c>
      <c r="G59" t="s">
        <v>63</v>
      </c>
      <c r="H59" s="46">
        <v>41.41</v>
      </c>
      <c r="I59" s="46">
        <v>2.15</v>
      </c>
      <c r="J59">
        <v>134</v>
      </c>
      <c r="K59" s="44" t="s">
        <v>64</v>
      </c>
      <c r="L59" s="44" t="s">
        <v>65</v>
      </c>
      <c r="O59" s="44" t="str">
        <f t="shared" si="0"/>
        <v>A_SP_BCN_V1_210929</v>
      </c>
      <c r="P59" s="58">
        <v>44468</v>
      </c>
      <c r="R59" s="59"/>
      <c r="S59" s="58">
        <v>44475</v>
      </c>
      <c r="U59" s="59"/>
      <c r="V59" t="s">
        <v>66</v>
      </c>
      <c r="X59" s="44">
        <f t="shared" si="1"/>
        <v>7</v>
      </c>
      <c r="Z59" s="54" t="s">
        <v>70</v>
      </c>
      <c r="AA59" s="44">
        <f t="shared" si="2"/>
        <v>1</v>
      </c>
      <c r="AB59" t="str">
        <f t="shared" si="3"/>
        <v>Adult</v>
      </c>
      <c r="AC59" s="54">
        <v>0</v>
      </c>
      <c r="AD59" s="54">
        <v>1</v>
      </c>
      <c r="AE59" s="44" t="str">
        <f t="shared" si="4"/>
        <v>Morphological</v>
      </c>
      <c r="AF59" s="55">
        <v>4</v>
      </c>
    </row>
    <row r="60" spans="1:32" ht="18" customHeight="1" x14ac:dyDescent="0.25">
      <c r="A60" s="44">
        <v>48</v>
      </c>
      <c r="B60" s="44" t="s">
        <v>60</v>
      </c>
      <c r="C60" s="44" t="s">
        <v>61</v>
      </c>
      <c r="D60" s="44" t="s">
        <v>62</v>
      </c>
      <c r="E60" s="44" t="s">
        <v>62</v>
      </c>
      <c r="F60" s="56">
        <v>8017</v>
      </c>
      <c r="G60" t="s">
        <v>71</v>
      </c>
      <c r="H60" s="46">
        <v>41.42</v>
      </c>
      <c r="I60" s="46">
        <v>2.1</v>
      </c>
      <c r="J60">
        <v>305</v>
      </c>
      <c r="K60" s="44" t="s">
        <v>64</v>
      </c>
      <c r="L60" s="44" t="s">
        <v>72</v>
      </c>
      <c r="M60" s="57" t="s">
        <v>73</v>
      </c>
      <c r="O60" s="44" t="str">
        <f t="shared" si="0"/>
        <v>A_SP_BCN_V2_210930</v>
      </c>
      <c r="P60" s="58">
        <v>44469</v>
      </c>
      <c r="R60" s="59"/>
      <c r="S60" s="58">
        <v>44476</v>
      </c>
      <c r="U60" s="59"/>
      <c r="V60" t="s">
        <v>66</v>
      </c>
      <c r="W60" s="52" t="s">
        <v>67</v>
      </c>
      <c r="X60" s="44">
        <f t="shared" si="1"/>
        <v>7</v>
      </c>
      <c r="Z60" s="54" t="s">
        <v>68</v>
      </c>
      <c r="AA60" s="44">
        <f t="shared" si="2"/>
        <v>55</v>
      </c>
      <c r="AB60" t="str">
        <f t="shared" si="3"/>
        <v>Adult</v>
      </c>
      <c r="AC60" s="54">
        <v>54</v>
      </c>
      <c r="AD60" s="54">
        <v>1</v>
      </c>
      <c r="AE60" s="44" t="str">
        <f t="shared" si="4"/>
        <v>Morphological</v>
      </c>
      <c r="AF60" s="55">
        <v>4</v>
      </c>
    </row>
    <row r="61" spans="1:32" ht="18" customHeight="1" x14ac:dyDescent="0.25">
      <c r="A61" s="44">
        <v>49</v>
      </c>
      <c r="B61" s="44" t="s">
        <v>60</v>
      </c>
      <c r="C61" s="44" t="s">
        <v>61</v>
      </c>
      <c r="D61" s="44" t="s">
        <v>62</v>
      </c>
      <c r="E61" s="44" t="s">
        <v>62</v>
      </c>
      <c r="F61" s="45">
        <v>8024</v>
      </c>
      <c r="G61" t="s">
        <v>63</v>
      </c>
      <c r="H61" s="46">
        <v>41.41</v>
      </c>
      <c r="I61" s="46">
        <v>2.15</v>
      </c>
      <c r="J61">
        <v>134</v>
      </c>
      <c r="K61" s="44" t="s">
        <v>64</v>
      </c>
      <c r="L61" s="44" t="s">
        <v>65</v>
      </c>
      <c r="O61" s="44" t="str">
        <f t="shared" si="0"/>
        <v>A_SP_BCN_V1_211006</v>
      </c>
      <c r="P61" s="58">
        <v>44475</v>
      </c>
      <c r="R61" s="59"/>
      <c r="S61" s="58">
        <v>44482</v>
      </c>
      <c r="U61" s="59"/>
      <c r="V61" t="s">
        <v>66</v>
      </c>
      <c r="W61" s="52" t="s">
        <v>67</v>
      </c>
      <c r="X61" s="44">
        <f t="shared" si="1"/>
        <v>7</v>
      </c>
      <c r="Z61" s="54" t="s">
        <v>68</v>
      </c>
      <c r="AA61" s="44">
        <f t="shared" si="2"/>
        <v>6</v>
      </c>
      <c r="AB61" t="str">
        <f t="shared" si="3"/>
        <v>Adult</v>
      </c>
      <c r="AC61" s="54">
        <v>4</v>
      </c>
      <c r="AD61" s="54">
        <v>2</v>
      </c>
      <c r="AE61" s="44" t="str">
        <f t="shared" si="4"/>
        <v>Morphological</v>
      </c>
      <c r="AF61" s="55">
        <v>4</v>
      </c>
    </row>
    <row r="62" spans="1:32" ht="18" customHeight="1" x14ac:dyDescent="0.25">
      <c r="A62" s="44">
        <v>50</v>
      </c>
      <c r="B62" s="44" t="s">
        <v>60</v>
      </c>
      <c r="C62" s="44" t="s">
        <v>61</v>
      </c>
      <c r="D62" s="44" t="s">
        <v>62</v>
      </c>
      <c r="E62" s="44" t="s">
        <v>62</v>
      </c>
      <c r="F62" s="45">
        <v>8024</v>
      </c>
      <c r="G62" t="s">
        <v>63</v>
      </c>
      <c r="H62" s="46">
        <v>41.41</v>
      </c>
      <c r="I62" s="46">
        <v>2.15</v>
      </c>
      <c r="J62">
        <v>134</v>
      </c>
      <c r="K62" s="44" t="s">
        <v>64</v>
      </c>
      <c r="L62" s="44" t="s">
        <v>65</v>
      </c>
      <c r="O62" s="44" t="str">
        <f t="shared" si="0"/>
        <v>A_SP_BCN_V1_211006</v>
      </c>
      <c r="P62" s="58">
        <v>44475</v>
      </c>
      <c r="R62" s="59"/>
      <c r="S62" s="58">
        <v>44482</v>
      </c>
      <c r="U62" s="59"/>
      <c r="V62" t="s">
        <v>66</v>
      </c>
      <c r="W62" s="52" t="s">
        <v>67</v>
      </c>
      <c r="X62" s="44">
        <f t="shared" si="1"/>
        <v>7</v>
      </c>
      <c r="Z62" s="54" t="s">
        <v>69</v>
      </c>
      <c r="AA62" s="44">
        <f t="shared" si="2"/>
        <v>1</v>
      </c>
      <c r="AB62" t="str">
        <f t="shared" si="3"/>
        <v>Adult</v>
      </c>
      <c r="AC62" s="54">
        <v>1</v>
      </c>
      <c r="AD62" s="54">
        <v>0</v>
      </c>
      <c r="AE62" s="44" t="str">
        <f t="shared" si="4"/>
        <v>Morphological</v>
      </c>
      <c r="AF62" s="55">
        <v>4</v>
      </c>
    </row>
    <row r="63" spans="1:32" ht="18" customHeight="1" x14ac:dyDescent="0.25">
      <c r="A63" s="44">
        <v>51</v>
      </c>
      <c r="B63" s="44" t="s">
        <v>60</v>
      </c>
      <c r="C63" s="44" t="s">
        <v>61</v>
      </c>
      <c r="D63" s="44" t="s">
        <v>62</v>
      </c>
      <c r="E63" s="44" t="s">
        <v>62</v>
      </c>
      <c r="F63" s="56">
        <v>8017</v>
      </c>
      <c r="G63" t="s">
        <v>71</v>
      </c>
      <c r="H63" s="46">
        <v>41.42</v>
      </c>
      <c r="I63" s="46">
        <v>2.1</v>
      </c>
      <c r="J63">
        <v>305</v>
      </c>
      <c r="K63" s="44" t="s">
        <v>64</v>
      </c>
      <c r="L63" s="44" t="s">
        <v>72</v>
      </c>
      <c r="M63" s="57" t="s">
        <v>73</v>
      </c>
      <c r="O63" s="44" t="str">
        <f t="shared" si="0"/>
        <v>A_SP_BCN_V2_211007</v>
      </c>
      <c r="P63" s="58">
        <v>44476</v>
      </c>
      <c r="Q63" s="60"/>
      <c r="R63" s="59"/>
      <c r="S63" s="58">
        <v>44483</v>
      </c>
      <c r="U63" s="59"/>
      <c r="V63" t="s">
        <v>66</v>
      </c>
      <c r="W63" s="52" t="s">
        <v>67</v>
      </c>
      <c r="X63" s="44">
        <f t="shared" si="1"/>
        <v>7</v>
      </c>
      <c r="Z63" s="54" t="s">
        <v>68</v>
      </c>
      <c r="AA63" s="44">
        <f t="shared" si="2"/>
        <v>9</v>
      </c>
      <c r="AB63" t="str">
        <f t="shared" si="3"/>
        <v>Adult</v>
      </c>
      <c r="AC63" s="54">
        <v>9</v>
      </c>
      <c r="AD63" s="54">
        <v>0</v>
      </c>
      <c r="AE63" s="44" t="str">
        <f t="shared" si="4"/>
        <v>Morphological</v>
      </c>
      <c r="AF63" s="55">
        <v>4</v>
      </c>
    </row>
    <row r="64" spans="1:32" ht="18" customHeight="1" x14ac:dyDescent="0.25">
      <c r="A64" s="44">
        <v>52</v>
      </c>
      <c r="B64" s="44" t="s">
        <v>60</v>
      </c>
      <c r="C64" s="44" t="s">
        <v>61</v>
      </c>
      <c r="D64" s="44" t="s">
        <v>62</v>
      </c>
      <c r="E64" s="44" t="s">
        <v>62</v>
      </c>
      <c r="F64" s="56">
        <v>8017</v>
      </c>
      <c r="G64" t="s">
        <v>71</v>
      </c>
      <c r="H64" s="46">
        <v>41.42</v>
      </c>
      <c r="I64" s="46">
        <v>2.1</v>
      </c>
      <c r="J64">
        <v>305</v>
      </c>
      <c r="K64" s="44" t="s">
        <v>64</v>
      </c>
      <c r="L64" s="44" t="s">
        <v>72</v>
      </c>
      <c r="M64" s="57" t="s">
        <v>73</v>
      </c>
      <c r="O64" s="44" t="str">
        <f t="shared" si="0"/>
        <v>A_SP_BCN_V2_211007</v>
      </c>
      <c r="P64" s="58">
        <v>44476</v>
      </c>
      <c r="Q64" s="60"/>
      <c r="R64" s="59"/>
      <c r="S64" s="58">
        <v>44483</v>
      </c>
      <c r="U64" s="59"/>
      <c r="V64" t="s">
        <v>66</v>
      </c>
      <c r="W64" s="52" t="s">
        <v>67</v>
      </c>
      <c r="X64" s="44">
        <f t="shared" si="1"/>
        <v>7</v>
      </c>
      <c r="Z64" s="54" t="s">
        <v>70</v>
      </c>
      <c r="AA64" s="44">
        <f t="shared" si="2"/>
        <v>1</v>
      </c>
      <c r="AB64" t="str">
        <f t="shared" si="3"/>
        <v>Adult</v>
      </c>
      <c r="AC64" s="54">
        <v>0</v>
      </c>
      <c r="AD64" s="54">
        <v>1</v>
      </c>
      <c r="AE64" s="44" t="str">
        <f t="shared" si="4"/>
        <v>Morphological</v>
      </c>
      <c r="AF64" s="55">
        <v>4</v>
      </c>
    </row>
    <row r="65" spans="1:32" ht="18" customHeight="1" x14ac:dyDescent="0.25">
      <c r="A65" s="44">
        <v>53</v>
      </c>
      <c r="B65" s="44" t="s">
        <v>60</v>
      </c>
      <c r="C65" s="44" t="s">
        <v>61</v>
      </c>
      <c r="D65" s="44" t="s">
        <v>62</v>
      </c>
      <c r="E65" s="44" t="s">
        <v>62</v>
      </c>
      <c r="F65" s="45">
        <v>8024</v>
      </c>
      <c r="G65" t="s">
        <v>63</v>
      </c>
      <c r="H65" s="46">
        <v>41.41</v>
      </c>
      <c r="I65" s="46">
        <v>2.15</v>
      </c>
      <c r="J65">
        <v>134</v>
      </c>
      <c r="K65" s="44" t="s">
        <v>64</v>
      </c>
      <c r="L65" s="44" t="s">
        <v>65</v>
      </c>
      <c r="O65" s="44" t="str">
        <f t="shared" si="0"/>
        <v>A_SP_BCN_V1_211013</v>
      </c>
      <c r="P65" s="58">
        <v>44482</v>
      </c>
      <c r="R65" s="59"/>
      <c r="S65" s="58">
        <v>44489</v>
      </c>
      <c r="U65" s="59"/>
      <c r="V65" t="s">
        <v>66</v>
      </c>
      <c r="X65" s="44">
        <f t="shared" si="1"/>
        <v>7</v>
      </c>
      <c r="Z65" s="54" t="s">
        <v>68</v>
      </c>
      <c r="AA65" s="44">
        <f t="shared" si="2"/>
        <v>4</v>
      </c>
      <c r="AB65" t="str">
        <f t="shared" si="3"/>
        <v>Adult</v>
      </c>
      <c r="AC65" s="54">
        <v>4</v>
      </c>
      <c r="AD65" s="54">
        <v>0</v>
      </c>
      <c r="AE65" s="44" t="str">
        <f t="shared" si="4"/>
        <v>Morphological</v>
      </c>
      <c r="AF65" s="55">
        <v>4</v>
      </c>
    </row>
    <row r="66" spans="1:32" ht="18" customHeight="1" x14ac:dyDescent="0.25">
      <c r="A66" s="44">
        <v>54</v>
      </c>
      <c r="B66" s="44" t="s">
        <v>60</v>
      </c>
      <c r="C66" s="44" t="s">
        <v>61</v>
      </c>
      <c r="D66" s="44" t="s">
        <v>62</v>
      </c>
      <c r="E66" s="44" t="s">
        <v>62</v>
      </c>
      <c r="F66" s="45">
        <v>8024</v>
      </c>
      <c r="G66" t="s">
        <v>63</v>
      </c>
      <c r="H66" s="46">
        <v>41.41</v>
      </c>
      <c r="I66" s="46">
        <v>2.15</v>
      </c>
      <c r="J66">
        <v>134</v>
      </c>
      <c r="K66" s="44" t="s">
        <v>64</v>
      </c>
      <c r="L66" s="44" t="s">
        <v>65</v>
      </c>
      <c r="O66" s="44" t="str">
        <f t="shared" si="0"/>
        <v>A_SP_BCN_V1_211013</v>
      </c>
      <c r="P66" s="58">
        <v>44482</v>
      </c>
      <c r="R66" s="59"/>
      <c r="S66" s="58">
        <v>44489</v>
      </c>
      <c r="U66" s="59"/>
      <c r="V66" t="s">
        <v>66</v>
      </c>
      <c r="X66" s="44">
        <f t="shared" si="1"/>
        <v>7</v>
      </c>
      <c r="Z66" s="54" t="s">
        <v>69</v>
      </c>
      <c r="AA66" s="44">
        <f t="shared" si="2"/>
        <v>1</v>
      </c>
      <c r="AB66" t="str">
        <f t="shared" si="3"/>
        <v>Adult</v>
      </c>
      <c r="AC66" s="54">
        <v>1</v>
      </c>
      <c r="AD66" s="54">
        <v>0</v>
      </c>
      <c r="AE66" s="44" t="str">
        <f t="shared" si="4"/>
        <v>Morphological</v>
      </c>
      <c r="AF66" s="55">
        <v>4</v>
      </c>
    </row>
    <row r="67" spans="1:32" ht="18" customHeight="1" x14ac:dyDescent="0.25">
      <c r="A67" s="44">
        <v>55</v>
      </c>
      <c r="B67" s="44" t="s">
        <v>60</v>
      </c>
      <c r="C67" s="44" t="s">
        <v>61</v>
      </c>
      <c r="D67" s="44" t="s">
        <v>62</v>
      </c>
      <c r="E67" s="44" t="s">
        <v>62</v>
      </c>
      <c r="F67" s="56">
        <v>8017</v>
      </c>
      <c r="G67" t="s">
        <v>71</v>
      </c>
      <c r="H67" s="46">
        <v>41.42</v>
      </c>
      <c r="I67" s="46">
        <v>2.1</v>
      </c>
      <c r="J67">
        <v>305</v>
      </c>
      <c r="K67" s="44" t="s">
        <v>64</v>
      </c>
      <c r="L67" s="44" t="s">
        <v>72</v>
      </c>
      <c r="M67" s="57" t="s">
        <v>73</v>
      </c>
      <c r="O67" s="44" t="str">
        <f t="shared" si="0"/>
        <v>A_SP_BCN_V2_211014</v>
      </c>
      <c r="P67" s="58">
        <v>44483</v>
      </c>
      <c r="R67" s="59"/>
      <c r="S67" s="58">
        <v>44490</v>
      </c>
      <c r="U67" s="59"/>
      <c r="V67" t="s">
        <v>66</v>
      </c>
      <c r="W67" s="52" t="s">
        <v>67</v>
      </c>
      <c r="X67" s="44">
        <f t="shared" si="1"/>
        <v>7</v>
      </c>
      <c r="Z67" s="54" t="s">
        <v>68</v>
      </c>
      <c r="AA67" s="44">
        <f t="shared" si="2"/>
        <v>14</v>
      </c>
      <c r="AB67" t="str">
        <f t="shared" si="3"/>
        <v>Adult</v>
      </c>
      <c r="AC67" s="54">
        <v>13</v>
      </c>
      <c r="AD67" s="54">
        <v>1</v>
      </c>
      <c r="AE67" s="44" t="str">
        <f t="shared" si="4"/>
        <v>Morphological</v>
      </c>
      <c r="AF67" s="55">
        <v>4</v>
      </c>
    </row>
    <row r="68" spans="1:32" ht="18" customHeight="1" x14ac:dyDescent="0.25">
      <c r="A68" s="44">
        <v>56</v>
      </c>
      <c r="B68" s="44" t="s">
        <v>60</v>
      </c>
      <c r="C68" s="44" t="s">
        <v>61</v>
      </c>
      <c r="D68" s="44" t="s">
        <v>62</v>
      </c>
      <c r="E68" s="44" t="s">
        <v>62</v>
      </c>
      <c r="F68" s="56">
        <v>8017</v>
      </c>
      <c r="G68" t="s">
        <v>71</v>
      </c>
      <c r="H68" s="46">
        <v>41.42</v>
      </c>
      <c r="I68" s="46">
        <v>2.1</v>
      </c>
      <c r="J68">
        <v>305</v>
      </c>
      <c r="K68" s="44" t="s">
        <v>64</v>
      </c>
      <c r="L68" s="44" t="s">
        <v>72</v>
      </c>
      <c r="M68" s="57" t="s">
        <v>73</v>
      </c>
      <c r="O68" s="44" t="str">
        <f t="shared" si="0"/>
        <v>A_SP_BCN_V2_211014</v>
      </c>
      <c r="P68" s="58">
        <v>44483</v>
      </c>
      <c r="R68" s="59"/>
      <c r="S68" s="58">
        <v>44490</v>
      </c>
      <c r="U68" s="59"/>
      <c r="V68" t="s">
        <v>66</v>
      </c>
      <c r="W68" s="52" t="s">
        <v>67</v>
      </c>
      <c r="X68" s="44">
        <f t="shared" si="1"/>
        <v>7</v>
      </c>
      <c r="Z68" s="54" t="s">
        <v>69</v>
      </c>
      <c r="AA68" s="44">
        <f t="shared" si="2"/>
        <v>3</v>
      </c>
      <c r="AB68" t="str">
        <f t="shared" si="3"/>
        <v>Adult</v>
      </c>
      <c r="AC68" s="54">
        <v>3</v>
      </c>
      <c r="AD68" s="54">
        <v>0</v>
      </c>
      <c r="AE68" s="44" t="str">
        <f t="shared" si="4"/>
        <v>Morphological</v>
      </c>
      <c r="AF68" s="55">
        <v>4</v>
      </c>
    </row>
    <row r="69" spans="1:32" ht="18" customHeight="1" x14ac:dyDescent="0.25">
      <c r="A69" s="44">
        <v>57</v>
      </c>
      <c r="B69" s="44" t="s">
        <v>60</v>
      </c>
      <c r="C69" s="44" t="s">
        <v>61</v>
      </c>
      <c r="D69" s="44" t="s">
        <v>62</v>
      </c>
      <c r="E69" s="44" t="s">
        <v>62</v>
      </c>
      <c r="F69" s="45">
        <v>8024</v>
      </c>
      <c r="G69" t="s">
        <v>63</v>
      </c>
      <c r="H69" s="46">
        <v>41.41</v>
      </c>
      <c r="I69" s="46">
        <v>2.15</v>
      </c>
      <c r="J69">
        <v>134</v>
      </c>
      <c r="K69" s="44" t="s">
        <v>64</v>
      </c>
      <c r="L69" s="44" t="s">
        <v>65</v>
      </c>
      <c r="O69" s="44" t="str">
        <f t="shared" si="0"/>
        <v>A_SP_BCN_V1_211020</v>
      </c>
      <c r="P69" s="58">
        <v>44489</v>
      </c>
      <c r="R69" s="59"/>
      <c r="S69" s="58">
        <v>44496</v>
      </c>
      <c r="U69" s="59"/>
      <c r="V69" t="s">
        <v>66</v>
      </c>
      <c r="X69" s="44">
        <f t="shared" si="1"/>
        <v>7</v>
      </c>
      <c r="Z69" s="54" t="s">
        <v>68</v>
      </c>
      <c r="AA69" s="44">
        <f t="shared" si="2"/>
        <v>9</v>
      </c>
      <c r="AB69" t="str">
        <f t="shared" si="3"/>
        <v>Adult</v>
      </c>
      <c r="AC69" s="54">
        <v>6</v>
      </c>
      <c r="AD69" s="54">
        <v>3</v>
      </c>
      <c r="AE69" s="44" t="str">
        <f t="shared" si="4"/>
        <v>Morphological</v>
      </c>
      <c r="AF69" s="55">
        <v>4</v>
      </c>
    </row>
    <row r="70" spans="1:32" ht="18" customHeight="1" x14ac:dyDescent="0.25">
      <c r="A70" s="44">
        <v>58</v>
      </c>
      <c r="B70" s="44" t="s">
        <v>60</v>
      </c>
      <c r="C70" s="44" t="s">
        <v>61</v>
      </c>
      <c r="D70" s="44" t="s">
        <v>62</v>
      </c>
      <c r="E70" s="44" t="s">
        <v>62</v>
      </c>
      <c r="F70" s="45">
        <v>8024</v>
      </c>
      <c r="G70" t="s">
        <v>63</v>
      </c>
      <c r="H70" s="46">
        <v>41.41</v>
      </c>
      <c r="I70" s="46">
        <v>2.15</v>
      </c>
      <c r="J70">
        <v>134</v>
      </c>
      <c r="K70" s="44" t="s">
        <v>64</v>
      </c>
      <c r="L70" s="44" t="s">
        <v>65</v>
      </c>
      <c r="O70" s="44" t="str">
        <f t="shared" si="0"/>
        <v>A_SP_BCN_V1_211020</v>
      </c>
      <c r="P70" s="58">
        <v>44489</v>
      </c>
      <c r="R70" s="59"/>
      <c r="S70" s="58">
        <v>44496</v>
      </c>
      <c r="U70" s="59"/>
      <c r="V70" t="s">
        <v>66</v>
      </c>
      <c r="X70" s="44">
        <f t="shared" si="1"/>
        <v>7</v>
      </c>
      <c r="Z70" s="54" t="s">
        <v>69</v>
      </c>
      <c r="AA70" s="44">
        <f t="shared" si="2"/>
        <v>6</v>
      </c>
      <c r="AB70" t="str">
        <f t="shared" si="3"/>
        <v>Adult</v>
      </c>
      <c r="AC70" s="54">
        <v>6</v>
      </c>
      <c r="AD70" s="54">
        <v>0</v>
      </c>
      <c r="AE70" s="44" t="str">
        <f t="shared" si="4"/>
        <v>Morphological</v>
      </c>
      <c r="AF70" s="55">
        <v>4</v>
      </c>
    </row>
    <row r="71" spans="1:32" ht="18" customHeight="1" x14ac:dyDescent="0.25">
      <c r="A71" s="44">
        <v>59</v>
      </c>
      <c r="B71" s="44" t="s">
        <v>60</v>
      </c>
      <c r="C71" s="44" t="s">
        <v>61</v>
      </c>
      <c r="D71" s="44" t="s">
        <v>62</v>
      </c>
      <c r="E71" s="44" t="s">
        <v>62</v>
      </c>
      <c r="F71" s="45">
        <v>8024</v>
      </c>
      <c r="G71" t="s">
        <v>63</v>
      </c>
      <c r="H71" s="46">
        <v>41.41</v>
      </c>
      <c r="I71" s="46">
        <v>2.15</v>
      </c>
      <c r="J71">
        <v>134</v>
      </c>
      <c r="K71" s="44" t="s">
        <v>64</v>
      </c>
      <c r="L71" s="44" t="s">
        <v>65</v>
      </c>
      <c r="O71" s="44" t="str">
        <f t="shared" si="0"/>
        <v>A_SP_BCN_V1_211020</v>
      </c>
      <c r="P71" s="58">
        <v>44489</v>
      </c>
      <c r="R71" s="59"/>
      <c r="S71" s="58">
        <v>44496</v>
      </c>
      <c r="U71" s="59"/>
      <c r="V71" t="s">
        <v>66</v>
      </c>
      <c r="X71" s="44">
        <f t="shared" si="1"/>
        <v>7</v>
      </c>
      <c r="Z71" s="54" t="s">
        <v>70</v>
      </c>
      <c r="AA71" s="44">
        <f t="shared" si="2"/>
        <v>1</v>
      </c>
      <c r="AB71" t="str">
        <f t="shared" si="3"/>
        <v>Adult</v>
      </c>
      <c r="AC71" s="54">
        <v>0</v>
      </c>
      <c r="AD71" s="54">
        <v>1</v>
      </c>
      <c r="AE71" s="44" t="str">
        <f t="shared" si="4"/>
        <v>Morphological</v>
      </c>
      <c r="AF71" s="55">
        <v>4</v>
      </c>
    </row>
    <row r="72" spans="1:32" ht="18" customHeight="1" x14ac:dyDescent="0.25">
      <c r="A72" s="44">
        <v>60</v>
      </c>
      <c r="B72" s="44" t="s">
        <v>60</v>
      </c>
      <c r="C72" s="44" t="s">
        <v>61</v>
      </c>
      <c r="D72" s="44" t="s">
        <v>62</v>
      </c>
      <c r="E72" s="44" t="s">
        <v>62</v>
      </c>
      <c r="F72" s="56">
        <v>8017</v>
      </c>
      <c r="G72" t="s">
        <v>71</v>
      </c>
      <c r="H72" s="46">
        <v>41.42</v>
      </c>
      <c r="I72" s="46">
        <v>2.1</v>
      </c>
      <c r="J72">
        <v>305</v>
      </c>
      <c r="K72" s="44" t="s">
        <v>64</v>
      </c>
      <c r="L72" s="44" t="s">
        <v>72</v>
      </c>
      <c r="M72" s="57" t="s">
        <v>73</v>
      </c>
      <c r="O72" s="44" t="str">
        <f t="shared" si="0"/>
        <v>A_SP_BCN_V2_211021</v>
      </c>
      <c r="P72" s="58">
        <v>44490</v>
      </c>
      <c r="R72" s="59"/>
      <c r="S72" s="58">
        <v>44497</v>
      </c>
      <c r="U72" s="59"/>
      <c r="V72" t="s">
        <v>66</v>
      </c>
      <c r="W72" s="52" t="s">
        <v>67</v>
      </c>
      <c r="X72" s="44">
        <f t="shared" si="1"/>
        <v>7</v>
      </c>
      <c r="AA72" s="44">
        <f t="shared" si="2"/>
        <v>0</v>
      </c>
      <c r="AB72" t="str">
        <f t="shared" si="3"/>
        <v/>
      </c>
      <c r="AE72" s="44" t="str">
        <f t="shared" si="4"/>
        <v/>
      </c>
      <c r="AF72" s="55">
        <v>4</v>
      </c>
    </row>
    <row r="73" spans="1:32" ht="18" customHeight="1" x14ac:dyDescent="0.25">
      <c r="A73" s="44">
        <v>61</v>
      </c>
      <c r="B73" s="44" t="s">
        <v>60</v>
      </c>
      <c r="C73" s="44" t="s">
        <v>61</v>
      </c>
      <c r="D73" s="44" t="s">
        <v>62</v>
      </c>
      <c r="E73" s="44" t="s">
        <v>62</v>
      </c>
      <c r="F73" s="45">
        <v>8024</v>
      </c>
      <c r="G73" t="s">
        <v>63</v>
      </c>
      <c r="H73" s="46">
        <v>41.41</v>
      </c>
      <c r="I73" s="46">
        <v>2.15</v>
      </c>
      <c r="J73">
        <v>134</v>
      </c>
      <c r="K73" s="44" t="s">
        <v>64</v>
      </c>
      <c r="L73" s="44" t="s">
        <v>65</v>
      </c>
      <c r="O73" s="44" t="str">
        <f t="shared" si="0"/>
        <v>A_SP_BCN_V1_211027</v>
      </c>
      <c r="P73" s="58">
        <v>44496</v>
      </c>
      <c r="R73" s="59"/>
      <c r="S73" s="58">
        <v>44502</v>
      </c>
      <c r="U73" s="59"/>
      <c r="V73" t="s">
        <v>66</v>
      </c>
      <c r="W73" s="60" t="s">
        <v>78</v>
      </c>
      <c r="X73" s="44">
        <f t="shared" si="1"/>
        <v>6</v>
      </c>
      <c r="Z73" s="54" t="s">
        <v>68</v>
      </c>
      <c r="AA73" s="44">
        <f t="shared" si="2"/>
        <v>1</v>
      </c>
      <c r="AB73" t="str">
        <f t="shared" si="3"/>
        <v>Adult</v>
      </c>
      <c r="AC73" s="54">
        <v>1</v>
      </c>
      <c r="AD73" s="54">
        <v>0</v>
      </c>
      <c r="AE73" s="44" t="str">
        <f t="shared" si="4"/>
        <v>Morphological</v>
      </c>
      <c r="AF73">
        <v>2</v>
      </c>
    </row>
    <row r="74" spans="1:32" ht="18" customHeight="1" x14ac:dyDescent="0.25">
      <c r="A74" s="44">
        <v>62</v>
      </c>
      <c r="B74" s="44" t="s">
        <v>60</v>
      </c>
      <c r="C74" s="44" t="s">
        <v>61</v>
      </c>
      <c r="D74" s="44" t="s">
        <v>62</v>
      </c>
      <c r="E74" s="44" t="s">
        <v>62</v>
      </c>
      <c r="F74" s="45">
        <v>8024</v>
      </c>
      <c r="G74" t="s">
        <v>63</v>
      </c>
      <c r="H74" s="46">
        <v>41.41</v>
      </c>
      <c r="I74" s="46">
        <v>2.15</v>
      </c>
      <c r="J74">
        <v>134</v>
      </c>
      <c r="K74" s="44" t="s">
        <v>64</v>
      </c>
      <c r="L74" s="44" t="s">
        <v>65</v>
      </c>
      <c r="O74" s="44" t="str">
        <f t="shared" si="0"/>
        <v>A_SP_BCN_V1_211027</v>
      </c>
      <c r="P74" s="58">
        <v>44496</v>
      </c>
      <c r="R74" s="59"/>
      <c r="S74" s="58">
        <v>44502</v>
      </c>
      <c r="U74" s="59"/>
      <c r="V74" t="s">
        <v>66</v>
      </c>
      <c r="W74" s="60" t="s">
        <v>79</v>
      </c>
      <c r="X74" s="44">
        <f t="shared" si="1"/>
        <v>6</v>
      </c>
      <c r="Z74" s="54" t="s">
        <v>69</v>
      </c>
      <c r="AA74" s="44">
        <f t="shared" si="2"/>
        <v>4</v>
      </c>
      <c r="AB74" t="str">
        <f t="shared" si="3"/>
        <v>Adult</v>
      </c>
      <c r="AC74" s="54">
        <v>4</v>
      </c>
      <c r="AD74" s="54">
        <v>0</v>
      </c>
      <c r="AE74" s="44" t="str">
        <f t="shared" si="4"/>
        <v>Morphological</v>
      </c>
      <c r="AF74">
        <v>2</v>
      </c>
    </row>
    <row r="75" spans="1:32" ht="18" customHeight="1" x14ac:dyDescent="0.25">
      <c r="A75" s="44">
        <v>63</v>
      </c>
      <c r="B75" s="44" t="s">
        <v>60</v>
      </c>
      <c r="C75" s="44" t="s">
        <v>61</v>
      </c>
      <c r="D75" s="44" t="s">
        <v>62</v>
      </c>
      <c r="E75" s="44" t="s">
        <v>62</v>
      </c>
      <c r="F75" s="56">
        <v>8017</v>
      </c>
      <c r="G75" t="s">
        <v>71</v>
      </c>
      <c r="H75" s="46">
        <v>41.42</v>
      </c>
      <c r="I75" s="46">
        <v>2.1</v>
      </c>
      <c r="J75">
        <v>305</v>
      </c>
      <c r="K75" s="44" t="s">
        <v>64</v>
      </c>
      <c r="L75" s="44" t="s">
        <v>72</v>
      </c>
      <c r="M75" s="57" t="s">
        <v>73</v>
      </c>
      <c r="O75" s="44" t="str">
        <f t="shared" si="0"/>
        <v>A_SP_BCN_V2_211028</v>
      </c>
      <c r="P75" s="58">
        <v>44497</v>
      </c>
      <c r="R75" s="59"/>
      <c r="S75" s="58">
        <v>44504</v>
      </c>
      <c r="U75" s="59"/>
      <c r="V75" t="s">
        <v>66</v>
      </c>
      <c r="W75" s="52" t="s">
        <v>67</v>
      </c>
      <c r="X75" s="44">
        <f t="shared" si="1"/>
        <v>7</v>
      </c>
      <c r="AA75" s="44">
        <f t="shared" si="2"/>
        <v>0</v>
      </c>
      <c r="AB75" t="str">
        <f t="shared" si="3"/>
        <v/>
      </c>
      <c r="AE75" s="44" t="str">
        <f t="shared" si="4"/>
        <v/>
      </c>
      <c r="AF75" s="55">
        <v>4</v>
      </c>
    </row>
    <row r="76" spans="1:32" ht="18" customHeight="1" x14ac:dyDescent="0.25">
      <c r="A76" s="44">
        <v>64</v>
      </c>
      <c r="B76" s="44" t="s">
        <v>60</v>
      </c>
      <c r="C76" s="44" t="s">
        <v>61</v>
      </c>
      <c r="D76" s="44" t="s">
        <v>62</v>
      </c>
      <c r="E76" s="44" t="s">
        <v>62</v>
      </c>
      <c r="F76" s="45">
        <v>8024</v>
      </c>
      <c r="G76" t="s">
        <v>63</v>
      </c>
      <c r="H76" s="46">
        <v>41.41</v>
      </c>
      <c r="I76" s="46">
        <v>2.15</v>
      </c>
      <c r="J76">
        <v>134</v>
      </c>
      <c r="K76" s="44" t="s">
        <v>64</v>
      </c>
      <c r="L76" s="44" t="s">
        <v>65</v>
      </c>
      <c r="O76" s="44" t="str">
        <f t="shared" si="0"/>
        <v>A_SP_BCN_V1_211103</v>
      </c>
      <c r="P76" s="58">
        <v>44503</v>
      </c>
      <c r="R76" s="59"/>
      <c r="S76" s="58">
        <v>44510</v>
      </c>
      <c r="U76" s="59"/>
      <c r="V76" t="s">
        <v>66</v>
      </c>
      <c r="X76" s="44">
        <f t="shared" si="1"/>
        <v>7</v>
      </c>
      <c r="Z76" s="54" t="s">
        <v>68</v>
      </c>
      <c r="AA76" s="44">
        <f t="shared" si="2"/>
        <v>6</v>
      </c>
      <c r="AB76" t="str">
        <f t="shared" si="3"/>
        <v>Adult</v>
      </c>
      <c r="AC76" s="54">
        <v>5</v>
      </c>
      <c r="AD76" s="54">
        <v>1</v>
      </c>
      <c r="AE76" s="44" t="str">
        <f t="shared" si="4"/>
        <v>Morphological</v>
      </c>
      <c r="AF76" s="55">
        <v>4</v>
      </c>
    </row>
    <row r="77" spans="1:32" ht="18" customHeight="1" x14ac:dyDescent="0.25">
      <c r="A77" s="44">
        <v>65</v>
      </c>
      <c r="B77" s="44" t="s">
        <v>60</v>
      </c>
      <c r="C77" s="44" t="s">
        <v>61</v>
      </c>
      <c r="D77" s="44" t="s">
        <v>62</v>
      </c>
      <c r="E77" s="44" t="s">
        <v>62</v>
      </c>
      <c r="F77" s="45">
        <v>8024</v>
      </c>
      <c r="G77" t="s">
        <v>63</v>
      </c>
      <c r="H77" s="46">
        <v>41.41</v>
      </c>
      <c r="I77" s="46">
        <v>2.15</v>
      </c>
      <c r="J77">
        <v>134</v>
      </c>
      <c r="K77" s="44" t="s">
        <v>64</v>
      </c>
      <c r="L77" s="44" t="s">
        <v>65</v>
      </c>
      <c r="O77" s="44" t="str">
        <f t="shared" ref="O77:O86" si="9">G77&amp;"_"&amp;TEXT(P77, "AAMMDD")</f>
        <v>A_SP_BCN_V1_211103</v>
      </c>
      <c r="P77" s="58">
        <v>44503</v>
      </c>
      <c r="R77" s="59"/>
      <c r="S77" s="58">
        <v>44510</v>
      </c>
      <c r="U77" s="59"/>
      <c r="V77" t="s">
        <v>66</v>
      </c>
      <c r="X77" s="44">
        <f t="shared" ref="X77:X86" si="10">S77-P77</f>
        <v>7</v>
      </c>
      <c r="Z77" s="54" t="s">
        <v>69</v>
      </c>
      <c r="AA77" s="44">
        <f t="shared" ref="AA77:AA86" si="11">SUM(AC77:AD77)</f>
        <v>1</v>
      </c>
      <c r="AB77" t="str">
        <f t="shared" ref="AB77:AB86" si="12">IF(AA77=0,"",IF(AA77="","",IF(AA77&gt;0,"Adult")))</f>
        <v>Adult</v>
      </c>
      <c r="AC77" s="54">
        <v>1</v>
      </c>
      <c r="AD77" s="54">
        <v>0</v>
      </c>
      <c r="AE77" s="44" t="str">
        <f t="shared" ref="AE77:AE86" si="13">IF(AA77=0,"",IF(AA77="","",IF(AA77&gt;0,"Morphological")))</f>
        <v>Morphological</v>
      </c>
      <c r="AF77" s="55">
        <v>4</v>
      </c>
    </row>
    <row r="78" spans="1:32" ht="18" customHeight="1" x14ac:dyDescent="0.25">
      <c r="A78" s="44">
        <v>66</v>
      </c>
      <c r="B78" s="44" t="s">
        <v>60</v>
      </c>
      <c r="C78" s="44" t="s">
        <v>61</v>
      </c>
      <c r="D78" s="44" t="s">
        <v>62</v>
      </c>
      <c r="E78" s="44" t="s">
        <v>62</v>
      </c>
      <c r="F78" s="56">
        <v>8017</v>
      </c>
      <c r="G78" t="s">
        <v>71</v>
      </c>
      <c r="H78" s="46">
        <v>41.42</v>
      </c>
      <c r="I78" s="46">
        <v>2.1</v>
      </c>
      <c r="J78">
        <v>305</v>
      </c>
      <c r="K78" s="44" t="s">
        <v>64</v>
      </c>
      <c r="L78" s="44" t="s">
        <v>72</v>
      </c>
      <c r="M78" s="57" t="s">
        <v>73</v>
      </c>
      <c r="O78" s="44" t="str">
        <f t="shared" si="9"/>
        <v>A_SP_BCN_V2_211104</v>
      </c>
      <c r="P78" s="58">
        <v>44504</v>
      </c>
      <c r="R78" s="59"/>
      <c r="S78" s="58">
        <v>44511</v>
      </c>
      <c r="U78" s="59"/>
      <c r="V78" t="s">
        <v>66</v>
      </c>
      <c r="W78" s="52" t="s">
        <v>67</v>
      </c>
      <c r="X78" s="44">
        <f t="shared" si="10"/>
        <v>7</v>
      </c>
      <c r="AA78" s="44">
        <f t="shared" si="11"/>
        <v>0</v>
      </c>
      <c r="AB78" t="str">
        <f t="shared" si="12"/>
        <v/>
      </c>
      <c r="AE78" s="44" t="str">
        <f t="shared" si="13"/>
        <v/>
      </c>
      <c r="AF78" s="55">
        <v>4</v>
      </c>
    </row>
    <row r="79" spans="1:32" ht="18" customHeight="1" x14ac:dyDescent="0.25">
      <c r="A79" s="44">
        <v>67</v>
      </c>
      <c r="B79" s="44" t="s">
        <v>60</v>
      </c>
      <c r="C79" s="44" t="s">
        <v>61</v>
      </c>
      <c r="D79" s="44" t="s">
        <v>62</v>
      </c>
      <c r="E79" s="44" t="s">
        <v>62</v>
      </c>
      <c r="F79" s="45">
        <v>8024</v>
      </c>
      <c r="G79" t="s">
        <v>63</v>
      </c>
      <c r="H79" s="46">
        <v>41.41</v>
      </c>
      <c r="I79" s="46">
        <v>2.15</v>
      </c>
      <c r="J79">
        <v>134</v>
      </c>
      <c r="K79" s="44" t="s">
        <v>64</v>
      </c>
      <c r="L79" s="44" t="s">
        <v>65</v>
      </c>
      <c r="O79" s="44" t="str">
        <f t="shared" si="9"/>
        <v>A_SP_BCN_V1_211110</v>
      </c>
      <c r="P79" s="58">
        <v>44510</v>
      </c>
      <c r="R79" s="59"/>
      <c r="S79" s="58">
        <v>44517</v>
      </c>
      <c r="U79" s="59"/>
      <c r="V79" t="s">
        <v>66</v>
      </c>
      <c r="W79" s="52" t="s">
        <v>67</v>
      </c>
      <c r="X79" s="44">
        <f t="shared" si="10"/>
        <v>7</v>
      </c>
      <c r="Z79" s="54" t="s">
        <v>68</v>
      </c>
      <c r="AA79" s="44">
        <f t="shared" si="11"/>
        <v>3</v>
      </c>
      <c r="AB79" t="str">
        <f t="shared" si="12"/>
        <v>Adult</v>
      </c>
      <c r="AC79" s="54">
        <v>3</v>
      </c>
      <c r="AD79" s="54">
        <v>0</v>
      </c>
      <c r="AE79" s="44" t="str">
        <f t="shared" si="13"/>
        <v>Morphological</v>
      </c>
      <c r="AF79" s="55">
        <v>4</v>
      </c>
    </row>
    <row r="80" spans="1:32" ht="18" customHeight="1" x14ac:dyDescent="0.25">
      <c r="A80" s="44">
        <v>68</v>
      </c>
      <c r="B80" s="44" t="s">
        <v>60</v>
      </c>
      <c r="C80" s="44" t="s">
        <v>61</v>
      </c>
      <c r="D80" s="44" t="s">
        <v>62</v>
      </c>
      <c r="E80" s="44" t="s">
        <v>62</v>
      </c>
      <c r="F80" s="45">
        <v>8024</v>
      </c>
      <c r="G80" t="s">
        <v>63</v>
      </c>
      <c r="H80" s="46">
        <v>41.41</v>
      </c>
      <c r="I80" s="46">
        <v>2.15</v>
      </c>
      <c r="J80">
        <v>134</v>
      </c>
      <c r="K80" s="44" t="s">
        <v>64</v>
      </c>
      <c r="L80" s="44" t="s">
        <v>65</v>
      </c>
      <c r="O80" s="44" t="str">
        <f t="shared" si="9"/>
        <v>A_SP_BCN_V1_211110</v>
      </c>
      <c r="P80" s="58">
        <v>44510</v>
      </c>
      <c r="R80" s="59"/>
      <c r="S80" s="58">
        <v>44517</v>
      </c>
      <c r="U80" s="59"/>
      <c r="V80" t="s">
        <v>66</v>
      </c>
      <c r="W80" s="52" t="s">
        <v>67</v>
      </c>
      <c r="X80" s="44">
        <f t="shared" si="10"/>
        <v>7</v>
      </c>
      <c r="Z80" s="54" t="s">
        <v>69</v>
      </c>
      <c r="AA80" s="44">
        <f t="shared" si="11"/>
        <v>1</v>
      </c>
      <c r="AB80" t="str">
        <f t="shared" si="12"/>
        <v>Adult</v>
      </c>
      <c r="AC80" s="54">
        <v>1</v>
      </c>
      <c r="AD80" s="54">
        <v>0</v>
      </c>
      <c r="AE80" s="44" t="str">
        <f t="shared" si="13"/>
        <v>Morphological</v>
      </c>
      <c r="AF80" s="55">
        <v>4</v>
      </c>
    </row>
    <row r="81" spans="1:32" ht="18" customHeight="1" x14ac:dyDescent="0.25">
      <c r="A81" s="44">
        <v>69</v>
      </c>
      <c r="B81" s="44" t="s">
        <v>60</v>
      </c>
      <c r="C81" s="44" t="s">
        <v>61</v>
      </c>
      <c r="D81" s="44" t="s">
        <v>62</v>
      </c>
      <c r="E81" s="44" t="s">
        <v>62</v>
      </c>
      <c r="F81" s="45">
        <v>8024</v>
      </c>
      <c r="G81" t="s">
        <v>63</v>
      </c>
      <c r="H81" s="46">
        <v>41.41</v>
      </c>
      <c r="I81" s="46">
        <v>2.15</v>
      </c>
      <c r="J81">
        <v>134</v>
      </c>
      <c r="K81" s="44" t="s">
        <v>64</v>
      </c>
      <c r="L81" s="44" t="s">
        <v>65</v>
      </c>
      <c r="O81" s="44" t="str">
        <f t="shared" si="9"/>
        <v>A_SP_BCN_V1_211110</v>
      </c>
      <c r="P81" s="58">
        <v>44510</v>
      </c>
      <c r="R81" s="59"/>
      <c r="S81" s="58">
        <v>44517</v>
      </c>
      <c r="U81" s="59"/>
      <c r="V81" t="s">
        <v>66</v>
      </c>
      <c r="W81" s="52" t="s">
        <v>67</v>
      </c>
      <c r="X81" s="44">
        <f t="shared" si="10"/>
        <v>7</v>
      </c>
      <c r="Z81" s="54" t="s">
        <v>70</v>
      </c>
      <c r="AA81" s="44">
        <f t="shared" si="11"/>
        <v>1</v>
      </c>
      <c r="AB81" t="str">
        <f t="shared" si="12"/>
        <v>Adult</v>
      </c>
      <c r="AC81" s="54">
        <v>0</v>
      </c>
      <c r="AD81" s="54">
        <v>1</v>
      </c>
      <c r="AE81" s="44" t="str">
        <f t="shared" si="13"/>
        <v>Morphological</v>
      </c>
      <c r="AF81" s="55">
        <v>4</v>
      </c>
    </row>
    <row r="82" spans="1:32" ht="18" customHeight="1" x14ac:dyDescent="0.25">
      <c r="A82" s="44">
        <v>70</v>
      </c>
      <c r="B82" s="44" t="s">
        <v>60</v>
      </c>
      <c r="C82" s="44" t="s">
        <v>61</v>
      </c>
      <c r="D82" s="44" t="s">
        <v>62</v>
      </c>
      <c r="E82" s="44" t="s">
        <v>62</v>
      </c>
      <c r="F82" s="56">
        <v>8017</v>
      </c>
      <c r="G82" t="s">
        <v>71</v>
      </c>
      <c r="H82" s="46">
        <v>41.42</v>
      </c>
      <c r="I82" s="46">
        <v>2.1</v>
      </c>
      <c r="J82">
        <v>305</v>
      </c>
      <c r="K82" s="44" t="s">
        <v>64</v>
      </c>
      <c r="L82" s="44" t="s">
        <v>72</v>
      </c>
      <c r="M82" s="57" t="s">
        <v>73</v>
      </c>
      <c r="O82" s="44" t="str">
        <f t="shared" si="9"/>
        <v>A_SP_BCN_V2_211111</v>
      </c>
      <c r="P82" s="58">
        <v>44511</v>
      </c>
      <c r="R82" s="59"/>
      <c r="S82" s="58">
        <v>44518</v>
      </c>
      <c r="U82" s="59"/>
      <c r="V82" t="s">
        <v>66</v>
      </c>
      <c r="W82" s="52" t="s">
        <v>67</v>
      </c>
      <c r="X82" s="44">
        <f t="shared" si="10"/>
        <v>7</v>
      </c>
      <c r="AA82" s="44">
        <f t="shared" si="11"/>
        <v>0</v>
      </c>
      <c r="AB82" t="str">
        <f t="shared" si="12"/>
        <v/>
      </c>
      <c r="AE82" s="44" t="str">
        <f t="shared" si="13"/>
        <v/>
      </c>
      <c r="AF82" s="55">
        <v>4</v>
      </c>
    </row>
    <row r="83" spans="1:32" ht="18" customHeight="1" x14ac:dyDescent="0.25">
      <c r="A83" s="44">
        <v>71</v>
      </c>
      <c r="B83" s="44" t="s">
        <v>60</v>
      </c>
      <c r="C83" s="44" t="s">
        <v>61</v>
      </c>
      <c r="D83" s="44" t="s">
        <v>62</v>
      </c>
      <c r="E83" s="44" t="s">
        <v>62</v>
      </c>
      <c r="F83" s="45">
        <v>8024</v>
      </c>
      <c r="G83" t="s">
        <v>63</v>
      </c>
      <c r="H83" s="46">
        <v>41.41</v>
      </c>
      <c r="I83" s="46">
        <v>2.15</v>
      </c>
      <c r="J83">
        <v>134</v>
      </c>
      <c r="K83" s="44" t="s">
        <v>64</v>
      </c>
      <c r="L83" s="44" t="s">
        <v>65</v>
      </c>
      <c r="O83" s="44" t="str">
        <f t="shared" si="9"/>
        <v>A_SP_BCN_V1_211117</v>
      </c>
      <c r="P83" s="58">
        <v>44517</v>
      </c>
      <c r="R83" s="59"/>
      <c r="S83" s="58">
        <v>44524</v>
      </c>
      <c r="U83" s="59"/>
      <c r="V83" t="s">
        <v>66</v>
      </c>
      <c r="X83" s="44">
        <f t="shared" si="10"/>
        <v>7</v>
      </c>
      <c r="Z83" s="54" t="s">
        <v>69</v>
      </c>
      <c r="AA83" s="44">
        <f t="shared" si="11"/>
        <v>4</v>
      </c>
      <c r="AB83" t="str">
        <f t="shared" si="12"/>
        <v>Adult</v>
      </c>
      <c r="AC83" s="54">
        <v>4</v>
      </c>
      <c r="AD83" s="54">
        <v>0</v>
      </c>
      <c r="AE83" s="44" t="str">
        <f t="shared" si="13"/>
        <v>Morphological</v>
      </c>
      <c r="AF83" s="55">
        <v>4</v>
      </c>
    </row>
    <row r="84" spans="1:32" ht="18" customHeight="1" x14ac:dyDescent="0.25">
      <c r="A84" s="44">
        <v>72</v>
      </c>
      <c r="B84" s="44" t="s">
        <v>60</v>
      </c>
      <c r="C84" s="44" t="s">
        <v>61</v>
      </c>
      <c r="D84" s="44" t="s">
        <v>62</v>
      </c>
      <c r="E84" s="44" t="s">
        <v>62</v>
      </c>
      <c r="F84" s="45">
        <v>8024</v>
      </c>
      <c r="G84" t="s">
        <v>63</v>
      </c>
      <c r="H84" s="46">
        <v>41.41</v>
      </c>
      <c r="I84" s="46">
        <v>2.15</v>
      </c>
      <c r="J84">
        <v>134</v>
      </c>
      <c r="K84" s="44" t="s">
        <v>64</v>
      </c>
      <c r="L84" s="44" t="s">
        <v>65</v>
      </c>
      <c r="O84" s="44" t="str">
        <f t="shared" si="9"/>
        <v>A_SP_BCN_V1_211117</v>
      </c>
      <c r="P84" s="58">
        <v>44517</v>
      </c>
      <c r="R84" s="59"/>
      <c r="S84" s="58">
        <v>44524</v>
      </c>
      <c r="U84" s="59"/>
      <c r="V84" t="s">
        <v>66</v>
      </c>
      <c r="X84" s="44">
        <f t="shared" si="10"/>
        <v>7</v>
      </c>
      <c r="Z84" s="54" t="s">
        <v>70</v>
      </c>
      <c r="AA84" s="44">
        <f t="shared" si="11"/>
        <v>1</v>
      </c>
      <c r="AB84" t="str">
        <f t="shared" si="12"/>
        <v>Adult</v>
      </c>
      <c r="AC84" s="54">
        <v>1</v>
      </c>
      <c r="AD84" s="54">
        <v>0</v>
      </c>
      <c r="AE84" s="44" t="str">
        <f t="shared" si="13"/>
        <v>Morphological</v>
      </c>
      <c r="AF84" s="55">
        <v>4</v>
      </c>
    </row>
    <row r="85" spans="1:32" ht="18" customHeight="1" x14ac:dyDescent="0.25">
      <c r="A85" s="44">
        <v>73</v>
      </c>
      <c r="B85" s="44" t="s">
        <v>60</v>
      </c>
      <c r="C85" s="44" t="s">
        <v>61</v>
      </c>
      <c r="D85" s="44" t="s">
        <v>62</v>
      </c>
      <c r="E85" s="44" t="s">
        <v>62</v>
      </c>
      <c r="F85" s="56">
        <v>8017</v>
      </c>
      <c r="G85" t="s">
        <v>71</v>
      </c>
      <c r="H85" s="46">
        <v>41.42</v>
      </c>
      <c r="I85" s="46">
        <v>2.1</v>
      </c>
      <c r="J85">
        <v>305</v>
      </c>
      <c r="K85" s="44" t="s">
        <v>64</v>
      </c>
      <c r="L85" s="44" t="s">
        <v>72</v>
      </c>
      <c r="M85" s="57" t="s">
        <v>73</v>
      </c>
      <c r="O85" s="44" t="str">
        <f t="shared" si="9"/>
        <v>A_SP_BCN_V2_211118</v>
      </c>
      <c r="P85" s="58">
        <v>44518</v>
      </c>
      <c r="R85" s="59"/>
      <c r="S85" s="58">
        <v>44525</v>
      </c>
      <c r="U85" s="59"/>
      <c r="V85" t="s">
        <v>66</v>
      </c>
      <c r="W85" s="52" t="s">
        <v>67</v>
      </c>
      <c r="X85" s="44">
        <f t="shared" si="10"/>
        <v>7</v>
      </c>
      <c r="AA85" s="44">
        <f t="shared" si="11"/>
        <v>0</v>
      </c>
      <c r="AB85" t="str">
        <f t="shared" si="12"/>
        <v/>
      </c>
      <c r="AE85" s="44" t="str">
        <f t="shared" si="13"/>
        <v/>
      </c>
      <c r="AF85" s="55">
        <v>4</v>
      </c>
    </row>
    <row r="86" spans="1:32" ht="18" customHeight="1" x14ac:dyDescent="0.25">
      <c r="A86" s="44">
        <v>74</v>
      </c>
      <c r="B86" s="44" t="s">
        <v>60</v>
      </c>
      <c r="C86" s="44" t="s">
        <v>61</v>
      </c>
      <c r="D86" s="44" t="s">
        <v>62</v>
      </c>
      <c r="E86" s="44" t="s">
        <v>62</v>
      </c>
      <c r="F86" s="45">
        <v>8024</v>
      </c>
      <c r="G86" t="s">
        <v>63</v>
      </c>
      <c r="H86" s="46">
        <v>41.41</v>
      </c>
      <c r="I86" s="46">
        <v>2.15</v>
      </c>
      <c r="J86">
        <v>134</v>
      </c>
      <c r="K86" s="44" t="s">
        <v>64</v>
      </c>
      <c r="L86" s="44" t="s">
        <v>65</v>
      </c>
      <c r="O86" s="44" t="str">
        <f t="shared" si="9"/>
        <v>A_SP_BCN_V1_211124</v>
      </c>
      <c r="P86" s="58">
        <v>44524</v>
      </c>
      <c r="R86" s="59"/>
      <c r="S86" s="58">
        <v>44531</v>
      </c>
      <c r="U86" s="59"/>
      <c r="V86" t="s">
        <v>66</v>
      </c>
      <c r="X86" s="44">
        <f t="shared" si="10"/>
        <v>7</v>
      </c>
      <c r="AA86" s="44">
        <f t="shared" si="11"/>
        <v>0</v>
      </c>
      <c r="AB86" t="str">
        <f t="shared" si="12"/>
        <v/>
      </c>
      <c r="AE86" s="44" t="str">
        <f t="shared" si="13"/>
        <v/>
      </c>
      <c r="AF86" s="55">
        <v>4</v>
      </c>
    </row>
  </sheetData>
  <autoFilter ref="A4:AF86" xr:uid="{00000000-0001-0000-0200-000000000000}"/>
  <mergeCells count="5">
    <mergeCell ref="A1:F2"/>
    <mergeCell ref="G1:W1"/>
    <mergeCell ref="Y1:AE2"/>
    <mergeCell ref="G2:N2"/>
    <mergeCell ref="O2:W2"/>
  </mergeCells>
  <pageMargins left="0.7" right="0.7" top="0.75" bottom="0.75" header="0.3" footer="0.3"/>
  <pageSetup paperSize="9" orientation="portrait" horizontalDpi="300" verticalDpi="30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BGs_BCN_data_Volunteer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Isis</dc:creator>
  <cp:lastModifiedBy>Isis</cp:lastModifiedBy>
  <dcterms:created xsi:type="dcterms:W3CDTF">2023-02-13T10:27:15Z</dcterms:created>
  <dcterms:modified xsi:type="dcterms:W3CDTF">2023-02-13T10:27:52Z</dcterms:modified>
</cp:coreProperties>
</file>